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utui\Downloads\"/>
    </mc:Choice>
  </mc:AlternateContent>
  <xr:revisionPtr revIDLastSave="8382" documentId="8_{EE9433F1-337C-430A-AD4C-382DAC9B282E}" xr6:coauthVersionLast="47" xr6:coauthVersionMax="47" xr10:uidLastSave="{A8357EA6-4562-4D2F-8854-EA8059F2C167}"/>
  <bookViews>
    <workbookView xWindow="-120" yWindow="-120" windowWidth="29040" windowHeight="15720" tabRatio="500" firstSheet="1" activeTab="1" xr2:uid="{C6D673C8-2C02-4E4E-9115-21D8C02F4ED3}"/>
  </bookViews>
  <sheets>
    <sheet name="DIN_For" sheetId="24" r:id="rId1"/>
    <sheet name="DIN_TAXA" sheetId="23" r:id="rId2"/>
    <sheet name="BASE" sheetId="1" r:id="rId3"/>
    <sheet name="REAL_X_ORC_MAIO" sheetId="39" r:id="rId4"/>
    <sheet name="PROJECAO_2026" sheetId="38" r:id="rId5"/>
    <sheet name="Gastos com a Franqueadora" sheetId="40" r:id="rId6"/>
  </sheets>
  <definedNames>
    <definedName name="_xlnm._FilterDatabase" localSheetId="2" hidden="1">BASE!$A$1:$M$3692</definedName>
    <definedName name="_xlnm._FilterDatabase" localSheetId="1" hidden="1">DIN_TAXA!$O$12:$O$107</definedName>
    <definedName name="_xlnm._FilterDatabase" localSheetId="3" hidden="1">REAL_X_ORC_MAIO!$A$3:$F$105</definedName>
    <definedName name="SegmentaçãodeDados_Taxa">#N/A</definedName>
  </definedNames>
  <calcPr calcId="191028"/>
  <pivotCaches>
    <pivotCache cacheId="463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40" l="1"/>
  <c r="E25" i="40"/>
  <c r="D25" i="40"/>
  <c r="C25" i="40"/>
  <c r="B25" i="40"/>
  <c r="E71" i="40"/>
  <c r="E70" i="40"/>
  <c r="E69" i="40"/>
  <c r="E68" i="40"/>
  <c r="B17" i="40"/>
  <c r="C17" i="40"/>
  <c r="D17" i="40"/>
  <c r="E17" i="40"/>
  <c r="F17" i="40"/>
  <c r="G17" i="40"/>
  <c r="B16" i="40"/>
  <c r="C16" i="40"/>
  <c r="D16" i="40"/>
  <c r="E16" i="40"/>
  <c r="F16" i="40"/>
  <c r="G16" i="40"/>
  <c r="B15" i="40"/>
  <c r="C15" i="40"/>
  <c r="D15" i="40"/>
  <c r="E15" i="40"/>
  <c r="F15" i="40"/>
  <c r="G15" i="40"/>
  <c r="G12" i="40"/>
  <c r="F12" i="40"/>
  <c r="E12" i="40"/>
  <c r="D12" i="40"/>
  <c r="C12" i="40"/>
  <c r="B12" i="40"/>
  <c r="G10" i="40"/>
  <c r="F10" i="40"/>
  <c r="E10" i="40"/>
  <c r="D10" i="40"/>
  <c r="C10" i="40"/>
  <c r="B10" i="40"/>
  <c r="D71" i="40"/>
  <c r="C71" i="40"/>
  <c r="B71" i="40"/>
  <c r="D70" i="40"/>
  <c r="C70" i="40"/>
  <c r="B70" i="40"/>
  <c r="D69" i="40"/>
  <c r="C69" i="40"/>
  <c r="B69" i="40"/>
  <c r="D68" i="40"/>
  <c r="C68" i="40"/>
  <c r="B68" i="40"/>
  <c r="F24" i="40"/>
  <c r="E24" i="40"/>
  <c r="D24" i="40"/>
  <c r="C24" i="40"/>
  <c r="B24" i="40"/>
  <c r="F23" i="40"/>
  <c r="E23" i="40"/>
  <c r="D23" i="40"/>
  <c r="C23" i="40"/>
  <c r="B23" i="40"/>
  <c r="F22" i="40"/>
  <c r="E22" i="40"/>
  <c r="D22" i="40"/>
  <c r="C22" i="40"/>
  <c r="B22" i="40"/>
  <c r="G8" i="40"/>
  <c r="F8" i="40"/>
  <c r="E8" i="40"/>
  <c r="D8" i="40"/>
  <c r="C8" i="40"/>
  <c r="B8" i="40"/>
  <c r="G7" i="40"/>
  <c r="F7" i="40"/>
  <c r="E7" i="40"/>
  <c r="D7" i="40"/>
  <c r="C7" i="40"/>
  <c r="B7" i="40"/>
  <c r="G6" i="40"/>
  <c r="F6" i="40"/>
  <c r="E6" i="40"/>
  <c r="D6" i="40"/>
  <c r="C6" i="40"/>
  <c r="B6" i="40"/>
  <c r="G5" i="40"/>
  <c r="F5" i="40"/>
  <c r="E5" i="40"/>
  <c r="D5" i="40"/>
  <c r="C5" i="40"/>
  <c r="B5" i="40"/>
  <c r="I4" i="39"/>
  <c r="C2" i="39"/>
  <c r="D4" i="39"/>
  <c r="D5" i="39"/>
  <c r="D6" i="39"/>
  <c r="D7" i="39"/>
  <c r="D8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D71" i="39"/>
  <c r="D72" i="39"/>
  <c r="D73" i="39"/>
  <c r="D74" i="39"/>
  <c r="D75" i="39"/>
  <c r="D76" i="39"/>
  <c r="D77" i="39"/>
  <c r="D78" i="39"/>
  <c r="D79" i="39"/>
  <c r="D80" i="39"/>
  <c r="D81" i="39"/>
  <c r="D82" i="39"/>
  <c r="D83" i="39"/>
  <c r="D84" i="39"/>
  <c r="D85" i="39"/>
  <c r="D86" i="39"/>
  <c r="D87" i="39"/>
  <c r="D88" i="39"/>
  <c r="D89" i="39"/>
  <c r="D90" i="39"/>
  <c r="D91" i="39"/>
  <c r="D92" i="39"/>
  <c r="D93" i="39"/>
  <c r="D94" i="39"/>
  <c r="D95" i="39"/>
  <c r="D96" i="39"/>
  <c r="D97" i="39"/>
  <c r="D98" i="39"/>
  <c r="D99" i="39"/>
  <c r="D100" i="39"/>
  <c r="D101" i="39"/>
  <c r="D102" i="39"/>
  <c r="D103" i="39"/>
  <c r="D104" i="39"/>
  <c r="D105" i="39"/>
  <c r="D106" i="39"/>
  <c r="D107" i="39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H26" i="38"/>
  <c r="I26" i="38"/>
  <c r="J26" i="38"/>
  <c r="K26" i="38"/>
  <c r="L26" i="38"/>
  <c r="M26" i="38"/>
  <c r="G26" i="38"/>
  <c r="F26" i="38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G6" i="38"/>
  <c r="H6" i="38"/>
  <c r="I6" i="38"/>
  <c r="J6" i="38"/>
  <c r="K6" i="38"/>
  <c r="L6" i="38"/>
  <c r="M6" i="38"/>
  <c r="F6" i="38"/>
  <c r="C73" i="39"/>
  <c r="C72" i="39"/>
  <c r="C71" i="39"/>
  <c r="C70" i="39"/>
  <c r="C69" i="39"/>
  <c r="C68" i="39"/>
  <c r="C67" i="39"/>
  <c r="C66" i="39"/>
  <c r="C65" i="39"/>
  <c r="C64" i="39"/>
  <c r="C63" i="39"/>
  <c r="C62" i="39"/>
  <c r="C61" i="39"/>
  <c r="C60" i="39"/>
  <c r="C59" i="39"/>
  <c r="C58" i="39"/>
  <c r="C57" i="39"/>
  <c r="C56" i="39"/>
  <c r="C55" i="39"/>
  <c r="C54" i="39"/>
  <c r="C53" i="39"/>
  <c r="C52" i="39"/>
  <c r="C51" i="39"/>
  <c r="C50" i="39"/>
  <c r="C49" i="39"/>
  <c r="C48" i="39"/>
  <c r="C47" i="39"/>
  <c r="C46" i="39"/>
  <c r="C45" i="39"/>
  <c r="C44" i="39"/>
  <c r="C43" i="39"/>
  <c r="C42" i="39"/>
  <c r="C41" i="39"/>
  <c r="C40" i="39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C26" i="39"/>
  <c r="C25" i="39"/>
  <c r="C24" i="39"/>
  <c r="C23" i="39"/>
  <c r="C22" i="39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G4" i="38"/>
  <c r="H4" i="38"/>
  <c r="I4" i="38"/>
  <c r="J4" i="38"/>
  <c r="K4" i="38"/>
  <c r="L4" i="38"/>
  <c r="M4" i="38"/>
  <c r="F4" i="38"/>
  <c r="G8" i="38"/>
  <c r="H8" i="38" s="1"/>
  <c r="I8" i="38" s="1"/>
  <c r="J8" i="38" s="1"/>
  <c r="K8" i="38" s="1"/>
  <c r="L8" i="38" s="1"/>
  <c r="M8" i="38" s="1"/>
  <c r="G5" i="38"/>
  <c r="H5" i="38" s="1"/>
  <c r="I5" i="38" s="1"/>
  <c r="J5" i="38" s="1"/>
  <c r="K5" i="38" s="1"/>
  <c r="L5" i="38" s="1"/>
  <c r="M5" i="38" s="1"/>
  <c r="M5246" i="1"/>
  <c r="M5247" i="1"/>
  <c r="M5248" i="1"/>
  <c r="M5249" i="1"/>
  <c r="M5250" i="1"/>
  <c r="M5251" i="1"/>
  <c r="M5252" i="1"/>
  <c r="M5253" i="1"/>
  <c r="M5254" i="1"/>
  <c r="M525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I2" i="38"/>
  <c r="H2" i="38"/>
  <c r="G2" i="38"/>
  <c r="F2" i="38"/>
  <c r="E2" i="38"/>
  <c r="D2" i="38"/>
  <c r="C2" i="38"/>
  <c r="B2" i="38"/>
  <c r="M99" i="38"/>
  <c r="L99" i="38"/>
  <c r="K99" i="38"/>
  <c r="J99" i="38"/>
  <c r="I99" i="38"/>
  <c r="H99" i="38"/>
  <c r="G99" i="38"/>
  <c r="F99" i="38"/>
  <c r="M98" i="38"/>
  <c r="L98" i="38"/>
  <c r="K98" i="38"/>
  <c r="J98" i="38"/>
  <c r="I98" i="38"/>
  <c r="H98" i="38"/>
  <c r="G98" i="38"/>
  <c r="F98" i="38"/>
  <c r="M97" i="38"/>
  <c r="L97" i="38"/>
  <c r="K97" i="38"/>
  <c r="J97" i="38"/>
  <c r="I97" i="38"/>
  <c r="H97" i="38"/>
  <c r="G97" i="38"/>
  <c r="F97" i="38"/>
  <c r="M96" i="38"/>
  <c r="L96" i="38"/>
  <c r="K96" i="38"/>
  <c r="J96" i="38"/>
  <c r="I96" i="38"/>
  <c r="H96" i="38"/>
  <c r="G96" i="38"/>
  <c r="F96" i="38"/>
  <c r="M95" i="38"/>
  <c r="L95" i="38"/>
  <c r="K95" i="38"/>
  <c r="J95" i="38"/>
  <c r="I95" i="38"/>
  <c r="H95" i="38"/>
  <c r="G95" i="38"/>
  <c r="F95" i="38"/>
  <c r="M94" i="38"/>
  <c r="L94" i="38"/>
  <c r="K94" i="38"/>
  <c r="J94" i="38"/>
  <c r="I94" i="38"/>
  <c r="H94" i="38"/>
  <c r="G94" i="38"/>
  <c r="F94" i="38"/>
  <c r="M93" i="38"/>
  <c r="L93" i="38"/>
  <c r="K93" i="38"/>
  <c r="J93" i="38"/>
  <c r="I93" i="38"/>
  <c r="H93" i="38"/>
  <c r="G93" i="38"/>
  <c r="F93" i="38"/>
  <c r="M92" i="38"/>
  <c r="L92" i="38"/>
  <c r="K92" i="38"/>
  <c r="J92" i="38"/>
  <c r="I92" i="38"/>
  <c r="H92" i="38"/>
  <c r="G92" i="38"/>
  <c r="F92" i="38"/>
  <c r="M91" i="38"/>
  <c r="L91" i="38"/>
  <c r="K91" i="38"/>
  <c r="J91" i="38"/>
  <c r="I91" i="38"/>
  <c r="H91" i="38"/>
  <c r="G91" i="38"/>
  <c r="F91" i="38"/>
  <c r="M90" i="38"/>
  <c r="L90" i="38"/>
  <c r="K90" i="38"/>
  <c r="J90" i="38"/>
  <c r="I90" i="38"/>
  <c r="H90" i="38"/>
  <c r="G90" i="38"/>
  <c r="F90" i="38"/>
  <c r="M89" i="38"/>
  <c r="L89" i="38"/>
  <c r="K89" i="38"/>
  <c r="J89" i="38"/>
  <c r="I89" i="38"/>
  <c r="H89" i="38"/>
  <c r="G89" i="38"/>
  <c r="F89" i="38"/>
  <c r="M88" i="38"/>
  <c r="L88" i="38"/>
  <c r="K88" i="38"/>
  <c r="J88" i="38"/>
  <c r="I88" i="38"/>
  <c r="H88" i="38"/>
  <c r="G88" i="38"/>
  <c r="F88" i="38"/>
  <c r="M87" i="38"/>
  <c r="L87" i="38"/>
  <c r="K87" i="38"/>
  <c r="J87" i="38"/>
  <c r="I87" i="38"/>
  <c r="H87" i="38"/>
  <c r="G87" i="38"/>
  <c r="F87" i="38"/>
  <c r="M86" i="38"/>
  <c r="L86" i="38"/>
  <c r="K86" i="38"/>
  <c r="J86" i="38"/>
  <c r="I86" i="38"/>
  <c r="H86" i="38"/>
  <c r="G86" i="38"/>
  <c r="F86" i="38"/>
  <c r="M85" i="38"/>
  <c r="L85" i="38"/>
  <c r="K85" i="38"/>
  <c r="J85" i="38"/>
  <c r="I85" i="38"/>
  <c r="H85" i="38"/>
  <c r="G85" i="38"/>
  <c r="F85" i="38"/>
  <c r="M84" i="38"/>
  <c r="L84" i="38"/>
  <c r="K84" i="38"/>
  <c r="J84" i="38"/>
  <c r="I84" i="38"/>
  <c r="H84" i="38"/>
  <c r="G84" i="38"/>
  <c r="F84" i="38"/>
  <c r="M83" i="38"/>
  <c r="L83" i="38"/>
  <c r="K83" i="38"/>
  <c r="J83" i="38"/>
  <c r="I83" i="38"/>
  <c r="H83" i="38"/>
  <c r="G83" i="38"/>
  <c r="F83" i="38"/>
  <c r="M82" i="38"/>
  <c r="L82" i="38"/>
  <c r="K82" i="38"/>
  <c r="J82" i="38"/>
  <c r="I82" i="38"/>
  <c r="H82" i="38"/>
  <c r="G82" i="38"/>
  <c r="F82" i="38"/>
  <c r="M81" i="38"/>
  <c r="L81" i="38"/>
  <c r="K81" i="38"/>
  <c r="J81" i="38"/>
  <c r="I81" i="38"/>
  <c r="H81" i="38"/>
  <c r="G81" i="38"/>
  <c r="F81" i="38"/>
  <c r="M80" i="38"/>
  <c r="L80" i="38"/>
  <c r="K80" i="38"/>
  <c r="J80" i="38"/>
  <c r="I80" i="38"/>
  <c r="H80" i="38"/>
  <c r="G80" i="38"/>
  <c r="F80" i="38"/>
  <c r="M79" i="38"/>
  <c r="L79" i="38"/>
  <c r="K79" i="38"/>
  <c r="J79" i="38"/>
  <c r="I79" i="38"/>
  <c r="H79" i="38"/>
  <c r="G79" i="38"/>
  <c r="F79" i="38"/>
  <c r="M78" i="38"/>
  <c r="L78" i="38"/>
  <c r="K78" i="38"/>
  <c r="J78" i="38"/>
  <c r="I78" i="38"/>
  <c r="H78" i="38"/>
  <c r="G78" i="38"/>
  <c r="F78" i="38"/>
  <c r="M77" i="38"/>
  <c r="L77" i="38"/>
  <c r="K77" i="38"/>
  <c r="J77" i="38"/>
  <c r="I77" i="38"/>
  <c r="H77" i="38"/>
  <c r="G77" i="38"/>
  <c r="F77" i="38"/>
  <c r="M76" i="38"/>
  <c r="L76" i="38"/>
  <c r="K76" i="38"/>
  <c r="J76" i="38"/>
  <c r="I76" i="38"/>
  <c r="H76" i="38"/>
  <c r="G76" i="38"/>
  <c r="F76" i="38"/>
  <c r="M75" i="38"/>
  <c r="L75" i="38"/>
  <c r="K75" i="38"/>
  <c r="J75" i="38"/>
  <c r="I75" i="38"/>
  <c r="H75" i="38"/>
  <c r="G75" i="38"/>
  <c r="F75" i="38"/>
  <c r="M74" i="38"/>
  <c r="L74" i="38"/>
  <c r="K74" i="38"/>
  <c r="J74" i="38"/>
  <c r="I74" i="38"/>
  <c r="H74" i="38"/>
  <c r="G74" i="38"/>
  <c r="F74" i="38"/>
  <c r="M73" i="38"/>
  <c r="L73" i="38"/>
  <c r="K73" i="38"/>
  <c r="J73" i="38"/>
  <c r="I73" i="38"/>
  <c r="H73" i="38"/>
  <c r="G73" i="38"/>
  <c r="F73" i="38"/>
  <c r="M72" i="38"/>
  <c r="L72" i="38"/>
  <c r="K72" i="38"/>
  <c r="J72" i="38"/>
  <c r="I72" i="38"/>
  <c r="H72" i="38"/>
  <c r="G72" i="38"/>
  <c r="F72" i="38"/>
  <c r="M71" i="38"/>
  <c r="L71" i="38"/>
  <c r="K71" i="38"/>
  <c r="J71" i="38"/>
  <c r="I71" i="38"/>
  <c r="H71" i="38"/>
  <c r="G71" i="38"/>
  <c r="F71" i="38"/>
  <c r="M70" i="38"/>
  <c r="L70" i="38"/>
  <c r="K70" i="38"/>
  <c r="J70" i="38"/>
  <c r="I70" i="38"/>
  <c r="H70" i="38"/>
  <c r="G70" i="38"/>
  <c r="F70" i="38"/>
  <c r="M69" i="38"/>
  <c r="L69" i="38"/>
  <c r="K69" i="38"/>
  <c r="J69" i="38"/>
  <c r="I69" i="38"/>
  <c r="H69" i="38"/>
  <c r="G69" i="38"/>
  <c r="F69" i="38"/>
  <c r="M68" i="38"/>
  <c r="L68" i="38"/>
  <c r="K68" i="38"/>
  <c r="J68" i="38"/>
  <c r="I68" i="38"/>
  <c r="H68" i="38"/>
  <c r="G68" i="38"/>
  <c r="F68" i="38"/>
  <c r="M67" i="38"/>
  <c r="L67" i="38"/>
  <c r="K67" i="38"/>
  <c r="J67" i="38"/>
  <c r="I67" i="38"/>
  <c r="H67" i="38"/>
  <c r="G67" i="38"/>
  <c r="F67" i="38"/>
  <c r="M66" i="38"/>
  <c r="L66" i="38"/>
  <c r="K66" i="38"/>
  <c r="J66" i="38"/>
  <c r="I66" i="38"/>
  <c r="H66" i="38"/>
  <c r="G66" i="38"/>
  <c r="F66" i="38"/>
  <c r="M65" i="38"/>
  <c r="L65" i="38"/>
  <c r="K65" i="38"/>
  <c r="J65" i="38"/>
  <c r="I65" i="38"/>
  <c r="H65" i="38"/>
  <c r="G65" i="38"/>
  <c r="F65" i="38"/>
  <c r="M64" i="38"/>
  <c r="L64" i="38"/>
  <c r="K64" i="38"/>
  <c r="J64" i="38"/>
  <c r="I64" i="38"/>
  <c r="H64" i="38"/>
  <c r="G64" i="38"/>
  <c r="F64" i="38"/>
  <c r="M63" i="38"/>
  <c r="L63" i="38"/>
  <c r="K63" i="38"/>
  <c r="J63" i="38"/>
  <c r="I63" i="38"/>
  <c r="H63" i="38"/>
  <c r="G63" i="38"/>
  <c r="F63" i="38"/>
  <c r="M62" i="38"/>
  <c r="L62" i="38"/>
  <c r="K62" i="38"/>
  <c r="J62" i="38"/>
  <c r="I62" i="38"/>
  <c r="H62" i="38"/>
  <c r="G62" i="38"/>
  <c r="F62" i="38"/>
  <c r="M61" i="38"/>
  <c r="L61" i="38"/>
  <c r="K61" i="38"/>
  <c r="J61" i="38"/>
  <c r="I61" i="38"/>
  <c r="H61" i="38"/>
  <c r="G61" i="38"/>
  <c r="F61" i="38"/>
  <c r="M60" i="38"/>
  <c r="L60" i="38"/>
  <c r="K60" i="38"/>
  <c r="J60" i="38"/>
  <c r="I60" i="38"/>
  <c r="H60" i="38"/>
  <c r="G60" i="38"/>
  <c r="F60" i="38"/>
  <c r="M59" i="38"/>
  <c r="L59" i="38"/>
  <c r="K59" i="38"/>
  <c r="J59" i="38"/>
  <c r="I59" i="38"/>
  <c r="H59" i="38"/>
  <c r="G59" i="38"/>
  <c r="F59" i="38"/>
  <c r="M58" i="38"/>
  <c r="L58" i="38"/>
  <c r="K58" i="38"/>
  <c r="J58" i="38"/>
  <c r="I58" i="38"/>
  <c r="H58" i="38"/>
  <c r="G58" i="38"/>
  <c r="F58" i="38"/>
  <c r="M57" i="38"/>
  <c r="L57" i="38"/>
  <c r="K57" i="38"/>
  <c r="J57" i="38"/>
  <c r="I57" i="38"/>
  <c r="H57" i="38"/>
  <c r="G57" i="38"/>
  <c r="F57" i="38"/>
  <c r="M56" i="38"/>
  <c r="L56" i="38"/>
  <c r="K56" i="38"/>
  <c r="J56" i="38"/>
  <c r="I56" i="38"/>
  <c r="H56" i="38"/>
  <c r="G56" i="38"/>
  <c r="F56" i="38"/>
  <c r="M55" i="38"/>
  <c r="L55" i="38"/>
  <c r="K55" i="38"/>
  <c r="J55" i="38"/>
  <c r="I55" i="38"/>
  <c r="H55" i="38"/>
  <c r="G55" i="38"/>
  <c r="F55" i="38"/>
  <c r="M54" i="38"/>
  <c r="L54" i="38"/>
  <c r="K54" i="38"/>
  <c r="J54" i="38"/>
  <c r="I54" i="38"/>
  <c r="H54" i="38"/>
  <c r="G54" i="38"/>
  <c r="F54" i="38"/>
  <c r="M53" i="38"/>
  <c r="L53" i="38"/>
  <c r="K53" i="38"/>
  <c r="J53" i="38"/>
  <c r="I53" i="38"/>
  <c r="H53" i="38"/>
  <c r="G53" i="38"/>
  <c r="F53" i="38"/>
  <c r="M52" i="38"/>
  <c r="L52" i="38"/>
  <c r="K52" i="38"/>
  <c r="J52" i="38"/>
  <c r="I52" i="38"/>
  <c r="H52" i="38"/>
  <c r="G52" i="38"/>
  <c r="F52" i="38"/>
  <c r="M51" i="38"/>
  <c r="L51" i="38"/>
  <c r="K51" i="38"/>
  <c r="J51" i="38"/>
  <c r="I51" i="38"/>
  <c r="H51" i="38"/>
  <c r="G51" i="38"/>
  <c r="F51" i="38"/>
  <c r="M50" i="38"/>
  <c r="L50" i="38"/>
  <c r="K50" i="38"/>
  <c r="J50" i="38"/>
  <c r="I50" i="38"/>
  <c r="H50" i="38"/>
  <c r="G50" i="38"/>
  <c r="F50" i="38"/>
  <c r="M49" i="38"/>
  <c r="L49" i="38"/>
  <c r="K49" i="38"/>
  <c r="J49" i="38"/>
  <c r="I49" i="38"/>
  <c r="H49" i="38"/>
  <c r="G49" i="38"/>
  <c r="F49" i="38"/>
  <c r="M48" i="38"/>
  <c r="L48" i="38"/>
  <c r="K48" i="38"/>
  <c r="J48" i="38"/>
  <c r="I48" i="38"/>
  <c r="H48" i="38"/>
  <c r="G48" i="38"/>
  <c r="F48" i="38"/>
  <c r="M47" i="38"/>
  <c r="L47" i="38"/>
  <c r="K47" i="38"/>
  <c r="J47" i="38"/>
  <c r="I47" i="38"/>
  <c r="H47" i="38"/>
  <c r="G47" i="38"/>
  <c r="F47" i="38"/>
  <c r="M46" i="38"/>
  <c r="L46" i="38"/>
  <c r="K46" i="38"/>
  <c r="J46" i="38"/>
  <c r="I46" i="38"/>
  <c r="H46" i="38"/>
  <c r="G46" i="38"/>
  <c r="F46" i="38"/>
  <c r="M45" i="38"/>
  <c r="L45" i="38"/>
  <c r="K45" i="38"/>
  <c r="J45" i="38"/>
  <c r="I45" i="38"/>
  <c r="H45" i="38"/>
  <c r="G45" i="38"/>
  <c r="F45" i="38"/>
  <c r="M44" i="38"/>
  <c r="L44" i="38"/>
  <c r="K44" i="38"/>
  <c r="J44" i="38"/>
  <c r="I44" i="38"/>
  <c r="H44" i="38"/>
  <c r="G44" i="38"/>
  <c r="F44" i="38"/>
  <c r="M43" i="38"/>
  <c r="L43" i="38"/>
  <c r="K43" i="38"/>
  <c r="J43" i="38"/>
  <c r="I43" i="38"/>
  <c r="H43" i="38"/>
  <c r="G43" i="38"/>
  <c r="F43" i="38"/>
  <c r="M42" i="38"/>
  <c r="L42" i="38"/>
  <c r="K42" i="38"/>
  <c r="J42" i="38"/>
  <c r="I42" i="38"/>
  <c r="H42" i="38"/>
  <c r="G42" i="38"/>
  <c r="F42" i="38"/>
  <c r="M41" i="38"/>
  <c r="L41" i="38"/>
  <c r="K41" i="38"/>
  <c r="J41" i="38"/>
  <c r="I41" i="38"/>
  <c r="H41" i="38"/>
  <c r="G41" i="38"/>
  <c r="F41" i="38"/>
  <c r="M40" i="38"/>
  <c r="L40" i="38"/>
  <c r="K40" i="38"/>
  <c r="J40" i="38"/>
  <c r="I40" i="38"/>
  <c r="H40" i="38"/>
  <c r="G40" i="38"/>
  <c r="F40" i="38"/>
  <c r="M39" i="38"/>
  <c r="L39" i="38"/>
  <c r="K39" i="38"/>
  <c r="J39" i="38"/>
  <c r="I39" i="38"/>
  <c r="H39" i="38"/>
  <c r="G39" i="38"/>
  <c r="F39" i="38"/>
  <c r="M38" i="38"/>
  <c r="L38" i="38"/>
  <c r="K38" i="38"/>
  <c r="J38" i="38"/>
  <c r="I38" i="38"/>
  <c r="H38" i="38"/>
  <c r="G38" i="38"/>
  <c r="F38" i="38"/>
  <c r="M36" i="38"/>
  <c r="L36" i="38"/>
  <c r="K36" i="38"/>
  <c r="J36" i="38"/>
  <c r="I36" i="38"/>
  <c r="H36" i="38"/>
  <c r="G36" i="38"/>
  <c r="F36" i="38"/>
  <c r="M35" i="38"/>
  <c r="L35" i="38"/>
  <c r="K35" i="38"/>
  <c r="J35" i="38"/>
  <c r="I35" i="38"/>
  <c r="H35" i="38"/>
  <c r="G35" i="38"/>
  <c r="F35" i="38"/>
  <c r="M32" i="38"/>
  <c r="L32" i="38"/>
  <c r="K32" i="38"/>
  <c r="J32" i="38"/>
  <c r="I32" i="38"/>
  <c r="H32" i="38"/>
  <c r="G32" i="38"/>
  <c r="F32" i="38"/>
  <c r="M31" i="38"/>
  <c r="L31" i="38"/>
  <c r="K31" i="38"/>
  <c r="J31" i="38"/>
  <c r="I31" i="38"/>
  <c r="H31" i="38"/>
  <c r="G31" i="38"/>
  <c r="F31" i="38"/>
  <c r="M30" i="38"/>
  <c r="L30" i="38"/>
  <c r="K30" i="38"/>
  <c r="J30" i="38"/>
  <c r="I30" i="38"/>
  <c r="H30" i="38"/>
  <c r="G30" i="38"/>
  <c r="F30" i="38"/>
  <c r="M29" i="38"/>
  <c r="L29" i="38"/>
  <c r="K29" i="38"/>
  <c r="J29" i="38"/>
  <c r="I29" i="38"/>
  <c r="H29" i="38"/>
  <c r="G29" i="38"/>
  <c r="F29" i="38"/>
  <c r="M28" i="38"/>
  <c r="L28" i="38"/>
  <c r="K28" i="38"/>
  <c r="J28" i="38"/>
  <c r="I28" i="38"/>
  <c r="H28" i="38"/>
  <c r="G28" i="38"/>
  <c r="F28" i="38"/>
  <c r="M25" i="38"/>
  <c r="L25" i="38"/>
  <c r="K25" i="38"/>
  <c r="J25" i="38"/>
  <c r="I25" i="38"/>
  <c r="H25" i="38"/>
  <c r="G25" i="38"/>
  <c r="F25" i="38"/>
  <c r="M23" i="38"/>
  <c r="L23" i="38"/>
  <c r="K23" i="38"/>
  <c r="J23" i="38"/>
  <c r="I23" i="38"/>
  <c r="H23" i="38"/>
  <c r="G23" i="38"/>
  <c r="F23" i="38"/>
  <c r="M22" i="38"/>
  <c r="L22" i="38"/>
  <c r="K22" i="38"/>
  <c r="J22" i="38"/>
  <c r="I22" i="38"/>
  <c r="H22" i="38"/>
  <c r="G22" i="38"/>
  <c r="F22" i="38"/>
  <c r="M20" i="38"/>
  <c r="L20" i="38"/>
  <c r="K20" i="38"/>
  <c r="J20" i="38"/>
  <c r="I20" i="38"/>
  <c r="H20" i="38"/>
  <c r="G20" i="38"/>
  <c r="F20" i="38"/>
  <c r="M19" i="38"/>
  <c r="L19" i="38"/>
  <c r="K19" i="38"/>
  <c r="J19" i="38"/>
  <c r="I19" i="38"/>
  <c r="H19" i="38"/>
  <c r="G19" i="38"/>
  <c r="F19" i="38"/>
  <c r="M18" i="38"/>
  <c r="L18" i="38"/>
  <c r="K18" i="38"/>
  <c r="J18" i="38"/>
  <c r="I18" i="38"/>
  <c r="H18" i="38"/>
  <c r="G18" i="38"/>
  <c r="F18" i="38"/>
  <c r="M17" i="38"/>
  <c r="L17" i="38"/>
  <c r="K17" i="38"/>
  <c r="J17" i="38"/>
  <c r="I17" i="38"/>
  <c r="H17" i="38"/>
  <c r="G17" i="38"/>
  <c r="F17" i="38"/>
  <c r="M16" i="38"/>
  <c r="L16" i="38"/>
  <c r="K16" i="38"/>
  <c r="J16" i="38"/>
  <c r="I16" i="38"/>
  <c r="H16" i="38"/>
  <c r="G16" i="38"/>
  <c r="F16" i="38"/>
  <c r="M15" i="38"/>
  <c r="L15" i="38"/>
  <c r="K15" i="38"/>
  <c r="J15" i="38"/>
  <c r="I15" i="38"/>
  <c r="H15" i="38"/>
  <c r="G15" i="38"/>
  <c r="F15" i="38"/>
  <c r="M14" i="38"/>
  <c r="L14" i="38"/>
  <c r="K14" i="38"/>
  <c r="J14" i="38"/>
  <c r="I14" i="38"/>
  <c r="H14" i="38"/>
  <c r="G14" i="38"/>
  <c r="F14" i="38"/>
  <c r="M13" i="38"/>
  <c r="L13" i="38"/>
  <c r="K13" i="38"/>
  <c r="J13" i="38"/>
  <c r="I13" i="38"/>
  <c r="H13" i="38"/>
  <c r="G13" i="38"/>
  <c r="F13" i="38"/>
  <c r="M10" i="38"/>
  <c r="L10" i="38"/>
  <c r="K10" i="38"/>
  <c r="J10" i="38"/>
  <c r="I10" i="38"/>
  <c r="H10" i="38"/>
  <c r="G10" i="38"/>
  <c r="F10" i="38"/>
  <c r="M7" i="38"/>
  <c r="L7" i="38"/>
  <c r="K7" i="38"/>
  <c r="J7" i="38"/>
  <c r="I7" i="38"/>
  <c r="H7" i="38"/>
  <c r="G7" i="38"/>
  <c r="F7" i="38"/>
  <c r="E101" i="38"/>
  <c r="D101" i="38"/>
  <c r="C101" i="38"/>
  <c r="B101" i="38"/>
  <c r="N99" i="38"/>
  <c r="N98" i="38"/>
  <c r="N97" i="38"/>
  <c r="N96" i="38"/>
  <c r="N95" i="38"/>
  <c r="N94" i="38"/>
  <c r="N93" i="38"/>
  <c r="N92" i="38"/>
  <c r="N91" i="38"/>
  <c r="N90" i="38"/>
  <c r="N89" i="38"/>
  <c r="N88" i="38"/>
  <c r="N87" i="38"/>
  <c r="N86" i="38"/>
  <c r="N85" i="38"/>
  <c r="N84" i="38"/>
  <c r="N83" i="38"/>
  <c r="N82" i="38"/>
  <c r="N81" i="38"/>
  <c r="N80" i="38"/>
  <c r="N79" i="38"/>
  <c r="N78" i="38"/>
  <c r="N77" i="38"/>
  <c r="N76" i="38"/>
  <c r="N75" i="38"/>
  <c r="N74" i="38"/>
  <c r="N73" i="38"/>
  <c r="N72" i="38"/>
  <c r="N71" i="38"/>
  <c r="N70" i="38"/>
  <c r="N69" i="38"/>
  <c r="N68" i="38"/>
  <c r="N67" i="38"/>
  <c r="N66" i="38"/>
  <c r="N65" i="38"/>
  <c r="N64" i="38"/>
  <c r="N63" i="38"/>
  <c r="N62" i="38"/>
  <c r="N61" i="38"/>
  <c r="N60" i="38"/>
  <c r="N59" i="38"/>
  <c r="N58" i="38"/>
  <c r="N57" i="38"/>
  <c r="N56" i="38"/>
  <c r="N55" i="38"/>
  <c r="N54" i="38"/>
  <c r="N53" i="38"/>
  <c r="N52" i="38"/>
  <c r="N51" i="38"/>
  <c r="N50" i="38"/>
  <c r="N49" i="38"/>
  <c r="N48" i="38"/>
  <c r="N47" i="38"/>
  <c r="N46" i="38"/>
  <c r="N45" i="38"/>
  <c r="N44" i="38"/>
  <c r="N43" i="38"/>
  <c r="N42" i="38"/>
  <c r="N41" i="38"/>
  <c r="N40" i="38"/>
  <c r="N39" i="38"/>
  <c r="N38" i="38"/>
  <c r="N37" i="38"/>
  <c r="N36" i="38"/>
  <c r="N35" i="38"/>
  <c r="N34" i="38"/>
  <c r="N33" i="38"/>
  <c r="N32" i="38"/>
  <c r="N31" i="38"/>
  <c r="N30" i="38"/>
  <c r="N29" i="38"/>
  <c r="N28" i="38"/>
  <c r="N27" i="38"/>
  <c r="N26" i="38"/>
  <c r="N25" i="38"/>
  <c r="N24" i="38"/>
  <c r="N23" i="38"/>
  <c r="N22" i="38"/>
  <c r="N21" i="38"/>
  <c r="N20" i="38"/>
  <c r="N19" i="38"/>
  <c r="N18" i="38"/>
  <c r="N17" i="38"/>
  <c r="N16" i="38"/>
  <c r="N15" i="38"/>
  <c r="N14" i="38"/>
  <c r="N13" i="38"/>
  <c r="N12" i="38"/>
  <c r="N11" i="38"/>
  <c r="N10" i="38"/>
  <c r="N9" i="38"/>
  <c r="N8" i="38"/>
  <c r="N7" i="38"/>
  <c r="N6" i="38"/>
  <c r="I101" i="38"/>
  <c r="H101" i="38"/>
  <c r="G101" i="38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441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316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72" i="1"/>
  <c r="M4273" i="1"/>
  <c r="M4274" i="1"/>
  <c r="M4275" i="1"/>
  <c r="M4276" i="1"/>
  <c r="M4277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30" i="1"/>
  <c r="M4231" i="1"/>
  <c r="M4232" i="1"/>
  <c r="M4233" i="1"/>
  <c r="M4234" i="1"/>
  <c r="M4235" i="1"/>
  <c r="M4236" i="1"/>
  <c r="M4237" i="1"/>
  <c r="M4238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3693" i="1"/>
  <c r="M3694" i="1"/>
  <c r="M3695" i="1"/>
  <c r="M3696" i="1"/>
  <c r="M369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2" i="1"/>
  <c r="D2" i="39" l="1"/>
  <c r="E4" i="39"/>
  <c r="F4" i="39"/>
  <c r="E5" i="39"/>
  <c r="F5" i="39"/>
  <c r="E6" i="39"/>
  <c r="F6" i="39"/>
  <c r="E7" i="39"/>
  <c r="F7" i="39"/>
  <c r="E8" i="39"/>
  <c r="F8" i="39"/>
  <c r="E9" i="39"/>
  <c r="F9" i="39"/>
  <c r="E10" i="39"/>
  <c r="F10" i="39"/>
  <c r="E11" i="39"/>
  <c r="F11" i="39"/>
  <c r="E12" i="39"/>
  <c r="F12" i="39"/>
  <c r="E13" i="39"/>
  <c r="F13" i="39"/>
  <c r="E14" i="39"/>
  <c r="F14" i="39"/>
  <c r="E15" i="39"/>
  <c r="F15" i="39"/>
  <c r="E16" i="39"/>
  <c r="F16" i="39"/>
  <c r="E17" i="39"/>
  <c r="F17" i="39"/>
  <c r="E18" i="39"/>
  <c r="F18" i="39"/>
  <c r="E19" i="39"/>
  <c r="F19" i="39"/>
  <c r="E20" i="39"/>
  <c r="F20" i="39"/>
  <c r="E21" i="39"/>
  <c r="F21" i="39"/>
  <c r="E22" i="39"/>
  <c r="F22" i="39"/>
  <c r="E23" i="39"/>
  <c r="F23" i="39"/>
  <c r="E24" i="39"/>
  <c r="F24" i="39"/>
  <c r="E25" i="39"/>
  <c r="F25" i="39"/>
  <c r="E26" i="39"/>
  <c r="F26" i="39"/>
  <c r="E27" i="39"/>
  <c r="F27" i="39"/>
  <c r="E28" i="39"/>
  <c r="F28" i="39"/>
  <c r="E29" i="39"/>
  <c r="F29" i="39"/>
  <c r="E30" i="39"/>
  <c r="F30" i="39"/>
  <c r="E31" i="39"/>
  <c r="F31" i="39"/>
  <c r="E32" i="39"/>
  <c r="F32" i="39"/>
  <c r="E33" i="39"/>
  <c r="F33" i="39"/>
  <c r="E34" i="39"/>
  <c r="F34" i="39"/>
  <c r="E35" i="39"/>
  <c r="F35" i="39"/>
  <c r="E36" i="39"/>
  <c r="F36" i="39"/>
  <c r="E37" i="39"/>
  <c r="F37" i="39"/>
  <c r="E38" i="39"/>
  <c r="F38" i="39"/>
  <c r="E39" i="39"/>
  <c r="F39" i="39"/>
  <c r="E40" i="39"/>
  <c r="F40" i="39"/>
  <c r="E41" i="39"/>
  <c r="F41" i="39"/>
  <c r="E42" i="39"/>
  <c r="F42" i="39"/>
  <c r="E43" i="39"/>
  <c r="F43" i="39"/>
  <c r="E44" i="39"/>
  <c r="F44" i="39"/>
  <c r="E45" i="39"/>
  <c r="F45" i="39"/>
  <c r="E46" i="39"/>
  <c r="F46" i="39"/>
  <c r="E47" i="39"/>
  <c r="F47" i="39"/>
  <c r="E48" i="39"/>
  <c r="F48" i="39"/>
  <c r="E49" i="39"/>
  <c r="F49" i="39"/>
  <c r="E50" i="39"/>
  <c r="F50" i="39"/>
  <c r="E51" i="39"/>
  <c r="F51" i="39"/>
  <c r="E52" i="39"/>
  <c r="F52" i="39"/>
  <c r="E53" i="39"/>
  <c r="F53" i="39"/>
  <c r="E54" i="39"/>
  <c r="F54" i="39"/>
  <c r="E55" i="39"/>
  <c r="F55" i="39"/>
  <c r="E56" i="39"/>
  <c r="F56" i="39"/>
  <c r="E57" i="39"/>
  <c r="F57" i="39"/>
  <c r="E58" i="39"/>
  <c r="F58" i="39"/>
  <c r="E59" i="39"/>
  <c r="F59" i="39"/>
  <c r="E60" i="39"/>
  <c r="F60" i="39"/>
  <c r="E61" i="39"/>
  <c r="F61" i="39"/>
  <c r="E62" i="39"/>
  <c r="F62" i="39"/>
  <c r="E63" i="39"/>
  <c r="F63" i="39"/>
  <c r="E64" i="39"/>
  <c r="F64" i="39"/>
  <c r="E65" i="39"/>
  <c r="F65" i="39"/>
  <c r="E66" i="39"/>
  <c r="F66" i="39"/>
  <c r="E67" i="39"/>
  <c r="F67" i="39"/>
  <c r="E68" i="39"/>
  <c r="F68" i="39"/>
  <c r="E69" i="39"/>
  <c r="F69" i="39"/>
  <c r="E70" i="39"/>
  <c r="F70" i="39"/>
  <c r="E71" i="39"/>
  <c r="F71" i="39"/>
  <c r="E72" i="39"/>
  <c r="F72" i="39"/>
  <c r="E73" i="39"/>
  <c r="F73" i="39"/>
  <c r="E74" i="39"/>
  <c r="F74" i="39"/>
  <c r="E75" i="39"/>
  <c r="F75" i="39"/>
  <c r="E76" i="39"/>
  <c r="F76" i="39"/>
  <c r="E77" i="39"/>
  <c r="F77" i="39"/>
  <c r="E78" i="39"/>
  <c r="F78" i="39"/>
  <c r="E79" i="39"/>
  <c r="F79" i="39"/>
  <c r="E80" i="39"/>
  <c r="F80" i="39"/>
  <c r="E81" i="39"/>
  <c r="F81" i="39"/>
  <c r="E82" i="39"/>
  <c r="F82" i="39"/>
  <c r="E83" i="39"/>
  <c r="F83" i="39"/>
  <c r="E84" i="39"/>
  <c r="F84" i="39"/>
  <c r="E85" i="39"/>
  <c r="F85" i="39"/>
  <c r="E86" i="39"/>
  <c r="F86" i="39"/>
  <c r="E87" i="39"/>
  <c r="F87" i="39"/>
  <c r="E88" i="39"/>
  <c r="F88" i="39"/>
  <c r="E89" i="39"/>
  <c r="F89" i="39"/>
  <c r="E90" i="39"/>
  <c r="F90" i="39"/>
  <c r="E91" i="39"/>
  <c r="F91" i="39"/>
  <c r="E92" i="39"/>
  <c r="F92" i="39"/>
  <c r="E93" i="39"/>
  <c r="F93" i="39"/>
  <c r="E94" i="39"/>
  <c r="F94" i="39"/>
  <c r="E95" i="39"/>
  <c r="F95" i="39"/>
  <c r="E96" i="39"/>
  <c r="F96" i="39"/>
  <c r="E97" i="39"/>
  <c r="F97" i="39"/>
  <c r="E98" i="39"/>
  <c r="F98" i="39"/>
  <c r="E99" i="39"/>
  <c r="F99" i="39"/>
  <c r="E100" i="39"/>
  <c r="F100" i="39"/>
  <c r="E101" i="39"/>
  <c r="F101" i="39"/>
  <c r="E102" i="39"/>
  <c r="F102" i="39"/>
  <c r="E103" i="39"/>
  <c r="F103" i="39"/>
  <c r="E104" i="39"/>
  <c r="F104" i="39"/>
  <c r="E105" i="39"/>
  <c r="F105" i="39"/>
  <c r="E106" i="39"/>
  <c r="F106" i="39"/>
  <c r="E107" i="39"/>
  <c r="F107" i="39"/>
  <c r="F101" i="38"/>
  <c r="N5" i="38"/>
  <c r="B117" i="38"/>
  <c r="B107" i="38"/>
  <c r="B118" i="38"/>
  <c r="E2" i="39" l="1"/>
  <c r="F2" i="39"/>
  <c r="I5" i="39"/>
  <c r="I6" i="39"/>
  <c r="I7" i="39"/>
  <c r="H11" i="39" a="1"/>
  <c r="H11" i="39" s="1"/>
  <c r="H12" i="39" a="1"/>
  <c r="H12" i="39" s="1"/>
  <c r="H13" i="39" a="1"/>
  <c r="H13" i="39" s="1"/>
  <c r="H14" i="39" a="1"/>
  <c r="H14" i="39" s="1"/>
  <c r="H15" i="39" a="1"/>
  <c r="H15" i="39" s="1"/>
  <c r="H16" i="39" a="1"/>
  <c r="H16" i="39" s="1"/>
  <c r="H17" i="39" a="1"/>
  <c r="H17" i="39" s="1"/>
  <c r="H18" i="39" a="1"/>
  <c r="H18" i="39" s="1"/>
  <c r="H19" i="39" a="1"/>
  <c r="H19" i="39" s="1"/>
  <c r="H23" i="39" a="1"/>
  <c r="H23" i="39" s="1"/>
  <c r="H24" i="39" a="1"/>
  <c r="H24" i="39" s="1"/>
  <c r="H25" i="39" a="1"/>
  <c r="H25" i="39" s="1"/>
  <c r="H26" i="39" a="1"/>
  <c r="H26" i="39" s="1"/>
  <c r="H27" i="39" a="1"/>
  <c r="H27" i="39" s="1"/>
  <c r="J2" i="38"/>
  <c r="J101" i="38"/>
  <c r="K2" i="38"/>
  <c r="K101" i="38"/>
  <c r="I11" i="39" l="1"/>
  <c r="J11" i="39"/>
  <c r="K11" i="39"/>
  <c r="L11" i="39"/>
  <c r="I12" i="39"/>
  <c r="J12" i="39"/>
  <c r="K12" i="39"/>
  <c r="L12" i="39"/>
  <c r="I13" i="39"/>
  <c r="J13" i="39"/>
  <c r="K13" i="39"/>
  <c r="L13" i="39"/>
  <c r="I14" i="39"/>
  <c r="J14" i="39"/>
  <c r="K14" i="39"/>
  <c r="L14" i="39"/>
  <c r="I15" i="39"/>
  <c r="J15" i="39"/>
  <c r="K15" i="39"/>
  <c r="L15" i="39"/>
  <c r="I16" i="39"/>
  <c r="J16" i="39"/>
  <c r="K16" i="39"/>
  <c r="L16" i="39"/>
  <c r="I17" i="39"/>
  <c r="J17" i="39"/>
  <c r="K17" i="39"/>
  <c r="L17" i="39"/>
  <c r="I18" i="39"/>
  <c r="J18" i="39"/>
  <c r="K18" i="39"/>
  <c r="L18" i="39"/>
  <c r="I19" i="39"/>
  <c r="J19" i="39"/>
  <c r="K19" i="39"/>
  <c r="L19" i="39"/>
  <c r="I23" i="39"/>
  <c r="J23" i="39"/>
  <c r="K23" i="39"/>
  <c r="L23" i="39"/>
  <c r="I24" i="39"/>
  <c r="J24" i="39"/>
  <c r="K24" i="39"/>
  <c r="L24" i="39"/>
  <c r="I25" i="39"/>
  <c r="J25" i="39"/>
  <c r="K25" i="39"/>
  <c r="L25" i="39"/>
  <c r="I26" i="39"/>
  <c r="J26" i="39"/>
  <c r="K26" i="39"/>
  <c r="L26" i="39"/>
  <c r="I27" i="39"/>
  <c r="J27" i="39"/>
  <c r="K27" i="39"/>
  <c r="L27" i="39"/>
  <c r="L2" i="38"/>
  <c r="L101" i="38"/>
  <c r="N4" i="38"/>
  <c r="N101" i="38" s="1"/>
  <c r="M2" i="38"/>
  <c r="M101" i="38"/>
  <c r="B119" i="38"/>
  <c r="B108" i="38"/>
  <c r="N2" i="38"/>
  <c r="I20" i="39" l="1"/>
  <c r="J20" i="39"/>
  <c r="K20" i="39"/>
  <c r="I28" i="39"/>
  <c r="J28" i="39"/>
  <c r="K28" i="39"/>
  <c r="C119" i="38"/>
  <c r="C117" i="38"/>
  <c r="B110" i="38"/>
  <c r="B109" i="38"/>
  <c r="C118" i="38"/>
  <c r="B120" i="38"/>
  <c r="C120" i="38" l="1"/>
  <c r="B121" i="38"/>
  <c r="C121" i="3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<sst xmlns="http://schemas.openxmlformats.org/spreadsheetml/2006/main" count="28008" uniqueCount="1594">
  <si>
    <t>Sum of Pago</t>
  </si>
  <si>
    <t>Rótulos de Coluna</t>
  </si>
  <si>
    <t>2026 Total</t>
  </si>
  <si>
    <t>(vazio)</t>
  </si>
  <si>
    <t>(vazio) Total</t>
  </si>
  <si>
    <t>Total Geral</t>
  </si>
  <si>
    <t>jan</t>
  </si>
  <si>
    <t>fev</t>
  </si>
  <si>
    <t>mar</t>
  </si>
  <si>
    <t>abr</t>
  </si>
  <si>
    <t>mai</t>
  </si>
  <si>
    <t>&lt;02/01/2025</t>
  </si>
  <si>
    <t>Rótulos de Linha</t>
  </si>
  <si>
    <t>ITAU UNIBANCO S.A.</t>
  </si>
  <si>
    <t>FORTE DA GRANJA EMPREENDIMENTO IMOBILIARIO LTDA</t>
  </si>
  <si>
    <t>MINISTERIO DA FAZENDA</t>
  </si>
  <si>
    <t>GRAU T FRANQUIAS DE CURSOS TECNICOS LTDA.</t>
  </si>
  <si>
    <t>EDITORA GRAU LTDA.</t>
  </si>
  <si>
    <t>Associação Brasileira dos Franc</t>
  </si>
  <si>
    <t>Lucia De Souza Leão Gouveia</t>
  </si>
  <si>
    <t>FERNANDO AFONSO DOS SANTOS</t>
  </si>
  <si>
    <t>Carlene Dos Santos</t>
  </si>
  <si>
    <t>TIAGO PESSOA COSTA REIS</t>
  </si>
  <si>
    <t>NIVEL A FRANQUIAS DE CURSOS DE FORMACAO PROFISSIONAL LTDA</t>
  </si>
  <si>
    <t>FLASH BENEFICIOS - VT E VA</t>
  </si>
  <si>
    <t>FACEBOOK SERVICOS ONLINE DO BR</t>
  </si>
  <si>
    <t>FLASH TECNOLOGIA E INSTITUICAO DE PAGAMENTO LTDA</t>
  </si>
  <si>
    <t>Thayna Cristine</t>
  </si>
  <si>
    <t>FGTS - Fundo de garantia do tempo de serviço</t>
  </si>
  <si>
    <t>Atacama Digital</t>
  </si>
  <si>
    <t>Weslley Mateus Da Silva</t>
  </si>
  <si>
    <t>Elisangela Da Silva Munarão</t>
  </si>
  <si>
    <t>MACIEL BATISTA DE OLIVEIRA</t>
  </si>
  <si>
    <t>EDSON JOSE DE MELO</t>
  </si>
  <si>
    <t>Maria Sandra Santos Tavares</t>
  </si>
  <si>
    <t>Google internet ltda</t>
  </si>
  <si>
    <t>Ana Beatriz Faustino Lopes</t>
  </si>
  <si>
    <t>Adriana da Silva Furlan</t>
  </si>
  <si>
    <t>Marcilene de Jesus Duarte</t>
  </si>
  <si>
    <t>ANE CAROLINA ARAUJO</t>
  </si>
  <si>
    <t>Elo camisetas Ltda</t>
  </si>
  <si>
    <t>Kaio Felix de Macedo</t>
  </si>
  <si>
    <t>Enel</t>
  </si>
  <si>
    <t>Associação Brasileira dos Franc /NIVEL A</t>
  </si>
  <si>
    <t>QUALINFO SERVICOS DE INFORMATICA LTDA</t>
  </si>
  <si>
    <t>João Victor Santos Costa</t>
  </si>
  <si>
    <t>Cristina Pereira de Sena</t>
  </si>
  <si>
    <t>LETICIA NUNES DA FONSECA</t>
  </si>
  <si>
    <t>ELIANE FREIRES NEMET MARTINS</t>
  </si>
  <si>
    <t>Ricardo Da Silva Lino</t>
  </si>
  <si>
    <t>WALDEMAR CAVALCANTI SOCIEDADE INDIVIDUAL DE ADVOCACIA</t>
  </si>
  <si>
    <t>VINICIUS MARTINS DIAS BATISTA</t>
  </si>
  <si>
    <t>CONSENSUS CONSULTORIA CONTABIL LTDA</t>
  </si>
  <si>
    <t>Emerson Vieira</t>
  </si>
  <si>
    <t>Naiara Oliveira Rodrigues</t>
  </si>
  <si>
    <t>FABRICIO MARCELO SANTOS RODRIG</t>
  </si>
  <si>
    <t>José Nilton Santos</t>
  </si>
  <si>
    <t>Maria Lucia F. da Cunha</t>
  </si>
  <si>
    <t>BRINGME SERVICOS DIGITAIS LTDA</t>
  </si>
  <si>
    <t>JULIANA MARIA VICENTE BOTELHO</t>
  </si>
  <si>
    <t>THAYNA COSTA PEREIRA</t>
  </si>
  <si>
    <t>VANDERLEIA DOS SANTOS OLIVEIRA</t>
  </si>
  <si>
    <t>Atila Gandhi</t>
  </si>
  <si>
    <t>Eliane Araujo Freires</t>
  </si>
  <si>
    <t>STHEFANY DA SILVA FERREIRA</t>
  </si>
  <si>
    <t>DARF</t>
  </si>
  <si>
    <t>Alexandre da Silva Azevedo</t>
  </si>
  <si>
    <t>Sabesp</t>
  </si>
  <si>
    <t>Victor Tavares Vian</t>
  </si>
  <si>
    <t>Henrique Lima Martins Lares</t>
  </si>
  <si>
    <t>VANDA MARIA NASCIMENTO DA CUNHA</t>
  </si>
  <si>
    <t>MARIA DE FATIMA GUERRA</t>
  </si>
  <si>
    <t>MOLA TECNOLOGIA S.A.</t>
  </si>
  <si>
    <t>OLIVIA PEREIRA GONCALVES</t>
  </si>
  <si>
    <t>Artur Valente</t>
  </si>
  <si>
    <t>Eduarda Oliveira Munarão</t>
  </si>
  <si>
    <t>Samantha da Silva</t>
  </si>
  <si>
    <t>Maria de Fatima Nunes</t>
  </si>
  <si>
    <t>CLEITON PEREIRA DE OLIVEIRA</t>
  </si>
  <si>
    <t>Luciene Lopes</t>
  </si>
  <si>
    <t>JANAINA CRISTINA ALVES BORGES</t>
  </si>
  <si>
    <t>RC DIAGNOSTICO POR IMAGEM</t>
  </si>
  <si>
    <t>CAIXA ECONOMICA FEDERAL</t>
  </si>
  <si>
    <t>lais de castro</t>
  </si>
  <si>
    <t>Guilherme Boyer Lino Souza</t>
  </si>
  <si>
    <t>ALLDIX INFORMATICA LTDA</t>
  </si>
  <si>
    <t>62.254.936 SAMIR FARAH</t>
  </si>
  <si>
    <t>Kauan Fernandes</t>
  </si>
  <si>
    <t>VALDEMIR BRANZAN RODRIGUES</t>
  </si>
  <si>
    <t>CORPUS COMERCIAL E SERVICOS LTDA</t>
  </si>
  <si>
    <t>Beatriz Munarão</t>
  </si>
  <si>
    <t>Dayane Pires de Souza</t>
  </si>
  <si>
    <t>Gislaine Santos</t>
  </si>
  <si>
    <t>DLOCAL BRASIL INSTITUICAO DE PAGAMENTO S.A.</t>
  </si>
  <si>
    <t>TIMA CONSULTORIA</t>
  </si>
  <si>
    <t>Gabriel Rocha</t>
  </si>
  <si>
    <t>PRO-RAD CONSULTORES EM RADIOPROTECAO S/S LTDA</t>
  </si>
  <si>
    <t>CAMILO REIS DE AZEVEDO</t>
  </si>
  <si>
    <t>FR ELEVADORES E PONTES ROLANTES LTDA</t>
  </si>
  <si>
    <t>60047-MANUTENCAO PREDIAL</t>
  </si>
  <si>
    <t>DJEFFERSON SANTOS DE ARAUJO</t>
  </si>
  <si>
    <t>GENIVALDO DOS SANTOS</t>
  </si>
  <si>
    <t>KURT COMERCIO LTDA</t>
  </si>
  <si>
    <t>Elaine Da Silva Castro Maciel</t>
  </si>
  <si>
    <t>Edson Mendonça de Oliveira Junior</t>
  </si>
  <si>
    <t>SAPRA LANDAUER SERVICO DE ASSESSORIA E PROTECAO RADIOLOGICA LTDA.</t>
  </si>
  <si>
    <t>José Neres</t>
  </si>
  <si>
    <t>EVELYN MARTINS FERNANDES DE ARAUJO</t>
  </si>
  <si>
    <t>GUILHERME BOYHER LINO SOUZA</t>
  </si>
  <si>
    <t>Andre Hernandes Vieira da Silva</t>
  </si>
  <si>
    <t>MELO TRANSPORTES RODOVIARIO DE CARGAS LTDA</t>
  </si>
  <si>
    <t>DIMEG SERVICOS MEDICOS HOSPITALARES LTDA</t>
  </si>
  <si>
    <t>COMPANHIA DE SANEAMENTO BASICO DO ESTADO DE SAO PAULO - SABESP</t>
  </si>
  <si>
    <t>EMANUELLE NASCIMENTO</t>
  </si>
  <si>
    <t>Kaio Felix Macedo</t>
  </si>
  <si>
    <t>Edina Santos Silva</t>
  </si>
  <si>
    <t>Jacy Salim</t>
  </si>
  <si>
    <t>MILENA FERREIRA DA SILVA</t>
  </si>
  <si>
    <t>SISTEMAS DE SERVICOS R.B. QUALITY COMERCIO DE EMBALAGENS LTDA</t>
  </si>
  <si>
    <t>Gabrielle Tavares Nunes</t>
  </si>
  <si>
    <t>Gabriel Oliveira Sousa</t>
  </si>
  <si>
    <t>Lorenna Nascimento Santos</t>
  </si>
  <si>
    <t>MIRIAN OLAH ZUH</t>
  </si>
  <si>
    <t>Eliane Araujo</t>
  </si>
  <si>
    <t>Matheus Danilo</t>
  </si>
  <si>
    <t>Rosangela Munarão</t>
  </si>
  <si>
    <t>Edina Santos</t>
  </si>
  <si>
    <t>CRISTIANO MARQUES PEREIRA</t>
  </si>
  <si>
    <t>BANCO DO BRASIL SA</t>
  </si>
  <si>
    <t>Jacy Marcos Salim ( AVANTE)</t>
  </si>
  <si>
    <t>GRAU P FRANCHISING</t>
  </si>
  <si>
    <t>Matheus Raul Silvestre dos Santos</t>
  </si>
  <si>
    <t>Priscila Rodrigues Santana</t>
  </si>
  <si>
    <t>WALDOMIRO DOS SANTOS</t>
  </si>
  <si>
    <t>Julia de Freitas</t>
  </si>
  <si>
    <t>Lucas Rodrigues Afonso</t>
  </si>
  <si>
    <t>CAMILA CRISTINA OLIVEIRA DA SILVA</t>
  </si>
  <si>
    <t>60013-SALARIOS</t>
  </si>
  <si>
    <t>60022-VALE ALIMENTACAO / REFEICAO</t>
  </si>
  <si>
    <t>60023-VALE TRANSPORTE</t>
  </si>
  <si>
    <t>60027-AJUDA DE CUSTOS PESSOAL</t>
  </si>
  <si>
    <t>60030-PREMIACOES E GRATIFICACOES</t>
  </si>
  <si>
    <t>60032-EXAMES MEDICOS / PCMSO / PPRA</t>
  </si>
  <si>
    <t>Hevelly Aguiar</t>
  </si>
  <si>
    <t>Douglas de Almeida Souza</t>
  </si>
  <si>
    <t>INSTITUTO PRESBITERIANO MACKENZIE</t>
  </si>
  <si>
    <t>ABF dos Centro de Ensino T</t>
  </si>
  <si>
    <t>DIEGO APARECIDO DA SILVA REFRIGERACAO</t>
  </si>
  <si>
    <t>Letícia Nunes da Fonseca</t>
  </si>
  <si>
    <t>Naiara Oliveira Santana</t>
  </si>
  <si>
    <t>GRAZIELLY SEPRIANO DOS SANTOS</t>
  </si>
  <si>
    <t>Rafael Vieira de Souza</t>
  </si>
  <si>
    <t>60069-JURIDICO</t>
  </si>
  <si>
    <t>Kelly de Oliveira Meyer</t>
  </si>
  <si>
    <t>CAFÉ E ESTACIONAMENTO TORINO</t>
  </si>
  <si>
    <t>V H COMERCIO E SERVICOS DE EQUIPAMENTOS LTDA</t>
  </si>
  <si>
    <t>CLARILZA DE MELO</t>
  </si>
  <si>
    <t>Evaldo de Jesus</t>
  </si>
  <si>
    <t>FORUM NACIONAL DAS MANTENEDORAS DE INSTITUICOES DE EDUCACAO PROFISSIONAL E TECNOLOGICA</t>
  </si>
  <si>
    <t>ANDREZA GONÇALVES</t>
  </si>
  <si>
    <t>Lucimeire Barbosa</t>
  </si>
  <si>
    <t>FELIPE MARINHO DA CRUZ GOMES</t>
  </si>
  <si>
    <t>Monique Cristina Silva Rodrigues</t>
  </si>
  <si>
    <t>LEANDRO SIQUEROLI DE LIMA</t>
  </si>
  <si>
    <t>PREXIS SERVICOS E REGISTROS DIGITAIS LTDA</t>
  </si>
  <si>
    <t>Paulista Camisetas Ltda</t>
  </si>
  <si>
    <t>Sirley de Oliveira Munarão</t>
  </si>
  <si>
    <t>Ramiris Rodrigues Aa Silva</t>
  </si>
  <si>
    <t>PEDRO MELCIOR VIANA 30116084820</t>
  </si>
  <si>
    <t>PONTUAL CONTROLE DE PONTO E ACESSO LTDA</t>
  </si>
  <si>
    <t>VICTORIA FERNANDES</t>
  </si>
  <si>
    <t>ROSANGELA APARECIDA MUNARAO</t>
  </si>
  <si>
    <t>Luciana Aparecida Cesario do Nascimento</t>
  </si>
  <si>
    <t>Gabriela Toledo</t>
  </si>
  <si>
    <t>Gabrielle Tavares</t>
  </si>
  <si>
    <t>LEANDRO NOBRE DOS SANTOS 37848361861</t>
  </si>
  <si>
    <t>G T SANTO AMARO CURSOS TECNICOS LTDA</t>
  </si>
  <si>
    <t>Weslley Mateus</t>
  </si>
  <si>
    <t>Nível A Franquias de Cursos</t>
  </si>
  <si>
    <t>Ikaro Matheus Silva</t>
  </si>
  <si>
    <t>ELIOTEC ELEVADORES LTDA</t>
  </si>
  <si>
    <t>HELMA DE SOUSA</t>
  </si>
  <si>
    <t>A&amp;C X DIAGNOSTICOS POR IMAGEM LTDA</t>
  </si>
  <si>
    <t>60159-CONTRA PARTIDA DE ESTAGIO</t>
  </si>
  <si>
    <t>ARMARINHOS FERNANDO LTDA</t>
  </si>
  <si>
    <t>JOAO PAULO CANDIDO</t>
  </si>
  <si>
    <t>Lucimara Barbosa</t>
  </si>
  <si>
    <t>Andrea Barreto</t>
  </si>
  <si>
    <t>Maria Lucia Ferreira</t>
  </si>
  <si>
    <t>Ana Beatriz</t>
  </si>
  <si>
    <t>58.388.057 ALCINDA DE SOUZA MANTOVANI</t>
  </si>
  <si>
    <t>BRTEC EDUCACAO PROFISSIONAL DE NIVEL TECNICO LTDA.</t>
  </si>
  <si>
    <t>CENTRO ESTADUAL DE EDUCACAO TECNOLOGICA PAULA SOUZA</t>
  </si>
  <si>
    <t>60147-CREDENCIAMENTO NOVOS CURSOS</t>
  </si>
  <si>
    <t>METROPOLITAN LIFE SEGUROS E PREVIDENCIA PRIVADA SA</t>
  </si>
  <si>
    <t>CENTRO DE EXCELENCIA PRATICA BARUERI LTDA</t>
  </si>
  <si>
    <t>Lucimara Toledo</t>
  </si>
  <si>
    <t>ADRIANA CRISTALINO RIBEIRO 14855617873</t>
  </si>
  <si>
    <t>Jose Nilton Santos de Jesus</t>
  </si>
  <si>
    <t>ANA BEATRIZ Faustino</t>
  </si>
  <si>
    <t>60004-INSTRUTOR</t>
  </si>
  <si>
    <t>60005-PRECEPTOR</t>
  </si>
  <si>
    <t>Danaylla Camilo Alves</t>
  </si>
  <si>
    <t>CRISLAINE DA SILVA DIONISIO</t>
  </si>
  <si>
    <t>60019-RESCISOES / IDENIZACOES</t>
  </si>
  <si>
    <t>Dlocal A Serviço de facebook</t>
  </si>
  <si>
    <t>60109-MIDIA DE INTERNET</t>
  </si>
  <si>
    <t>Amanda Almeida Machado</t>
  </si>
  <si>
    <t>Vanda Rodrigues Bonatto</t>
  </si>
  <si>
    <t>JUDICIARIO BANCO DO BRASIL SA</t>
  </si>
  <si>
    <t>ROSIMEIRE MACIEL LEITE</t>
  </si>
  <si>
    <t>GABRIELA DE TOLEDO SOUZA</t>
  </si>
  <si>
    <t>SP SOLUCOES PARA CADASTRO LTDA</t>
  </si>
  <si>
    <t>Hellen Cristine Araujo</t>
  </si>
  <si>
    <t>Richard Souza Andrade</t>
  </si>
  <si>
    <t>Joao Batista Leite Junior</t>
  </si>
  <si>
    <t>THAINARA DA ROCHA</t>
  </si>
  <si>
    <t>Victor Fernando Araujo</t>
  </si>
  <si>
    <t>MARIA ADILLA DA CRUZ SOUZA</t>
  </si>
  <si>
    <t>Lucas Rodrigues</t>
  </si>
  <si>
    <t>Valéria Trifanovas</t>
  </si>
  <si>
    <t>FERNANDA SANTIAGO IDALINO</t>
  </si>
  <si>
    <t>TOTVS S.A.</t>
  </si>
  <si>
    <t>ALEXSANDRA DOS SANTOS MOTA</t>
  </si>
  <si>
    <t>Lucas da Silva Araujo</t>
  </si>
  <si>
    <t>SEMETRA SEG TRAB LTDA</t>
  </si>
  <si>
    <t>Sami Abdu Baki</t>
  </si>
  <si>
    <t>FORTPEL COMERCIO DE DESCARTAVEIS LTDA</t>
  </si>
  <si>
    <t>Samantha Lopes</t>
  </si>
  <si>
    <t>WPX - SERVICOS RADIOLOGICOS LTDA</t>
  </si>
  <si>
    <t>S PUBLICO R JANEIRO RJ</t>
  </si>
  <si>
    <t>Noberto da Silva Ferreira</t>
  </si>
  <si>
    <t>Sthefany Ferreira</t>
  </si>
  <si>
    <t>ANDERSON FERREIRA</t>
  </si>
  <si>
    <t>Flavia Siliani</t>
  </si>
  <si>
    <t>Sales Destribuidora</t>
  </si>
  <si>
    <t>ANE CAROLINE</t>
  </si>
  <si>
    <t>TIFFANY DE CASTRO COSTA</t>
  </si>
  <si>
    <t>DANIEL FERNANDO GALVAO</t>
  </si>
  <si>
    <t>RICARDO DE OLIVEIRA ESTRELA MEYER</t>
  </si>
  <si>
    <t>NILTON JOSE FLORES JUNIOR</t>
  </si>
  <si>
    <t>ANDRE FELICIANO DE LIRA</t>
  </si>
  <si>
    <t>HUMBERTO CONCEIÇÃO</t>
  </si>
  <si>
    <t>Elaine da Silva Castro</t>
  </si>
  <si>
    <t>MARCOS ANDRE DOS SANTOS RIBEIRO</t>
  </si>
  <si>
    <t>Nube - Nucleo Bras</t>
  </si>
  <si>
    <t>AB-ABRIENS ELEVADORES COMERCIO MANUTENCAO &amp; SERVICOS LTDA</t>
  </si>
  <si>
    <t>Sirley Oliveira Munarao</t>
  </si>
  <si>
    <t>JOSE ALEXANDRE DE OLIM CAMARA</t>
  </si>
  <si>
    <t>VICTOR ALEXANDRE TODERO VEREDA</t>
  </si>
  <si>
    <t>EDSONINA GALVAO MARTINS</t>
  </si>
  <si>
    <t>ELIZABETE COUTO SILVA</t>
  </si>
  <si>
    <t>THIAGO LUIZ DA SILVA</t>
  </si>
  <si>
    <t>AB - Abriens Elevadores</t>
  </si>
  <si>
    <t>Ryan Miguel Novaes dos Santos</t>
  </si>
  <si>
    <t>Douglas Henrique Oliveira da Silva</t>
  </si>
  <si>
    <t>Matheus Raul</t>
  </si>
  <si>
    <t>JOSE CARLOS SANTANA DE JESUS</t>
  </si>
  <si>
    <t>Jennifer Franklin Barbosa</t>
  </si>
  <si>
    <t>RC DIAGNOSTICO POR IMAGEM LTDA</t>
  </si>
  <si>
    <t>Monique Crisrina Silva Rodrigues</t>
  </si>
  <si>
    <t>SIND.ENT.CULT.REC.ASSIST.SOC.O FORM.PROFIS.E.S.P</t>
  </si>
  <si>
    <t>EDSON MENDONCA DE OLIVEIRA JUN</t>
  </si>
  <si>
    <t>Maristela Conceição da Silva</t>
  </si>
  <si>
    <t>Vinicius Lima Torres de Oliveira</t>
  </si>
  <si>
    <t>PEDRO HENRIQUE POSSIDONIO</t>
  </si>
  <si>
    <t>MARIA ALEXSANDRA BORGES</t>
  </si>
  <si>
    <t>CALVO COMERCIAL IMPORTACAO E EXPORTACAO LTDA</t>
  </si>
  <si>
    <t>Victor Alexandre</t>
  </si>
  <si>
    <t>DIEGO RAFAEL BRAZ BERENGUER TAVARES</t>
  </si>
  <si>
    <t>60084-OUTRAS CONSULTORIAS</t>
  </si>
  <si>
    <t>PEDRO HENRIQUE POSSIDONIO DA S</t>
  </si>
  <si>
    <t>AIRBNB PLATAFORMA DIGITAL LTDA</t>
  </si>
  <si>
    <t>Hellen Cristine Araújo</t>
  </si>
  <si>
    <t>MERCADO PAGO INSTITUICAO DE PAGAMENTO LTDA</t>
  </si>
  <si>
    <t>Rita De Cássia Hipólito De Souza</t>
  </si>
  <si>
    <t>MARIA ROSELI LINS RISSO</t>
  </si>
  <si>
    <t>Barkev Materiais de Construções LTDA</t>
  </si>
  <si>
    <t>MARIANA BOSSELMANN ALBINO</t>
  </si>
  <si>
    <t>TATIANE BARRETO ESPANHOL</t>
  </si>
  <si>
    <t>KELLY RAQUEL RODRIGUES CARDOSO BOOZ</t>
  </si>
  <si>
    <t>60082-ASSESSORIA OU CONSULTORIA OPERACIONAL</t>
  </si>
  <si>
    <t>NEPS- CONTRAPARTIDA DE ESTÁGIO</t>
  </si>
  <si>
    <t>AUTENTIQUE LTDA</t>
  </si>
  <si>
    <t>INST PRES MACKENZIE</t>
  </si>
  <si>
    <t>Fabricio Marcelo - Manutenção</t>
  </si>
  <si>
    <t>HD Sistemas de limpeza e descartaveis ltda</t>
  </si>
  <si>
    <t>Thais Ribeiro Nunes</t>
  </si>
  <si>
    <t>Audix Informatica</t>
  </si>
  <si>
    <t>Theo Cakes Comercio de Alimentos Ltda</t>
  </si>
  <si>
    <t>RONALDO JOSÉ DAMACENO</t>
  </si>
  <si>
    <t>Casulo Destribuidora de Doces LDTA</t>
  </si>
  <si>
    <t>Vania Paixão Costa</t>
  </si>
  <si>
    <t>Uber</t>
  </si>
  <si>
    <t>RITA DE CASSIA OLIVEIRA DA ROCHA</t>
  </si>
  <si>
    <t>Psicomed S/C LTDA</t>
  </si>
  <si>
    <t>SALES / Lotus Central de Distribuicao de Higienicos Ltda</t>
  </si>
  <si>
    <t>ABDY RANGEL FERREIRA TEIXEIRA</t>
  </si>
  <si>
    <t>Fernanda Santiago</t>
  </si>
  <si>
    <t>Kauan Fernandes Nascimento</t>
  </si>
  <si>
    <t>RICARDO BARBOSA</t>
  </si>
  <si>
    <t>Joao Batista Leite</t>
  </si>
  <si>
    <t>NUBE - Nucleo Bras de Estagios</t>
  </si>
  <si>
    <t>JACQUELINE MATIAS DE MENDONCA</t>
  </si>
  <si>
    <t>Beatriz Batista Pessoa</t>
  </si>
  <si>
    <t>Sara Marques Lins</t>
  </si>
  <si>
    <t>ANDRE MARGARIZO</t>
  </si>
  <si>
    <t>LEANDRO SIQUEROLI</t>
  </si>
  <si>
    <t>Jaqueline ferreira carnriro</t>
  </si>
  <si>
    <t>Devolução de matriculas/Parcelas</t>
  </si>
  <si>
    <t>CONSELHO REGIONAL DE ENFERMAGEM DE SAO PAULO</t>
  </si>
  <si>
    <t>MUNICIPIO DE OSASCO</t>
  </si>
  <si>
    <t>FERNANDA SANTOS BARBOZA</t>
  </si>
  <si>
    <t>GABRIEL COSTA FERRO</t>
  </si>
  <si>
    <t>DIGCOM AR CONDICIONADO</t>
  </si>
  <si>
    <t>TRIBUNAL REGIONAL DO TRABALHO DA 2A REGIAO</t>
  </si>
  <si>
    <t>Bruno Meireles Leme</t>
  </si>
  <si>
    <t>70008-JALECO G</t>
  </si>
  <si>
    <t>Damiana Rodrigues De Souza Leite</t>
  </si>
  <si>
    <t>Kauany Crispim da Silva</t>
  </si>
  <si>
    <t>Vinicius Lima Torres</t>
  </si>
  <si>
    <t>JACQUELINE SUARES DE ALMEIDA SANTOS</t>
  </si>
  <si>
    <t>ROBSON RICARDO SILVA TINOCO</t>
  </si>
  <si>
    <t>WILLIAM DOS SANTOS SOUZA</t>
  </si>
  <si>
    <t>STEFANY ELLEN SOUZA COSTA</t>
  </si>
  <si>
    <t>Village Materiais De Acabamento LTDA</t>
  </si>
  <si>
    <t>F M S RODRIGUES CONSTRUTORA EL-ELYON</t>
  </si>
  <si>
    <t>TAMIZIA ALVES DE OLIVEIRA</t>
  </si>
  <si>
    <t>CIA BRASILEIRA DE DISTRIBUIÇÃO OSASO PRIMITIVA</t>
  </si>
  <si>
    <t>Luana Gonçalves</t>
  </si>
  <si>
    <t>INGRID BRITO DA SILVA CORREIA</t>
  </si>
  <si>
    <t>SIND EMPREG ENTID CULT R AS SOC O F PROF EST SAO PAULO</t>
  </si>
  <si>
    <t>ALINE DOS SANTOS DA SILVA</t>
  </si>
  <si>
    <t>Paula Costa Teixeira</t>
  </si>
  <si>
    <t>Janeide da Silva</t>
  </si>
  <si>
    <t>Anne Caroline</t>
  </si>
  <si>
    <t>TALITA PEREIRA VIEIRA</t>
  </si>
  <si>
    <t>GABRIEL EUGENIO DIONISIO 35746352810</t>
  </si>
  <si>
    <t>BEATRIZ ZANARDI FRANCISCO</t>
  </si>
  <si>
    <t>MICHELLE MOURA RODRIGUES GRANELLE AGUIAR</t>
  </si>
  <si>
    <t>Luana Vitória da Silva Fernandes</t>
  </si>
  <si>
    <t>NEW CENTRO DE ENSINO LTDA</t>
  </si>
  <si>
    <t>EXTRA Cia Brasileira de distribuição</t>
  </si>
  <si>
    <t>LETICIA BATISTA DE OLIVEIRA</t>
  </si>
  <si>
    <t>Gabriel Xavier Gomes</t>
  </si>
  <si>
    <t>LOTUS CENTRAL DE DISTRIBUICAO</t>
  </si>
  <si>
    <t>AGUA BOA TRANSPORTES LTDA</t>
  </si>
  <si>
    <t>EVALDO DE JESUS SANTANA</t>
  </si>
  <si>
    <t>Luiz Felipe Vital Nascimento</t>
  </si>
  <si>
    <t>VERISURE</t>
  </si>
  <si>
    <t>GERALDO OLIVEIRA</t>
  </si>
  <si>
    <t>Maria Helena Gonzales</t>
  </si>
  <si>
    <t>CARLOS HENRIQUE CARVALHO ARANEGA</t>
  </si>
  <si>
    <t>Correios</t>
  </si>
  <si>
    <t>Sergio Anderson Gomes de Souza</t>
  </si>
  <si>
    <t>Guilherme - Vendedor Ext</t>
  </si>
  <si>
    <t>RECEITA FEDERAL</t>
  </si>
  <si>
    <t>JANEIDE DA SILVA REIS</t>
  </si>
  <si>
    <t>OSASCO EDUCACIONAL CURSOS TECNICOS LTDA</t>
  </si>
  <si>
    <t>ANA CAROLINE COSTA</t>
  </si>
  <si>
    <t>60034-TREINAMENTOS / CERTIFICADOS</t>
  </si>
  <si>
    <t>Valdirene Pereira da Silva</t>
  </si>
  <si>
    <t>DIANA DA PAIXAO JACHINI</t>
  </si>
  <si>
    <t>GUARULHOS CURSOS TECNICOS LTDA</t>
  </si>
  <si>
    <t>SHPP BRASIL INSTITUICAO DE PAGAMENTO E SERVICOS DE PAGAMENTOS LTDA</t>
  </si>
  <si>
    <t>Elisabete da silva</t>
  </si>
  <si>
    <t>Recarga de Celular</t>
  </si>
  <si>
    <t>JOSE ARMANDO DE OLIVEIRA</t>
  </si>
  <si>
    <t>Lalamove</t>
  </si>
  <si>
    <t>AMERICANAS S.A - EM RECUPERACAO JUDICIAL</t>
  </si>
  <si>
    <t>DANIELLE FERREIRA DA SILVA</t>
  </si>
  <si>
    <t>RAFAELA LINO</t>
  </si>
  <si>
    <t>LETICIA PIRAN</t>
  </si>
  <si>
    <t>31.484.087 ANTONIO RENATO DE SIQUEIRA SANTOS</t>
  </si>
  <si>
    <t>Gabriel Rocha da Silva</t>
  </si>
  <si>
    <t>JENNYFER FRANKLIN BARBOSA DAS</t>
  </si>
  <si>
    <t>Mayara Virgulino dos Santos</t>
  </si>
  <si>
    <t>Ingrid Brito da Silva Correa</t>
  </si>
  <si>
    <t>Vinicius da Cunha Moraes</t>
  </si>
  <si>
    <t>Atila Gandhi Gomes</t>
  </si>
  <si>
    <t>WMS SUPERMERCADOS DO BRASIL LTDA.</t>
  </si>
  <si>
    <t>Geraldo Dos Santos</t>
  </si>
  <si>
    <t>NKT PARK E SERVICOS</t>
  </si>
  <si>
    <t>PURIFIKAR COMERCIO E DISTRIBUIDORA LTDA</t>
  </si>
  <si>
    <t>60078-LOCACAO DE EQUIPAMENTOS</t>
  </si>
  <si>
    <t>CENTRO TECNICO EDUCACIONAL LAPA LTDA</t>
  </si>
  <si>
    <t>BARNEN EDUCACIONAL LTDA</t>
  </si>
  <si>
    <t>70018-REPASSE CAU</t>
  </si>
  <si>
    <t>Ana Cristina Pereira</t>
  </si>
  <si>
    <t>Banca Marechal</t>
  </si>
  <si>
    <t>TAURUS UNITEXT ENGENHARIA E SERVICOS LTDA</t>
  </si>
  <si>
    <t>JULIA MILENE CHELERI</t>
  </si>
  <si>
    <t>GEOVANIA ARISTIDES DOS SANTOS</t>
  </si>
  <si>
    <t>FERNANDO AFONSO</t>
  </si>
  <si>
    <t>sophya vitorino</t>
  </si>
  <si>
    <t>Danubia Pereira da Silva</t>
  </si>
  <si>
    <t>FABIO LUIZ FRANCISCO SILVA</t>
  </si>
  <si>
    <t>DIEGO BLAYA BACHESQUE</t>
  </si>
  <si>
    <t>60049-MANUTENCAO DE EQUIPAMENTOS</t>
  </si>
  <si>
    <t>58.776.580 WILLIAM DO NASCIMENTO MONTEIRO</t>
  </si>
  <si>
    <t>REYK COMERCIO E MANUTENCAO E RECICLAGEM DE EQUIPAMENTOS HOSPITALARES LTDA</t>
  </si>
  <si>
    <t>Maria Alzira de Sousa</t>
  </si>
  <si>
    <t>Henrique Lima Martins</t>
  </si>
  <si>
    <t>CONSELHO REGIONAL DE TECNICOS EM RADIOLOGIA 5 REGIAO</t>
  </si>
  <si>
    <t>70019-CRTR</t>
  </si>
  <si>
    <t>yasmin santos</t>
  </si>
  <si>
    <t>Rauane Martins Borges</t>
  </si>
  <si>
    <t>Devoluçao de Parcela/Matricula</t>
  </si>
  <si>
    <t>MARCOS VINICIUS SANT ANNA FELIX DAMASCENO DE MOURA</t>
  </si>
  <si>
    <t>MIRIA FERREIRA GOMES DA SILVA</t>
  </si>
  <si>
    <t>Shopping do Paciente</t>
  </si>
  <si>
    <t>Claudionei Matias dos Santos</t>
  </si>
  <si>
    <t>Ivone de Jesus Lopes</t>
  </si>
  <si>
    <t>Memória de elefante</t>
  </si>
  <si>
    <t>Milene da Silva Miranda</t>
  </si>
  <si>
    <t>ARTHUR GOUVEIA MONTEIRO</t>
  </si>
  <si>
    <t>Ana Julia</t>
  </si>
  <si>
    <t>Grau Técnico Guarulhos</t>
  </si>
  <si>
    <t>SHOPPING DO PACIENTE ARTIGOS MEDICOS E ORTOPEDICOS LTDA</t>
  </si>
  <si>
    <t>Elisa Evangelista de Sousa</t>
  </si>
  <si>
    <t>Gabriel Lucio Lizardo</t>
  </si>
  <si>
    <t>CARLOS HENRIQUE CARVALHO ARANE</t>
  </si>
  <si>
    <t>LUIZ HIDEO</t>
  </si>
  <si>
    <t>SUPRICORP SUPRIMENTOS LTDA</t>
  </si>
  <si>
    <t>Victoria Marques Saad</t>
  </si>
  <si>
    <t>ADYEN DO BRASIL INSTITUICAO DE PAGAMENTO LTDA.</t>
  </si>
  <si>
    <t>MEMORIAS PRESENTES LTDA</t>
  </si>
  <si>
    <t>Dhennis Souza Pereira</t>
  </si>
  <si>
    <t>Chavelândia</t>
  </si>
  <si>
    <t>THIAGO DA SILVA</t>
  </si>
  <si>
    <t>FABIANA MARIA LEITE</t>
  </si>
  <si>
    <t>57.537.935 EDAYNE JESSICA FERREIRA SILVA</t>
  </si>
  <si>
    <t>GENIVALDO VITORIO DOS SANTOS</t>
  </si>
  <si>
    <t>Anne Caroline Araujo Santos</t>
  </si>
  <si>
    <t>EMERSON NASCIMENTO FERREIRA</t>
  </si>
  <si>
    <t>Uber/ frete</t>
  </si>
  <si>
    <t>Dayane de Souza Magalhães</t>
  </si>
  <si>
    <t>Maria Beatriz Alves dos Santos</t>
  </si>
  <si>
    <t>60010-DEVOLUCAO DE PARCELAS</t>
  </si>
  <si>
    <t>COMERCIAL</t>
  </si>
  <si>
    <t>LUCAS OLIVEIRA LEITE</t>
  </si>
  <si>
    <t>CONSTRUDECOR S/A</t>
  </si>
  <si>
    <t>Priscila de Jesus dos Santos ferreira</t>
  </si>
  <si>
    <t>RICARDO COSMETICOS LTDA</t>
  </si>
  <si>
    <t>ALINE MOURA DOS SANTOS SOARES</t>
  </si>
  <si>
    <t>SUELI MARIA DE OLIVEIRA SILVA</t>
  </si>
  <si>
    <t>William Alves</t>
  </si>
  <si>
    <t>Ana Clara Camara</t>
  </si>
  <si>
    <t>Auto viação Urubupunga Ltda</t>
  </si>
  <si>
    <t>60.781.296 EMERSON NASCIMENTO FERREIRA</t>
  </si>
  <si>
    <t>MARIA APARECIDA DA SILVA ALVES</t>
  </si>
  <si>
    <t>Lucyana Santos Da Silva</t>
  </si>
  <si>
    <t>60011-DEVOLUCAO DE MATRICULAS</t>
  </si>
  <si>
    <t>ILUMELETRO COMERCIAL LTDA</t>
  </si>
  <si>
    <t>Raquel Da Silva Souza</t>
  </si>
  <si>
    <t>ALINE CHAVES LIMA SANTOS</t>
  </si>
  <si>
    <t>Eletronica 707 Primitiva LTDA</t>
  </si>
  <si>
    <t>SF PAGAMENTOS LTDA</t>
  </si>
  <si>
    <t>60002-INSUMOS LABORATORIOS</t>
  </si>
  <si>
    <t>DANIEL DOS SANTOS FREITAS</t>
  </si>
  <si>
    <t>JENIFER SANTOS DE DEUS</t>
  </si>
  <si>
    <t>Maria Lucia Soares</t>
  </si>
  <si>
    <t>ANGELA CALCADOS E BOLSAS LTDA.</t>
  </si>
  <si>
    <t>CAMILA GOMES DA SILVA</t>
  </si>
  <si>
    <t>Rillary Stephany Correa da Silva</t>
  </si>
  <si>
    <t>ANA PAULA DE OLIVEIRA SANTOS R</t>
  </si>
  <si>
    <t>Vivo Telefone</t>
  </si>
  <si>
    <t>TREVISO - COMERCIO VAREJISTA DE UTILIDADES DOMESTICAS LTDA</t>
  </si>
  <si>
    <t>BRUNO RODOLFO BRAGA</t>
  </si>
  <si>
    <t>natura</t>
  </si>
  <si>
    <t>70017-MATERIAIS AÇÃO DE SAÚDE/EVENTOS</t>
  </si>
  <si>
    <t>Maria Clara Freitas</t>
  </si>
  <si>
    <t>Carlos Felipe ângelo da Silva</t>
  </si>
  <si>
    <t>TELEFONICA BRASIL S.A.</t>
  </si>
  <si>
    <t>ASIA COMERCIAL DE UTILIDADES DOMESTICAS LTDA</t>
  </si>
  <si>
    <t>Claro Net</t>
  </si>
  <si>
    <t>60044-TELEFONE FIXO</t>
  </si>
  <si>
    <t>Henrique Estevão Diogo</t>
  </si>
  <si>
    <t>Mayra Gomes de Souza</t>
  </si>
  <si>
    <t>LEROY MERLIN COMPANHIA BRASILEIRA DE BRICOLAGEM</t>
  </si>
  <si>
    <t>TATIANA LUCILA PIRES SOBRINHO</t>
  </si>
  <si>
    <t>VIACAO OSASCO LTDA</t>
  </si>
  <si>
    <t>LE VILLE PAES E DOCES LTDA</t>
  </si>
  <si>
    <t>60058-MATERIAL DE USO E CONSUMO</t>
  </si>
  <si>
    <t>Banca Conan - Chaveiro</t>
  </si>
  <si>
    <t>VANESSA LACERDA DIAS</t>
  </si>
  <si>
    <t>GP Gráfica Portal Cards</t>
  </si>
  <si>
    <t>PROMINCE SOLUÇOES</t>
  </si>
  <si>
    <t>ramiris rodriues da silva</t>
  </si>
  <si>
    <t>SECADOR DE MAOS,SABONETEIRA E DISPONSERS</t>
  </si>
  <si>
    <t>Banca da Alice</t>
  </si>
  <si>
    <t>60046-TELEFONIA MOVEL</t>
  </si>
  <si>
    <t>GIANLUCA</t>
  </si>
  <si>
    <t>MARTA APARECIDA LINO</t>
  </si>
  <si>
    <t>ESTELLA CHAUSSE DE DEUS</t>
  </si>
  <si>
    <t>Adriana Marinheiro Da Cruz Coutinho</t>
  </si>
  <si>
    <t>LILIAN QUEIROZ DE SOUSA</t>
  </si>
  <si>
    <t>MERCADO LIVRE</t>
  </si>
  <si>
    <t>Garoto Express</t>
  </si>
  <si>
    <t>FERNANDA CICERA CAMPELO VENSESLAU SALGADOS</t>
  </si>
  <si>
    <t>ENTRE AMIGOS PRAIA</t>
  </si>
  <si>
    <t>MARIA PAULA DA SILVA SOUSA</t>
  </si>
  <si>
    <t>Maria de Fátima Sena Santos</t>
  </si>
  <si>
    <t>Fabiana Evelyn Peito de Lima</t>
  </si>
  <si>
    <t>Rei das Festas</t>
  </si>
  <si>
    <t>CONSELHO DE ARQUITETURA E URBANISMO DE SAO PAULO (CAU-SP)</t>
  </si>
  <si>
    <t>Lorena Beatriz da Silva Gamenha</t>
  </si>
  <si>
    <t>LOJAS TECNISON LTDA</t>
  </si>
  <si>
    <t>Gilson de Carvalho Santos</t>
  </si>
  <si>
    <t>Vytor Hugo Santos Andrade</t>
  </si>
  <si>
    <t>DARE-SP</t>
  </si>
  <si>
    <t>CASULO DISTRIBUIDORA DE DOCES LTDA</t>
  </si>
  <si>
    <t>IMPAKTO SISTEMAS DE LIMPEZA E DESCARTAVEIS LTDA</t>
  </si>
  <si>
    <t>CLOVIS ENGRAXADOR</t>
  </si>
  <si>
    <t>Telma Lima Pamponet</t>
  </si>
  <si>
    <t>Michelle Aparecida</t>
  </si>
  <si>
    <t>COPIADORA CHARLIE OSASCO LTDA</t>
  </si>
  <si>
    <t>celia conceição</t>
  </si>
  <si>
    <t>Isabella Viana SAnchez</t>
  </si>
  <si>
    <t>THAMIRES OLIVEIRA DOS SANTOS</t>
  </si>
  <si>
    <t>JENIFFER DA SILVA SANTOS</t>
  </si>
  <si>
    <t>OSWALDO BUENO JUNIOR</t>
  </si>
  <si>
    <t>Ana Clara</t>
  </si>
  <si>
    <t>Victoria de Oliveira Ferreira</t>
  </si>
  <si>
    <t>FLAVIA SOUZA CARVALHO</t>
  </si>
  <si>
    <t>Glaucia Aparecida</t>
  </si>
  <si>
    <t>Tamizia Alves De Almeida</t>
  </si>
  <si>
    <t>Ariane Alcantara De Souza</t>
  </si>
  <si>
    <t>Angela Braga</t>
  </si>
  <si>
    <t>Catia Alves</t>
  </si>
  <si>
    <t>Miriã Laurinda de Sena</t>
  </si>
  <si>
    <t>Monique Caroline Amancio De Almeida</t>
  </si>
  <si>
    <t>Ariane Aparecida Vieira</t>
  </si>
  <si>
    <t>ELIENE DAS MERCES</t>
  </si>
  <si>
    <t>Weslley Cesar dos Santos</t>
  </si>
  <si>
    <t>Roseane Nunes Muniz</t>
  </si>
  <si>
    <t>GRACE KELLY DA SILVA GOES</t>
  </si>
  <si>
    <t>Maria Suely da Silva Leandro</t>
  </si>
  <si>
    <t>Taís Vicente de Almeida</t>
  </si>
  <si>
    <t>FELIPE DE CASTRO</t>
  </si>
  <si>
    <t>GRACILENE MENDES SILVA</t>
  </si>
  <si>
    <t>Adenilson Silva Do Nascimento</t>
  </si>
  <si>
    <t>Paula Maria Aparecida Mota da Silva</t>
  </si>
  <si>
    <t>ALESSANDRA DIEGO DANTAS</t>
  </si>
  <si>
    <t>Marcia Aparecida Prevedello</t>
  </si>
  <si>
    <t>Sandra Maria Correa</t>
  </si>
  <si>
    <t>Cicera Queila de Andrade</t>
  </si>
  <si>
    <t>LARISSA FERREIRA DE LIMA</t>
  </si>
  <si>
    <t>Willian Siqueira Cardoso</t>
  </si>
  <si>
    <t>okinalar</t>
  </si>
  <si>
    <t>R O Moreira Comercial LTDA</t>
  </si>
  <si>
    <t>Adila</t>
  </si>
  <si>
    <t>Luciana Silva Alves</t>
  </si>
  <si>
    <t>Eliane Maria Santos</t>
  </si>
  <si>
    <t>ELIANE DE PAULA BRITO PAZ</t>
  </si>
  <si>
    <t>Banca Batista</t>
  </si>
  <si>
    <t>DAGMAR ORLANDO MONTEIRO DUARTE</t>
  </si>
  <si>
    <t>geo coosmeticos</t>
  </si>
  <si>
    <t>60057-MATERIAL DE LIMPEZA E CONSERVACAO</t>
  </si>
  <si>
    <t>Chaveiro Central</t>
  </si>
  <si>
    <t>Cristiane Tadeu</t>
  </si>
  <si>
    <t>Bmp Utilidades Domesticas S A</t>
  </si>
  <si>
    <t>RAYLA NASCIMENTO DA SILVA</t>
  </si>
  <si>
    <t>CAMILLY URBANO DA SILVA</t>
  </si>
  <si>
    <t>ADRIANA BATISTA DE OLIVEIRA</t>
  </si>
  <si>
    <t>LA PLAGE COMERCIO DE ALIMENTOS LTDA</t>
  </si>
  <si>
    <t>PSICOMED LTDA</t>
  </si>
  <si>
    <t>G. CHAVES COMERCIO DE PARAFUSOS E FERRAMENTAS LTDA</t>
  </si>
  <si>
    <t>Shopee</t>
  </si>
  <si>
    <t>Vanessa Da Costa Rodrigues</t>
  </si>
  <si>
    <t>THALITA SANTANA RODRIGUES</t>
  </si>
  <si>
    <t>DANYELLE SANTOS MASCARENHAS</t>
  </si>
  <si>
    <t>FILIPE MARTINS SANTANA RODRIGUES</t>
  </si>
  <si>
    <t>Joanderson Silva De Jesus</t>
  </si>
  <si>
    <t>Rita de cassia da silva</t>
  </si>
  <si>
    <t>Kathleen Aparecida Lucena de Jesus</t>
  </si>
  <si>
    <t>Maria Cecilia Coutinho Malta Fernandes</t>
  </si>
  <si>
    <t>Evellyn Silva Sampaio</t>
  </si>
  <si>
    <t>Jairo Santos Baleeiro</t>
  </si>
  <si>
    <t>ARIANA DE JESUS SANTOS</t>
  </si>
  <si>
    <t>Jéssica Talita Nascimento Silva</t>
  </si>
  <si>
    <t>Kelly Cristina Ramos</t>
  </si>
  <si>
    <t>Simone Alves dos Santos</t>
  </si>
  <si>
    <t>Tecidos Mariel LTDA</t>
  </si>
  <si>
    <t>OSASPEL COMERCIO DE PAPEIS LTDA</t>
  </si>
  <si>
    <t>IDELBERTO RODRIGUES CEZARIO</t>
  </si>
  <si>
    <t>CS SH OSASCO PLAZA LTDA</t>
  </si>
  <si>
    <t>SENDAS DISTRIBUIDORA S/A</t>
  </si>
  <si>
    <t>PROMINENCE SOLUCOES GRAFICAS E COMUNICACAO LTDA</t>
  </si>
  <si>
    <t>Edna aparecida silva alves</t>
  </si>
  <si>
    <t>Willyan Montebello</t>
  </si>
  <si>
    <t>Tribunal Regional do Trabalho</t>
  </si>
  <si>
    <t>99 TECNOLOGIA LTDA</t>
  </si>
  <si>
    <t>RAIA DROGASIL S/A</t>
  </si>
  <si>
    <t>HELMA DE SOUSA SILVA</t>
  </si>
  <si>
    <t>Guilherme de Oliveira Camargo</t>
  </si>
  <si>
    <t>WBL GRAFICA E EDITORA LTDA</t>
  </si>
  <si>
    <t>Rodrigo Soares Borges</t>
  </si>
  <si>
    <t>Márcia Francisca Andrade De Miranda</t>
  </si>
  <si>
    <t>70015-TAXA INDICAÇÃO</t>
  </si>
  <si>
    <t>Julivan Monteiro da Silva</t>
  </si>
  <si>
    <t>Isadora Ângelo Bezerra dos Santos ( Indicação Amigo)</t>
  </si>
  <si>
    <t>Eva Nascimento Oliveira de Lacerda</t>
  </si>
  <si>
    <t>Sueli Calegari</t>
  </si>
  <si>
    <t>sonia maria Pedro da silva cilqueira</t>
  </si>
  <si>
    <t>Rodrigo Cassiano do Nascimento</t>
  </si>
  <si>
    <t>Debora Silva Santos</t>
  </si>
  <si>
    <t>Kelbi Gonçalves</t>
  </si>
  <si>
    <t>Julia Aderiza Leal de Souza</t>
  </si>
  <si>
    <t>Ana Clara Silva Marques</t>
  </si>
  <si>
    <t>Kelly Aparecida de Souza Ribeiro</t>
  </si>
  <si>
    <t>Rauane Soares Pereira</t>
  </si>
  <si>
    <t>Neuza Rocha Stripoli</t>
  </si>
  <si>
    <t>Joseane Rodrigues do Nascimento</t>
  </si>
  <si>
    <t>Keylla Inacio de Freitas</t>
  </si>
  <si>
    <t>Rodolfo Rodrigues Silva</t>
  </si>
  <si>
    <t>Ivone Gomes Silva de Lima</t>
  </si>
  <si>
    <t>LANCHONETE AJ SALGADOS LTDA</t>
  </si>
  <si>
    <t>Gilvana Gentil Monteiro</t>
  </si>
  <si>
    <t>João Paulo Candido</t>
  </si>
  <si>
    <t>Gisele Santos Araújo</t>
  </si>
  <si>
    <t>Karla Cristina Farias</t>
  </si>
  <si>
    <t>Jessica Santos Souza</t>
  </si>
  <si>
    <t>Janaina dos Santos</t>
  </si>
  <si>
    <t>Michelle Almeida dos Santos</t>
  </si>
  <si>
    <t>Deiziane Silva Melo</t>
  </si>
  <si>
    <t>WW PIZZARIA E RESTAURANTE MUSTANGUE LTDA</t>
  </si>
  <si>
    <t>ADENILCE DE JESUS ROCHA</t>
  </si>
  <si>
    <t>Selma da Silva Ferreira</t>
  </si>
  <si>
    <t>ISABELLA ACASSIA DE LIRA</t>
  </si>
  <si>
    <t>VANESSA BARBOZA DAS NEVES</t>
  </si>
  <si>
    <t>Isabely de Vasconcelos Moreira Cardoso</t>
  </si>
  <si>
    <t>MICHELLE BARBOSA LIMA SANTOS</t>
  </si>
  <si>
    <t>WEND MOIRA SILVA RAMOS HORTA</t>
  </si>
  <si>
    <t>RUTHY KESSIA GOMES DE CASTRO</t>
  </si>
  <si>
    <t>ADRIANA PEREIRA CARDOZO</t>
  </si>
  <si>
    <t>Salgado Artefatos de Borracha Ltda</t>
  </si>
  <si>
    <t>chip</t>
  </si>
  <si>
    <t>LAERTE REGINALDO DE BRITO</t>
  </si>
  <si>
    <t>OFICIAL DE REGISTRO CIVIL DAS PESSOAS NATURAIS DO 2 SUBDISTRITO DA SEDE</t>
  </si>
  <si>
    <t>Bia Plast Comercio de Embalagens e Descartáveis</t>
  </si>
  <si>
    <t>JR Distribuidora Comercio</t>
  </si>
  <si>
    <t>EDITORA CAPRI COMERCIO LTDA</t>
  </si>
  <si>
    <t>Emerson Rodrigues Vale</t>
  </si>
  <si>
    <t>Comercial Chocolandia LTDA</t>
  </si>
  <si>
    <t>Kalunga S.A</t>
  </si>
  <si>
    <t>60055-MATERIAL DE ESCRITORIO</t>
  </si>
  <si>
    <t>60056-MATERIAL DE INFORMATICA</t>
  </si>
  <si>
    <t>BARKEV MATERIAIS PARA CONSTRUCOES LTDA</t>
  </si>
  <si>
    <t>BIGLAR UTILIDADES DOMESTICAS E BRINQUEDOS LTDA</t>
  </si>
  <si>
    <t>Grafica Portal Cards</t>
  </si>
  <si>
    <t>G Chaves Comercio de Parafusos e Ferramentas Ltda Me</t>
  </si>
  <si>
    <t>BRILHANTE SUPER ECONOMIA COMERCIO VARIEDADES LTDA</t>
  </si>
  <si>
    <t>shopping do benefici0o</t>
  </si>
  <si>
    <t>60145-MAQUINAS E EQUIPAMENTOS</t>
  </si>
  <si>
    <t>M2R2 COMERCIO DE UTENSILIOS DOMESTICOS LTDA</t>
  </si>
  <si>
    <t>ALPHA ELITE LTDA</t>
  </si>
  <si>
    <t>KONG INFOCELL COMERCIO E PRESTACAO DE SERVICOS DE PRODUTOS ELETRONICOS LTDA</t>
  </si>
  <si>
    <t>DENIS JOSE PAZ DE SOUSA</t>
  </si>
  <si>
    <t>MIAMOR BAZAR E PAPELARIA LTDA</t>
  </si>
  <si>
    <t>MCM TEIXEIRA DOCES E LATICINIOS</t>
  </si>
  <si>
    <t>ANDREA PEREIRA CORREIA</t>
  </si>
  <si>
    <t>Sueli França</t>
  </si>
  <si>
    <t>NOVO IMPULSO ACESSORIOS PARA CELULARES LTDA</t>
  </si>
  <si>
    <t>WENDER DAVID DE CARVALHO</t>
  </si>
  <si>
    <t>KALUNGA SA</t>
  </si>
  <si>
    <t>CASA DO NORTE OSASCO</t>
  </si>
  <si>
    <t>eliane Maria Dos Santos</t>
  </si>
  <si>
    <t>BAZAR KIOTO LTDA</t>
  </si>
  <si>
    <t>COMPANHIA BRASILEIRA DE DISTRIBUICAO</t>
  </si>
  <si>
    <t>LUCIMAR UMBELINA ARAUJO DA CUNHA</t>
  </si>
  <si>
    <t>B R BRAGA</t>
  </si>
  <si>
    <t>60068-CONTABILIDADE</t>
  </si>
  <si>
    <t>Vale Transporte</t>
  </si>
  <si>
    <t>Isabela - Vendedora Ext</t>
  </si>
  <si>
    <t>HELIO MARCIO COSTA SOUZA</t>
  </si>
  <si>
    <t>LANCHONETE E RESTAURANTE BRAZUKA LTDA</t>
  </si>
  <si>
    <t>GUSTAVO MIRANDA DA SILVA</t>
  </si>
  <si>
    <t>Recarga CHIP</t>
  </si>
  <si>
    <t>TIM S A</t>
  </si>
  <si>
    <t>JULIANO ROTELI VIEL COMERCIO DE CHOCOLATES LTDA</t>
  </si>
  <si>
    <t>60063-FESTAS E CONFRATERNIZACOES</t>
  </si>
  <si>
    <t>ARLINDO RODRIGUES MACHADO NETO</t>
  </si>
  <si>
    <t>CSL PARK ESTACIONAMENTO LTDA</t>
  </si>
  <si>
    <t>FASHION LADY COMERCIO DE VESTUARIO E VARIEDADES LTDA</t>
  </si>
  <si>
    <t>DEMETRIO FERREIRA GUIMARÃES</t>
  </si>
  <si>
    <t>HELIO TEIXEIRA DA CRUZ ARMARINHOS</t>
  </si>
  <si>
    <t>RESTAURANTE E LANCHONETE UNIVERSITARIA CENTRO LTDA</t>
  </si>
  <si>
    <t>REDE INTEGRADA DE LOJAS DE CONVENIENCIA E PROXIMIDADE S.A.</t>
  </si>
  <si>
    <t>CAROLINA ARRUDA ALENCAR PERNAMBUCO</t>
  </si>
  <si>
    <t>ROBERIO SILVA CASE</t>
  </si>
  <si>
    <t>HIDROSASCO COM. E ASSISTENCIA TECNICA EM METAIS SANITARIOS LTDA</t>
  </si>
  <si>
    <t>I-PARKING ESTACIONAMENTO LTDA</t>
  </si>
  <si>
    <t>60091-ESTACIONAMENTO / PEDAGIO</t>
  </si>
  <si>
    <t>MULTIDISPLAY COMERCIO E SERVICOS TECNOLOGICOS LTDA.</t>
  </si>
  <si>
    <t>EDUPARK ESTACIONAMENTO</t>
  </si>
  <si>
    <t>TREVISO COMERCIO VAREJISTA</t>
  </si>
  <si>
    <t>Raquel Papelaria</t>
  </si>
  <si>
    <t>JANETE MARIA DA SILVA 67833268453</t>
  </si>
  <si>
    <t>COMERCIAL QUIRAZ LTDA.</t>
  </si>
  <si>
    <t>Salgado Artefatos de Borracha</t>
  </si>
  <si>
    <t>BANCA OSASCO LTDA</t>
  </si>
  <si>
    <t>60075-SEGURANCA / PORTARIA</t>
  </si>
  <si>
    <t>Lucilene da Silva Santos</t>
  </si>
  <si>
    <t>CRISTIANA MARQUES MONTEIRO</t>
  </si>
  <si>
    <t>PEROLAS MAKE COMERCIO DE PRODUTOS COSMETICOS LTDA</t>
  </si>
  <si>
    <t>SEGUNDO TABELIONATO DE NOTAS DA COMARCA DE OSASCO</t>
  </si>
  <si>
    <t>R.O.MOREIRA COMERCIAL LTDA</t>
  </si>
  <si>
    <t>NUTRICAR BRASIL COMERCIO DE PRODUTOS ALIMENTICIOS S.A.</t>
  </si>
  <si>
    <t>Lucélia Ferreira de Brito Zagari de Freitas</t>
  </si>
  <si>
    <t>60077-IMPRESSOES / COPIAS / CARIMBOS / CARTOES</t>
  </si>
  <si>
    <t>56 Capinhas</t>
  </si>
  <si>
    <t>Kauany Keylla Nascimento da Silva</t>
  </si>
  <si>
    <t>60001-APOSTILA</t>
  </si>
  <si>
    <t>60040-ALUGUEL</t>
  </si>
  <si>
    <t>60119-SIMPLES NACIONAL</t>
  </si>
  <si>
    <t>60052-ROYALTIES</t>
  </si>
  <si>
    <t>60106-JUROS E TAXAS SOBRE EMPRESTIMOS</t>
  </si>
  <si>
    <t>60158-CARTAO DE CREDITO</t>
  </si>
  <si>
    <t>60053-FUNDO DE PROPAGANDA</t>
  </si>
  <si>
    <t>60012-PRO LABORE</t>
  </si>
  <si>
    <t>60009-SERVICOS DE ASSESSORIA PEDAGOGICA</t>
  </si>
  <si>
    <t>60080-ALUGUEL / ASSINATURA DE SISTEMAS</t>
  </si>
  <si>
    <t>60067-OUTRAS DESPESAS</t>
  </si>
  <si>
    <t>60018-FGTS SALARIO</t>
  </si>
  <si>
    <t>60003-FARDAMENTO ALUNOS</t>
  </si>
  <si>
    <t>60098-TARIFAS BANCARIAS</t>
  </si>
  <si>
    <t>60017-INSS SALARIO</t>
  </si>
  <si>
    <t>60042-ENERGIA ELETRICA</t>
  </si>
  <si>
    <t>60043-AGUA E ESGOTO</t>
  </si>
  <si>
    <t>60014-FERIAS</t>
  </si>
  <si>
    <t>60015-13º SALARIO</t>
  </si>
  <si>
    <t>60020-FGTS RESCISORIO</t>
  </si>
  <si>
    <t>60083-TRANSPORTES E FRETES</t>
  </si>
  <si>
    <t>60081-SERVICO TECNOLOGIA DA INFORMACAO</t>
  </si>
  <si>
    <t>60045-INTERNET E CONEXOES</t>
  </si>
  <si>
    <t>60039-BOLSA ESTAGIARIOS</t>
  </si>
  <si>
    <t>60008-EQUIPAMENTOS LOCADOS PARA ENSINO</t>
  </si>
  <si>
    <t>60048-MANUTENCAO REFRIGERACAO</t>
  </si>
  <si>
    <t>60100-TARIFA PIX</t>
  </si>
  <si>
    <t>60102-IOF</t>
  </si>
  <si>
    <t>60054-CONTRIBUICAO ASSOCIATIVA</t>
  </si>
  <si>
    <t>60037-FARDAMENTO COLABORADORES</t>
  </si>
  <si>
    <t>60007-SEGURO ESTAGIOS</t>
  </si>
  <si>
    <t>60021-PENSAO ALIMENTICIA</t>
  </si>
  <si>
    <t>60074-SERVICO DE LIMPEZA</t>
  </si>
  <si>
    <t>60070-SERVICO DE ANALISE DE CREDITO</t>
  </si>
  <si>
    <t>60126-INSS (RETIDO)</t>
  </si>
  <si>
    <t>60144-MOVEIS E UTENSILIOS</t>
  </si>
  <si>
    <t>60061-ORNAMENTOS E DECORACOES</t>
  </si>
  <si>
    <t>60089-DESPESAS DE REPRESENTACAO EM VIAGEM</t>
  </si>
  <si>
    <t>60051-SEGUROS PATRIMONIAIS</t>
  </si>
  <si>
    <t>60112-MIDIA DE RADIO</t>
  </si>
  <si>
    <t>60133-TAXA BOMBEIRO</t>
  </si>
  <si>
    <t>60110-MIDIA EXTERNA</t>
  </si>
  <si>
    <t>60132-TAXAS MUNICIPAIS</t>
  </si>
  <si>
    <t>60016-IRRF SALARIO</t>
  </si>
  <si>
    <t>60150-SERVICOS ARQUITETONICOS E PROJETOS</t>
  </si>
  <si>
    <t>60050-SEGURANCA ELETRONICA</t>
  </si>
  <si>
    <t>60088-ALIMENTACAO EM VIAGEM</t>
  </si>
  <si>
    <t>60006-BRINDES</t>
  </si>
  <si>
    <t>60071-SERVICO DE POSTAGEM E CORREIOS</t>
  </si>
  <si>
    <t>60029-BONIFICACOES</t>
  </si>
  <si>
    <t>60033-CONTRIBUICOES ASSOCIATIVAS</t>
  </si>
  <si>
    <t>60118-MATERIAL GRAFICO</t>
  </si>
  <si>
    <t>60117-BRINDES</t>
  </si>
  <si>
    <t>60087-DESLOCAMENTO EM VIAGENS</t>
  </si>
  <si>
    <t>60036-EPI'S</t>
  </si>
  <si>
    <t>60114-EVENTOS / FEIRAS</t>
  </si>
  <si>
    <t>60097-TARIFA MANUTENCAO DE CONTA</t>
  </si>
  <si>
    <t>60079-MARCAS / REGISTROS / PATENTES</t>
  </si>
  <si>
    <t>60131-TAXAS ESTADUAIS</t>
  </si>
  <si>
    <t>60025-CESTAS BASICAS / CESTAS NATALINAS</t>
  </si>
  <si>
    <t>60076-CARTORIO</t>
  </si>
  <si>
    <t>60028-COMISSOES</t>
  </si>
  <si>
    <t>60059-FERRAMENTAS E ACESSORIOS</t>
  </si>
  <si>
    <t>60060-LIVROS / REVISTAS / JORNAIS</t>
  </si>
  <si>
    <t>60108-MIDIA DE TELEVISAO</t>
  </si>
  <si>
    <t>60064-FARMACIA E MEDICAMENTOS</t>
  </si>
  <si>
    <t>Matrícula</t>
  </si>
  <si>
    <t>Nome</t>
  </si>
  <si>
    <t>Taxa</t>
  </si>
  <si>
    <t>Mês/Ano</t>
  </si>
  <si>
    <t>Vencimento</t>
  </si>
  <si>
    <t>Data Baixa</t>
  </si>
  <si>
    <t>Valor</t>
  </si>
  <si>
    <t>Juros</t>
  </si>
  <si>
    <t>Multa</t>
  </si>
  <si>
    <t>Desconto</t>
  </si>
  <si>
    <t>Pago</t>
  </si>
  <si>
    <t>Forma</t>
  </si>
  <si>
    <t>ANo</t>
  </si>
  <si>
    <t>00024</t>
  </si>
  <si>
    <t>01/2025</t>
  </si>
  <si>
    <t>Dinheiro</t>
  </si>
  <si>
    <t>00248</t>
  </si>
  <si>
    <t>00315</t>
  </si>
  <si>
    <t>00193</t>
  </si>
  <si>
    <t>00377</t>
  </si>
  <si>
    <t>00083</t>
  </si>
  <si>
    <t>00106</t>
  </si>
  <si>
    <t>00362</t>
  </si>
  <si>
    <t>00131</t>
  </si>
  <si>
    <t>00257</t>
  </si>
  <si>
    <t>00313</t>
  </si>
  <si>
    <t>00282</t>
  </si>
  <si>
    <t>00154</t>
  </si>
  <si>
    <t>00078</t>
  </si>
  <si>
    <t>00330</t>
  </si>
  <si>
    <t>00363</t>
  </si>
  <si>
    <t>00364</t>
  </si>
  <si>
    <t>00316</t>
  </si>
  <si>
    <t>00134</t>
  </si>
  <si>
    <t>00152</t>
  </si>
  <si>
    <t>00289</t>
  </si>
  <si>
    <t>00153</t>
  </si>
  <si>
    <t>00254</t>
  </si>
  <si>
    <t>00260</t>
  </si>
  <si>
    <t>00133</t>
  </si>
  <si>
    <t>00349</t>
  </si>
  <si>
    <t>00151</t>
  </si>
  <si>
    <t>00319</t>
  </si>
  <si>
    <t>00332</t>
  </si>
  <si>
    <t>00088</t>
  </si>
  <si>
    <t>00214</t>
  </si>
  <si>
    <t>00160</t>
  </si>
  <si>
    <t>00223</t>
  </si>
  <si>
    <t>00334</t>
  </si>
  <si>
    <t>00267</t>
  </si>
  <si>
    <t>00291</t>
  </si>
  <si>
    <t>00130</t>
  </si>
  <si>
    <t>00136</t>
  </si>
  <si>
    <t>00126</t>
  </si>
  <si>
    <t>00168</t>
  </si>
  <si>
    <t>00252</t>
  </si>
  <si>
    <t>00253</t>
  </si>
  <si>
    <t>00351</t>
  </si>
  <si>
    <t>00258</t>
  </si>
  <si>
    <t>00387</t>
  </si>
  <si>
    <t>00011</t>
  </si>
  <si>
    <t>00091</t>
  </si>
  <si>
    <t>00277</t>
  </si>
  <si>
    <t>00371</t>
  </si>
  <si>
    <t>Banco Investimentos</t>
  </si>
  <si>
    <t>00085</t>
  </si>
  <si>
    <t>00015</t>
  </si>
  <si>
    <t>00025</t>
  </si>
  <si>
    <t>00607</t>
  </si>
  <si>
    <t>00009</t>
  </si>
  <si>
    <t>00074</t>
  </si>
  <si>
    <t>00121</t>
  </si>
  <si>
    <t>00365</t>
  </si>
  <si>
    <t>00027</t>
  </si>
  <si>
    <t>00354</t>
  </si>
  <si>
    <t>00180</t>
  </si>
  <si>
    <t>00353</t>
  </si>
  <si>
    <t>00308</t>
  </si>
  <si>
    <t>00142</t>
  </si>
  <si>
    <t>00231</t>
  </si>
  <si>
    <t>00232</t>
  </si>
  <si>
    <t>00218</t>
  </si>
  <si>
    <t>00356</t>
  </si>
  <si>
    <t>00359</t>
  </si>
  <si>
    <t>00259</t>
  </si>
  <si>
    <t>00190</t>
  </si>
  <si>
    <t>00187</t>
  </si>
  <si>
    <t>00265</t>
  </si>
  <si>
    <t>00280</t>
  </si>
  <si>
    <t>00338</t>
  </si>
  <si>
    <t>00188</t>
  </si>
  <si>
    <t>00189</t>
  </si>
  <si>
    <t>00369</t>
  </si>
  <si>
    <t>00179</t>
  </si>
  <si>
    <t>12/2025</t>
  </si>
  <si>
    <t>00228</t>
  </si>
  <si>
    <t>00237</t>
  </si>
  <si>
    <t>00227</t>
  </si>
  <si>
    <t>00372</t>
  </si>
  <si>
    <t>00355</t>
  </si>
  <si>
    <t>00102</t>
  </si>
  <si>
    <t>00379</t>
  </si>
  <si>
    <t>00235</t>
  </si>
  <si>
    <t>00378</t>
  </si>
  <si>
    <t>00058</t>
  </si>
  <si>
    <t>01/2024</t>
  </si>
  <si>
    <t>00366</t>
  </si>
  <si>
    <t>00109</t>
  </si>
  <si>
    <t>00380</t>
  </si>
  <si>
    <t>00065</t>
  </si>
  <si>
    <t>00367</t>
  </si>
  <si>
    <t>00368</t>
  </si>
  <si>
    <t>00018</t>
  </si>
  <si>
    <t>00302</t>
  </si>
  <si>
    <t>00103</t>
  </si>
  <si>
    <t>00068</t>
  </si>
  <si>
    <t>00381</t>
  </si>
  <si>
    <t>00037</t>
  </si>
  <si>
    <t>Google internet LTDA</t>
  </si>
  <si>
    <t>00082</t>
  </si>
  <si>
    <t>00051</t>
  </si>
  <si>
    <t>00382</t>
  </si>
  <si>
    <t>00344</t>
  </si>
  <si>
    <t>00040</t>
  </si>
  <si>
    <t>00373</t>
  </si>
  <si>
    <t>00374</t>
  </si>
  <si>
    <t>00072</t>
  </si>
  <si>
    <t>00028</t>
  </si>
  <si>
    <t>00036</t>
  </si>
  <si>
    <t>02/2025</t>
  </si>
  <si>
    <t>00213</t>
  </si>
  <si>
    <t>00120</t>
  </si>
  <si>
    <t>00375</t>
  </si>
  <si>
    <t>00376</t>
  </si>
  <si>
    <t>00384</t>
  </si>
  <si>
    <t>00022</t>
  </si>
  <si>
    <t>00383</t>
  </si>
  <si>
    <t>00286</t>
  </si>
  <si>
    <t>00093</t>
  </si>
  <si>
    <t>Carlene dos Santos</t>
  </si>
  <si>
    <t>00287</t>
  </si>
  <si>
    <t>DAYANE PIRES DE SOUZA</t>
  </si>
  <si>
    <t>00032</t>
  </si>
  <si>
    <t>00288</t>
  </si>
  <si>
    <t>00089</t>
  </si>
  <si>
    <t>00388</t>
  </si>
  <si>
    <t>00389</t>
  </si>
  <si>
    <t>00391</t>
  </si>
  <si>
    <t>00390</t>
  </si>
  <si>
    <t>00385</t>
  </si>
  <si>
    <t>00386</t>
  </si>
  <si>
    <t>00013</t>
  </si>
  <si>
    <t>00331</t>
  </si>
  <si>
    <t>00200</t>
  </si>
  <si>
    <t>ELETRONICA 707 PRIMITIVA LTDA</t>
  </si>
  <si>
    <t>00276</t>
  </si>
  <si>
    <t>00067</t>
  </si>
  <si>
    <t>00392</t>
  </si>
  <si>
    <t>00293</t>
  </si>
  <si>
    <t>00209</t>
  </si>
  <si>
    <t>00294</t>
  </si>
  <si>
    <t>00053</t>
  </si>
  <si>
    <t>00006</t>
  </si>
  <si>
    <t>02/2024</t>
  </si>
  <si>
    <t>00110</t>
  </si>
  <si>
    <t>00393</t>
  </si>
  <si>
    <t>00394</t>
  </si>
  <si>
    <t>00182</t>
  </si>
  <si>
    <t>00295</t>
  </si>
  <si>
    <t>00285</t>
  </si>
  <si>
    <t>00100</t>
  </si>
  <si>
    <t>00275</t>
  </si>
  <si>
    <t>ADRIANA DA SILVA FURLAN</t>
  </si>
  <si>
    <t>00111</t>
  </si>
  <si>
    <t>00296</t>
  </si>
  <si>
    <t>MAYARA VIRGULINO DOS SANTOS</t>
  </si>
  <si>
    <t>00081</t>
  </si>
  <si>
    <t>00399</t>
  </si>
  <si>
    <t>00304</t>
  </si>
  <si>
    <t>00400</t>
  </si>
  <si>
    <t>00401</t>
  </si>
  <si>
    <t>00297</t>
  </si>
  <si>
    <t>00397</t>
  </si>
  <si>
    <t>00395</t>
  </si>
  <si>
    <t>00396</t>
  </si>
  <si>
    <t>00402</t>
  </si>
  <si>
    <t>00279</t>
  </si>
  <si>
    <t>00219</t>
  </si>
  <si>
    <t>00097</t>
  </si>
  <si>
    <t>Julia De Freitas</t>
  </si>
  <si>
    <t>00098</t>
  </si>
  <si>
    <t>00216</t>
  </si>
  <si>
    <t>MATHEUS DANILO</t>
  </si>
  <si>
    <t>00145</t>
  </si>
  <si>
    <t>Samantha Da Silva</t>
  </si>
  <si>
    <t>00202</t>
  </si>
  <si>
    <t>00239</t>
  </si>
  <si>
    <t>00240</t>
  </si>
  <si>
    <t>00299</t>
  </si>
  <si>
    <t>00300</t>
  </si>
  <si>
    <t>00176</t>
  </si>
  <si>
    <t>00019</t>
  </si>
  <si>
    <t>00403</t>
  </si>
  <si>
    <t>00404</t>
  </si>
  <si>
    <t>00284</t>
  </si>
  <si>
    <t>00405</t>
  </si>
  <si>
    <t>00406</t>
  </si>
  <si>
    <t>00407</t>
  </si>
  <si>
    <t>00408</t>
  </si>
  <si>
    <t>00301</t>
  </si>
  <si>
    <t>00150</t>
  </si>
  <si>
    <t>00398</t>
  </si>
  <si>
    <t>00303</t>
  </si>
  <si>
    <t>00039</t>
  </si>
  <si>
    <t>00167</t>
  </si>
  <si>
    <t>00409</t>
  </si>
  <si>
    <t>00101</t>
  </si>
  <si>
    <t>00305</t>
  </si>
  <si>
    <t>00306</t>
  </si>
  <si>
    <t>00261</t>
  </si>
  <si>
    <t>00410</t>
  </si>
  <si>
    <t>00092</t>
  </si>
  <si>
    <t>00066</t>
  </si>
  <si>
    <t>00272</t>
  </si>
  <si>
    <t>00307</t>
  </si>
  <si>
    <t>00411</t>
  </si>
  <si>
    <t>00414</t>
  </si>
  <si>
    <t>00412</t>
  </si>
  <si>
    <t>00413</t>
  </si>
  <si>
    <t>00212</t>
  </si>
  <si>
    <t>00416</t>
  </si>
  <si>
    <t>00016</t>
  </si>
  <si>
    <t>00278</t>
  </si>
  <si>
    <t>00417</t>
  </si>
  <si>
    <t>00418</t>
  </si>
  <si>
    <t>00423</t>
  </si>
  <si>
    <t>00424</t>
  </si>
  <si>
    <t>00419</t>
  </si>
  <si>
    <t>03/2025</t>
  </si>
  <si>
    <t>00420</t>
  </si>
  <si>
    <t>00221</t>
  </si>
  <si>
    <t>00073</t>
  </si>
  <si>
    <t>00043</t>
  </si>
  <si>
    <t>00033</t>
  </si>
  <si>
    <t>00429</t>
  </si>
  <si>
    <t>03/2024</t>
  </si>
  <si>
    <t>04/2025</t>
  </si>
  <si>
    <t>00310</t>
  </si>
  <si>
    <t>Visa Crédito</t>
  </si>
  <si>
    <t>00094</t>
  </si>
  <si>
    <t>00311</t>
  </si>
  <si>
    <t>00309</t>
  </si>
  <si>
    <t>Marcilene De Jesus Duarte</t>
  </si>
  <si>
    <t>00421</t>
  </si>
  <si>
    <t>00035</t>
  </si>
  <si>
    <t>00422</t>
  </si>
  <si>
    <t>00215</t>
  </si>
  <si>
    <t>00178</t>
  </si>
  <si>
    <t>00127</t>
  </si>
  <si>
    <t>00132</t>
  </si>
  <si>
    <t>00312</t>
  </si>
  <si>
    <t>00314</t>
  </si>
  <si>
    <t>AMANDA ALMEIDA MACHADO</t>
  </si>
  <si>
    <t>00241</t>
  </si>
  <si>
    <t>00129</t>
  </si>
  <si>
    <t>00431</t>
  </si>
  <si>
    <t>00432</t>
  </si>
  <si>
    <t>00433</t>
  </si>
  <si>
    <t>00434</t>
  </si>
  <si>
    <t>00435</t>
  </si>
  <si>
    <t>00436</t>
  </si>
  <si>
    <t>00195</t>
  </si>
  <si>
    <t>00317</t>
  </si>
  <si>
    <t>00318</t>
  </si>
  <si>
    <t>00320</t>
  </si>
  <si>
    <t>00426</t>
  </si>
  <si>
    <t>00437</t>
  </si>
  <si>
    <t>00321</t>
  </si>
  <si>
    <t>00322</t>
  </si>
  <si>
    <t>00283</t>
  </si>
  <si>
    <t>00079</t>
  </si>
  <si>
    <t>00425</t>
  </si>
  <si>
    <t>00427</t>
  </si>
  <si>
    <t>00428</t>
  </si>
  <si>
    <t>00146</t>
  </si>
  <si>
    <t>00438</t>
  </si>
  <si>
    <t>00323</t>
  </si>
  <si>
    <t>00048</t>
  </si>
  <si>
    <t>00324</t>
  </si>
  <si>
    <t>00326</t>
  </si>
  <si>
    <t>00077</t>
  </si>
  <si>
    <t>00327</t>
  </si>
  <si>
    <t>00329</t>
  </si>
  <si>
    <t>00104</t>
  </si>
  <si>
    <t>00333</t>
  </si>
  <si>
    <t>00440</t>
  </si>
  <si>
    <t>00225</t>
  </si>
  <si>
    <t>00335</t>
  </si>
  <si>
    <t>00336</t>
  </si>
  <si>
    <t>ANA JULIA</t>
  </si>
  <si>
    <t>00337</t>
  </si>
  <si>
    <t>00170</t>
  </si>
  <si>
    <t>00341</t>
  </si>
  <si>
    <t>00342</t>
  </si>
  <si>
    <t>00343</t>
  </si>
  <si>
    <t>00449</t>
  </si>
  <si>
    <t>00450</t>
  </si>
  <si>
    <t>00451</t>
  </si>
  <si>
    <t>00452</t>
  </si>
  <si>
    <t>GABRIELLE TAVARES NUNES</t>
  </si>
  <si>
    <t>00453</t>
  </si>
  <si>
    <t>MATHEUS RAUL SILVESTRE DOS SANTOS</t>
  </si>
  <si>
    <t>00345</t>
  </si>
  <si>
    <t>00455</t>
  </si>
  <si>
    <t>00456</t>
  </si>
  <si>
    <t>00457</t>
  </si>
  <si>
    <t>00458</t>
  </si>
  <si>
    <t>00459</t>
  </si>
  <si>
    <t>00460</t>
  </si>
  <si>
    <t>00461</t>
  </si>
  <si>
    <t>00442</t>
  </si>
  <si>
    <t>00443</t>
  </si>
  <si>
    <t>00444</t>
  </si>
  <si>
    <t>00445</t>
  </si>
  <si>
    <t>00446</t>
  </si>
  <si>
    <t>00447</t>
  </si>
  <si>
    <t>00448</t>
  </si>
  <si>
    <t>04/2024</t>
  </si>
  <si>
    <t>00143</t>
  </si>
  <si>
    <t>00328</t>
  </si>
  <si>
    <t>00020</t>
  </si>
  <si>
    <t>00462</t>
  </si>
  <si>
    <t>00463</t>
  </si>
  <si>
    <t>00464</t>
  </si>
  <si>
    <t>Cartão Master Crédito</t>
  </si>
  <si>
    <t>Pix</t>
  </si>
  <si>
    <t>00465</t>
  </si>
  <si>
    <t>THEO CAKES COMERCIO DE ALIMENTOS LTDA</t>
  </si>
  <si>
    <t>00467</t>
  </si>
  <si>
    <t>05/2025</t>
  </si>
  <si>
    <t>00348</t>
  </si>
  <si>
    <t>00350</t>
  </si>
  <si>
    <t>00292</t>
  </si>
  <si>
    <t>00473</t>
  </si>
  <si>
    <t>00352</t>
  </si>
  <si>
    <t>RICARDO DA SILVA LINO</t>
  </si>
  <si>
    <t>00475</t>
  </si>
  <si>
    <t>00430</t>
  </si>
  <si>
    <t>00346</t>
  </si>
  <si>
    <t>00347</t>
  </si>
  <si>
    <t>00144</t>
  </si>
  <si>
    <t>00476</t>
  </si>
  <si>
    <t>00477</t>
  </si>
  <si>
    <t>00357</t>
  </si>
  <si>
    <t>00358</t>
  </si>
  <si>
    <t>00478</t>
  </si>
  <si>
    <t>00469</t>
  </si>
  <si>
    <t>00470</t>
  </si>
  <si>
    <t>00360</t>
  </si>
  <si>
    <t>00471</t>
  </si>
  <si>
    <t>00484</t>
  </si>
  <si>
    <t>00361</t>
  </si>
  <si>
    <t>00474</t>
  </si>
  <si>
    <t>06/2025</t>
  </si>
  <si>
    <t>AUDIX INFORMATICA</t>
  </si>
  <si>
    <t>00041</t>
  </si>
  <si>
    <t>Edson Jose De Melo</t>
  </si>
  <si>
    <t>00472</t>
  </si>
  <si>
    <t>Victor Alexandre Todero Vereda</t>
  </si>
  <si>
    <t>00480</t>
  </si>
  <si>
    <t>ENF230494</t>
  </si>
  <si>
    <t>00481</t>
  </si>
  <si>
    <t>00482</t>
  </si>
  <si>
    <t>00486</t>
  </si>
  <si>
    <t>00487</t>
  </si>
  <si>
    <t>00206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</si>
  <si>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</si>
  <si>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</si>
  <si>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</si>
  <si>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</si>
  <si>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</si>
  <si>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</si>
  <si>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</si>
  <si>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</si>
  <si>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00528</t>
  </si>
  <si>
    <t>00483</t>
  </si>
  <si>
    <t>00496</t>
  </si>
  <si>
    <t>00497</t>
  </si>
  <si>
    <t>00498</t>
  </si>
  <si>
    <t>00059</t>
  </si>
  <si>
    <t>00485</t>
  </si>
  <si>
    <t>00499</t>
  </si>
  <si>
    <t>00500</t>
  </si>
  <si>
    <t>00501</t>
  </si>
  <si>
    <t>00502</t>
  </si>
  <si>
    <t>00504</t>
  </si>
  <si>
    <t>00505</t>
  </si>
  <si>
    <t>00503</t>
  </si>
  <si>
    <t>00507</t>
  </si>
  <si>
    <t>07/2025</t>
  </si>
  <si>
    <t>00514</t>
  </si>
  <si>
    <t>00512</t>
  </si>
  <si>
    <t>00513</t>
  </si>
  <si>
    <t>00515</t>
  </si>
  <si>
    <t>00516</t>
  </si>
  <si>
    <t>00234</t>
  </si>
  <si>
    <t>00533</t>
  </si>
  <si>
    <t>00534</t>
  </si>
  <si>
    <t>00535</t>
  </si>
  <si>
    <t>00054</t>
  </si>
  <si>
    <t>00537</t>
  </si>
  <si>
    <t>00525</t>
  </si>
  <si>
    <t>00539</t>
  </si>
  <si>
    <t>00540</t>
  </si>
  <si>
    <t>00541</t>
  </si>
  <si>
    <t>00542</t>
  </si>
  <si>
    <t>Eliane de Paula Brito Paz</t>
  </si>
  <si>
    <t>00511</t>
  </si>
  <si>
    <t>Ricardo da Silva Lino</t>
  </si>
  <si>
    <t>00518</t>
  </si>
  <si>
    <t>00522</t>
  </si>
  <si>
    <t>00517</t>
  </si>
  <si>
    <t>00229</t>
  </si>
  <si>
    <t>00521</t>
  </si>
  <si>
    <t>00520</t>
  </si>
  <si>
    <t>00519</t>
  </si>
  <si>
    <t>00523</t>
  </si>
  <si>
    <t>00524</t>
  </si>
  <si>
    <t>ENF250083</t>
  </si>
  <si>
    <t>ENF250289</t>
  </si>
  <si>
    <t>00508</t>
  </si>
  <si>
    <t>00468</t>
  </si>
  <si>
    <t>00526</t>
  </si>
  <si>
    <t>ENF250300</t>
  </si>
  <si>
    <t>00527</t>
  </si>
  <si>
    <t>00530</t>
  </si>
  <si>
    <t>00531</t>
  </si>
  <si>
    <t>00532</t>
  </si>
  <si>
    <t>00012</t>
  </si>
  <si>
    <t>ADM250003</t>
  </si>
  <si>
    <t>00538</t>
  </si>
  <si>
    <t>00543</t>
  </si>
  <si>
    <t>00529</t>
  </si>
  <si>
    <t>00509</t>
  </si>
  <si>
    <t>00075</t>
  </si>
  <si>
    <t>Elo Camisetas LTDA</t>
  </si>
  <si>
    <t>00122</t>
  </si>
  <si>
    <t>CDI250014</t>
  </si>
  <si>
    <t>CDI240022</t>
  </si>
  <si>
    <t>APH250010</t>
  </si>
  <si>
    <t>CDI250019</t>
  </si>
  <si>
    <t>IPA250031</t>
  </si>
  <si>
    <t>CDI250017</t>
  </si>
  <si>
    <t>00545</t>
  </si>
  <si>
    <t>08/2025</t>
  </si>
  <si>
    <t>ENF230093</t>
  </si>
  <si>
    <t>00547</t>
  </si>
  <si>
    <t>00548</t>
  </si>
  <si>
    <t>00551</t>
  </si>
  <si>
    <t>00554</t>
  </si>
  <si>
    <t>00552</t>
  </si>
  <si>
    <t>00553</t>
  </si>
  <si>
    <t>00096</t>
  </si>
  <si>
    <t>09/2025</t>
  </si>
  <si>
    <t>00586</t>
  </si>
  <si>
    <t>00559</t>
  </si>
  <si>
    <t>00560</t>
  </si>
  <si>
    <t>00557</t>
  </si>
  <si>
    <t>Depósito</t>
  </si>
  <si>
    <t>00546</t>
  </si>
  <si>
    <t>00555</t>
  </si>
  <si>
    <t>RAD250113</t>
  </si>
  <si>
    <t>00561</t>
  </si>
  <si>
    <t>00135</t>
  </si>
  <si>
    <t>00211</t>
  </si>
  <si>
    <t>00562</t>
  </si>
  <si>
    <t>00563</t>
  </si>
  <si>
    <t>00549</t>
  </si>
  <si>
    <t>00550</t>
  </si>
  <si>
    <t>ADM250025</t>
  </si>
  <si>
    <t>Leticia Nunes Da Fonseca</t>
  </si>
  <si>
    <t>00568</t>
  </si>
  <si>
    <t>00565</t>
  </si>
  <si>
    <t>00566</t>
  </si>
  <si>
    <t>00570</t>
  </si>
  <si>
    <t>00569</t>
  </si>
  <si>
    <t>00571</t>
  </si>
  <si>
    <t>00572</t>
  </si>
  <si>
    <t>00114</t>
  </si>
  <si>
    <t>00281</t>
  </si>
  <si>
    <t>00575</t>
  </si>
  <si>
    <t>00030</t>
  </si>
  <si>
    <t>00580</t>
  </si>
  <si>
    <t>00581</t>
  </si>
  <si>
    <t>00582</t>
  </si>
  <si>
    <t>00583</t>
  </si>
  <si>
    <t>00587</t>
  </si>
  <si>
    <t>00592</t>
  </si>
  <si>
    <t>00050</t>
  </si>
  <si>
    <t>00596</t>
  </si>
  <si>
    <t>00602</t>
  </si>
  <si>
    <t>00603</t>
  </si>
  <si>
    <t>00604</t>
  </si>
  <si>
    <t>00608</t>
  </si>
  <si>
    <t>ENF250345</t>
  </si>
  <si>
    <t>00578</t>
  </si>
  <si>
    <t>00577</t>
  </si>
  <si>
    <t>00573</t>
  </si>
  <si>
    <t>00564</t>
  </si>
  <si>
    <t>00585</t>
  </si>
  <si>
    <t>09/2022</t>
  </si>
  <si>
    <t>00558</t>
  </si>
  <si>
    <t>00588</t>
  </si>
  <si>
    <t>00589</t>
  </si>
  <si>
    <t>00593</t>
  </si>
  <si>
    <t>00574</t>
  </si>
  <si>
    <t>00594</t>
  </si>
  <si>
    <t>00014</t>
  </si>
  <si>
    <t>00595</t>
  </si>
  <si>
    <t>00597</t>
  </si>
  <si>
    <t>00598</t>
  </si>
  <si>
    <t>00599</t>
  </si>
  <si>
    <t>00600</t>
  </si>
  <si>
    <t>RAD250191</t>
  </si>
  <si>
    <t>ENF250362</t>
  </si>
  <si>
    <t>00605</t>
  </si>
  <si>
    <t>00576</t>
  </si>
  <si>
    <t>00606</t>
  </si>
  <si>
    <t>OFC240023</t>
  </si>
  <si>
    <t>00584</t>
  </si>
  <si>
    <t>APH250041</t>
  </si>
  <si>
    <t>APH250050</t>
  </si>
  <si>
    <t>10/2025</t>
  </si>
  <si>
    <t>00609</t>
  </si>
  <si>
    <t>00610</t>
  </si>
  <si>
    <t>00611</t>
  </si>
  <si>
    <t>00612</t>
  </si>
  <si>
    <t>00613</t>
  </si>
  <si>
    <t>00614</t>
  </si>
  <si>
    <t>00046</t>
  </si>
  <si>
    <t>00623</t>
  </si>
  <si>
    <t>ENF250222</t>
  </si>
  <si>
    <t>ENF230480</t>
  </si>
  <si>
    <t>00510</t>
  </si>
  <si>
    <t>00628</t>
  </si>
  <si>
    <t>ENF240035</t>
  </si>
  <si>
    <t>00619</t>
  </si>
  <si>
    <t>00620</t>
  </si>
  <si>
    <t>00621</t>
  </si>
  <si>
    <t>00205</t>
  </si>
  <si>
    <t>00617</t>
  </si>
  <si>
    <t>00618</t>
  </si>
  <si>
    <t>00616</t>
  </si>
  <si>
    <t>00624</t>
  </si>
  <si>
    <t>00625</t>
  </si>
  <si>
    <t>00626</t>
  </si>
  <si>
    <t>ENF250361</t>
  </si>
  <si>
    <t>00615</t>
  </si>
  <si>
    <t>00298</t>
  </si>
  <si>
    <t>11/2025</t>
  </si>
  <si>
    <t>00622</t>
  </si>
  <si>
    <t>00631</t>
  </si>
  <si>
    <t>00632</t>
  </si>
  <si>
    <t>00633</t>
  </si>
  <si>
    <t>00634</t>
  </si>
  <si>
    <t>ENF240465</t>
  </si>
  <si>
    <t>Aline Chaves Lima Santos</t>
  </si>
  <si>
    <t>00638</t>
  </si>
  <si>
    <t>00640</t>
  </si>
  <si>
    <t>00639</t>
  </si>
  <si>
    <t>ENF250283</t>
  </si>
  <si>
    <t>ENF250220</t>
  </si>
  <si>
    <t>ENF250034</t>
  </si>
  <si>
    <t>00646</t>
  </si>
  <si>
    <t>00630</t>
  </si>
  <si>
    <t>00636</t>
  </si>
  <si>
    <t>00601</t>
  </si>
  <si>
    <t>00454</t>
  </si>
  <si>
    <t>11/2011</t>
  </si>
  <si>
    <t>00637</t>
  </si>
  <si>
    <t>00274</t>
  </si>
  <si>
    <t>00642</t>
  </si>
  <si>
    <t>00643</t>
  </si>
  <si>
    <t>00644</t>
  </si>
  <si>
    <t>00645</t>
  </si>
  <si>
    <t>00647</t>
  </si>
  <si>
    <t>00649</t>
  </si>
  <si>
    <t>RAD250177</t>
  </si>
  <si>
    <t>00536</t>
  </si>
  <si>
    <t>00648</t>
  </si>
  <si>
    <t>PWB250001</t>
  </si>
  <si>
    <t>00650</t>
  </si>
  <si>
    <t>00119</t>
  </si>
  <si>
    <t>00651</t>
  </si>
  <si>
    <t>00656</t>
  </si>
  <si>
    <t>00654</t>
  </si>
  <si>
    <t>00657</t>
  </si>
  <si>
    <t>00666</t>
  </si>
  <si>
    <t>00466</t>
  </si>
  <si>
    <t>02/2026</t>
  </si>
  <si>
    <t>00661</t>
  </si>
  <si>
    <t>00662</t>
  </si>
  <si>
    <t>12/202</t>
  </si>
  <si>
    <t>00005</t>
  </si>
  <si>
    <t>00653</t>
  </si>
  <si>
    <t>00652</t>
  </si>
  <si>
    <t>00663</t>
  </si>
  <si>
    <t>00658</t>
  </si>
  <si>
    <t>00665</t>
  </si>
  <si>
    <t>00660</t>
  </si>
  <si>
    <t>00664</t>
  </si>
  <si>
    <t>00667</t>
  </si>
  <si>
    <t>00669</t>
  </si>
  <si>
    <t>RAD250266</t>
  </si>
  <si>
    <t>RAD250141</t>
  </si>
  <si>
    <t>01/2026</t>
  </si>
  <si>
    <t>Guilherme Boyher Lino Souza</t>
  </si>
  <si>
    <t>00678</t>
  </si>
  <si>
    <t>ADM250080</t>
  </si>
  <si>
    <t>00679</t>
  </si>
  <si>
    <t>00684</t>
  </si>
  <si>
    <t>00687</t>
  </si>
  <si>
    <t>00690</t>
  </si>
  <si>
    <t>00672</t>
  </si>
  <si>
    <t>ADM250047</t>
  </si>
  <si>
    <t>00674</t>
  </si>
  <si>
    <t>00673</t>
  </si>
  <si>
    <t>00086</t>
  </si>
  <si>
    <t>00659</t>
  </si>
  <si>
    <t>00677</t>
  </si>
  <si>
    <t>00668</t>
  </si>
  <si>
    <t>00680</t>
  </si>
  <si>
    <t>00671</t>
  </si>
  <si>
    <t>RAD250222</t>
  </si>
  <si>
    <t>00682</t>
  </si>
  <si>
    <t>00676</t>
  </si>
  <si>
    <t>00683</t>
  </si>
  <si>
    <t>00681</t>
  </si>
  <si>
    <t>ADM260004</t>
  </si>
  <si>
    <t>ENF250432</t>
  </si>
  <si>
    <t>00670</t>
  </si>
  <si>
    <t>00692</t>
  </si>
  <si>
    <t>00693</t>
  </si>
  <si>
    <t>00049</t>
  </si>
  <si>
    <t>00697</t>
  </si>
  <si>
    <t>ENF230484</t>
  </si>
  <si>
    <t/>
  </si>
  <si>
    <t>00138</t>
  </si>
  <si>
    <t>00694</t>
  </si>
  <si>
    <t>00695</t>
  </si>
  <si>
    <t>04/2026</t>
  </si>
  <si>
    <t>00696</t>
  </si>
  <si>
    <t>00698</t>
  </si>
  <si>
    <t>05/2026</t>
  </si>
  <si>
    <t>00699</t>
  </si>
  <si>
    <t>00700</t>
  </si>
  <si>
    <t>RAD260027</t>
  </si>
  <si>
    <t>00685</t>
  </si>
  <si>
    <t>lalamove</t>
  </si>
  <si>
    <t>00222</t>
  </si>
  <si>
    <t>00415</t>
  </si>
  <si>
    <t>FLB260012</t>
  </si>
  <si>
    <t>BCV250133</t>
  </si>
  <si>
    <t>CEC260003</t>
  </si>
  <si>
    <t>APH250036</t>
  </si>
  <si>
    <t>00704</t>
  </si>
  <si>
    <t>03/2026</t>
  </si>
  <si>
    <t>00705</t>
  </si>
  <si>
    <t>00706</t>
  </si>
  <si>
    <t>00707</t>
  </si>
  <si>
    <t>00710</t>
  </si>
  <si>
    <t>00711</t>
  </si>
  <si>
    <t>00712</t>
  </si>
  <si>
    <t>00713</t>
  </si>
  <si>
    <t>00716</t>
  </si>
  <si>
    <t>RAD220072</t>
  </si>
  <si>
    <t>00719</t>
  </si>
  <si>
    <t>ENF240181</t>
  </si>
  <si>
    <t>00255</t>
  </si>
  <si>
    <t>00722</t>
  </si>
  <si>
    <t>00709</t>
  </si>
  <si>
    <t>00008</t>
  </si>
  <si>
    <t>00325</t>
  </si>
  <si>
    <t>ANA BEATRIZ</t>
  </si>
  <si>
    <t>00689</t>
  </si>
  <si>
    <t>RAD260057</t>
  </si>
  <si>
    <t>ENF260050</t>
  </si>
  <si>
    <t>00714</t>
  </si>
  <si>
    <t>00715</t>
  </si>
  <si>
    <t>RAD250230</t>
  </si>
  <si>
    <t>00717</t>
  </si>
  <si>
    <t>00718</t>
  </si>
  <si>
    <t>ENF260068</t>
  </si>
  <si>
    <t>00686</t>
  </si>
  <si>
    <t>00641</t>
  </si>
  <si>
    <t>00720</t>
  </si>
  <si>
    <t>00721</t>
  </si>
  <si>
    <t>Camila Cristina Oliveira Da Silva</t>
  </si>
  <si>
    <t>00723</t>
  </si>
  <si>
    <t>00055</t>
  </si>
  <si>
    <t>RAD260022</t>
  </si>
  <si>
    <t>ENF250471</t>
  </si>
  <si>
    <t>00730</t>
  </si>
  <si>
    <t>00731</t>
  </si>
  <si>
    <t>ENF260099</t>
  </si>
  <si>
    <t>00724</t>
  </si>
  <si>
    <t>00169</t>
  </si>
  <si>
    <t>ENF260129</t>
  </si>
  <si>
    <t>00728</t>
  </si>
  <si>
    <t>00023</t>
  </si>
  <si>
    <t>00725</t>
  </si>
  <si>
    <t>00727</t>
  </si>
  <si>
    <t>00729</t>
  </si>
  <si>
    <t>00732</t>
  </si>
  <si>
    <t>EXC260006</t>
  </si>
  <si>
    <t>ADM230013</t>
  </si>
  <si>
    <t>APH250060</t>
  </si>
  <si>
    <t>BCV250140</t>
  </si>
  <si>
    <t>00736</t>
  </si>
  <si>
    <t>ENF250093</t>
  </si>
  <si>
    <t>00734</t>
  </si>
  <si>
    <t>ENF250195</t>
  </si>
  <si>
    <t>00738</t>
  </si>
  <si>
    <t>00735</t>
  </si>
  <si>
    <t>00739</t>
  </si>
  <si>
    <t>00741</t>
  </si>
  <si>
    <t>00742</t>
  </si>
  <si>
    <t>RAD260124</t>
  </si>
  <si>
    <t>00733</t>
  </si>
  <si>
    <t>06/2026</t>
  </si>
  <si>
    <t>00744</t>
  </si>
  <si>
    <t>00675</t>
  </si>
  <si>
    <t>00745</t>
  </si>
  <si>
    <t>00746</t>
  </si>
  <si>
    <t>COMPARATIVO REAL x ORÇADO - MAIO/2026</t>
  </si>
  <si>
    <t>🔄 Dados vinculados à DIN_TAXA - ATUALIZAÇÃO AUTOMÁTICA</t>
  </si>
  <si>
    <t>TOTAL</t>
  </si>
  <si>
    <t>Despesa</t>
  </si>
  <si>
    <t>Orçado (Mai)</t>
  </si>
  <si>
    <t>Real (Mai)</t>
  </si>
  <si>
    <t>Diferença</t>
  </si>
  <si>
    <t>Var %</t>
  </si>
  <si>
    <t>📊 RESUMO</t>
  </si>
  <si>
    <t>Orçado Maio:</t>
  </si>
  <si>
    <t>Real Maio:</t>
  </si>
  <si>
    <t>% Executado:</t>
  </si>
  <si>
    <t>Saldo a Pagar:</t>
  </si>
  <si>
    <t>🔴 CONTAS MAIS ESTOURADAS (Diferença ≥ R$ 1.000)</t>
  </si>
  <si>
    <t>Orçado</t>
  </si>
  <si>
    <t>Real</t>
  </si>
  <si>
    <t>TOTAL ESTOUROS</t>
  </si>
  <si>
    <t>-</t>
  </si>
  <si>
    <t>🟢 CONTAS COM MAIOR ECONOMIA (Diferença ≤ -R$ 1.000)</t>
  </si>
  <si>
    <t>Economia</t>
  </si>
  <si>
    <t>TOTAL ECONOMIAS</t>
  </si>
  <si>
    <t>📌 Os quadros acima são atualizados automaticamente quando os dados da DIN_TAXA são alterados</t>
  </si>
  <si>
    <t>PROJEÇÃO DE DESPESAS 2026</t>
  </si>
  <si>
    <t>TOTAL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</si>
  <si>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</si>
  <si>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</si>
  <si>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</si>
  <si>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</si>
  <si>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</si>
  <si>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</si>
  <si>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</si>
  <si>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</si>
  <si>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</si>
  <si>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</si>
  <si>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</si>
  <si>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</si>
  <si>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Ano</t>
  </si>
  <si>
    <t>Base Projeção</t>
  </si>
  <si>
    <t>Abril (ref.)</t>
  </si>
  <si>
    <t>Maio (ref.)</t>
  </si>
  <si>
    <t>Média Jan-Mar</t>
  </si>
  <si>
    <t>Média Jan-Abr</t>
  </si>
  <si>
    <t>Valor Fixo</t>
  </si>
  <si>
    <t>Sem movimento</t>
  </si>
  <si>
    <t>TOTAL GERAL</t>
  </si>
  <si>
    <t>📊 RESUMO DA PROJEÇÃO</t>
  </si>
  <si>
    <t>Descrição</t>
  </si>
  <si>
    <t>Total Realizado (Jan-Abr)</t>
  </si>
  <si>
    <t>Total Projetado (Mai-Dez)</t>
  </si>
  <si>
    <t>Total Anual 2026</t>
  </si>
  <si>
    <t>Média Mensal Projetada</t>
  </si>
  <si>
    <t>📌 METODOLOGIA:</t>
  </si>
  <si>
    <t>• INSTRUTOR e PRECEPTOR: projeção baseada em ABRIL (nível normal após recesso)</t>
  </si>
  <si>
    <t>📅 VISÃO TRIMESTRAL</t>
  </si>
  <si>
    <t>Período</t>
  </si>
  <si>
    <t>% do Ano</t>
  </si>
  <si>
    <t>Status</t>
  </si>
  <si>
    <t>Q1 (Jan-Mar)</t>
  </si>
  <si>
    <t>Realizado</t>
  </si>
  <si>
    <t>Q2 (Abr-Jun)</t>
  </si>
  <si>
    <t>Parcial + Projeção</t>
  </si>
  <si>
    <t>Q3 (Jul-Set)</t>
  </si>
  <si>
    <t>Projetado</t>
  </si>
  <si>
    <t>Q4 (Out-Dez)</t>
  </si>
  <si>
    <t>TOTAL 2026</t>
  </si>
  <si>
    <t>GASTOS COM A FRANQUEADORA - EVOLUÇÃO 2026</t>
  </si>
  <si>
    <t>TOTAL FRANQUEADORA</t>
  </si>
  <si>
    <t>TOTAL GERAL DESPESAS</t>
  </si>
  <si>
    <t>% REPRESENTATIVIDADE</t>
  </si>
  <si>
    <t>% REPRESENTATIVIDADE POR DESPESA</t>
  </si>
  <si>
    <t>DADOS PARA GRÁFICO (EVOLUÇÃO MENSAL)</t>
  </si>
  <si>
    <t>Fev/26</t>
  </si>
  <si>
    <t>Abr/26</t>
  </si>
  <si>
    <t>Mai/26</t>
  </si>
  <si>
    <t>📊 RESUMO ESTATÍSTICO - 2026</t>
  </si>
  <si>
    <t>Total 2026</t>
  </si>
  <si>
    <t>Média Mensal</t>
  </si>
  <si>
    <t>% do Total Franq.</t>
  </si>
  <si>
    <t>% do Total Geral</t>
  </si>
  <si>
    <t>🔄 ATUALIZAÇÃO AUTOMÁTICA</t>
  </si>
  <si>
    <t>Todos os dados desta planilha estão vinculados à BASE e serão atualizados automaticamente.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</si>
</sst>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  <numFmt numFmtId="165" formatCode="_(&quot;R$&quot;* #,##0.00_);_(&quot;R$&quot;* \(#,##0.00\);_(&quot;R$&quot;* &quot;-&quot;??_);_(@_)"/>
    <numFmt numFmtId="166" formatCode="_-[$R$-416]\ * #,##0_-;\-[$R$-416]\ * #,##0_-;_-[$R$-416]\ * &quot;-&quot;??_-;_-@_-"/>
    <numFmt numFmtId="167" formatCode="_-[$R$-416]\ * #,##0.00_-;\-[$R$-416]\ * #,##0.00_-;_-[$R$-416]\ * &quot;-&quot;??_-;_-@_-"/>
    <numFmt numFmtId="168" formatCode="_-[$R$-416]\ * #,##0_-;\-[$R$-416]\ * #,##0_-;_-[$R$-416]\ * &quot;-&quot;_-;_-@_-"/>
    <numFmt numFmtId="169" formatCode="&quot;R$&quot;\ #,##0.00"/>
    <numFmt numFmtId="170" formatCode="0.0%"/>
    <numFmt numFmtId="171" formatCode="\R&quot;R$&quot;\ #,##0.00"/>
    <numFmt numFmtId="172" formatCode="#,#00%"/>
    <numFmt numFmtId="175" formatCode="\R&quot;R$&quot;\ #.##000"/>
  </numFmts>
  <fonts count="19">
    <font>
      <sz val="10"/>
      <color indexed="8"/>
      <name val="ARIAL"/>
      <charset val="1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charset val="1"/>
    </font>
    <font>
      <sz val="10"/>
      <color rgb="FF000000"/>
      <name val="ARIAL"/>
      <charset val="1"/>
    </font>
    <font>
      <b/>
      <sz val="10"/>
      <color indexed="8"/>
      <name val="ARIAL"/>
      <charset val="1"/>
    </font>
    <font>
      <b/>
      <sz val="14"/>
      <color rgb="FFFFFFFF"/>
      <name val="ARIAL"/>
      <charset val="1"/>
    </font>
    <font>
      <i/>
      <sz val="10"/>
      <color indexed="8"/>
      <name val="ARIAL"/>
      <charset val="1"/>
    </font>
    <font>
      <b/>
      <sz val="10"/>
      <color rgb="FFFFFFFF"/>
      <name val="ARIAL"/>
      <charset val="1"/>
    </font>
    <font>
      <b/>
      <sz val="12"/>
      <color indexed="8"/>
      <name val="ARIAL"/>
      <charset val="1"/>
    </font>
    <font>
      <sz val="10"/>
      <color rgb="FFFFFFFF"/>
      <name val="ARIAL"/>
      <charset val="1"/>
    </font>
    <font>
      <b/>
      <i/>
      <sz val="12"/>
      <color indexed="8"/>
      <name val="ARIAL"/>
      <charset val="1"/>
    </font>
    <font>
      <b/>
      <sz val="10"/>
      <color rgb="FF000000"/>
      <name val="ARIAL"/>
      <charset val="1"/>
    </font>
    <font>
      <i/>
      <sz val="10"/>
      <color rgb="FFC65911"/>
      <name val="ARIAL"/>
      <charset val="1"/>
    </font>
    <font>
      <b/>
      <i/>
      <sz val="10"/>
      <color rgb="FF006600"/>
      <name val="ARIAL"/>
      <charset val="1"/>
    </font>
    <font>
      <i/>
      <sz val="9"/>
      <color rgb="FF666666"/>
      <name val="ARIAL"/>
      <charset val="1"/>
    </font>
    <font>
      <b/>
      <sz val="11"/>
      <color indexed="8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6FFE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top"/>
    </xf>
    <xf numFmtId="44" fontId="3" fillId="0" borderId="0" applyFont="0" applyFill="0" applyBorder="0" applyAlignment="0" applyProtection="0">
      <alignment vertical="top"/>
    </xf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>
      <alignment vertical="top"/>
    </xf>
    <xf numFmtId="44" fontId="2" fillId="0" borderId="0" applyFont="0" applyFill="0" applyBorder="0" applyAlignment="0" applyProtection="0">
      <alignment vertical="top"/>
    </xf>
  </cellStyleXfs>
  <cellXfs count="134">
    <xf numFmtId="0" fontId="0" fillId="0" borderId="0" xfId="0">
      <alignment vertical="top"/>
    </xf>
    <xf numFmtId="14" fontId="2" fillId="0" borderId="0" xfId="0" applyNumberFormat="1" applyFont="1">
      <alignment vertical="top"/>
    </xf>
    <xf numFmtId="4" fontId="2" fillId="0" borderId="0" xfId="0" applyNumberFormat="1" applyFont="1">
      <alignment vertical="top"/>
    </xf>
    <xf numFmtId="164" fontId="0" fillId="0" borderId="0" xfId="1" applyNumberFormat="1" applyFont="1">
      <alignment vertical="top"/>
    </xf>
    <xf numFmtId="0" fontId="0" fillId="0" borderId="0" xfId="0" pivotButton="1">
      <alignment vertical="top"/>
    </xf>
    <xf numFmtId="0" fontId="4" fillId="0" borderId="0" xfId="0" applyFont="1">
      <alignment vertical="top"/>
    </xf>
    <xf numFmtId="14" fontId="0" fillId="0" borderId="0" xfId="0" applyNumberFormat="1">
      <alignment vertical="top"/>
    </xf>
    <xf numFmtId="0" fontId="0" fillId="2" borderId="0" xfId="0" applyFill="1">
      <alignment vertical="top"/>
    </xf>
    <xf numFmtId="0" fontId="0" fillId="0" borderId="0" xfId="0" applyAlignment="1">
      <alignment horizontal="left" vertical="top"/>
    </xf>
    <xf numFmtId="14" fontId="2" fillId="2" borderId="0" xfId="0" applyNumberFormat="1" applyFont="1" applyFill="1">
      <alignment vertical="top"/>
    </xf>
    <xf numFmtId="39" fontId="2" fillId="2" borderId="0" xfId="0" applyNumberFormat="1" applyFont="1" applyFill="1">
      <alignment vertical="top"/>
    </xf>
    <xf numFmtId="4" fontId="2" fillId="2" borderId="0" xfId="0" applyNumberFormat="1" applyFont="1" applyFill="1">
      <alignment vertical="top"/>
    </xf>
    <xf numFmtId="39" fontId="2" fillId="0" borderId="0" xfId="0" applyNumberFormat="1" applyFont="1">
      <alignment vertical="top"/>
    </xf>
    <xf numFmtId="39" fontId="5" fillId="0" borderId="0" xfId="0" applyNumberFormat="1" applyFont="1">
      <alignment vertical="top"/>
    </xf>
    <xf numFmtId="4" fontId="5" fillId="0" borderId="0" xfId="0" applyNumberFormat="1" applyFont="1">
      <alignment vertical="top"/>
    </xf>
    <xf numFmtId="166" fontId="0" fillId="0" borderId="0" xfId="0" applyNumberFormat="1">
      <alignment vertical="top"/>
    </xf>
    <xf numFmtId="166" fontId="0" fillId="0" borderId="0" xfId="1" applyNumberFormat="1" applyFont="1">
      <alignment vertical="top"/>
    </xf>
    <xf numFmtId="14" fontId="5" fillId="0" borderId="0" xfId="0" applyNumberFormat="1" applyFont="1">
      <alignment vertical="top"/>
    </xf>
    <xf numFmtId="167" fontId="0" fillId="0" borderId="0" xfId="0" applyNumberFormat="1">
      <alignment vertical="top"/>
    </xf>
    <xf numFmtId="168" fontId="0" fillId="0" borderId="0" xfId="0" applyNumberFormat="1">
      <alignment vertical="top"/>
    </xf>
    <xf numFmtId="167" fontId="2" fillId="0" borderId="0" xfId="0" applyNumberFormat="1" applyFont="1">
      <alignment vertical="top"/>
    </xf>
    <xf numFmtId="167" fontId="2" fillId="2" borderId="0" xfId="0" applyNumberFormat="1" applyFont="1" applyFill="1">
      <alignment vertical="top"/>
    </xf>
    <xf numFmtId="167" fontId="5" fillId="0" borderId="0" xfId="0" applyNumberFormat="1" applyFont="1">
      <alignment vertical="top"/>
    </xf>
    <xf numFmtId="0" fontId="0" fillId="0" borderId="0" xfId="0" applyFill="1">
      <alignment vertical="top"/>
    </xf>
    <xf numFmtId="164" fontId="0" fillId="0" borderId="0" xfId="1" applyNumberFormat="1" applyFont="1" applyFill="1">
      <alignment vertical="top"/>
    </xf>
    <xf numFmtId="0" fontId="0" fillId="3" borderId="0" xfId="0" applyFill="1">
      <alignment vertical="top"/>
    </xf>
    <xf numFmtId="167" fontId="0" fillId="0" borderId="0" xfId="1" applyNumberFormat="1" applyFont="1">
      <alignment vertical="top"/>
    </xf>
    <xf numFmtId="167" fontId="0" fillId="0" borderId="0" xfId="0" pivotButton="1" applyNumberFormat="1">
      <alignment vertical="top"/>
    </xf>
    <xf numFmtId="0" fontId="6" fillId="0" borderId="0" xfId="0" applyFont="1" applyFill="1" applyBorder="1" applyAlignment="1">
      <alignment vertical="top"/>
    </xf>
    <xf numFmtId="17" fontId="6" fillId="0" borderId="0" xfId="0" applyNumberFormat="1" applyFont="1" applyFill="1" applyBorder="1" applyAlignment="1">
      <alignment vertical="top"/>
    </xf>
    <xf numFmtId="14" fontId="6" fillId="0" borderId="0" xfId="0" applyNumberFormat="1" applyFont="1" applyFill="1" applyBorder="1" applyAlignment="1">
      <alignment vertical="top"/>
    </xf>
    <xf numFmtId="0" fontId="6" fillId="0" borderId="0" xfId="0" applyFont="1" applyFill="1" applyBorder="1" applyAlignment="1">
      <alignment vertical="top" wrapText="1"/>
    </xf>
    <xf numFmtId="169" fontId="0" fillId="0" borderId="0" xfId="0" applyNumberFormat="1">
      <alignment vertical="top"/>
    </xf>
    <xf numFmtId="169" fontId="6" fillId="0" borderId="0" xfId="0" applyNumberFormat="1" applyFont="1" applyFill="1" applyBorder="1" applyAlignment="1">
      <alignment vertical="top"/>
    </xf>
    <xf numFmtId="0" fontId="7" fillId="0" borderId="0" xfId="0" applyFont="1">
      <alignment vertical="top"/>
    </xf>
    <xf numFmtId="39" fontId="5" fillId="3" borderId="0" xfId="0" applyNumberFormat="1" applyFont="1" applyFill="1">
      <alignment vertical="top"/>
    </xf>
    <xf numFmtId="166" fontId="0" fillId="0" borderId="0" xfId="0" pivotButton="1" applyNumberFormat="1">
      <alignment vertical="top"/>
    </xf>
    <xf numFmtId="167" fontId="0" fillId="2" borderId="0" xfId="0" applyNumberFormat="1" applyFill="1">
      <alignment vertical="top"/>
    </xf>
    <xf numFmtId="167" fontId="0" fillId="0" borderId="0" xfId="0" applyNumberFormat="1" applyFill="1">
      <alignment vertical="top"/>
    </xf>
    <xf numFmtId="39" fontId="0" fillId="0" borderId="0" xfId="0" applyNumberFormat="1">
      <alignment vertical="top"/>
    </xf>
    <xf numFmtId="4" fontId="0" fillId="0" borderId="0" xfId="0" applyNumberFormat="1">
      <alignment vertical="top"/>
    </xf>
    <xf numFmtId="0" fontId="10" fillId="5" borderId="0" xfId="0" applyFont="1" applyFill="1" applyAlignment="1">
      <alignment horizontal="center" vertical="top"/>
    </xf>
    <xf numFmtId="170" fontId="0" fillId="0" borderId="0" xfId="0" applyNumberFormat="1">
      <alignment vertical="top"/>
    </xf>
    <xf numFmtId="0" fontId="7" fillId="6" borderId="0" xfId="0" applyFont="1" applyFill="1">
      <alignment vertical="top"/>
    </xf>
    <xf numFmtId="170" fontId="7" fillId="6" borderId="0" xfId="0" applyNumberFormat="1" applyFont="1" applyFill="1">
      <alignment vertical="top"/>
    </xf>
    <xf numFmtId="0" fontId="0" fillId="0" borderId="0" xfId="0" applyAlignment="1">
      <alignment horizontal="left" vertical="top" indent="1"/>
    </xf>
    <xf numFmtId="0" fontId="10" fillId="5" borderId="0" xfId="0" applyFont="1" applyFill="1">
      <alignment vertical="top"/>
    </xf>
    <xf numFmtId="0" fontId="0" fillId="7" borderId="0" xfId="0" applyFill="1">
      <alignment vertical="top"/>
    </xf>
    <xf numFmtId="0" fontId="10" fillId="4" borderId="0" xfId="0" applyFont="1" applyFill="1">
      <alignment vertical="top"/>
    </xf>
    <xf numFmtId="171" fontId="0" fillId="0" borderId="0" xfId="0" applyNumberFormat="1">
      <alignment vertical="top"/>
    </xf>
    <xf numFmtId="171" fontId="10" fillId="4" borderId="0" xfId="0" applyNumberFormat="1" applyFont="1" applyFill="1">
      <alignment vertical="top"/>
    </xf>
    <xf numFmtId="0" fontId="10" fillId="8" borderId="0" xfId="0" applyFont="1" applyFill="1" applyAlignment="1">
      <alignment horizontal="center" vertical="top"/>
    </xf>
    <xf numFmtId="0" fontId="11" fillId="0" borderId="0" xfId="0" applyFont="1">
      <alignment vertical="top"/>
    </xf>
    <xf numFmtId="0" fontId="9" fillId="0" borderId="0" xfId="0" applyFont="1">
      <alignment vertical="top"/>
    </xf>
    <xf numFmtId="0" fontId="13" fillId="0" borderId="0" xfId="0" applyFont="1">
      <alignment vertical="top"/>
    </xf>
    <xf numFmtId="171" fontId="7" fillId="6" borderId="0" xfId="0" applyNumberFormat="1" applyFont="1" applyFill="1">
      <alignment vertical="top"/>
    </xf>
    <xf numFmtId="166" fontId="14" fillId="3" borderId="0" xfId="0" applyNumberFormat="1" applyFont="1" applyFill="1">
      <alignment vertical="top"/>
    </xf>
    <xf numFmtId="166" fontId="6" fillId="3" borderId="0" xfId="0" applyNumberFormat="1" applyFont="1" applyFill="1">
      <alignment vertical="top"/>
    </xf>
    <xf numFmtId="0" fontId="0" fillId="0" borderId="0" xfId="0" applyNumberFormat="1">
      <alignment vertical="top"/>
    </xf>
    <xf numFmtId="166" fontId="0" fillId="3" borderId="0" xfId="0" applyNumberFormat="1" applyFill="1">
      <alignment vertical="top"/>
    </xf>
    <xf numFmtId="0" fontId="7" fillId="9" borderId="0" xfId="0" applyFont="1" applyFill="1">
      <alignment vertical="top"/>
    </xf>
    <xf numFmtId="170" fontId="7" fillId="9" borderId="0" xfId="0" applyNumberFormat="1" applyFont="1" applyFill="1">
      <alignment vertical="top"/>
    </xf>
    <xf numFmtId="0" fontId="11" fillId="7" borderId="0" xfId="0" applyFont="1" applyFill="1">
      <alignment vertical="top"/>
    </xf>
    <xf numFmtId="167" fontId="10" fillId="5" borderId="0" xfId="0" applyNumberFormat="1" applyFont="1" applyFill="1" applyAlignment="1">
      <alignment horizontal="right" vertical="top"/>
    </xf>
    <xf numFmtId="167" fontId="7" fillId="9" borderId="0" xfId="0" applyNumberFormat="1" applyFont="1" applyFill="1">
      <alignment vertical="top"/>
    </xf>
    <xf numFmtId="167" fontId="0" fillId="7" borderId="0" xfId="0" applyNumberFormat="1" applyFill="1">
      <alignment vertical="top"/>
    </xf>
    <xf numFmtId="9" fontId="0" fillId="7" borderId="0" xfId="0" applyNumberFormat="1" applyFill="1">
      <alignment vertical="top"/>
    </xf>
    <xf numFmtId="0" fontId="0" fillId="10" borderId="0" xfId="0" applyFill="1">
      <alignment vertical="top"/>
    </xf>
    <xf numFmtId="166" fontId="0" fillId="10" borderId="0" xfId="0" applyNumberFormat="1" applyFill="1">
      <alignment vertical="top"/>
    </xf>
    <xf numFmtId="0" fontId="0" fillId="11" borderId="0" xfId="0" applyFill="1">
      <alignment vertical="top"/>
    </xf>
    <xf numFmtId="166" fontId="0" fillId="11" borderId="0" xfId="0" applyNumberFormat="1" applyFill="1">
      <alignment vertical="top"/>
    </xf>
    <xf numFmtId="0" fontId="8" fillId="4" borderId="0" xfId="0" applyFont="1" applyFill="1" applyAlignment="1">
      <alignment horizontal="center" vertical="top"/>
    </xf>
    <xf numFmtId="0" fontId="15" fillId="0" borderId="0" xfId="0" applyFont="1" applyAlignment="1">
      <alignment vertical="top"/>
    </xf>
    <xf numFmtId="0" fontId="8" fillId="4" borderId="0" xfId="0" applyFont="1" applyFill="1" applyAlignment="1">
      <alignment vertical="top"/>
    </xf>
    <xf numFmtId="0" fontId="12" fillId="4" borderId="0" xfId="0" applyFont="1" applyFill="1" applyAlignment="1">
      <alignment vertical="top"/>
    </xf>
    <xf numFmtId="9" fontId="0" fillId="0" borderId="0" xfId="0" applyNumberFormat="1">
      <alignment vertical="top"/>
    </xf>
    <xf numFmtId="167" fontId="0" fillId="10" borderId="0" xfId="0" applyNumberFormat="1" applyFill="1" applyAlignment="1">
      <alignment horizontal="right" vertical="top"/>
    </xf>
    <xf numFmtId="172" fontId="0" fillId="10" borderId="0" xfId="0" applyNumberFormat="1" applyFill="1" applyAlignment="1">
      <alignment horizontal="right" vertical="top"/>
    </xf>
    <xf numFmtId="167" fontId="0" fillId="11" borderId="0" xfId="0" applyNumberFormat="1" applyFill="1" applyAlignment="1">
      <alignment horizontal="right" vertical="top"/>
    </xf>
    <xf numFmtId="172" fontId="0" fillId="11" borderId="0" xfId="0" applyNumberFormat="1" applyFill="1" applyAlignment="1">
      <alignment horizontal="right" vertical="top"/>
    </xf>
    <xf numFmtId="170" fontId="0" fillId="10" borderId="0" xfId="0" applyNumberFormat="1" applyFill="1" applyAlignment="1">
      <alignment horizontal="right" vertical="top"/>
    </xf>
    <xf numFmtId="170" fontId="0" fillId="11" borderId="0" xfId="0" applyNumberFormat="1" applyFill="1" applyAlignment="1">
      <alignment horizontal="right" vertical="top"/>
    </xf>
    <xf numFmtId="9" fontId="10" fillId="5" borderId="0" xfId="0" applyNumberFormat="1" applyFont="1" applyFill="1" applyAlignment="1">
      <alignment horizontal="right" vertical="top"/>
    </xf>
    <xf numFmtId="171" fontId="10" fillId="5" borderId="0" xfId="0" applyNumberFormat="1" applyFont="1" applyFill="1" applyAlignment="1">
      <alignment horizontal="right" vertical="top"/>
    </xf>
    <xf numFmtId="0" fontId="16" fillId="12" borderId="0" xfId="0" applyFont="1" applyFill="1" applyAlignment="1">
      <alignment vertical="top"/>
    </xf>
    <xf numFmtId="167" fontId="0" fillId="10" borderId="0" xfId="0" applyNumberFormat="1" applyFill="1">
      <alignment vertical="top"/>
    </xf>
    <xf numFmtId="167" fontId="0" fillId="11" borderId="0" xfId="0" applyNumberFormat="1" applyFill="1">
      <alignment vertical="top"/>
    </xf>
    <xf numFmtId="0" fontId="10" fillId="14" borderId="4" xfId="0" applyFont="1" applyFill="1" applyBorder="1">
      <alignment vertical="top"/>
    </xf>
    <xf numFmtId="0" fontId="0" fillId="15" borderId="4" xfId="0" applyFill="1" applyBorder="1">
      <alignment vertical="top"/>
    </xf>
    <xf numFmtId="0" fontId="0" fillId="12" borderId="4" xfId="0" applyFill="1" applyBorder="1">
      <alignment vertical="top"/>
    </xf>
    <xf numFmtId="0" fontId="18" fillId="13" borderId="0" xfId="0" applyFont="1" applyFill="1" applyAlignment="1">
      <alignment horizontal="center" vertical="top"/>
    </xf>
    <xf numFmtId="0" fontId="0" fillId="10" borderId="4" xfId="0" applyFill="1" applyBorder="1">
      <alignment vertical="top"/>
    </xf>
    <xf numFmtId="14" fontId="7" fillId="0" borderId="0" xfId="0" applyNumberFormat="1" applyFont="1" applyAlignment="1">
      <alignment horizontal="center" vertical="top"/>
    </xf>
    <xf numFmtId="0" fontId="18" fillId="16" borderId="0" xfId="0" applyFont="1" applyFill="1" applyAlignment="1">
      <alignment horizontal="center" vertical="top"/>
    </xf>
    <xf numFmtId="0" fontId="10" fillId="18" borderId="4" xfId="0" applyFont="1" applyFill="1" applyBorder="1">
      <alignment vertical="top"/>
    </xf>
    <xf numFmtId="0" fontId="7" fillId="13" borderId="4" xfId="0" applyFont="1" applyFill="1" applyBorder="1">
      <alignment vertical="top"/>
    </xf>
    <xf numFmtId="0" fontId="7" fillId="16" borderId="4" xfId="0" applyFont="1" applyFill="1" applyBorder="1">
      <alignment vertical="top"/>
    </xf>
    <xf numFmtId="167" fontId="0" fillId="10" borderId="4" xfId="0" applyNumberFormat="1" applyFill="1" applyBorder="1">
      <alignment vertical="top"/>
    </xf>
    <xf numFmtId="167" fontId="0" fillId="15" borderId="4" xfId="0" applyNumberFormat="1" applyFill="1" applyBorder="1">
      <alignment vertical="top"/>
    </xf>
    <xf numFmtId="167" fontId="7" fillId="13" borderId="4" xfId="0" applyNumberFormat="1" applyFont="1" applyFill="1" applyBorder="1">
      <alignment vertical="top"/>
    </xf>
    <xf numFmtId="167" fontId="0" fillId="12" borderId="4" xfId="0" applyNumberFormat="1" applyFill="1" applyBorder="1">
      <alignment vertical="top"/>
    </xf>
    <xf numFmtId="167" fontId="7" fillId="16" borderId="4" xfId="0" applyNumberFormat="1" applyFont="1" applyFill="1" applyBorder="1">
      <alignment vertical="top"/>
    </xf>
    <xf numFmtId="16" fontId="7" fillId="0" borderId="0" xfId="0" applyNumberFormat="1" applyFont="1">
      <alignment vertical="top"/>
    </xf>
    <xf numFmtId="0" fontId="7" fillId="19" borderId="4" xfId="0" applyFont="1" applyFill="1" applyBorder="1">
      <alignment vertical="top"/>
    </xf>
    <xf numFmtId="0" fontId="0" fillId="11" borderId="4" xfId="0" applyFill="1" applyBorder="1">
      <alignment vertical="top"/>
    </xf>
    <xf numFmtId="175" fontId="0" fillId="10" borderId="4" xfId="0" applyNumberFormat="1" applyFill="1" applyBorder="1">
      <alignment vertical="top"/>
    </xf>
    <xf numFmtId="175" fontId="0" fillId="11" borderId="4" xfId="0" applyNumberFormat="1" applyFill="1" applyBorder="1">
      <alignment vertical="top"/>
    </xf>
    <xf numFmtId="175" fontId="7" fillId="19" borderId="4" xfId="0" applyNumberFormat="1" applyFont="1" applyFill="1" applyBorder="1">
      <alignment vertical="top"/>
    </xf>
    <xf numFmtId="0" fontId="0" fillId="0" borderId="0" xfId="0" applyFill="1" applyAlignment="1">
      <alignment horizontal="left" vertical="top"/>
    </xf>
    <xf numFmtId="166" fontId="0" fillId="0" borderId="0" xfId="0" applyNumberFormat="1" applyFill="1">
      <alignment vertical="top"/>
    </xf>
    <xf numFmtId="0" fontId="0" fillId="0" borderId="0" xfId="0" applyNumberFormat="1" applyFill="1">
      <alignment vertical="top"/>
    </xf>
    <xf numFmtId="175" fontId="0" fillId="0" borderId="0" xfId="0" applyNumberFormat="1">
      <alignment vertical="top"/>
    </xf>
    <xf numFmtId="175" fontId="0" fillId="0" borderId="2" xfId="0" applyNumberFormat="1" applyBorder="1">
      <alignment vertical="top"/>
    </xf>
    <xf numFmtId="175" fontId="0" fillId="0" borderId="3" xfId="0" applyNumberFormat="1" applyBorder="1">
      <alignment vertical="top"/>
    </xf>
    <xf numFmtId="0" fontId="10" fillId="5" borderId="4" xfId="0" applyFont="1" applyFill="1" applyBorder="1">
      <alignment vertical="top"/>
    </xf>
    <xf numFmtId="0" fontId="7" fillId="0" borderId="1" xfId="0" applyFont="1" applyBorder="1">
      <alignment vertical="top"/>
    </xf>
    <xf numFmtId="0" fontId="7" fillId="7" borderId="1" xfId="0" applyFont="1" applyFill="1" applyBorder="1">
      <alignment vertical="top"/>
    </xf>
    <xf numFmtId="0" fontId="7" fillId="21" borderId="4" xfId="0" applyFont="1" applyFill="1" applyBorder="1">
      <alignment vertical="top"/>
    </xf>
    <xf numFmtId="172" fontId="7" fillId="19" borderId="4" xfId="0" applyNumberFormat="1" applyFont="1" applyFill="1" applyBorder="1">
      <alignment vertical="top"/>
    </xf>
    <xf numFmtId="172" fontId="0" fillId="10" borderId="4" xfId="0" applyNumberFormat="1" applyFill="1" applyBorder="1">
      <alignment vertical="top"/>
    </xf>
    <xf numFmtId="172" fontId="0" fillId="11" borderId="4" xfId="0" applyNumberFormat="1" applyFill="1" applyBorder="1">
      <alignment vertical="top"/>
    </xf>
    <xf numFmtId="9" fontId="0" fillId="7" borderId="2" xfId="0" applyNumberFormat="1" applyFill="1" applyBorder="1">
      <alignment vertical="top"/>
    </xf>
    <xf numFmtId="9" fontId="0" fillId="7" borderId="3" xfId="0" applyNumberFormat="1" applyFill="1" applyBorder="1">
      <alignment vertical="top"/>
    </xf>
    <xf numFmtId="9" fontId="0" fillId="10" borderId="4" xfId="0" applyNumberFormat="1" applyFill="1" applyBorder="1">
      <alignment vertical="top"/>
    </xf>
    <xf numFmtId="9" fontId="0" fillId="11" borderId="4" xfId="0" applyNumberFormat="1" applyFill="1" applyBorder="1">
      <alignment vertical="top"/>
    </xf>
    <xf numFmtId="9" fontId="7" fillId="19" borderId="4" xfId="0" applyNumberFormat="1" applyFont="1" applyFill="1" applyBorder="1">
      <alignment vertical="top"/>
    </xf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7" fillId="20" borderId="4" xfId="0" applyFont="1" applyFill="1" applyBorder="1" applyAlignment="1">
      <alignment vertical="top"/>
    </xf>
    <xf numFmtId="0" fontId="0" fillId="0" borderId="4" xfId="0" applyBorder="1" applyAlignment="1">
      <alignment vertical="top"/>
    </xf>
    <xf numFmtId="0" fontId="7" fillId="9" borderId="0" xfId="0" applyFont="1" applyFill="1" applyAlignment="1">
      <alignment vertical="top"/>
    </xf>
    <xf numFmtId="0" fontId="11" fillId="17" borderId="4" xfId="0" applyFont="1" applyFill="1" applyBorder="1" applyAlignment="1">
      <alignment vertical="top"/>
    </xf>
    <xf numFmtId="0" fontId="7" fillId="20" borderId="0" xfId="0" applyFont="1" applyFill="1" applyAlignment="1">
      <alignment vertical="top"/>
    </xf>
    <xf numFmtId="0" fontId="9" fillId="0" borderId="0" xfId="0" applyFont="1" applyAlignment="1">
      <alignment vertical="top"/>
    </xf>
  </cellXfs>
  <cellStyles count="9">
    <cellStyle name="Comma 2" xfId="4" xr:uid="{2291A220-ED5B-439D-97AD-50BA3AEFF4E8}"/>
    <cellStyle name="Currency 2" xfId="3" xr:uid="{E0480869-1E34-4D4C-881A-0D3620D98F92}"/>
    <cellStyle name="Currency 3" xfId="6" xr:uid="{7AE00E6B-AF07-455B-87D7-BD61401AB02A}"/>
    <cellStyle name="Currency 4" xfId="8" xr:uid="{0F3B7213-C7E8-4570-A767-6110A7A2761C}"/>
    <cellStyle name="Moeda" xfId="1" builtinId="4"/>
    <cellStyle name="Normal" xfId="0" builtinId="0"/>
    <cellStyle name="Normal 2" xfId="2" xr:uid="{7A60F7D8-6996-4824-972A-9BEC9D443430}"/>
    <cellStyle name="Normal 3" xfId="7" xr:uid="{8CB7F76C-EF05-41B1-B6D4-B7061DB76D07}"/>
    <cellStyle name="Percent 2" xfId="5" xr:uid="{67D39901-BC7B-4766-9B64-BC087DD2E16E}"/>
  </cellStyles>
  <dxfs count="77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  <fill>
        <patternFill patternType="solid">
          <fgColor indexed="64"/>
          <bgColor rgb="FFFFCC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  <fill>
        <patternFill patternType="solid">
          <fgColor indexed="64"/>
          <bgColor rgb="FFFFCC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  <fill>
        <patternFill patternType="solid">
          <fgColor indexed="64"/>
          <bgColor rgb="FFFFCC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  <fill>
        <patternFill patternType="solid">
          <fgColor indexed="64"/>
          <bgColor rgb="FFFFCC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  <fill>
        <patternFill patternType="solid">
          <fgColor indexed="64"/>
          <bgColor rgb="FFFFCCC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C00000"/>
      </font>
      <fill>
        <patternFill patternType="solid">
          <fgColor indexed="64"/>
          <bgColor rgb="FFFFCCCC"/>
        </patternFill>
      </fill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numFmt numFmtId="164" formatCode="_-&quot;R$&quot;\ * #,##0_-;\-&quot;R$&quot;\ * #,##0_-;_-&quot;R$&quot;\ * &quot;-&quot;??_-;_-@_-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none"/>
      </fill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numFmt numFmtId="167" formatCode="_-[$R$-416]\ * #,##0.00_-;\-[$R$-416]\ * #,##0.00_-;_-[$R$-416]\ * &quot;-&quot;??_-;_-@_-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fill>
        <patternFill patternType="none"/>
      </fill>
    </dxf>
    <dxf>
      <numFmt numFmtId="168" formatCode="_-[$R$-416]\ * #,##0_-;\-[$R$-416]\ * #,##0_-;_-[$R$-416]\ * &quot;-&quot;_-;_-@_-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numFmt numFmtId="167" formatCode="_-[$R$-416]\ * #,##0.00_-;\-[$R$-416]\ * #,##0.00_-;_-[$R$-416]\ * &quot;-&quot;??_-;_-@_-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numFmt numFmtId="166" formatCode="_-[$R$-416]\ * #,##0_-;\-[$R$-416]\ * #,##0_-;_-[$R$-416]\ * &quot;-&quot;??_-;_-@_-"/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Mensal dos Gastos com Franqueadora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'Gastos com a Franqueadora'!$A$22</c:f>
              <c:strCache>
                <c:ptCount val="1"/>
                <c:pt idx="0">
                  <c:v>60052-ROYALTIES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'Gastos com a Franqueadora'!$B$21:$F$21</c:f>
              <c:strCache>
                <c:ptCount val="5"/>
                <c:pt idx="0">
                  <c:v>26/jan</c:v>
                </c:pt>
                <c:pt idx="1">
                  <c:v>Fev/26</c:v>
                </c:pt>
                <c:pt idx="2">
                  <c:v>26/mar</c:v>
                </c:pt>
                <c:pt idx="3">
                  <c:v>Abr/26</c:v>
                </c:pt>
                <c:pt idx="4">
                  <c:v>Mai/26</c:v>
                </c:pt>
              </c:strCache>
            </c:strRef>
          </c:cat>
          <c:val>
            <c:numRef>
              <c:f>'Gastos com a Franqueadora'!$B$22:$F$22</c:f>
              <c:numCache>
                <c:formatCode>\R"R$"\ #.##000</c:formatCode>
                <c:ptCount val="5"/>
                <c:pt idx="0">
                  <c:v>2623.02</c:v>
                </c:pt>
                <c:pt idx="1">
                  <c:v>24839.94</c:v>
                </c:pt>
                <c:pt idx="2">
                  <c:v>20571.580000000002</c:v>
                </c:pt>
                <c:pt idx="3">
                  <c:v>26432.78</c:v>
                </c:pt>
                <c:pt idx="4">
                  <c:v>24737.21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7-45FE-ABFD-1133F0314587}"/>
            </c:ext>
          </c:extLst>
        </c:ser>
        <c:ser>
          <c:idx val="1"/>
          <c:order val="1"/>
          <c:tx>
            <c:strRef>
              <c:f>'Gastos com a Franqueadora'!$A$23</c:f>
              <c:strCache>
                <c:ptCount val="1"/>
                <c:pt idx="0">
                  <c:v>60001-APOSTILA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'Gastos com a Franqueadora'!$B$21:$F$21</c:f>
              <c:strCache>
                <c:ptCount val="5"/>
                <c:pt idx="0">
                  <c:v>26/jan</c:v>
                </c:pt>
                <c:pt idx="1">
                  <c:v>Fev/26</c:v>
                </c:pt>
                <c:pt idx="2">
                  <c:v>26/mar</c:v>
                </c:pt>
                <c:pt idx="3">
                  <c:v>Abr/26</c:v>
                </c:pt>
                <c:pt idx="4">
                  <c:v>Mai/26</c:v>
                </c:pt>
              </c:strCache>
            </c:strRef>
          </c:cat>
          <c:val>
            <c:numRef>
              <c:f>'Gastos com a Franqueadora'!$B$23:$F$23</c:f>
              <c:numCache>
                <c:formatCode>\R"R$"\ #.##000</c:formatCode>
                <c:ptCount val="5"/>
                <c:pt idx="0">
                  <c:v>0</c:v>
                </c:pt>
                <c:pt idx="1">
                  <c:v>3152.57</c:v>
                </c:pt>
                <c:pt idx="2">
                  <c:v>1993.52</c:v>
                </c:pt>
                <c:pt idx="3">
                  <c:v>15622.75</c:v>
                </c:pt>
                <c:pt idx="4">
                  <c:v>3992.8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A7-45FE-ABFD-1133F0314587}"/>
            </c:ext>
          </c:extLst>
        </c:ser>
        <c:ser>
          <c:idx val="2"/>
          <c:order val="2"/>
          <c:tx>
            <c:strRef>
              <c:f>'Gastos com a Franqueadora'!$A$24</c:f>
              <c:strCache>
                <c:ptCount val="1"/>
                <c:pt idx="0">
                  <c:v>60053-FUNDO DE PROPAGANDA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'Gastos com a Franqueadora'!$B$21:$F$21</c:f>
              <c:strCache>
                <c:ptCount val="5"/>
                <c:pt idx="0">
                  <c:v>26/jan</c:v>
                </c:pt>
                <c:pt idx="1">
                  <c:v>Fev/26</c:v>
                </c:pt>
                <c:pt idx="2">
                  <c:v>26/mar</c:v>
                </c:pt>
                <c:pt idx="3">
                  <c:v>Abr/26</c:v>
                </c:pt>
                <c:pt idx="4">
                  <c:v>Mai/26</c:v>
                </c:pt>
              </c:strCache>
            </c:strRef>
          </c:cat>
          <c:val>
            <c:numRef>
              <c:f>'Gastos com a Franqueadora'!$B$24:$F$24</c:f>
              <c:numCache>
                <c:formatCode>\R"R$"\ #.##000</c:formatCode>
                <c:ptCount val="5"/>
                <c:pt idx="0">
                  <c:v>11568.26</c:v>
                </c:pt>
                <c:pt idx="1">
                  <c:v>11802.77</c:v>
                </c:pt>
                <c:pt idx="2">
                  <c:v>12392.42</c:v>
                </c:pt>
                <c:pt idx="3">
                  <c:v>9304.76</c:v>
                </c:pt>
                <c:pt idx="4">
                  <c:v>13742.91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A7-45FE-ABFD-1133F0314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6969736"/>
        <c:axId val="2137537544"/>
      </c:lineChart>
      <c:catAx>
        <c:axId val="213696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537544"/>
        <c:crosses val="autoZero"/>
        <c:auto val="1"/>
        <c:lblAlgn val="ctr"/>
        <c:lblOffset val="100"/>
        <c:noMultiLvlLbl val="0"/>
      </c:catAx>
      <c:valAx>
        <c:axId val="213753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&quot;R$&quot;\ #.##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6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Composição dos Gastos por Mês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'Gastos com a Franqueadora'!$A$22</c:f>
              <c:strCache>
                <c:ptCount val="1"/>
                <c:pt idx="0">
                  <c:v>60052-ROYALTIES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'Gastos com a Franqueadora'!$B$21:$F$21</c:f>
              <c:strCache>
                <c:ptCount val="5"/>
                <c:pt idx="0">
                  <c:v>26/jan</c:v>
                </c:pt>
                <c:pt idx="1">
                  <c:v>Fev/26</c:v>
                </c:pt>
                <c:pt idx="2">
                  <c:v>26/mar</c:v>
                </c:pt>
                <c:pt idx="3">
                  <c:v>Abr/26</c:v>
                </c:pt>
                <c:pt idx="4">
                  <c:v>Mai/26</c:v>
                </c:pt>
              </c:strCache>
            </c:strRef>
          </c:cat>
          <c:val>
            <c:numRef>
              <c:f>'Gastos com a Franqueadora'!$B$22:$F$22</c:f>
              <c:numCache>
                <c:formatCode>\R"R$"\ #.##000</c:formatCode>
                <c:ptCount val="5"/>
                <c:pt idx="0">
                  <c:v>2623.02</c:v>
                </c:pt>
                <c:pt idx="1">
                  <c:v>24839.94</c:v>
                </c:pt>
                <c:pt idx="2">
                  <c:v>20571.580000000002</c:v>
                </c:pt>
                <c:pt idx="3">
                  <c:v>26432.78</c:v>
                </c:pt>
                <c:pt idx="4">
                  <c:v>24737.21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F-4FB2-AE98-7359307F3510}"/>
            </c:ext>
          </c:extLst>
        </c:ser>
        <c:ser>
          <c:idx val="1"/>
          <c:order val="1"/>
          <c:tx>
            <c:strRef>
              <c:f>'Gastos com a Franqueadora'!$A$23</c:f>
              <c:strCache>
                <c:ptCount val="1"/>
                <c:pt idx="0">
                  <c:v>60001-APOSTILA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'Gastos com a Franqueadora'!$B$21:$F$21</c:f>
              <c:strCache>
                <c:ptCount val="5"/>
                <c:pt idx="0">
                  <c:v>26/jan</c:v>
                </c:pt>
                <c:pt idx="1">
                  <c:v>Fev/26</c:v>
                </c:pt>
                <c:pt idx="2">
                  <c:v>26/mar</c:v>
                </c:pt>
                <c:pt idx="3">
                  <c:v>Abr/26</c:v>
                </c:pt>
                <c:pt idx="4">
                  <c:v>Mai/26</c:v>
                </c:pt>
              </c:strCache>
            </c:strRef>
          </c:cat>
          <c:val>
            <c:numRef>
              <c:f>'Gastos com a Franqueadora'!$B$23:$F$23</c:f>
              <c:numCache>
                <c:formatCode>\R"R$"\ #.##000</c:formatCode>
                <c:ptCount val="5"/>
                <c:pt idx="0">
                  <c:v>0</c:v>
                </c:pt>
                <c:pt idx="1">
                  <c:v>3152.57</c:v>
                </c:pt>
                <c:pt idx="2">
                  <c:v>1993.52</c:v>
                </c:pt>
                <c:pt idx="3">
                  <c:v>15622.75</c:v>
                </c:pt>
                <c:pt idx="4">
                  <c:v>3992.8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EF-4FB2-AE98-7359307F3510}"/>
            </c:ext>
          </c:extLst>
        </c:ser>
        <c:ser>
          <c:idx val="2"/>
          <c:order val="2"/>
          <c:tx>
            <c:strRef>
              <c:f>'Gastos com a Franqueadora'!$A$24</c:f>
              <c:strCache>
                <c:ptCount val="1"/>
                <c:pt idx="0">
                  <c:v>60053-FUNDO DE PROPAGANDA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'Gastos com a Franqueadora'!$B$21:$F$21</c:f>
              <c:strCache>
                <c:ptCount val="5"/>
                <c:pt idx="0">
                  <c:v>26/jan</c:v>
                </c:pt>
                <c:pt idx="1">
                  <c:v>Fev/26</c:v>
                </c:pt>
                <c:pt idx="2">
                  <c:v>26/mar</c:v>
                </c:pt>
                <c:pt idx="3">
                  <c:v>Abr/26</c:v>
                </c:pt>
                <c:pt idx="4">
                  <c:v>Mai/26</c:v>
                </c:pt>
              </c:strCache>
            </c:strRef>
          </c:cat>
          <c:val>
            <c:numRef>
              <c:f>'Gastos com a Franqueadora'!$B$24:$F$24</c:f>
              <c:numCache>
                <c:formatCode>\R"R$"\ #.##000</c:formatCode>
                <c:ptCount val="5"/>
                <c:pt idx="0">
                  <c:v>11568.26</c:v>
                </c:pt>
                <c:pt idx="1">
                  <c:v>11802.77</c:v>
                </c:pt>
                <c:pt idx="2">
                  <c:v>12392.42</c:v>
                </c:pt>
                <c:pt idx="3">
                  <c:v>9304.76</c:v>
                </c:pt>
                <c:pt idx="4">
                  <c:v>13742.91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EF-4FB2-AE98-7359307F3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8899464"/>
        <c:axId val="2138907144"/>
      </c:barChart>
      <c:catAx>
        <c:axId val="213889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907144"/>
        <c:crosses val="autoZero"/>
        <c:auto val="1"/>
        <c:lblAlgn val="ctr"/>
        <c:lblOffset val="100"/>
        <c:noMultiLvlLbl val="0"/>
      </c:catAx>
      <c:valAx>
        <c:axId val="213890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&quot;R$&quot;\ #.##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9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323850</xdr:colOff>
      <xdr:row>22</xdr:row>
      <xdr:rowOff>133350</xdr:rowOff>
    </xdr:from>
    <xdr:to>
      <xdr:col>24</xdr:col>
      <xdr:colOff>28575</xdr:colOff>
      <xdr:row>45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axa">
              <a:extLst>
                <a:ext uri="{FF2B5EF4-FFF2-40B4-BE49-F238E27FC236}">
                  <a16:creationId xmlns:a16="http://schemas.microsoft.com/office/drawing/2014/main" id="{45BE12C2-B736-A5E1-6782-D9702F1B0053}"/>
                </a:ext>
                <a:ext uri="{147F2762-F138-4A5C-976F-8EAC2B608ADB}">
                  <a16:predDERef xmlns:a16="http://schemas.microsoft.com/office/drawing/2014/main" pred="{B97CC541-1CA0-EBAB-66D7-560D3E5AE0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x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25275" y="1647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9B3842-D18D-E0A1-C9D0-611814A9C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7</xdr:col>
      <xdr:colOff>0</xdr:colOff>
      <xdr:row>64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97CD928-A544-2232-EEF3-F1E403C651AD}"/>
            </a:ext>
            <a:ext uri="{147F2762-F138-4A5C-976F-8EAC2B608ADB}">
              <a16:predDERef xmlns:a16="http://schemas.microsoft.com/office/drawing/2014/main" pred="{EF9B3842-D18D-E0A1-C9D0-611814A9C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8.917607754629" createdVersion="8" refreshedVersion="8" minRefreshableVersion="3" recordCount="5340" xr:uid="{29DD3968-D915-44E5-8C39-8AE816538595}">
  <cacheSource type="worksheet">
    <worksheetSource ref="A1:M1048576" sheet="BASE"/>
  </cacheSource>
  <cacheFields count="15">
    <cacheField name="Matrícula" numFmtId="0">
      <sharedItems containsBlank="1" containsMixedTypes="1" containsNumber="1" containsInteger="1" minValue="111" maxValue="668"/>
    </cacheField>
    <cacheField name="Nome" numFmtId="0">
      <sharedItems containsBlank="1" count="666">
        <s v="Google internet ltda"/>
        <s v="Jennifer Franklin Barbosa"/>
        <s v="HELMA DE SOUSA"/>
        <s v="FACEBOOK SERVICOS ONLINE DO BR"/>
        <s v="VIACAO OSASCO LTDA"/>
        <s v="FLASH BENEFICIOS - VT E VA"/>
        <s v="ALLDIX INFORMATICA LTDA"/>
        <s v="ITAU UNIBANCO S.A."/>
        <s v="Lorenna Nascimento Santos"/>
        <s v="Rosangela Munarão"/>
        <s v="GERALDO OLIVEIRA"/>
        <s v="EDITORA GRAU LTDA."/>
        <s v="Lucia De Souza Leão Gouveia"/>
        <s v="Recarga de Celular"/>
        <s v="CAFÉ E ESTACIONAMENTO TORINO"/>
        <s v="Dayane Pires de Souza"/>
        <s v="Naiara Oliveira Rodrigues"/>
        <s v="ANE CAROLINA ARAUJO"/>
        <s v="Elisangela Da Silva Munarão"/>
        <s v="Gabriela Toledo"/>
        <s v="José Nilton Santos"/>
        <s v="Julia de Freitas"/>
        <s v="Letícia Nunes da Fonseca"/>
        <s v="VINICIUS MARTINS DIAS BATISTA"/>
        <s v="Weslley Mateus Da Silva"/>
        <s v="Marcilene de Jesus Duarte"/>
        <s v="Lucimara Toledo"/>
        <s v="MOLA TECNOLOGIA S.A."/>
        <s v="GENIVALDO DOS SANTOS"/>
        <s v="Nube - Nucleo Bras"/>
        <s v="Evaldo de Jesus"/>
        <s v="Cristina Pereira de Sena"/>
        <s v="Carlene Dos Santos"/>
        <s v="PEDRO HENRIQUE POSSIDONIO"/>
        <s v="HUMBERTO CONCEIÇÃO"/>
        <s v="Noberto da Silva Ferreira"/>
        <s v="Hellen Cristine Araújo"/>
        <s v="Beatriz Munarão"/>
        <s v="Gabriel Oliveira Sousa"/>
        <s v="Thayna Cristine"/>
        <s v="Lucas Rodrigues Afonso"/>
        <s v="Richard Souza Andrade"/>
        <s v="Adriana da Silva Furlan"/>
        <s v="BRINGME SERVICOS DIGITAIS LTDA"/>
        <s v="GUARULHOS CURSOS TECNICOS LTDA"/>
        <s v="QUALINFO SERVICOS DE INFORMATICA LTDA"/>
        <s v="Devolução de matriculas/Parcelas"/>
        <s v="PREXIS SERVICOS E REGISTROS DIGITAIS LTDA"/>
        <s v="CONSELHO DE ARQUITETURA E URBANISMO DE SAO PAULO (CAU-SP)"/>
        <s v="Associação Brasileira dos Franc"/>
        <s v="COMPANHIA DE SANEAMENTO BASICO DO ESTADO DE SAO PAULO - SABESP"/>
        <s v="AB - Abriens Elevadores"/>
        <s v="PONTUAL CONTROLE DE PONTO E ACESSO LTDA"/>
        <s v="FORTE DA GRANJA EMPREENDIMENTO IMOBILIARIO LTDA"/>
        <s v="AUTENTIQUE LTDA"/>
        <s v="Sales Destribuidora"/>
        <s v="SAPRA LANDAUER SERVICO DE ASSESSORIA E PROTECAO RADIOLOGICA LTDA."/>
        <s v="AMERICANAS S.A - EM RECUPERACAO JUDICIAL"/>
        <s v="EXTRA Cia Brasileira de distribuição"/>
        <s v="JACQUELINE MATIAS DE MENDONCA"/>
        <s v="Luciene Lopes"/>
        <s v="FERNANDO AFONSO DOS SANTOS"/>
        <s v="VICTORIA FERNANDES"/>
        <s v="F M S RODRIGUES CONSTRUTORA EL-ELYON"/>
        <s v="Elaine da Silva Castro"/>
        <s v="Vinicius Lima Torres de Oliveira"/>
        <s v="Gabriel Rocha"/>
        <s v="MARIA ADILLA DA CRUZ SOUZA"/>
        <s v="TALITA PEREIRA VIEIRA"/>
        <s v="MARIA ALEXSANDRA BORGES"/>
        <s v="Ana Beatriz Faustino Lopes"/>
        <s v="Samantha da Silva"/>
        <s v="CLEITON PEREIRA DE OLIVEIRA"/>
        <s v="Amanda Almeida Machado"/>
        <s v="ANDRE MARGARIZO"/>
        <s v="Matheus Danilo"/>
        <s v="Gabrielle Tavares Nunes"/>
        <s v="ADENILCE DE JESUS ROCHA"/>
        <s v="Matheus Raul"/>
        <s v="Jacy Salim"/>
        <s v="Edina Santos Silva"/>
        <s v="Artur Valente"/>
        <s v="DANIEL FERNANDO GALVAO"/>
        <s v="MACIEL BATISTA DE OLIVEIRA"/>
        <s v="NIVEL A FRANQUIAS DE CURSOS DE FORMACAO PROFISSIONAL LTDA"/>
        <s v="Paula Costa Teixeira"/>
        <s v="ELIANE FREIRES NEMET MARTINS"/>
        <s v="Maria Sandra Santos Tavares"/>
        <s v="Village Materiais De Acabamento LTDA"/>
        <s v="Isadora Ângelo Bezerra dos Santos ( Indicação Amigo)"/>
        <s v="METROPOLITAN LIFE SEGUROS E PREVIDENCIA PRIVADA SA"/>
        <s v="VANDERLEIA DOS SANTOS OLIVEIRA"/>
        <s v="GRAU T FRANQUIAS DE CURSOS TECNICOS LTDA."/>
        <s v="Mayara Virgulino dos Santos"/>
        <s v="Sirley Oliveira Munarao"/>
        <s v="KURT COMERCIO LTDA"/>
        <s v="MELO TRANSPORTES RODOVIARIO DE CARGAS LTDA"/>
        <s v="SP SOLUCOES PARA CADASTRO LTDA"/>
        <s v="WALDEMAR CAVALCANTI SOCIEDADE INDIVIDUAL DE ADVOCACIA"/>
        <s v="V H COMERCIO E SERVICOS DE EQUIPAMENTOS LTDA"/>
        <s v="Correios"/>
        <s v="Chaveiro Central"/>
        <s v="EDSONINA GALVAO MARTINS"/>
        <s v="LUIZ HIDEO"/>
        <s v="DIGCOM AR CONDICIONADO"/>
        <s v="MINISTERIO DA FAZENDA"/>
        <s v="ANGELA CALCADOS E BOLSAS LTDA."/>
        <s v="BIGLAR UTILIDADES DOMESTICAS E BRINQUEDOS LTDA"/>
        <s v="Theo Cakes Comercio de Alimentos Ltda"/>
        <s v="Casulo Destribuidora de Doces LDTA"/>
        <s v="CAMILO REIS DE AZEVEDO"/>
        <s v="G. CHAVES COMERCIO DE PARAFUSOS E FERRAMENTAS LTDA"/>
        <s v="FERNANDA CICERA CAMPELO VENSESLAU SALGADOS"/>
        <s v="Monique Crisrina Silva Rodrigues"/>
        <s v="CAIXA ECONOMICA FEDERAL"/>
        <s v="FGTS - Fundo de garantia do tempo de serviço"/>
        <s v="INSTITUTO PRESBITERIANO MACKENZIE"/>
        <s v="Jose Nilton Santos de Jesus"/>
        <s v="Devoluçao de Parcela/Matricula"/>
        <s v="Eletronica 707 Primitiva LTDA"/>
        <s v="ARMARINHOS FERNANDO LTDA"/>
        <s v="Naiara Oliveira Santana"/>
        <s v="Kauan Fernandes"/>
        <s v="Ana Beatriz"/>
        <s v="Ana Julia"/>
        <s v="Ana Clara"/>
        <s v="Maria Helena Gonzales"/>
        <s v="CONSELHO REGIONAL DE ENFERMAGEM DE SAO PAULO"/>
        <s v="TELEFONICA BRASIL S.A."/>
        <s v="TREVISO COMERCIO VAREJISTA"/>
        <s v="BRTEC EDUCACAO PROFISSIONAL DE NIVEL TECNICO LTDA."/>
        <s v="FLASH TECNOLOGIA E INSTITUICAO DE PAGAMENTO LTDA"/>
        <s v="FORUM NACIONAL DAS MANTENEDORAS DE INSTITUICOES DE EDUCACAO PROFISSIONAL E TECNOLOGICA"/>
        <s v="M2R2 COMERCIO DE UTENSILIOS DOMESTICOS LTDA"/>
        <s v="Ana Clara Camara"/>
        <s v="Shopee"/>
        <s v="NUBE - Nucleo Bras de Estagios"/>
        <s v="CONSENSUS CONSULTORIA CONTABIL LTDA"/>
        <s v="Atacama Digital"/>
        <s v="NKT PARK E SERVICOS"/>
        <s v="COMERCIAL"/>
        <s v="Hevelly Aguiar"/>
        <s v="GRAU P FRANCHISING"/>
        <s v="Monique Cristina Silva Rodrigues"/>
        <s v="ROSANGELA APARECIDA MUNARAO"/>
        <s v="Lucimara Barbosa"/>
        <s v="MIAMOR BAZAR E PAPELARIA LTDA"/>
        <s v="Bmp Utilidades Domesticas S A"/>
        <s v="COPIADORA CHARLIE OSASCO LTDA"/>
        <s v="GEOVANIA ARISTIDES DOS SANTOS"/>
        <s v="LARISSA FERREIRA DE LIMA"/>
        <s v="ISABELLA ACASSIA DE LIRA"/>
        <s v="Kaio Felix de Macedo"/>
        <s v="Sueli França"/>
        <s v="Victor Fernando Araujo"/>
        <s v="CAMILA GOMES DA SILVA"/>
        <s v="PEDRO HENRIQUE POSSIDONIO DA S"/>
        <s v="Gabrielle Tavares"/>
        <s v="Edina Santos"/>
        <s v="AB-ABRIENS ELEVADORES COMERCIO MANUTENCAO &amp; SERVICOS LTDA"/>
        <s v="FABRICIO MARCELO SANTOS RODRIG"/>
        <s v="INST PRES MACKENZIE"/>
        <s v="GABRIELA DE TOLEDO SOUZA"/>
        <s v="57.537.935 EDAYNE JESSICA FERREIRA SILVA"/>
        <s v="Joao Batista Leite"/>
        <s v="EVALDO DE JESUS SANTANA"/>
        <s v="MIRIA FERREIRA GOMES DA SILVA"/>
        <s v="Fabricio Marcelo - Manutenção"/>
        <s v="TREVISO - COMERCIO VAREJISTA DE UTILIDADES DOMESTICAS LTDA"/>
        <s v="RC DIAGNOSTICO POR IMAGEM LTDA"/>
        <s v="RAFAELA LINO"/>
        <s v="MIRIAN OLAH ZUH"/>
        <s v="Uber/ frete"/>
        <s v="WILLIAM DOS SANTOS SOUZA"/>
        <s v="GENIVALDO VITORIO DOS SANTOS"/>
        <s v="Lalamove"/>
        <s v="Luana Gonçalves"/>
        <s v="Uber"/>
        <s v="Hellen Cristine Araujo"/>
        <s v="JR Distribuidora Comercio"/>
        <s v="Maria Lucia Soares"/>
        <s v="Maria Lucia F. da Cunha"/>
        <s v="Isabela - Vendedora Ext"/>
        <s v="Guilherme - Vendedor Ext"/>
        <s v="Atila Gandhi"/>
        <s v="Vivo Telefone"/>
        <s v="JENNYFER FRANKLIN BARBOSA DAS"/>
        <s v="Enel"/>
        <s v="HELMA DE SOUSA SILVA"/>
        <s v="Keylla Inacio de Freitas"/>
        <s v="Julia Aderiza Leal de Souza"/>
        <s v="JENIFFER DA SILVA SANTOS"/>
        <s v="FLAVIA SOUZA CARVALHO"/>
        <s v="Angela Braga"/>
        <s v="Kelly Cristina Ramos"/>
        <s v="REDE INTEGRADA DE LOJAS DE CONVENIENCIA E PROXIMIDADE S.A."/>
        <s v="OSASCO EDUCACIONAL CURSOS TECNICOS LTDA"/>
        <s v="Elo camisetas Ltda"/>
        <s v="Auto viação Urubupunga Ltda"/>
        <s v="Audix Informatica"/>
        <s v="Atila Gandhi Gomes"/>
        <s v="Sirley de Oliveira Munarão"/>
        <s v="Kaio Felix Macedo"/>
        <s v="HIDROSASCO COM. E ASSISTENCIA TECNICA EM METAIS SANITARIOS LTDA"/>
        <s v="Banca Batista"/>
        <s v="Adila"/>
        <s v="NEPS- CONTRAPARTIDA DE ESTÁGIO"/>
        <s v="Jacy Marcos Salim ( AVANTE)"/>
        <s v="Elaine Da Silva Castro Maciel"/>
        <s v="Eliane Araujo"/>
        <s v="Joao Batista Leite Junior"/>
        <s v="Andrea Barreto"/>
        <s v="FERNANDA SANTIAGO IDALINO"/>
        <s v="MARIA DE FATIMA GUERRA"/>
        <s v="MARIA ROSELI LINS RISSO"/>
        <s v="RITA DE CASSIA OLIVEIRA DA ROCHA"/>
        <s v="RUTHY KESSIA GOMES DE CASTRO"/>
        <s v="THAINARA DA ROCHA"/>
        <s v="Matheus Raul Silvestre dos Santos"/>
        <s v="JANAINA CRISTINA ALVES BORGES"/>
        <s v="JOSE CARLOS SANTANA DE JESUS"/>
        <s v="ELIZABETE COUTO SILVA"/>
        <s v="CARLOS HENRIQUE CARVALHO ARANE"/>
        <s v="ADRIANA PEREIRA CARDOZO"/>
        <s v="Maria Suely da Silva Leandro"/>
        <s v="DENIS JOSE PAZ DE SOUSA"/>
        <s v="Grau Técnico Guarulhos"/>
        <s v="BRUNO RODOLFO BRAGA"/>
        <s v="Nível A Franquias de Cursos"/>
        <s v="Luciana Silva Alves"/>
        <s v="Michelle Aparecida"/>
        <s v="Barkev Materiais de Construções LTDA"/>
        <s v="ALINE MOURA DOS SANTOS SOARES"/>
        <s v="Grafica Portal Cards"/>
        <s v="GP Gráfica Portal Cards"/>
        <s v="VICTOR ALEXANDRE TODERO VEREDA"/>
        <s v="TIAGO PESSOA COSTA REIS"/>
        <s v="DIEGO APARECIDO DA SILVA REFRIGERACAO"/>
        <s v="ANA PAULA DE OLIVEIRA SANTOS R"/>
        <s v="DANYELLE SANTOS MASCARENHAS"/>
        <s v="VERISURE"/>
        <s v="Ricardo Da Silva Lino"/>
        <s v="LETICIA NUNES DA FONSECA"/>
        <s v="Weslley Mateus"/>
        <s v="Milene da Silva Miranda"/>
        <s v="GRAZIELLY SEPRIANO DOS SANTOS"/>
        <s v="THALITA SANTANA RODRIGUES"/>
        <s v="Emerson Vieira"/>
        <s v="Lucas Rodrigues"/>
        <s v="Maria Lucia Ferreira"/>
        <s v="Deiziane Silva Melo"/>
        <s v="S PUBLICO R JANEIRO RJ"/>
        <s v="Douglas Henrique Oliveira da Silva"/>
        <s v="DARE-SP"/>
        <s v="VANESSA LACERDA DIAS"/>
        <s v="DANIELLE FERREIRA DA SILVA"/>
        <s v="CRISTIANO MARQUES PEREIRA"/>
        <s v="Fernanda Santiago"/>
        <s v="MARIA APARECIDA DA SILVA ALVES"/>
        <s v="Sandra Maria Correa"/>
        <s v="FERNANDA SANTOS BARBOZA"/>
        <s v="JENIFER SANTOS DE DEUS"/>
        <s v="ROSIMEIRE MACIEL LEITE"/>
        <s v="THIAGO DA SILVA"/>
        <s v="Ingrid Brito da Silva Correa"/>
        <s v="Tribunal Regional do Trabalho"/>
        <s v="OSASPEL COMERCIO DE PAPEIS LTDA"/>
        <s v="LOJAS TECNISON LTDA"/>
        <s v="Maria Clara Freitas"/>
        <s v="Guilherme Boyer Lino Souza"/>
        <s v="CIA BRASILEIRA DE DISTRIBUIÇÃO OSASO PRIMITIVA"/>
        <s v="Willyan Montebello"/>
        <s v="Douglas de Almeida Souza"/>
        <s v="Victor Tavares Vian"/>
        <s v="Luiz Felipe Vital Nascimento"/>
        <s v="Chavelândia"/>
        <s v="LILIAN QUEIROZ DE SOUSA"/>
        <s v="LOTUS CENTRAL DE DISTRIBUICAO"/>
        <s v="Psicomed S/C LTDA"/>
        <s v="ESTELLA CHAUSSE DE DEUS"/>
        <s v="EDSON MENDONCA DE OLIVEIRA JUN"/>
        <s v="INGRID BRITO DA SILVA CORREIA"/>
        <s v="GUILHERME BOYHER LINO SOUZA"/>
        <s v="Victor Alexandre"/>
        <s v="Janeide da Silva"/>
        <s v="Guilherme de Oliveira Camargo"/>
        <s v="LEANDRO SIQUEROLI DE LIMA"/>
        <s v="Vinicius Lima Torres"/>
        <s v="RC DIAGNOSTICO POR IMAGEM"/>
        <s v="MARTA APARECIDA LINO"/>
        <s v="EDSON JOSE DE MELO"/>
        <s v="CAMILLY URBANO DA SILVA"/>
        <s v="56 Capinhas"/>
        <s v="Janaina dos Santos"/>
        <s v="FELIPE DE CASTRO"/>
        <s v="Edson Mendonça de Oliveira Junior"/>
        <s v="TOTVS S.A."/>
        <s v="Victoria de Oliveira Ferreira"/>
        <s v="Henrique Lima Martins Lares"/>
        <s v="HD Sistemas de limpeza e descartaveis ltda"/>
        <s v="Henrique Lima Martins"/>
        <s v="ADRIANA BATISTA DE OLIVEIRA"/>
        <s v="Gilson de Carvalho Santos"/>
        <s v="CORPUS COMERCIAL E SERVICOS LTDA"/>
        <s v="FILIPE MARTINS SANTANA RODRIGUES"/>
        <s v="Neuza Rocha Stripoli"/>
        <s v="Banca Conan - Chaveiro"/>
        <s v="Memória de elefante"/>
        <s v="G T SANTO AMARO CURSOS TECNICOS LTDA"/>
        <s v="OSWALDO BUENO JUNIOR"/>
        <s v="RAYLA NASCIMENTO DA SILVA"/>
        <s v="Gabriel Rocha da Silva"/>
        <s v="VALDEMIR BRANZAN RODRIGUES"/>
        <s v="BEATRIZ ZANARDI FRANCISCO"/>
        <s v="LETICIA PIRAN"/>
        <s v="THAYNA COSTA PEREIRA"/>
        <s v="Maria de Fatima Nunes"/>
        <s v="JANEIDE DA SILVA REIS"/>
        <s v="MARIANA BOSSELMANN ALBINO"/>
        <s v="ELIENE DAS MERCES"/>
        <s v="CSL PARK ESTACIONAMENTO LTDA"/>
        <s v="TIMA CONSULTORIA"/>
        <s v="Maria Alzira de Sousa"/>
        <s v="HELIO MARCIO COSTA SOUZA"/>
        <s v="MERCADO PAGO INSTITUICAO DE PAGAMENTO LTDA"/>
        <s v="Catia Alves"/>
        <s v="R O Moreira Comercial LTDA"/>
        <s v="Tecidos Mariel LTDA"/>
        <s v="MILENA FERREIRA DA SILVA"/>
        <s v="ALINE CHAVES LIMA SANTOS"/>
        <s v="GRACE KELLY DA SILVA GOES"/>
        <s v="João Victor Santos Costa"/>
        <s v="Glaucia Aparecida"/>
        <s v="SIND.ENT.CULT.REC.ASSIST.SOC.O FORM.PROFIS.E.S.P"/>
        <s v="ALESSANDRA DIEGO DANTAS"/>
        <s v="THAMIRES OLIVEIRA DOS SANTOS"/>
        <s v="SIND EMPREG ENTID CULT R AS SOC O F PROF EST SAO PAULO"/>
        <s v="MUNICIPIO DE OSASCO"/>
        <s v="José Neres"/>
        <s v="OFICIAL DE REGISTRO CIVIL DAS PESSOAS NATURAIS DO 2 SUBDISTRITO DA SEDE"/>
        <s v="Vytor Hugo Santos Andrade"/>
        <s v="Ikaro Matheus Silva"/>
        <s v="Eduarda Oliveira Munarão"/>
        <s v="Sergio Anderson Gomes de Souza"/>
        <s v="Rei das Festas"/>
        <s v="chip"/>
        <s v="PROMINCE SOLUÇOES"/>
        <s v="REYK COMERCIO E MANUTENCAO E RECICLAGEM DE EQUIPAMENTOS HOSPITALARES LTDA"/>
        <s v="Shopping do Paciente"/>
        <s v="EDUPARK ESTACIONAMENTO"/>
        <s v="Raquel Da Silva Souza"/>
        <s v="CLOVIS ENGRAXADOR"/>
        <s v="PROMINENCE SOLUCOES GRAFICAS E COMUNICACAO LTDA"/>
        <s v="ELIANE DE PAULA BRITO PAZ"/>
        <s v="Banca Marechal"/>
        <s v="NILTON JOSE FLORES JUNIOR"/>
        <s v="EVELYN MARTINS FERNANDES DE ARAUJO"/>
        <s v="JACQUELINE SUARES DE ALMEIDA SANTOS"/>
        <s v="Thais Ribeiro Nunes"/>
        <s v="VANDA MARIA NASCIMENTO DA CUNHA"/>
        <s v="ROBSON RICARDO SILVA TINOCO"/>
        <s v="LEANDRO SIQUEROLI"/>
        <s v="Elisabete da silva"/>
        <s v="Sabesp"/>
        <s v="Kelly de Oliveira Meyer"/>
        <s v="Fabiana Evelyn Peito de Lima"/>
        <s v="Isabely de Vasconcelos Moreira Cardoso"/>
        <s v="FORTPEL COMERCIO DE DESCARTAVEIS LTDA"/>
        <s v="OLIVIA PEREIRA GONCALVES"/>
        <s v="Miriã Laurinda de Sena"/>
        <s v="CAROLINA ARRUDA ALENCAR PERNAMBUCO"/>
        <s v="WPX - SERVICOS RADIOLOGICOS LTDA"/>
        <s v="Luciana Aparecida Cesario do Nascimento"/>
        <s v="Andre Hernandes Vieira da Silva"/>
        <s v="SUPRICORP SUPRIMENTOS LTDA"/>
        <s v="Rillary Stephany Correa da Silva"/>
        <s v="FABIO LUIZ FRANCISCO SILVA"/>
        <s v="Cristiane Tadeu"/>
        <s v="Geraldo Dos Santos"/>
        <s v="DJEFFERSON SANTOS DE ARAUJO"/>
        <s v="DARF"/>
        <s v="SEMETRA SEG TRAB LTDA"/>
        <s v="Recarga CHIP"/>
        <s v="Elisa Evangelista de Sousa"/>
        <s v="Rita De Cássia Hipólito De Souza"/>
        <s v="Dayane de Souza Magalhães"/>
        <s v="Selma da Silva Ferreira"/>
        <s v="Valdirene Pereira da Silva"/>
        <s v="Cicera Queila de Andrade"/>
        <s v="BRILHANTE SUPER ECONOMIA COMERCIO VARIEDADES LTDA"/>
        <s v="Ivone Gomes Silva de Lima"/>
        <s v="WEND MOIRA SILVA RAMOS HORTA"/>
        <s v="ENTRE AMIGOS PRAIA"/>
        <s v="GUSTAVO MIRANDA DA SILVA"/>
        <s v="WW PIZZARIA E RESTAURANTE MUSTANGUE LTDA"/>
        <s v="Lucas da Silva Araujo"/>
        <s v="Maristela Conceição da Silva"/>
        <s v="Raquel Papelaria"/>
        <s v="ANDERSON FERREIRA"/>
        <s v="ANDRE FELICIANO DE LIRA"/>
        <s v="CLARILZA DE MELO"/>
        <s v="Eliane Araujo Freires"/>
        <s v="DIMEG SERVICOS MEDICOS HOSPITALARES LTDA"/>
        <s v="TAURUS UNITEXT ENGENHARIA E SERVICOS LTDA"/>
        <s v="Willian Siqueira Cardoso"/>
        <s v="FABIANA MARIA LEITE"/>
        <s v="Flavia Siliani"/>
        <s v="Gabriel Lucio Lizardo"/>
        <s v="LA PLAGE COMERCIO DE ALIMENTOS LTDA"/>
        <s v="MICHELLE BARBOSA LIMA SANTOS"/>
        <s v="IDELBERTO RODRIGUES CEZARIO"/>
        <s v="ARLINDO RODRIGUES MACHADO NETO"/>
        <s v="celia conceição"/>
        <s v="ABDY RANGEL FERREIRA TEIXEIRA"/>
        <s v="THIAGO LUIZ DA SILVA"/>
        <s v="Rodrigo Cassiano do Nascimento"/>
        <s v="Gabriel Xavier Gomes"/>
        <s v="Salgado Artefatos de Borracha Ltda"/>
        <s v="William Alves"/>
        <s v="MEMORIAS PRESENTES LTDA"/>
        <s v="Vale Transporte"/>
        <s v="CASULO DISTRIBUIDORA DE DOCES LTDA"/>
        <s v="BARKEV MATERIAIS PARA CONSTRUCOES LTDA"/>
        <s v="AGUA BOA TRANSPORTES LTDA"/>
        <s v="G Chaves Comercio de Parafusos e Ferramentas Ltda Me"/>
        <s v="RESTAURANTE E LANCHONETE UNIVERSITARIA CENTRO LTDA"/>
        <s v="Priscila Rodrigues Santana"/>
        <s v="RICARDO COSMETICOS LTDA"/>
        <s v="WMS SUPERMERCADOS DO BRASIL LTDA."/>
        <s v="JANETE MARIA DA SILVA 67833268453"/>
        <s v="Kelly Aparecida de Souza Ribeiro"/>
        <s v="Bia Plast Comercio de Embalagens e Descartáveis"/>
        <s v="58.388.057 ALCINDA DE SOUZA MANTOVANI"/>
        <s v="CS SH OSASCO PLAZA LTDA"/>
        <s v="Kelbi Gonçalves"/>
        <s v="LUCIMAR UMBELINA ARAUJO DA CUNHA"/>
        <s v="sonia maria Pedro da silva cilqueira"/>
        <s v="Weslley Cesar dos Santos"/>
        <s v="GRACILENE MENDES SILVA"/>
        <s v="VANESSA BARBOZA DAS NEVES"/>
        <s v="Damiana Rodrigues De Souza Leite"/>
        <s v="lais de castro"/>
        <s v="RICARDO BARBOSA"/>
        <s v="STEFANY ELLEN SOUZA COSTA"/>
        <s v="Carlos Felipe ângelo da Silva"/>
        <s v="LAERTE REGINALDO DE BRITO"/>
        <s v="RICARDO DE OLIVEIRA ESTRELA MEYER"/>
        <s v="SALES / Lotus Central de Distribuicao de Higienicos Ltda"/>
        <s v="SHOPPING DO PACIENTE ARTIGOS MEDICOS E ORTOPEDICOS LTDA"/>
        <s v="BANCO DO BRASIL SA"/>
        <s v="58.776.580 WILLIAM DO NASCIMENTO MONTEIRO"/>
        <s v="DANIEL DOS SANTOS FREITAS"/>
        <s v="Joseane Rodrigues do Nascimento"/>
        <s v="Jairo Santos Baleeiro"/>
        <s v="Maria Cecilia Coutinho Malta Fernandes"/>
        <s v="Simone Alves dos Santos"/>
        <s v="PRO-RAD CONSULTORES EM RADIOPROTECAO S/S LTDA"/>
        <s v="Priscila de Jesus dos Santos ferreira"/>
        <s v="Claudionei Matias dos Santos"/>
        <s v="WALDOMIRO DOS SANTOS"/>
        <s v="Jéssica Talita Nascimento Silva"/>
        <s v="Ariane Aparecida Vieira"/>
        <s v="MCM TEIXEIRA DOCES E LATICINIOS"/>
        <s v="DIANA DA PAIXAO JACHINI"/>
        <s v="CASA DO NORTE OSASCO"/>
        <s v="LANCHONETE E RESTAURANTE BRAZUKA LTDA"/>
        <s v="Vinicius da Cunha Moraes"/>
        <s v="JULIANA MARIA VICENTE BOTELHO"/>
        <s v="STHEFANY DA SILVA FERREIRA"/>
        <s v="Garoto Express"/>
        <s v="SENDAS DISTRIBUIDORA S/A"/>
        <s v="Gisele Santos Araújo"/>
        <s v="Karla Cristina Farias"/>
        <s v="DAGMAR ORLANDO MONTEIRO DUARTE"/>
        <s v="NOVO IMPULSO ACESSORIOS PARA CELULARES LTDA"/>
        <s v="Gilvana Gentil Monteiro"/>
        <s v="Mayra Gomes de Souza"/>
        <s v="ARIANA DE JESUS SANTOS"/>
        <s v="GABRIEL EUGENIO DIONISIO 35746352810"/>
        <s v="RAIA DROGASIL S/A"/>
        <s v="60.781.296 EMERSON NASCIMENTO FERREIRA"/>
        <s v="LEANDRO NOBRE DOS SANTOS 37848361861"/>
        <s v="PEDRO MELCIOR VIANA 30116084820"/>
        <s v="LETICIA BATISTA DE OLIVEIRA"/>
        <s v="Kauany Crispim da Silva"/>
        <s v="CARLOS HENRIQUE CARVALHO ARANEGA"/>
        <s v="Rita de cassia da silva"/>
        <s v="SISTEMAS DE SERVICOS R.B. QUALITY COMERCIO DE EMBALAGENS LTDA"/>
        <s v="Alexandre da Silva Azevedo"/>
        <s v="FERNANDO AFONSO"/>
        <s v="Salgado Artefatos de Borracha"/>
        <s v="PSICOMED LTDA"/>
        <s v="Luana Vitória da Silva Fernandes"/>
        <s v="Lucimeire Barbosa"/>
        <s v="ANE CAROLINE"/>
        <s v="GIANLUCA"/>
        <s v="Gislaine Santos"/>
        <s v="COMERCIAL QUIRAZ LTDA."/>
        <s v="Isabella Viana SAnchez"/>
        <s v="HELIO TEIXEIRA DA CRUZ ARMARINHOS"/>
        <s v="Rodolfo Rodrigues Silva"/>
        <s v="Michelle Almeida dos Santos"/>
        <s v="Sueli Calegari"/>
        <s v="KONG INFOCELL COMERCIO E PRESTACAO DE SERVICOS DE PRODUTOS ELETRONICOS LTDA"/>
        <s v="EDITORA CAPRI COMERCIO LTDA"/>
        <s v="EMANUELLE NASCIMENTO"/>
        <s v="FELIPE MARINHO DA CRUZ GOMES"/>
        <s v="CONSTRUDECOR S/A"/>
        <s v="MERCADO LIVRE"/>
        <s v="EMERSON NASCIMENTO FERREIRA"/>
        <s v="MICHELLE MOURA RODRIGUES GRANELLE AGUIAR"/>
        <s v="LEROY MERLIN COMPANHIA BRASILEIRA DE BRICOLAGEM"/>
        <s v="ELIOTEC ELEVADORES LTDA"/>
        <s v="SUELI MARIA DE OLIVEIRA SILVA"/>
        <s v="ROBERIO SILVA CASE"/>
        <s v="Vania Paixão Costa"/>
        <s v="RECEITA FEDERAL"/>
        <s v="DEMETRIO FERREIRA GUIMARÃES"/>
        <s v="COMPANHIA BRASILEIRA DE DISTRIBUICAO"/>
        <s v="Ana Cristina Pereira"/>
        <s v="Anne Caroline Araujo Santos"/>
        <s v="Ivone de Jesus Lopes"/>
        <s v="Rauane Martins Borges"/>
        <s v="ASIA COMERCIAL DE UTILIDADES DOMESTICAS LTDA"/>
        <s v="BAZAR KIOTO LTDA"/>
        <s v="GABRIEL COSTA FERRO"/>
        <s v="TIFFANY DE CASTRO COSTA"/>
        <s v="RONALDO JOSÉ DAMACENO"/>
        <s v="Dhennis Souza Pereira"/>
        <s v="Kauan Fernandes Nascimento"/>
        <s v="CRISTIANA MARQUES MONTEIRO"/>
        <s v="SHPP BRASIL INSTITUICAO DE PAGAMENTO E SERVICOS DE PAGAMENTOS LTDA"/>
        <s v="Paulista Camisetas Ltda"/>
        <s v="ALEXSANDRA DOS SANTOS MOTA"/>
        <s v="ANDREZA GONÇALVES"/>
        <s v="MARIA PAULA DA SILVA SOUSA"/>
        <s v="FASHION LADY COMERCIO DE VESTUARIO E VARIEDADES LTDA"/>
        <s v="NUTRICAR BRASIL COMERCIO DE PRODUTOS ALIMENTICIOS S.A."/>
        <s v="Danaylla Camilo Alves"/>
        <s v="ANDREA PEREIRA CORREIA"/>
        <s v="CENTRO TECNICO EDUCACIONAL LAPA LTDA"/>
        <s v="62.254.936 SAMIR FARAH"/>
        <s v="JOSE ARMANDO DE OLIVEIRA"/>
        <s v="Adenilson Silva Do Nascimento"/>
        <s v="Victoria Marques Saad"/>
        <s v="Ryan Miguel Novaes dos Santos"/>
        <s v="LANCHONETE AJ SALGADOS LTDA"/>
        <s v="João Paulo Candido"/>
        <s v="ALPHA ELITE LTDA"/>
        <s v="Sara Marques Lins"/>
        <s v="SEGUNDO TABELIONATO DE NOTAS DA COMARCA DE OSASCO"/>
        <s v="ARTHUR GOUVEIA MONTEIRO"/>
        <s v="Paula Maria Aparecida Mota da Silva"/>
        <s v="LUCAS OLIVEIRA LEITE"/>
        <s v="31.484.087 ANTONIO RENATO DE SIQUEIRA SANTOS"/>
        <s v="Associação Brasileira dos Franc /NIVEL A"/>
        <s v="ABF dos Centro de Ensino T"/>
        <s v="Sami Abdu Baki"/>
        <s v="ADRIANA CRISTALINO RIBEIRO 14855617873"/>
        <s v="DLOCAL BRASIL INSTITUICAO DE PAGAMENTO S.A."/>
        <s v="Samantha Lopes"/>
        <s v="Maria de Fátima Sena Santos"/>
        <s v="99 TECNOLOGIA LTDA"/>
        <s v="Jaqueline ferreira carnriro"/>
        <s v="ADYEN DO BRASIL INSTITUICAO DE PAGAMENTO LTDA."/>
        <s v="JOSE ALEXANDRE DE OLIM CAMARA"/>
        <s v="Ariane Alcantara De Souza"/>
        <s v="Rauane Soares Pereira"/>
        <s v="NEW CENTRO DE ENSINO LTDA"/>
        <s v="CAMILA CRISTINA OLIVEIRA DA SILVA"/>
        <s v="SECADOR DE MAOS,SABONETEIRA E DISPONSERS"/>
        <s v="Kalunga S.A"/>
        <s v="JULIANO ROTELI VIEL COMERCIO DE CHOCOLATES LTDA"/>
        <s v="Eva Nascimento Oliveira de Lacerda"/>
        <m/>
        <s v="Henrique Estevão Diogo"/>
        <s v="Rafael Vieira de Souza"/>
        <s v="CONSELHO REGIONAL DE TECNICOS EM RADIOLOGIA 5 REGIAO"/>
        <s v="WENDER DAVID DE CARVALHO"/>
        <s v="MARCOS ANDRE DOS SANTOS RIBEIRO"/>
        <s v="ILUMELETRO COMERCIAL LTDA"/>
        <s v="A&amp;C X DIAGNOSTICOS POR IMAGEM LTDA"/>
        <s v="SF PAGAMENTOS LTDA"/>
        <s v="Roseane Nunes Muniz"/>
        <s v="FR ELEVADORES E PONTES ROLANTES LTDA"/>
        <s v="Sthefany Ferreira"/>
        <s v="KALUNGA SA"/>
        <s v="ramiris rodriues da silva"/>
        <s v="Monique Caroline Amancio De Almeida"/>
        <s v="Lucyana Santos Da Silva"/>
        <s v="Marcia Aparecida Prevedello"/>
        <s v="Maria Beatriz Alves dos Santos"/>
        <s v="shopping do benefici0o"/>
        <s v="Ramiris Rodrigues Aa Silva"/>
        <s v="okinalar"/>
        <s v="PEROLAS MAKE COMERCIO DE PRODUTOS COSMETICOS LTDA"/>
        <s v="R.O.MOREIRA COMERCIAL LTDA"/>
        <s v="Telma Lima Pamponet"/>
        <s v="Vanda Rodrigues Bonatto"/>
        <s v="Eliane Maria Santos"/>
        <s v="geo coosmeticos"/>
        <s v="Márcia Francisca Andrade De Miranda"/>
        <s v="BANCA OSASCO LTDA"/>
        <s v="Lucélia Ferreira de Brito Zagari de Freitas"/>
        <s v="Banca da Alice"/>
        <s v="Bruno Meireles Leme"/>
        <s v="Anne Caroline"/>
        <s v="DIEGO RAFAEL BRAZ BERENGUER TAVARES"/>
        <s v="Claro Net"/>
        <s v="TATIANE BARRETO ESPANHOL"/>
        <s v="Kathleen Aparecida Lucena de Jesus"/>
        <s v="Evellyn Silva Sampaio"/>
        <s v="CRISLAINE DA SILVA DIONISIO"/>
        <s v="JOAO PAULO CANDIDO"/>
        <s v="Emerson Rodrigues Vale"/>
        <s v="MULTIDISPLAY COMERCIO E SERVICOS TECNOLOGICOS LTDA."/>
        <s v="ANA CAROLINE COSTA"/>
        <s v="Vanessa Da Costa Rodrigues"/>
        <s v="BARNEN EDUCACIONAL LTDA"/>
        <s v="AIRBNB PLATAFORMA DIGITAL LTDA"/>
        <s v="CENTRO DE EXCELENCIA PRATICA BARUERI LTDA"/>
        <s v="TIM S A"/>
        <s v="eliane Maria Dos Santos"/>
        <s v="yasmin santos"/>
        <s v="Comercial Chocolandia LTDA"/>
        <s v="Ana Clara Silva Marques"/>
        <s v="Lorena Beatriz da Silva Gamenha"/>
        <s v="Edna aparecida silva alves"/>
        <s v="sophya vitorino"/>
        <s v="Taís Vicente de Almeida"/>
        <s v="WBL GRAFICA E EDITORA LTDA"/>
        <s v="ANA BEATRIZ Faustino"/>
        <s v="Valéria Trifanovas"/>
        <s v="Beatriz Batista Pessoa"/>
        <s v="Adriana Marinheiro Da Cruz Coutinho"/>
        <s v="DIEGO BLAYA BACHESQUE"/>
        <s v="Dlocal A Serviço de facebook"/>
        <s v="PURIFIKAR COMERCIO E DISTRIBUIDORA LTDA"/>
        <s v="B R BRAGA"/>
        <s v="MARCOS VINICIUS SANT ANNA FELIX DAMASCENO DE MOURA"/>
        <s v="JUDICIARIO BANCO DO BRASIL SA"/>
        <s v="TRIBUNAL REGIONAL DO TRABALHO DA 2A REGIAO"/>
        <s v="Kauany Keylla Nascimento da Silva"/>
        <s v="Julivan Monteiro da Silva"/>
        <s v="Jessica Santos Souza"/>
        <s v="Tamizia Alves De Almeida"/>
        <s v="Rodrigo Soares Borges"/>
        <s v="natura"/>
        <s v="JULIA MILENE CHELERI"/>
        <s v="Debora Silva Santos"/>
        <s v="TAMIZIA ALVES DE OLIVEIRA"/>
        <s v="Lucilene da Silva Santos"/>
        <s v="I-PARKING ESTACIONAMENTO LTDA"/>
        <s v="Danubia Pereira da Silva"/>
        <s v="IMPAKTO SISTEMAS DE LIMPEZA E DESCARTAVEIS LTDA"/>
        <s v="TATIANA LUCILA PIRES SOBRINHO"/>
        <s v="ALINE DOS SANTOS DA SILVA"/>
        <s v="Joanderson Silva De Jesus"/>
        <s v="CALVO COMERCIAL IMPORTACAO E EXPORTACAO LTDA"/>
        <s v="CENTRO ESTADUAL DE EDUCACAO TECNOLOGICA PAULA SOUZA"/>
        <s v="KELLY RAQUEL RODRIGUES CARDOSO BOOZ"/>
        <s v="LE VILLE PAES E DOCES LTDA"/>
        <s v="Calvo" u="1"/>
        <s v="ASSOCIACAO BRASILEIRA DOS FRANQUEADOS DO CENTRO DE ENSINO GRAU T" u="1"/>
        <s v="Waldemar Cavalcante Advogado" u="1"/>
        <s v="BRUNO STATI FARAH" u="1"/>
      </sharedItems>
    </cacheField>
    <cacheField name="Taxa" numFmtId="0">
      <sharedItems containsBlank="1" count="107">
        <s v="60109-MIDIA DE INTERNET"/>
        <s v="60023-VALE TRANSPORTE"/>
        <s v="60049-MANUTENCAO DE EQUIPAMENTOS"/>
        <s v="60098-TARIFAS BANCARIAS"/>
        <s v="60102-IOF"/>
        <s v="60032-EXAMES MEDICOS / PCMSO / PPRA"/>
        <s v="60100-TARIFA PIX"/>
        <s v="60097-TARIFA MANUTENCAO DE CONTA"/>
        <s v="60030-PREMIACOES E GRATIFICACOES"/>
        <s v="60047-MANUTENCAO PREDIAL"/>
        <s v="60001-APOSTILA"/>
        <s v="60159-CONTRA PARTIDA DE ESTAGIO"/>
        <s v="60046-TELEFONIA MOVEL"/>
        <s v="60091-ESTACIONAMENTO / PEDAGIO"/>
        <s v="60027-AJUDA DE CUSTOS PESSOAL"/>
        <s v="60013-SALARIOS"/>
        <s v="60080-ALUGUEL / ASSINATURA DE SISTEMAS"/>
        <s v="60067-OUTRAS DESPESAS"/>
        <s v="60003-FARDAMENTO ALUNOS"/>
        <s v="60019-RESCISOES / IDENIZACOES"/>
        <s v="60010-DEVOLUCAO DE PARCELAS"/>
        <s v="60079-MARCAS / REGISTROS / PATENTES"/>
        <s v="60053-FUNDO DE PROPAGANDA"/>
        <s v="60043-AGUA E ESGOTO"/>
        <s v="60040-ALUGUEL"/>
        <s v="60057-MATERIAL DE LIMPEZA E CONSERVACAO"/>
        <s v="60078-LOCACAO DE EQUIPAMENTOS"/>
        <s v="60055-MATERIAL DE ESCRITORIO"/>
        <s v="60011-DEVOLUCAO DE MATRICULAS"/>
        <s v="60004-INSTRUTOR"/>
        <s v="60005-PRECEPTOR"/>
        <s v="60014-FERIAS"/>
        <s v="60022-VALE ALIMENTACAO / REFEICAO"/>
        <s v="60012-PRO LABORE"/>
        <s v="60106-JUROS E TAXAS SOBRE EMPRESTIMOS"/>
        <s v="60007-SEGURO ESTAGIOS"/>
        <s v="60052-ROYALTIES"/>
        <s v="60077-IMPRESSOES / COPIAS / CARIMBOS / CARTOES"/>
        <s v="60083-TRANSPORTES E FRETES"/>
        <s v="60069-JURIDICO"/>
        <s v="60119-SIMPLES NACIONAL"/>
        <s v="60009-SERVICOS DE ASSESSORIA PEDAGOGICA"/>
        <s v="60036-EPI'S"/>
        <s v="60017-INSS SALARIO"/>
        <s v="60114-EVENTOS / FEIRAS"/>
        <s v="60058-MATERIAL DE USO E CONSUMO"/>
        <s v="60020-FGTS RESCISORIO"/>
        <s v="60056-MATERIAL DE INFORMATICA"/>
        <s v="60158-CARTAO DE CREDITO"/>
        <s v="60150-SERVICOS ARQUITETONICOS E PROJETOS"/>
        <s v="60042-ENERGIA ELETRICA"/>
        <s v="60054-CONTRIBUICAO ASSOCIATIVA"/>
        <s v="60110-MIDIA EXTERNA"/>
        <s v="60068-CONTABILIDADE"/>
        <s v="60051-SEGUROS PATRIMONIAIS"/>
        <s v="60015-13º SALARIO"/>
        <s v="60118-MATERIAL GRAFICO"/>
        <s v="60071-SERVICO DE POSTAGEM E CORREIOS"/>
        <s v="60045-INTERNET E CONEXOES"/>
        <s v="60061-ORNAMENTOS E DECORACOES"/>
        <s v="60108-MIDIA DE TELEVISAO"/>
        <s v="60081-SERVICO TECNOLOGIA DA INFORMACAO"/>
        <s v="60039-BOLSA ESTAGIARIOS"/>
        <s v="60029-BONIFICACOES"/>
        <s v="60006-BRINDES"/>
        <s v="60112-MIDIA DE RADIO"/>
        <s v="60048-MANUTENCAO REFRIGERACAO"/>
        <s v="60126-INSS (RETIDO)"/>
        <s v="60018-FGTS SALARIO"/>
        <s v="60050-SEGURANCA ELETRONICA"/>
        <s v="60131-TAXAS ESTADUAIS"/>
        <s v="60144-MOVEIS E UTENSILIOS"/>
        <s v="60070-SERVICO DE ANALISE DE CREDITO"/>
        <s v="60117-BRINDES"/>
        <s v="60074-SERVICO DE LIMPEZA"/>
        <s v="60021-PENSAO ALIMENTICIA"/>
        <s v="60063-FESTAS E CONFRATERNIZACOES"/>
        <s v="60132-TAXAS MUNICIPAIS"/>
        <s v="60076-CARTORIO"/>
        <s v="60034-TREINAMENTOS / CERTIFICADOS"/>
        <s v="60016-IRRF SALARIO"/>
        <s v="60088-ALIMENTACAO EM VIAGEM"/>
        <s v="60087-DESLOCAMENTO EM VIAGENS"/>
        <s v="60133-TAXA BOMBEIRO"/>
        <s v="60064-FARMACIA E MEDICAMENTOS"/>
        <s v="60002-INSUMOS LABORATORIOS"/>
        <s v="60037-FARDAMENTO COLABORADORES"/>
        <s v="70015-TAXA INDICAÇÃO"/>
        <s v="70017-MATERIAIS AÇÃO DE SAÚDE/EVENTOS"/>
        <s v="60060-LIVROS / REVISTAS / JORNAIS"/>
        <s v="60089-DESPESAS DE REPRESENTACAO EM VIAGEM"/>
        <s v="60025-CESTAS BASICAS / CESTAS NATALINAS"/>
        <s v="60059-FERRAMENTAS E ACESSORIOS"/>
        <s v="60084-OUTRAS CONSULTORIAS"/>
        <s v="60008-EQUIPAMENTOS LOCADOS PARA ENSINO"/>
        <s v="70018-REPASSE CAU"/>
        <m/>
        <s v="70019-CRTR"/>
        <s v="60033-CONTRIBUICOES ASSOCIATIVAS"/>
        <s v="60145-MAQUINAS E EQUIPAMENTOS"/>
        <s v="60075-SEGURANCA / PORTARIA"/>
        <s v="70008-JALECO G"/>
        <s v="60044-TELEFONE FIXO"/>
        <s v="60028-COMISSOES"/>
        <s v="60147-CREDENCIAMENTO NOVOS CURSOS"/>
        <s v="60082-ASSESSORIA OU CONSULTORIA OPERACIONAL"/>
        <s v="60099-TARIFA DE COBRANCA" u="1"/>
      </sharedItems>
    </cacheField>
    <cacheField name="Mês/Ano" numFmtId="0">
      <sharedItems containsDate="1" containsBlank="1" containsMixedTypes="1" minDate="2025-12-01T00:00:00" maxDate="2026-01-02T00:00:00"/>
    </cacheField>
    <cacheField name="Vencimento" numFmtId="0">
      <sharedItems containsNonDate="0" containsDate="1" containsString="0" containsBlank="1" minDate="2011-11-11T00:00:00" maxDate="2026-05-27T00:00:00"/>
    </cacheField>
    <cacheField name="Data Baixa" numFmtId="0">
      <sharedItems containsNonDate="0" containsDate="1" containsString="0" containsBlank="1" minDate="2025-01-02T00:00:00" maxDate="2026-05-27T00:00:00" count="373"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08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3T00:00:00"/>
        <d v="2025-04-24T00:00:00"/>
        <d v="2025-04-25T00:00:00"/>
        <d v="2025-04-26T00:00:00"/>
        <d v="2025-04-28T00:00:00"/>
        <d v="2025-04-29T00:00:00"/>
        <d v="2025-04-30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3T00:00:00"/>
        <d v="2025-07-04T00:00:00"/>
        <d v="2025-07-05T00:00:00"/>
        <d v="2025-07-07T00:00:00"/>
        <d v="2025-07-08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12T00:00:00"/>
        <d v="2025-08-02T00:00:00"/>
        <d v="2025-08-04T00:00:00"/>
        <d v="2025-08-05T00:00:00"/>
        <d v="2025-08-06T00:00:00"/>
        <d v="2025-08-07T00:00:00"/>
        <d v="2025-08-08T00:00:00"/>
        <d v="2025-08-11T00:00:00"/>
        <d v="2025-09-10T00:00:00"/>
        <d v="2025-08-14T00:00:00"/>
        <d v="2025-09-11T00:00:00"/>
        <d v="2025-09-18T00:00:00"/>
        <d v="2025-08-13T00:00:00"/>
        <d v="2025-06-13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3T00:00:00"/>
        <d v="2025-09-04T00:00:00"/>
        <d v="2025-09-05T00:00:00"/>
        <d v="2025-09-08T00:00:00"/>
        <d v="2025-09-09T00:00:00"/>
        <d v="2025-09-12T00:00:00"/>
        <d v="2025-09-15T00:00:00"/>
        <d v="2025-09-16T00:00:00"/>
        <d v="2025-09-17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09-02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20T00:00:00"/>
        <d v="2025-10-21T00:00:00"/>
        <d v="2025-10-22T00:00:00"/>
        <d v="2025-10-29T00:00:00"/>
        <d v="2025-10-30T00:00:00"/>
        <d v="2025-10-31T00:00:00"/>
        <d v="2025-10-23T00:00:00"/>
        <d v="2025-10-27T00:00:00"/>
        <d v="2025-10-28T00:00:00"/>
        <d v="2025-10-17T00:00:00"/>
        <d v="2025-11-01T00:00:00"/>
        <d v="2025-11-03T00:00:00"/>
        <d v="2025-11-04T00:00:00"/>
        <d v="2025-11-05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21T00:00:00"/>
        <d v="2025-11-24T00:00:00"/>
        <d v="2025-11-25T00:00:00"/>
        <d v="2025-11-26T00:00:00"/>
        <d v="2025-11-28T00:00:00"/>
        <d v="2025-11-06T00:00:00"/>
        <d v="2025-11-07T00:00:00"/>
        <d v="2025-11-19T00:00:00"/>
        <d v="2025-12-11T00:00:00"/>
        <d v="2025-12-12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6T00:00:00"/>
        <d v="2025-12-17T00:00:00"/>
        <d v="2025-12-18T00:00:00"/>
        <d v="2025-12-19T00:00:00"/>
        <d v="2025-12-22T00:00:00"/>
        <d v="2025-12-29T00:00:00"/>
        <d v="2025-12-10T00:00:00"/>
        <d v="2025-12-15T00:00:00"/>
        <d v="2025-12-23T00:00:00"/>
        <d v="2025-12-24T00:00:00"/>
        <d v="2025-12-26T00:00:00"/>
        <d v="2025-12-30T00:00:00"/>
        <d v="2025-12-31T00:00:00"/>
        <d v="2026-01-08T00:00:00"/>
        <d v="2026-01-09T00:00:00"/>
        <d v="2026-01-13T00:00:00"/>
        <d v="2026-01-20T00:00:00"/>
        <d v="2026-01-02T00:00:00"/>
        <d v="2026-01-05T00:00:00"/>
        <d v="2026-01-06T00:00:00"/>
        <d v="2026-01-07T00:00:00"/>
        <d v="2026-01-12T00:00:00"/>
        <d v="2026-01-14T00:00:00"/>
        <d v="2026-01-15T00:00:00"/>
        <d v="2026-01-16T00:00:00"/>
        <d v="2026-01-19T00:00:00"/>
        <d v="2026-01-21T00:00:00"/>
        <d v="2026-01-22T00:00:00"/>
        <d v="2026-01-23T00:00:00"/>
        <d v="2026-01-26T00:00:00"/>
        <d v="2026-01-28T00:00:00"/>
        <d v="2026-01-30T00:00:00"/>
        <d v="2026-01-01T00:00:00"/>
        <d v="2025-12-20T00:00:00"/>
        <d v="2026-01-10T00:00:00"/>
        <d v="2026-01-17T00:00:00"/>
        <d v="2026-01-27T00:00:00"/>
        <d v="2026-01-29T00:00:00"/>
        <d v="2026-01-31T00:00:00"/>
        <d v="2026-02-02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8T00:00:00"/>
        <d v="2026-02-20T00:00:00"/>
        <d v="2026-02-23T00:00:00"/>
        <d v="2026-02-25T00:00:00"/>
        <d v="2026-02-26T00:00:00"/>
        <d v="2026-02-27T00:00:00"/>
        <m/>
        <d v="2026-02-01T00:00:00"/>
        <d v="2026-02-03T00:00:00"/>
        <d v="2026-02-24T00:00:00"/>
        <d v="2026-03-02T00:00:00"/>
        <d v="2026-03-03T00:00:00"/>
        <d v="2026-03-04T00:00:00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3T00:00:00"/>
        <d v="2026-03-25T00:00:00"/>
        <d v="2026-03-26T00:00:00"/>
        <d v="2026-03-27T00:00:00"/>
        <d v="2026-03-28T00:00:00"/>
        <d v="2026-03-30T00:00:00"/>
        <d v="2026-03-31T00:00:00"/>
        <d v="2026-03-24T00:00:00"/>
        <d v="2026-04-06T00:00:00"/>
        <d v="2026-04-07T00:00:00"/>
        <d v="2026-04-08T00:00:00"/>
        <d v="2026-04-09T00:00:00"/>
        <d v="2026-04-10T00:00:00"/>
        <d v="2026-04-13T00:00:00"/>
        <d v="2026-04-15T00:00:00"/>
        <d v="2026-04-17T00:00:00"/>
        <d v="2026-04-18T00:00:00"/>
        <d v="2026-04-20T00:00:00"/>
        <d v="2026-04-22T00:00:00"/>
        <d v="2026-04-23T00:00:00"/>
        <d v="2026-04-24T00:00:00"/>
        <d v="2026-04-25T00:00:00"/>
        <d v="2026-04-27T00:00:00"/>
        <d v="2026-04-28T00:00:00"/>
        <d v="2026-04-29T00:00:00"/>
        <d v="2026-04-30T00:00:00"/>
        <d v="2026-04-01T00:00:00"/>
        <d v="2026-04-02T00:00:00"/>
        <d v="2026-04-14T00:00:00"/>
        <d v="2026-04-16T00:00:00"/>
        <d v="2026-04-04T00:00:00"/>
        <d v="2026-05-11T00:00:00"/>
        <d v="2026-05-12T00:00:00"/>
        <d v="2026-05-15T00:00:00"/>
        <d v="2026-05-16T00:00:00"/>
        <d v="2026-05-18T00:00:00"/>
        <d v="2026-05-19T00:00:00"/>
        <d v="2026-05-22T00:00:00"/>
        <d v="2026-05-25T00:00:00"/>
        <d v="2026-05-26T00:00:00"/>
        <d v="2026-05-04T00:00:00"/>
        <d v="2026-05-05T00:00:00"/>
        <d v="2026-05-06T00:00:00"/>
        <d v="2026-05-07T00:00:00"/>
        <d v="2026-05-08T00:00:00"/>
        <d v="2026-05-09T00:00:00"/>
        <d v="2026-05-13T00:00:00"/>
        <d v="2026-05-14T00:00:00"/>
        <d v="2026-05-20T00:00:00"/>
        <d v="2026-05-21T00:00:00"/>
        <d v="2026-05-01T00:00:00"/>
      </sharedItems>
      <fieldGroup par="14"/>
    </cacheField>
    <cacheField name="Valor" numFmtId="0">
      <sharedItems containsString="0" containsBlank="1" containsNumber="1" minValue="0" maxValue="29955.31"/>
    </cacheField>
    <cacheField name="Juros" numFmtId="0">
      <sharedItems containsString="0" containsBlank="1" containsNumber="1" containsInteger="1" minValue="0" maxValue="0"/>
    </cacheField>
    <cacheField name="Multa" numFmtId="0">
      <sharedItems containsString="0" containsBlank="1" containsNumber="1" containsInteger="1" minValue="0" maxValue="0"/>
    </cacheField>
    <cacheField name="Desconto" numFmtId="0">
      <sharedItems containsString="0" containsBlank="1" containsNumber="1" minValue="0" maxValue="383.11"/>
    </cacheField>
    <cacheField name="Pago" numFmtId="0">
      <sharedItems containsString="0" containsBlank="1" containsNumber="1" minValue="0" maxValue="29955.31"/>
    </cacheField>
    <cacheField name="Forma" numFmtId="0">
      <sharedItems containsBlank="1"/>
    </cacheField>
    <cacheField name="ANo" numFmtId="0">
      <sharedItems containsString="0" containsBlank="1" containsNumber="1" containsInteger="1" minValue="1900" maxValue="2026" count="4">
        <n v="2025"/>
        <n v="2026"/>
        <m/>
        <n v="1900" u="1"/>
      </sharedItems>
    </cacheField>
    <cacheField name="Days (Data Baixa)" numFmtId="0" databaseField="0">
      <fieldGroup base="5">
        <rangePr groupBy="days" startDate="2025-01-02T00:00:00" endDate="2026-05-27T00:00:00"/>
        <groupItems count="368">
          <s v="&lt;02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7/05/2026"/>
        </groupItems>
      </fieldGroup>
    </cacheField>
    <cacheField name="Months (Data Baixa)" numFmtId="0" databaseField="0">
      <fieldGroup base="5">
        <rangePr groupBy="months" startDate="2025-01-02T00:00:00" endDate="2026-05-27T00:00:00"/>
        <groupItems count="14">
          <s v="&lt;02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7/05/2026"/>
        </groupItems>
      </fieldGroup>
    </cacheField>
  </cacheFields>
  <extLst>
    <ext xmlns:x14="http://schemas.microsoft.com/office/spreadsheetml/2009/9/main" uri="{725AE2AE-9491-48be-B2B4-4EB974FC3084}">
      <x14:pivotCacheDefinition pivotCacheId="15378893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40">
  <r>
    <s v="00024"/>
    <x v="0"/>
    <x v="0"/>
    <s v="01/2025"/>
    <d v="2025-01-02T00:00:00"/>
    <x v="0"/>
    <n v="1000"/>
    <n v="0"/>
    <n v="0"/>
    <n v="0"/>
    <n v="1000"/>
    <s v="Dinheiro"/>
    <x v="0"/>
  </r>
  <r>
    <s v="00248"/>
    <x v="1"/>
    <x v="1"/>
    <s v="01/2025"/>
    <d v="2025-01-02T00:00:00"/>
    <x v="0"/>
    <n v="183.6"/>
    <n v="0"/>
    <n v="0"/>
    <n v="0"/>
    <n v="183.6"/>
    <s v="Dinheiro"/>
    <x v="0"/>
  </r>
  <r>
    <s v="00315"/>
    <x v="2"/>
    <x v="1"/>
    <s v="01/2025"/>
    <d v="2025-01-02T00:00:00"/>
    <x v="0"/>
    <n v="63.6"/>
    <n v="0"/>
    <n v="0"/>
    <n v="0"/>
    <n v="63.6"/>
    <s v="Dinheiro"/>
    <x v="0"/>
  </r>
  <r>
    <s v="00193"/>
    <x v="3"/>
    <x v="0"/>
    <s v="01/2025"/>
    <d v="2025-01-02T00:00:00"/>
    <x v="0"/>
    <n v="1000"/>
    <n v="0"/>
    <n v="0"/>
    <n v="0"/>
    <n v="1000"/>
    <s v="Dinheiro"/>
    <x v="0"/>
  </r>
  <r>
    <s v="00193"/>
    <x v="3"/>
    <x v="0"/>
    <s v="01/2025"/>
    <d v="2025-01-02T00:00:00"/>
    <x v="0"/>
    <n v="2288.3000000000002"/>
    <n v="0"/>
    <n v="0"/>
    <n v="0"/>
    <n v="2288.3000000000002"/>
    <s v="Dinheiro"/>
    <x v="0"/>
  </r>
  <r>
    <s v="00024"/>
    <x v="0"/>
    <x v="0"/>
    <s v="01/2025"/>
    <d v="2025-01-02T00:00:00"/>
    <x v="0"/>
    <n v="1211.7"/>
    <n v="0"/>
    <n v="0"/>
    <n v="0"/>
    <n v="1211.7"/>
    <s v="Dinheiro"/>
    <x v="0"/>
  </r>
  <r>
    <s v="00377"/>
    <x v="4"/>
    <x v="1"/>
    <s v="01/2025"/>
    <d v="2025-01-02T00:00:00"/>
    <x v="0"/>
    <n v="165.8"/>
    <n v="0"/>
    <n v="0"/>
    <n v="0"/>
    <n v="165.8"/>
    <s v="Dinheiro"/>
    <x v="0"/>
  </r>
  <r>
    <s v="00083"/>
    <x v="5"/>
    <x v="1"/>
    <s v="01/2025"/>
    <d v="2025-01-02T00:00:00"/>
    <x v="0"/>
    <n v="2737.9"/>
    <n v="0"/>
    <n v="0"/>
    <n v="0"/>
    <n v="2737.9"/>
    <s v="Dinheiro"/>
    <x v="0"/>
  </r>
  <r>
    <s v="00106"/>
    <x v="6"/>
    <x v="2"/>
    <s v="01/2025"/>
    <d v="2025-01-02T00:00:00"/>
    <x v="0"/>
    <n v="900"/>
    <n v="0"/>
    <n v="0"/>
    <n v="0"/>
    <n v="900"/>
    <s v="Dinheiro"/>
    <x v="0"/>
  </r>
  <r>
    <s v="00362"/>
    <x v="7"/>
    <x v="3"/>
    <s v="01/2025"/>
    <d v="2025-01-03T00:00:00"/>
    <x v="1"/>
    <n v="1.79"/>
    <n v="0"/>
    <n v="0"/>
    <n v="0"/>
    <n v="1.79"/>
    <s v="Dinheiro"/>
    <x v="0"/>
  </r>
  <r>
    <s v="00362"/>
    <x v="7"/>
    <x v="4"/>
    <s v="01/2025"/>
    <d v="2025-01-03T00:00:00"/>
    <x v="1"/>
    <n v="93.66"/>
    <n v="0"/>
    <n v="0"/>
    <n v="0"/>
    <n v="93.66"/>
    <s v="Dinheiro"/>
    <x v="0"/>
  </r>
  <r>
    <s v="00131"/>
    <x v="8"/>
    <x v="5"/>
    <s v="01/2025"/>
    <d v="2025-01-03T00:00:00"/>
    <x v="1"/>
    <n v="30"/>
    <n v="0"/>
    <n v="0"/>
    <n v="0"/>
    <n v="30"/>
    <s v="Dinheiro"/>
    <x v="0"/>
  </r>
  <r>
    <s v="00362"/>
    <x v="7"/>
    <x v="4"/>
    <s v="01/2025"/>
    <d v="2025-01-03T00:00:00"/>
    <x v="1"/>
    <n v="212.68"/>
    <n v="0"/>
    <n v="0"/>
    <n v="0"/>
    <n v="212.68"/>
    <s v="Dinheiro"/>
    <x v="0"/>
  </r>
  <r>
    <s v="00362"/>
    <x v="7"/>
    <x v="3"/>
    <s v="01/2025"/>
    <d v="2025-01-03T00:00:00"/>
    <x v="1"/>
    <n v="41.17"/>
    <n v="0"/>
    <n v="0"/>
    <n v="0"/>
    <n v="41.17"/>
    <s v="Dinheiro"/>
    <x v="0"/>
  </r>
  <r>
    <s v="00362"/>
    <x v="7"/>
    <x v="4"/>
    <s v="01/2025"/>
    <d v="2025-01-03T00:00:00"/>
    <x v="1"/>
    <n v="116.75"/>
    <n v="0"/>
    <n v="0"/>
    <n v="0"/>
    <n v="116.75"/>
    <s v="Dinheiro"/>
    <x v="0"/>
  </r>
  <r>
    <s v="00362"/>
    <x v="7"/>
    <x v="6"/>
    <s v="01/2025"/>
    <d v="2025-01-03T00:00:00"/>
    <x v="1"/>
    <n v="351.32"/>
    <n v="0"/>
    <n v="0"/>
    <n v="0"/>
    <n v="351.32"/>
    <s v="Dinheiro"/>
    <x v="0"/>
  </r>
  <r>
    <s v="00362"/>
    <x v="7"/>
    <x v="3"/>
    <s v="01/2025"/>
    <d v="2025-01-06T00:00:00"/>
    <x v="2"/>
    <n v="3.58"/>
    <n v="0"/>
    <n v="0"/>
    <n v="0"/>
    <n v="3.58"/>
    <s v="Dinheiro"/>
    <x v="0"/>
  </r>
  <r>
    <s v="00362"/>
    <x v="7"/>
    <x v="7"/>
    <s v="01/2025"/>
    <d v="2025-01-06T00:00:00"/>
    <x v="2"/>
    <n v="135.52000000000001"/>
    <n v="0"/>
    <n v="0"/>
    <n v="0"/>
    <n v="135.52000000000001"/>
    <s v="Dinheiro"/>
    <x v="0"/>
  </r>
  <r>
    <s v="00257"/>
    <x v="9"/>
    <x v="8"/>
    <s v="01/2025"/>
    <d v="2025-01-06T00:00:00"/>
    <x v="2"/>
    <n v="100"/>
    <n v="0"/>
    <n v="0"/>
    <n v="0"/>
    <n v="100"/>
    <s v="Dinheiro"/>
    <x v="0"/>
  </r>
  <r>
    <s v="00313"/>
    <x v="10"/>
    <x v="9"/>
    <s v="01/2025"/>
    <d v="2025-01-06T00:00:00"/>
    <x v="2"/>
    <n v="50"/>
    <n v="0"/>
    <n v="0"/>
    <n v="0"/>
    <n v="50"/>
    <s v="Dinheiro"/>
    <x v="0"/>
  </r>
  <r>
    <s v="00362"/>
    <x v="7"/>
    <x v="3"/>
    <s v="01/2025"/>
    <d v="2025-01-06T00:00:00"/>
    <x v="2"/>
    <n v="48.33"/>
    <n v="0"/>
    <n v="0"/>
    <n v="0"/>
    <n v="48.33"/>
    <s v="Dinheiro"/>
    <x v="0"/>
  </r>
  <r>
    <s v="00282"/>
    <x v="11"/>
    <x v="10"/>
    <s v="01/2025"/>
    <d v="2025-01-06T00:00:00"/>
    <x v="2"/>
    <n v="12557.01"/>
    <n v="0"/>
    <n v="0"/>
    <n v="0"/>
    <n v="12557.01"/>
    <s v="Dinheiro"/>
    <x v="0"/>
  </r>
  <r>
    <s v="00154"/>
    <x v="12"/>
    <x v="11"/>
    <s v="01/2025"/>
    <d v="2025-01-06T00:00:00"/>
    <x v="2"/>
    <n v="2106.33"/>
    <n v="0"/>
    <n v="0"/>
    <n v="0"/>
    <n v="2106.33"/>
    <s v="Dinheiro"/>
    <x v="0"/>
  </r>
  <r>
    <s v="00362"/>
    <x v="7"/>
    <x v="3"/>
    <s v="01/2025"/>
    <d v="2025-01-07T00:00:00"/>
    <x v="3"/>
    <n v="98.45"/>
    <n v="0"/>
    <n v="0"/>
    <n v="0"/>
    <n v="98.45"/>
    <s v="Dinheiro"/>
    <x v="0"/>
  </r>
  <r>
    <s v="00078"/>
    <x v="13"/>
    <x v="12"/>
    <s v="01/2025"/>
    <d v="2025-01-07T00:00:00"/>
    <x v="3"/>
    <n v="40"/>
    <n v="0"/>
    <n v="0"/>
    <n v="0"/>
    <n v="40"/>
    <s v="Dinheiro"/>
    <x v="0"/>
  </r>
  <r>
    <s v="00078"/>
    <x v="13"/>
    <x v="12"/>
    <s v="01/2025"/>
    <d v="2025-01-07T00:00:00"/>
    <x v="3"/>
    <n v="185"/>
    <n v="0"/>
    <n v="0"/>
    <n v="0"/>
    <n v="185"/>
    <s v="Dinheiro"/>
    <x v="0"/>
  </r>
  <r>
    <s v="00330"/>
    <x v="14"/>
    <x v="13"/>
    <s v="01/2025"/>
    <d v="2025-01-07T00:00:00"/>
    <x v="3"/>
    <n v="300"/>
    <n v="0"/>
    <n v="0"/>
    <n v="0"/>
    <n v="300"/>
    <s v="Dinheiro"/>
    <x v="0"/>
  </r>
  <r>
    <s v="00363"/>
    <x v="15"/>
    <x v="14"/>
    <s v="01/2025"/>
    <d v="2025-01-07T00:00:00"/>
    <x v="3"/>
    <n v="30"/>
    <n v="0"/>
    <n v="0"/>
    <n v="0"/>
    <n v="30"/>
    <s v="Dinheiro"/>
    <x v="0"/>
  </r>
  <r>
    <s v="00364"/>
    <x v="16"/>
    <x v="14"/>
    <s v="01/2025"/>
    <d v="2025-01-07T00:00:00"/>
    <x v="3"/>
    <n v="30"/>
    <n v="0"/>
    <n v="0"/>
    <n v="0"/>
    <n v="30"/>
    <s v="Dinheiro"/>
    <x v="0"/>
  </r>
  <r>
    <s v="00316"/>
    <x v="17"/>
    <x v="15"/>
    <s v="01/2025"/>
    <d v="2025-01-07T00:00:00"/>
    <x v="3"/>
    <n v="1491"/>
    <n v="0"/>
    <n v="0"/>
    <n v="0"/>
    <n v="1491"/>
    <s v="Dinheiro"/>
    <x v="0"/>
  </r>
  <r>
    <s v="00134"/>
    <x v="18"/>
    <x v="15"/>
    <s v="01/2025"/>
    <d v="2025-01-07T00:00:00"/>
    <x v="3"/>
    <n v="891"/>
    <n v="0"/>
    <n v="0"/>
    <n v="0"/>
    <n v="891"/>
    <s v="Dinheiro"/>
    <x v="0"/>
  </r>
  <r>
    <s v="00152"/>
    <x v="19"/>
    <x v="15"/>
    <s v="01/2025"/>
    <d v="2025-01-07T00:00:00"/>
    <x v="3"/>
    <n v="1490"/>
    <n v="0"/>
    <n v="0"/>
    <n v="0"/>
    <n v="1490"/>
    <s v="Dinheiro"/>
    <x v="0"/>
  </r>
  <r>
    <s v="00289"/>
    <x v="20"/>
    <x v="15"/>
    <s v="01/2025"/>
    <d v="2025-01-07T00:00:00"/>
    <x v="3"/>
    <n v="1614"/>
    <n v="0"/>
    <n v="0"/>
    <n v="0"/>
    <n v="1614"/>
    <s v="Dinheiro"/>
    <x v="0"/>
  </r>
  <r>
    <s v="00153"/>
    <x v="21"/>
    <x v="15"/>
    <s v="01/2025"/>
    <d v="2025-01-07T00:00:00"/>
    <x v="3"/>
    <n v="1490"/>
    <n v="0"/>
    <n v="0"/>
    <n v="0"/>
    <n v="1490"/>
    <s v="Dinheiro"/>
    <x v="0"/>
  </r>
  <r>
    <s v="00254"/>
    <x v="22"/>
    <x v="15"/>
    <s v="01/2025"/>
    <d v="2025-01-07T00:00:00"/>
    <x v="3"/>
    <n v="1490"/>
    <n v="0"/>
    <n v="0"/>
    <n v="0"/>
    <n v="1490"/>
    <s v="Dinheiro"/>
    <x v="0"/>
  </r>
  <r>
    <s v="00131"/>
    <x v="8"/>
    <x v="15"/>
    <s v="01/2025"/>
    <d v="2025-01-07T00:00:00"/>
    <x v="3"/>
    <n v="2174"/>
    <n v="0"/>
    <n v="0"/>
    <n v="0"/>
    <n v="2174"/>
    <s v="Dinheiro"/>
    <x v="0"/>
  </r>
  <r>
    <s v="00260"/>
    <x v="23"/>
    <x v="15"/>
    <s v="01/2025"/>
    <d v="2025-01-07T00:00:00"/>
    <x v="3"/>
    <n v="2741"/>
    <n v="0"/>
    <n v="0"/>
    <n v="0"/>
    <n v="2741"/>
    <s v="Dinheiro"/>
    <x v="0"/>
  </r>
  <r>
    <s v="00133"/>
    <x v="24"/>
    <x v="15"/>
    <s v="01/2025"/>
    <d v="2025-01-07T00:00:00"/>
    <x v="3"/>
    <n v="1275"/>
    <n v="0"/>
    <n v="0"/>
    <n v="0"/>
    <n v="1275"/>
    <s v="Dinheiro"/>
    <x v="0"/>
  </r>
  <r>
    <s v="00349"/>
    <x v="25"/>
    <x v="15"/>
    <s v="01/2025"/>
    <d v="2025-01-07T00:00:00"/>
    <x v="3"/>
    <n v="1490"/>
    <n v="0"/>
    <n v="0"/>
    <n v="0"/>
    <n v="1490"/>
    <s v="Dinheiro"/>
    <x v="0"/>
  </r>
  <r>
    <s v="00151"/>
    <x v="26"/>
    <x v="15"/>
    <s v="01/2025"/>
    <d v="2025-01-07T00:00:00"/>
    <x v="3"/>
    <n v="2000"/>
    <n v="0"/>
    <n v="0"/>
    <n v="0"/>
    <n v="2000"/>
    <s v="Dinheiro"/>
    <x v="0"/>
  </r>
  <r>
    <s v="00319"/>
    <x v="27"/>
    <x v="16"/>
    <s v="01/2025"/>
    <d v="2025-01-07T00:00:00"/>
    <x v="3"/>
    <n v="1409.45"/>
    <n v="0"/>
    <n v="0"/>
    <n v="0"/>
    <n v="1409.45"/>
    <s v="Dinheiro"/>
    <x v="0"/>
  </r>
  <r>
    <s v="00332"/>
    <x v="28"/>
    <x v="15"/>
    <s v="01/2025"/>
    <d v="2025-01-07T00:00:00"/>
    <x v="3"/>
    <n v="1700"/>
    <n v="0"/>
    <n v="0"/>
    <n v="0"/>
    <n v="1700"/>
    <s v="Dinheiro"/>
    <x v="0"/>
  </r>
  <r>
    <s v="00088"/>
    <x v="29"/>
    <x v="17"/>
    <s v="01/2025"/>
    <d v="2025-01-07T00:00:00"/>
    <x v="3"/>
    <n v="252.28"/>
    <n v="0"/>
    <n v="0"/>
    <n v="0"/>
    <n v="252.28"/>
    <s v="Dinheiro"/>
    <x v="0"/>
  </r>
  <r>
    <s v="00362"/>
    <x v="7"/>
    <x v="3"/>
    <s v="01/2025"/>
    <d v="2025-01-07T00:00:00"/>
    <x v="3"/>
    <n v="841.30000000000007"/>
    <n v="0"/>
    <n v="0"/>
    <n v="0"/>
    <n v="841.30000000000007"/>
    <s v="Dinheiro"/>
    <x v="0"/>
  </r>
  <r>
    <s v="00214"/>
    <x v="30"/>
    <x v="15"/>
    <s v="01/2025"/>
    <d v="2025-01-07T00:00:00"/>
    <x v="3"/>
    <n v="1552"/>
    <n v="0"/>
    <n v="0"/>
    <n v="0"/>
    <n v="1552"/>
    <s v="Dinheiro"/>
    <x v="0"/>
  </r>
  <r>
    <s v="00160"/>
    <x v="31"/>
    <x v="15"/>
    <s v="01/2025"/>
    <d v="2025-01-07T00:00:00"/>
    <x v="3"/>
    <n v="1490"/>
    <n v="0"/>
    <n v="0"/>
    <n v="0"/>
    <n v="1490"/>
    <s v="Dinheiro"/>
    <x v="0"/>
  </r>
  <r>
    <s v="00223"/>
    <x v="32"/>
    <x v="15"/>
    <s v="01/2025"/>
    <d v="2025-01-07T00:00:00"/>
    <x v="3"/>
    <n v="2146"/>
    <n v="0"/>
    <n v="0"/>
    <n v="0"/>
    <n v="2146"/>
    <s v="Dinheiro"/>
    <x v="0"/>
  </r>
  <r>
    <s v="00248"/>
    <x v="1"/>
    <x v="15"/>
    <s v="01/2025"/>
    <d v="2025-01-07T00:00:00"/>
    <x v="3"/>
    <n v="850"/>
    <n v="0"/>
    <n v="0"/>
    <n v="0"/>
    <n v="850"/>
    <s v="Dinheiro"/>
    <x v="0"/>
  </r>
  <r>
    <s v="00334"/>
    <x v="33"/>
    <x v="15"/>
    <s v="01/2025"/>
    <d v="2025-01-07T00:00:00"/>
    <x v="3"/>
    <n v="892.27"/>
    <n v="0"/>
    <n v="0"/>
    <n v="0"/>
    <n v="892.27"/>
    <s v="Dinheiro"/>
    <x v="0"/>
  </r>
  <r>
    <s v="00267"/>
    <x v="34"/>
    <x v="15"/>
    <s v="01/2025"/>
    <d v="2025-01-07T00:00:00"/>
    <x v="3"/>
    <n v="900"/>
    <n v="0"/>
    <n v="0"/>
    <n v="0"/>
    <n v="900"/>
    <s v="Dinheiro"/>
    <x v="0"/>
  </r>
  <r>
    <s v="00257"/>
    <x v="9"/>
    <x v="15"/>
    <s v="01/2025"/>
    <d v="2025-01-07T00:00:00"/>
    <x v="3"/>
    <n v="1673.02"/>
    <n v="0"/>
    <n v="0"/>
    <n v="0"/>
    <n v="1673.02"/>
    <s v="Dinheiro"/>
    <x v="0"/>
  </r>
  <r>
    <s v="00315"/>
    <x v="2"/>
    <x v="15"/>
    <s v="01/2025"/>
    <d v="2025-01-07T00:00:00"/>
    <x v="3"/>
    <n v="1360"/>
    <n v="0"/>
    <n v="0"/>
    <n v="0"/>
    <n v="1360"/>
    <s v="Dinheiro"/>
    <x v="0"/>
  </r>
  <r>
    <s v="00291"/>
    <x v="35"/>
    <x v="15"/>
    <s v="01/2025"/>
    <d v="2025-01-07T00:00:00"/>
    <x v="3"/>
    <n v="1490"/>
    <n v="0"/>
    <n v="0"/>
    <n v="0"/>
    <n v="1490"/>
    <s v="Dinheiro"/>
    <x v="0"/>
  </r>
  <r>
    <s v="00334"/>
    <x v="33"/>
    <x v="15"/>
    <s v="01/2025"/>
    <d v="2025-01-07T00:00:00"/>
    <x v="3"/>
    <n v="524"/>
    <n v="0"/>
    <n v="0"/>
    <n v="0"/>
    <n v="524"/>
    <s v="Dinheiro"/>
    <x v="0"/>
  </r>
  <r>
    <s v="00130"/>
    <x v="36"/>
    <x v="15"/>
    <s v="01/2025"/>
    <d v="2025-01-07T00:00:00"/>
    <x v="3"/>
    <n v="388"/>
    <n v="0"/>
    <n v="0"/>
    <n v="0"/>
    <n v="388"/>
    <s v="Dinheiro"/>
    <x v="0"/>
  </r>
  <r>
    <s v="00136"/>
    <x v="37"/>
    <x v="15"/>
    <s v="01/2025"/>
    <d v="2025-01-07T00:00:00"/>
    <x v="3"/>
    <n v="2406"/>
    <n v="0"/>
    <n v="0"/>
    <n v="0"/>
    <n v="2406"/>
    <s v="Dinheiro"/>
    <x v="0"/>
  </r>
  <r>
    <s v="00126"/>
    <x v="38"/>
    <x v="15"/>
    <s v="01/2025"/>
    <d v="2025-01-07T00:00:00"/>
    <x v="3"/>
    <n v="1528"/>
    <n v="0"/>
    <n v="0"/>
    <n v="0"/>
    <n v="1528"/>
    <s v="Dinheiro"/>
    <x v="0"/>
  </r>
  <r>
    <s v="00168"/>
    <x v="39"/>
    <x v="15"/>
    <s v="01/2025"/>
    <d v="2025-01-07T00:00:00"/>
    <x v="3"/>
    <n v="1720"/>
    <n v="0"/>
    <n v="0"/>
    <n v="0"/>
    <n v="1720"/>
    <s v="Dinheiro"/>
    <x v="0"/>
  </r>
  <r>
    <s v="00252"/>
    <x v="40"/>
    <x v="15"/>
    <s v="01/2025"/>
    <d v="2025-01-07T00:00:00"/>
    <x v="3"/>
    <n v="1490"/>
    <n v="0"/>
    <n v="0"/>
    <n v="0"/>
    <n v="1490"/>
    <s v="Dinheiro"/>
    <x v="0"/>
  </r>
  <r>
    <s v="00253"/>
    <x v="41"/>
    <x v="15"/>
    <s v="01/2025"/>
    <d v="2025-01-07T00:00:00"/>
    <x v="3"/>
    <n v="854"/>
    <n v="0"/>
    <n v="0"/>
    <n v="0"/>
    <n v="854"/>
    <s v="Dinheiro"/>
    <x v="0"/>
  </r>
  <r>
    <s v="00253"/>
    <x v="41"/>
    <x v="1"/>
    <s v="01/2025"/>
    <d v="2025-01-07T00:00:00"/>
    <x v="3"/>
    <n v="217.8"/>
    <n v="0"/>
    <n v="0"/>
    <n v="0"/>
    <n v="217.8"/>
    <s v="Dinheiro"/>
    <x v="0"/>
  </r>
  <r>
    <s v="00351"/>
    <x v="42"/>
    <x v="15"/>
    <s v="01/2025"/>
    <d v="2025-01-07T00:00:00"/>
    <x v="3"/>
    <n v="1171.1200000000001"/>
    <n v="0"/>
    <n v="0"/>
    <n v="0"/>
    <n v="1171.1200000000001"/>
    <s v="Dinheiro"/>
    <x v="0"/>
  </r>
  <r>
    <s v="00258"/>
    <x v="43"/>
    <x v="0"/>
    <s v="01/2025"/>
    <d v="2025-01-07T00:00:00"/>
    <x v="3"/>
    <n v="1945.1200000000001"/>
    <n v="0"/>
    <n v="0"/>
    <n v="0"/>
    <n v="1945.1200000000001"/>
    <s v="Dinheiro"/>
    <x v="0"/>
  </r>
  <r>
    <s v="00387"/>
    <x v="44"/>
    <x v="18"/>
    <s v="01/2025"/>
    <d v="2025-01-07T00:00:00"/>
    <x v="3"/>
    <n v="680"/>
    <n v="0"/>
    <n v="0"/>
    <n v="0"/>
    <n v="680"/>
    <s v="Dinheiro"/>
    <x v="0"/>
  </r>
  <r>
    <s v="00362"/>
    <x v="7"/>
    <x v="3"/>
    <s v="01/2025"/>
    <d v="2025-01-08T00:00:00"/>
    <x v="4"/>
    <n v="1.79"/>
    <n v="0"/>
    <n v="0"/>
    <n v="0"/>
    <n v="1.79"/>
    <s v="Dinheiro"/>
    <x v="0"/>
  </r>
  <r>
    <s v="00257"/>
    <x v="9"/>
    <x v="1"/>
    <s v="01/2025"/>
    <d v="2025-01-08T00:00:00"/>
    <x v="4"/>
    <n v="125"/>
    <n v="0"/>
    <n v="0"/>
    <n v="0"/>
    <n v="125"/>
    <s v="Dinheiro"/>
    <x v="0"/>
  </r>
  <r>
    <s v="00363"/>
    <x v="15"/>
    <x v="1"/>
    <s v="01/2025"/>
    <d v="2025-01-08T00:00:00"/>
    <x v="4"/>
    <n v="75.2"/>
    <n v="0"/>
    <n v="0"/>
    <n v="0"/>
    <n v="75.2"/>
    <s v="Dinheiro"/>
    <x v="0"/>
  </r>
  <r>
    <s v="00364"/>
    <x v="16"/>
    <x v="1"/>
    <s v="01/2025"/>
    <d v="2025-01-08T00:00:00"/>
    <x v="4"/>
    <n v="40.800000000000004"/>
    <n v="0"/>
    <n v="0"/>
    <n v="0"/>
    <n v="40.800000000000004"/>
    <s v="Dinheiro"/>
    <x v="0"/>
  </r>
  <r>
    <s v="00011"/>
    <x v="45"/>
    <x v="16"/>
    <s v="01/2025"/>
    <d v="2025-01-08T00:00:00"/>
    <x v="4"/>
    <n v="804.63"/>
    <n v="0"/>
    <n v="0"/>
    <n v="0"/>
    <n v="804.63"/>
    <s v="Dinheiro"/>
    <x v="0"/>
  </r>
  <r>
    <s v="00131"/>
    <x v="8"/>
    <x v="19"/>
    <s v="01/2025"/>
    <d v="2025-01-08T00:00:00"/>
    <x v="4"/>
    <n v="4015.82"/>
    <n v="0"/>
    <n v="0"/>
    <n v="0"/>
    <n v="4015.82"/>
    <s v="Dinheiro"/>
    <x v="0"/>
  </r>
  <r>
    <s v="00091"/>
    <x v="46"/>
    <x v="20"/>
    <s v="01/2025"/>
    <d v="2025-01-08T00:00:00"/>
    <x v="4"/>
    <n v="482"/>
    <n v="0"/>
    <n v="0"/>
    <n v="0"/>
    <n v="482"/>
    <s v="Dinheiro"/>
    <x v="0"/>
  </r>
  <r>
    <s v="00362"/>
    <x v="7"/>
    <x v="3"/>
    <s v="01/2025"/>
    <d v="2025-01-08T00:00:00"/>
    <x v="4"/>
    <n v="127.09"/>
    <n v="0"/>
    <n v="0"/>
    <n v="0"/>
    <n v="127.09"/>
    <s v="Dinheiro"/>
    <x v="0"/>
  </r>
  <r>
    <s v="00277"/>
    <x v="47"/>
    <x v="16"/>
    <s v="01/2025"/>
    <d v="2025-01-08T00:00:00"/>
    <x v="4"/>
    <n v="352.17"/>
    <n v="0"/>
    <n v="0"/>
    <n v="0"/>
    <n v="352.17"/>
    <s v="Dinheiro"/>
    <x v="0"/>
  </r>
  <r>
    <s v="00131"/>
    <x v="8"/>
    <x v="17"/>
    <s v="01/2025"/>
    <d v="2025-01-08T00:00:00"/>
    <x v="4"/>
    <n v="1000"/>
    <n v="0"/>
    <n v="0"/>
    <n v="0"/>
    <n v="1000"/>
    <s v="Dinheiro"/>
    <x v="0"/>
  </r>
  <r>
    <s v="00011"/>
    <x v="45"/>
    <x v="16"/>
    <s v="01/2025"/>
    <d v="2025-01-08T00:00:00"/>
    <x v="4"/>
    <n v="957.48"/>
    <n v="0"/>
    <n v="0"/>
    <n v="0"/>
    <n v="957.48"/>
    <s v="Dinheiro"/>
    <x v="0"/>
  </r>
  <r>
    <s v="00371"/>
    <x v="48"/>
    <x v="21"/>
    <s v="01/2025"/>
    <d v="2025-01-08T00:00:00"/>
    <x v="4"/>
    <n v="125.4"/>
    <n v="0"/>
    <n v="0"/>
    <n v="0"/>
    <n v="125.4"/>
    <s v="Banco Investimentos"/>
    <x v="0"/>
  </r>
  <r>
    <s v="00362"/>
    <x v="7"/>
    <x v="3"/>
    <s v="01/2025"/>
    <d v="2025-01-09T00:00:00"/>
    <x v="5"/>
    <n v="3.58"/>
    <n v="0"/>
    <n v="0"/>
    <n v="0"/>
    <n v="3.58"/>
    <s v="Dinheiro"/>
    <x v="0"/>
  </r>
  <r>
    <s v="00085"/>
    <x v="49"/>
    <x v="22"/>
    <s v="01/2025"/>
    <d v="2025-01-09T00:00:00"/>
    <x v="5"/>
    <n v="9371.5300000000007"/>
    <n v="0"/>
    <n v="0"/>
    <n v="0"/>
    <n v="9371.5300000000007"/>
    <s v="Dinheiro"/>
    <x v="0"/>
  </r>
  <r>
    <s v="00015"/>
    <x v="50"/>
    <x v="23"/>
    <s v="01/2025"/>
    <d v="2025-01-09T00:00:00"/>
    <x v="5"/>
    <n v="1809.3400000000001"/>
    <n v="0"/>
    <n v="0"/>
    <n v="0"/>
    <n v="1809.3400000000001"/>
    <s v="Dinheiro"/>
    <x v="0"/>
  </r>
  <r>
    <s v="00025"/>
    <x v="51"/>
    <x v="2"/>
    <s v="01/2025"/>
    <d v="2025-01-09T00:00:00"/>
    <x v="5"/>
    <n v="363.76"/>
    <n v="0"/>
    <n v="0"/>
    <n v="0"/>
    <n v="363.76"/>
    <s v="Dinheiro"/>
    <x v="0"/>
  </r>
  <r>
    <s v="00607"/>
    <x v="52"/>
    <x v="16"/>
    <s v="01/2025"/>
    <d v="2025-01-09T00:00:00"/>
    <x v="5"/>
    <n v="209.81"/>
    <n v="0"/>
    <n v="0"/>
    <n v="0"/>
    <n v="209.81"/>
    <s v="Dinheiro"/>
    <x v="0"/>
  </r>
  <r>
    <s v="00009"/>
    <x v="53"/>
    <x v="24"/>
    <s v="01/2025"/>
    <d v="2025-01-09T00:00:00"/>
    <x v="5"/>
    <n v="26091.79"/>
    <n v="0"/>
    <n v="0"/>
    <n v="0"/>
    <n v="26091.79"/>
    <s v="Dinheiro"/>
    <x v="0"/>
  </r>
  <r>
    <s v="00074"/>
    <x v="54"/>
    <x v="16"/>
    <s v="01/2025"/>
    <d v="2025-01-09T00:00:00"/>
    <x v="5"/>
    <n v="99"/>
    <n v="0"/>
    <n v="0"/>
    <n v="0"/>
    <n v="99"/>
    <s v="Dinheiro"/>
    <x v="0"/>
  </r>
  <r>
    <s v="00168"/>
    <x v="55"/>
    <x v="25"/>
    <s v="01/2025"/>
    <d v="2025-01-09T00:00:00"/>
    <x v="5"/>
    <n v="396.40000000000003"/>
    <n v="0"/>
    <n v="0"/>
    <n v="0"/>
    <n v="396.40000000000003"/>
    <s v="Dinheiro"/>
    <x v="0"/>
  </r>
  <r>
    <s v="00121"/>
    <x v="56"/>
    <x v="26"/>
    <s v="01/2025"/>
    <d v="2025-01-09T00:00:00"/>
    <x v="5"/>
    <n v="1094.58"/>
    <n v="0"/>
    <n v="0"/>
    <n v="0"/>
    <n v="1094.58"/>
    <s v="Dinheiro"/>
    <x v="0"/>
  </r>
  <r>
    <s v="00365"/>
    <x v="57"/>
    <x v="27"/>
    <s v="01/2025"/>
    <d v="2025-01-09T00:00:00"/>
    <x v="5"/>
    <n v="89.97"/>
    <n v="0"/>
    <n v="0"/>
    <n v="0"/>
    <n v="89.97"/>
    <s v="Dinheiro"/>
    <x v="0"/>
  </r>
  <r>
    <s v="00091"/>
    <x v="46"/>
    <x v="28"/>
    <s v="01/2025"/>
    <d v="2025-01-09T00:00:00"/>
    <x v="5"/>
    <n v="69"/>
    <n v="0"/>
    <n v="0"/>
    <n v="0"/>
    <n v="69"/>
    <s v="Dinheiro"/>
    <x v="0"/>
  </r>
  <r>
    <s v="00362"/>
    <x v="7"/>
    <x v="3"/>
    <s v="01/2025"/>
    <d v="2025-01-09T00:00:00"/>
    <x v="5"/>
    <n v="130.67000000000002"/>
    <n v="0"/>
    <n v="0"/>
    <n v="0"/>
    <n v="130.67000000000002"/>
    <s v="Dinheiro"/>
    <x v="0"/>
  </r>
  <r>
    <s v="00362"/>
    <x v="7"/>
    <x v="3"/>
    <s v="01/2025"/>
    <d v="2025-01-10T00:00:00"/>
    <x v="6"/>
    <n v="17"/>
    <n v="0"/>
    <n v="0"/>
    <n v="0"/>
    <n v="17"/>
    <s v="Dinheiro"/>
    <x v="0"/>
  </r>
  <r>
    <s v="00363"/>
    <x v="15"/>
    <x v="1"/>
    <s v="01/2025"/>
    <d v="2025-01-10T00:00:00"/>
    <x v="6"/>
    <n v="75.2"/>
    <n v="0"/>
    <n v="0"/>
    <n v="0"/>
    <n v="75.2"/>
    <s v="Dinheiro"/>
    <x v="0"/>
  </r>
  <r>
    <s v="00315"/>
    <x v="2"/>
    <x v="8"/>
    <s v="01/2025"/>
    <d v="2025-01-10T00:00:00"/>
    <x v="6"/>
    <n v="600"/>
    <n v="0"/>
    <n v="0"/>
    <n v="0"/>
    <n v="600"/>
    <s v="Dinheiro"/>
    <x v="0"/>
  </r>
  <r>
    <s v="00153"/>
    <x v="21"/>
    <x v="8"/>
    <s v="01/2025"/>
    <d v="2025-01-10T00:00:00"/>
    <x v="6"/>
    <n v="100"/>
    <n v="0"/>
    <n v="0"/>
    <n v="0"/>
    <n v="100"/>
    <s v="Dinheiro"/>
    <x v="0"/>
  </r>
  <r>
    <s v="00152"/>
    <x v="19"/>
    <x v="8"/>
    <s v="01/2025"/>
    <d v="2025-01-10T00:00:00"/>
    <x v="6"/>
    <n v="300"/>
    <n v="0"/>
    <n v="0"/>
    <n v="0"/>
    <n v="300"/>
    <s v="Dinheiro"/>
    <x v="0"/>
  </r>
  <r>
    <s v="00223"/>
    <x v="32"/>
    <x v="8"/>
    <s v="01/2025"/>
    <d v="2025-01-10T00:00:00"/>
    <x v="6"/>
    <n v="2710"/>
    <n v="0"/>
    <n v="0"/>
    <n v="0"/>
    <n v="2710"/>
    <s v="Dinheiro"/>
    <x v="0"/>
  </r>
  <r>
    <s v="00364"/>
    <x v="16"/>
    <x v="1"/>
    <s v="01/2025"/>
    <d v="2025-01-10T00:00:00"/>
    <x v="6"/>
    <n v="40.800000000000004"/>
    <n v="0"/>
    <n v="0"/>
    <n v="0"/>
    <n v="40.800000000000004"/>
    <s v="Dinheiro"/>
    <x v="0"/>
  </r>
  <r>
    <s v="00168"/>
    <x v="39"/>
    <x v="8"/>
    <s v="01/2025"/>
    <d v="2025-01-10T00:00:00"/>
    <x v="6"/>
    <n v="200"/>
    <n v="0"/>
    <n v="0"/>
    <n v="0"/>
    <n v="200"/>
    <s v="Dinheiro"/>
    <x v="0"/>
  </r>
  <r>
    <s v="00153"/>
    <x v="21"/>
    <x v="8"/>
    <s v="01/2025"/>
    <d v="2025-01-10T00:00:00"/>
    <x v="6"/>
    <n v="300"/>
    <n v="0"/>
    <n v="0"/>
    <n v="0"/>
    <n v="300"/>
    <s v="Dinheiro"/>
    <x v="0"/>
  </r>
  <r>
    <s v="00334"/>
    <x v="33"/>
    <x v="8"/>
    <s v="01/2025"/>
    <d v="2025-01-10T00:00:00"/>
    <x v="6"/>
    <n v="160"/>
    <n v="0"/>
    <n v="0"/>
    <n v="0"/>
    <n v="160"/>
    <s v="Dinheiro"/>
    <x v="0"/>
  </r>
  <r>
    <s v="00257"/>
    <x v="9"/>
    <x v="8"/>
    <s v="01/2025"/>
    <d v="2025-01-10T00:00:00"/>
    <x v="6"/>
    <n v="600"/>
    <n v="0"/>
    <n v="0"/>
    <n v="0"/>
    <n v="600"/>
    <s v="Dinheiro"/>
    <x v="0"/>
  </r>
  <r>
    <s v="00134"/>
    <x v="18"/>
    <x v="8"/>
    <s v="01/2025"/>
    <d v="2025-01-10T00:00:00"/>
    <x v="6"/>
    <n v="950"/>
    <n v="0"/>
    <n v="0"/>
    <n v="0"/>
    <n v="950"/>
    <s v="Dinheiro"/>
    <x v="0"/>
  </r>
  <r>
    <s v="00133"/>
    <x v="24"/>
    <x v="8"/>
    <s v="01/2025"/>
    <d v="2025-01-10T00:00:00"/>
    <x v="6"/>
    <n v="1100"/>
    <n v="0"/>
    <n v="0"/>
    <n v="0"/>
    <n v="1100"/>
    <s v="Dinheiro"/>
    <x v="0"/>
  </r>
  <r>
    <s v="00027"/>
    <x v="58"/>
    <x v="25"/>
    <s v="01/2025"/>
    <d v="2025-01-10T00:00:00"/>
    <x v="6"/>
    <n v="35.96"/>
    <n v="0"/>
    <n v="0"/>
    <n v="0"/>
    <n v="35.96"/>
    <s v="Dinheiro"/>
    <x v="0"/>
  </r>
  <r>
    <s v="00362"/>
    <x v="7"/>
    <x v="3"/>
    <s v="01/2025"/>
    <d v="2025-01-10T00:00:00"/>
    <x v="6"/>
    <n v="3.58"/>
    <n v="0"/>
    <n v="0"/>
    <n v="0"/>
    <n v="3.58"/>
    <s v="Dinheiro"/>
    <x v="0"/>
  </r>
  <r>
    <s v="00354"/>
    <x v="59"/>
    <x v="29"/>
    <s v="01/2025"/>
    <d v="2025-01-10T00:00:00"/>
    <x v="6"/>
    <n v="1260"/>
    <n v="0"/>
    <n v="0"/>
    <n v="0"/>
    <n v="1260"/>
    <s v="Dinheiro"/>
    <x v="0"/>
  </r>
  <r>
    <s v="00180"/>
    <x v="60"/>
    <x v="30"/>
    <s v="01/2025"/>
    <d v="2025-01-10T00:00:00"/>
    <x v="6"/>
    <n v="2600"/>
    <n v="0"/>
    <n v="0"/>
    <n v="0"/>
    <n v="2600"/>
    <s v="Dinheiro"/>
    <x v="0"/>
  </r>
  <r>
    <s v="00131"/>
    <x v="8"/>
    <x v="29"/>
    <s v="01/2025"/>
    <d v="2025-01-10T00:00:00"/>
    <x v="6"/>
    <n v="160"/>
    <n v="0"/>
    <n v="0"/>
    <n v="0"/>
    <n v="160"/>
    <s v="Dinheiro"/>
    <x v="0"/>
  </r>
  <r>
    <s v="00091"/>
    <x v="46"/>
    <x v="28"/>
    <s v="01/2025"/>
    <d v="2025-01-10T00:00:00"/>
    <x v="6"/>
    <n v="49"/>
    <n v="0"/>
    <n v="0"/>
    <n v="0"/>
    <n v="49"/>
    <s v="Dinheiro"/>
    <x v="0"/>
  </r>
  <r>
    <s v="00153"/>
    <x v="21"/>
    <x v="31"/>
    <s v="01/2025"/>
    <d v="2025-01-10T00:00:00"/>
    <x v="6"/>
    <n v="2189.1"/>
    <n v="0"/>
    <n v="0"/>
    <n v="0"/>
    <n v="2189.1"/>
    <s v="Dinheiro"/>
    <x v="0"/>
  </r>
  <r>
    <s v="00353"/>
    <x v="61"/>
    <x v="30"/>
    <s v="01/2025"/>
    <d v="2025-01-10T00:00:00"/>
    <x v="6"/>
    <n v="1360"/>
    <n v="0"/>
    <n v="0"/>
    <n v="0"/>
    <n v="1360"/>
    <s v="Dinheiro"/>
    <x v="0"/>
  </r>
  <r>
    <s v="00308"/>
    <x v="62"/>
    <x v="29"/>
    <s v="01/2025"/>
    <d v="2025-01-10T00:00:00"/>
    <x v="6"/>
    <n v="720"/>
    <n v="0"/>
    <n v="0"/>
    <n v="0"/>
    <n v="720"/>
    <s v="Dinheiro"/>
    <x v="0"/>
  </r>
  <r>
    <s v="00142"/>
    <x v="63"/>
    <x v="29"/>
    <s v="01/2025"/>
    <d v="2025-01-10T00:00:00"/>
    <x v="6"/>
    <n v="160"/>
    <n v="0"/>
    <n v="0"/>
    <n v="0"/>
    <n v="160"/>
    <s v="Dinheiro"/>
    <x v="0"/>
  </r>
  <r>
    <s v="00151"/>
    <x v="26"/>
    <x v="29"/>
    <s v="01/2025"/>
    <d v="2025-01-10T00:00:00"/>
    <x v="6"/>
    <n v="1440"/>
    <n v="0"/>
    <n v="0"/>
    <n v="0"/>
    <n v="1440"/>
    <s v="Dinheiro"/>
    <x v="0"/>
  </r>
  <r>
    <s v="00231"/>
    <x v="64"/>
    <x v="29"/>
    <s v="01/2025"/>
    <d v="2025-01-10T00:00:00"/>
    <x v="6"/>
    <n v="80"/>
    <n v="0"/>
    <n v="0"/>
    <n v="0"/>
    <n v="80"/>
    <s v="Dinheiro"/>
    <x v="0"/>
  </r>
  <r>
    <s v="00232"/>
    <x v="65"/>
    <x v="29"/>
    <s v="01/2025"/>
    <d v="2025-01-10T00:00:00"/>
    <x v="6"/>
    <n v="560"/>
    <n v="0"/>
    <n v="0"/>
    <n v="0"/>
    <n v="560"/>
    <s v="Dinheiro"/>
    <x v="0"/>
  </r>
  <r>
    <s v="00218"/>
    <x v="66"/>
    <x v="29"/>
    <s v="01/2025"/>
    <d v="2025-01-10T00:00:00"/>
    <x v="6"/>
    <n v="3080"/>
    <n v="0"/>
    <n v="0"/>
    <n v="0"/>
    <n v="3080"/>
    <s v="Dinheiro"/>
    <x v="0"/>
  </r>
  <r>
    <s v="00356"/>
    <x v="67"/>
    <x v="29"/>
    <s v="01/2025"/>
    <d v="2025-01-10T00:00:00"/>
    <x v="6"/>
    <n v="840"/>
    <n v="0"/>
    <n v="0"/>
    <n v="0"/>
    <n v="840"/>
    <s v="Dinheiro"/>
    <x v="0"/>
  </r>
  <r>
    <s v="00359"/>
    <x v="68"/>
    <x v="29"/>
    <s v="01/2025"/>
    <d v="2025-01-10T00:00:00"/>
    <x v="6"/>
    <n v="676"/>
    <n v="0"/>
    <n v="0"/>
    <n v="0"/>
    <n v="676"/>
    <s v="Dinheiro"/>
    <x v="0"/>
  </r>
  <r>
    <s v="00259"/>
    <x v="69"/>
    <x v="29"/>
    <s v="01/2025"/>
    <d v="2025-01-10T00:00:00"/>
    <x v="6"/>
    <n v="1840"/>
    <n v="0"/>
    <n v="0"/>
    <n v="0"/>
    <n v="1840"/>
    <s v="Dinheiro"/>
    <x v="0"/>
  </r>
  <r>
    <s v="00260"/>
    <x v="23"/>
    <x v="29"/>
    <s v="01/2025"/>
    <d v="2025-01-10T00:00:00"/>
    <x v="6"/>
    <n v="2160"/>
    <n v="0"/>
    <n v="0"/>
    <n v="0"/>
    <n v="2160"/>
    <s v="Dinheiro"/>
    <x v="0"/>
  </r>
  <r>
    <s v="00190"/>
    <x v="70"/>
    <x v="30"/>
    <s v="01/2025"/>
    <d v="2025-01-10T00:00:00"/>
    <x v="6"/>
    <n v="520"/>
    <n v="0"/>
    <n v="0"/>
    <n v="0"/>
    <n v="520"/>
    <s v="Dinheiro"/>
    <x v="0"/>
  </r>
  <r>
    <s v="00187"/>
    <x v="71"/>
    <x v="29"/>
    <s v="01/2025"/>
    <d v="2025-01-10T00:00:00"/>
    <x v="6"/>
    <n v="720"/>
    <n v="0"/>
    <n v="0"/>
    <n v="0"/>
    <n v="720"/>
    <s v="Dinheiro"/>
    <x v="0"/>
  </r>
  <r>
    <s v="00187"/>
    <x v="71"/>
    <x v="30"/>
    <s v="01/2025"/>
    <d v="2025-01-10T00:00:00"/>
    <x v="6"/>
    <n v="1440"/>
    <n v="0"/>
    <n v="0"/>
    <n v="0"/>
    <n v="1440"/>
    <s v="Dinheiro"/>
    <x v="0"/>
  </r>
  <r>
    <s v="00265"/>
    <x v="72"/>
    <x v="29"/>
    <s v="01/2025"/>
    <d v="2025-01-10T00:00:00"/>
    <x v="6"/>
    <n v="2640"/>
    <n v="0"/>
    <n v="0"/>
    <n v="0"/>
    <n v="2640"/>
    <s v="Dinheiro"/>
    <x v="0"/>
  </r>
  <r>
    <s v="00280"/>
    <x v="73"/>
    <x v="29"/>
    <s v="01/2025"/>
    <d v="2025-01-10T00:00:00"/>
    <x v="6"/>
    <n v="720"/>
    <n v="0"/>
    <n v="0"/>
    <n v="0"/>
    <n v="720"/>
    <s v="Dinheiro"/>
    <x v="0"/>
  </r>
  <r>
    <s v="00338"/>
    <x v="74"/>
    <x v="30"/>
    <s v="01/2025"/>
    <d v="2025-01-10T00:00:00"/>
    <x v="6"/>
    <n v="1200"/>
    <n v="0"/>
    <n v="0"/>
    <n v="0"/>
    <n v="1200"/>
    <s v="Dinheiro"/>
    <x v="0"/>
  </r>
  <r>
    <s v="00188"/>
    <x v="75"/>
    <x v="30"/>
    <s v="01/2025"/>
    <d v="2025-01-10T00:00:00"/>
    <x v="6"/>
    <n v="1360"/>
    <n v="0"/>
    <n v="0"/>
    <n v="0"/>
    <n v="1360"/>
    <s v="Dinheiro"/>
    <x v="0"/>
  </r>
  <r>
    <s v="00189"/>
    <x v="76"/>
    <x v="29"/>
    <s v="01/2025"/>
    <d v="2025-01-10T00:00:00"/>
    <x v="6"/>
    <n v="800"/>
    <n v="0"/>
    <n v="0"/>
    <n v="0"/>
    <n v="800"/>
    <s v="Dinheiro"/>
    <x v="0"/>
  </r>
  <r>
    <s v="00189"/>
    <x v="76"/>
    <x v="30"/>
    <s v="01/2025"/>
    <d v="2025-01-10T00:00:00"/>
    <x v="6"/>
    <n v="1040"/>
    <n v="0"/>
    <n v="0"/>
    <n v="0"/>
    <n v="1040"/>
    <s v="Dinheiro"/>
    <x v="0"/>
  </r>
  <r>
    <s v="00369"/>
    <x v="77"/>
    <x v="28"/>
    <s v="01/2025"/>
    <d v="2025-01-10T00:00:00"/>
    <x v="6"/>
    <n v="49"/>
    <n v="0"/>
    <n v="0"/>
    <n v="0"/>
    <n v="49"/>
    <s v="Dinheiro"/>
    <x v="0"/>
  </r>
  <r>
    <s v="00179"/>
    <x v="78"/>
    <x v="30"/>
    <s v="12/2025"/>
    <d v="2025-01-10T00:00:00"/>
    <x v="6"/>
    <n v="1020"/>
    <n v="0"/>
    <n v="0"/>
    <n v="0"/>
    <n v="1020"/>
    <s v="Dinheiro"/>
    <x v="0"/>
  </r>
  <r>
    <s v="00126"/>
    <x v="38"/>
    <x v="8"/>
    <s v="01/2025"/>
    <d v="2025-01-11T00:00:00"/>
    <x v="7"/>
    <n v="300"/>
    <n v="0"/>
    <n v="0"/>
    <n v="0"/>
    <n v="300"/>
    <s v="Dinheiro"/>
    <x v="0"/>
  </r>
  <r>
    <s v="00160"/>
    <x v="31"/>
    <x v="8"/>
    <s v="01/2025"/>
    <d v="2025-01-11T00:00:00"/>
    <x v="7"/>
    <n v="100"/>
    <n v="0"/>
    <n v="0"/>
    <n v="0"/>
    <n v="100"/>
    <s v="Dinheiro"/>
    <x v="0"/>
  </r>
  <r>
    <s v="00134"/>
    <x v="18"/>
    <x v="8"/>
    <s v="01/2025"/>
    <d v="2025-01-13T00:00:00"/>
    <x v="8"/>
    <n v="364"/>
    <n v="0"/>
    <n v="0"/>
    <n v="0"/>
    <n v="364"/>
    <s v="Dinheiro"/>
    <x v="0"/>
  </r>
  <r>
    <s v="00364"/>
    <x v="16"/>
    <x v="1"/>
    <s v="01/2025"/>
    <d v="2025-01-13T00:00:00"/>
    <x v="8"/>
    <n v="40.800000000000004"/>
    <n v="0"/>
    <n v="0"/>
    <n v="0"/>
    <n v="40.800000000000004"/>
    <s v="Dinheiro"/>
    <x v="0"/>
  </r>
  <r>
    <s v="00133"/>
    <x v="24"/>
    <x v="8"/>
    <s v="01/2025"/>
    <d v="2025-01-13T00:00:00"/>
    <x v="8"/>
    <n v="270"/>
    <n v="0"/>
    <n v="0"/>
    <n v="0"/>
    <n v="270"/>
    <s v="Dinheiro"/>
    <x v="0"/>
  </r>
  <r>
    <s v="00316"/>
    <x v="17"/>
    <x v="1"/>
    <s v="01/2025"/>
    <d v="2025-01-13T00:00:00"/>
    <x v="8"/>
    <n v="61.2"/>
    <n v="0"/>
    <n v="0"/>
    <n v="0"/>
    <n v="61.2"/>
    <s v="Dinheiro"/>
    <x v="0"/>
  </r>
  <r>
    <s v="00365"/>
    <x v="57"/>
    <x v="27"/>
    <s v="01/2025"/>
    <d v="2025-01-13T00:00:00"/>
    <x v="8"/>
    <n v="155.94"/>
    <n v="0"/>
    <n v="0"/>
    <n v="0"/>
    <n v="155.94"/>
    <s v="Dinheiro"/>
    <x v="0"/>
  </r>
  <r>
    <s v="00313"/>
    <x v="10"/>
    <x v="8"/>
    <s v="01/2025"/>
    <d v="2025-01-13T00:00:00"/>
    <x v="8"/>
    <n v="300"/>
    <n v="0"/>
    <n v="0"/>
    <n v="0"/>
    <n v="300"/>
    <s v="Dinheiro"/>
    <x v="0"/>
  </r>
  <r>
    <s v="00313"/>
    <x v="10"/>
    <x v="32"/>
    <s v="01/2025"/>
    <d v="2025-01-13T00:00:00"/>
    <x v="8"/>
    <n v="40"/>
    <n v="0"/>
    <n v="0"/>
    <n v="0"/>
    <n v="40"/>
    <s v="Dinheiro"/>
    <x v="0"/>
  </r>
  <r>
    <s v="00363"/>
    <x v="15"/>
    <x v="1"/>
    <s v="01/2025"/>
    <d v="2025-01-13T00:00:00"/>
    <x v="8"/>
    <n v="75.2"/>
    <n v="0"/>
    <n v="0"/>
    <n v="0"/>
    <n v="75.2"/>
    <s v="Dinheiro"/>
    <x v="0"/>
  </r>
  <r>
    <s v="00257"/>
    <x v="9"/>
    <x v="1"/>
    <s v="01/2025"/>
    <d v="2025-01-13T00:00:00"/>
    <x v="8"/>
    <n v="30"/>
    <n v="0"/>
    <n v="0"/>
    <n v="0"/>
    <n v="30"/>
    <s v="Dinheiro"/>
    <x v="0"/>
  </r>
  <r>
    <s v="00228"/>
    <x v="79"/>
    <x v="29"/>
    <s v="01/2025"/>
    <d v="2025-01-13T00:00:00"/>
    <x v="8"/>
    <n v="2160"/>
    <n v="0"/>
    <n v="0"/>
    <n v="0"/>
    <n v="2160"/>
    <s v="Dinheiro"/>
    <x v="0"/>
  </r>
  <r>
    <s v="00237"/>
    <x v="80"/>
    <x v="30"/>
    <s v="01/2025"/>
    <d v="2025-01-13T00:00:00"/>
    <x v="8"/>
    <n v="120"/>
    <n v="0"/>
    <n v="0"/>
    <n v="0"/>
    <n v="120"/>
    <s v="Dinheiro"/>
    <x v="0"/>
  </r>
  <r>
    <s v="00227"/>
    <x v="81"/>
    <x v="17"/>
    <s v="01/2025"/>
    <d v="2025-01-13T00:00:00"/>
    <x v="8"/>
    <n v="3036"/>
    <n v="0"/>
    <n v="0"/>
    <n v="0"/>
    <n v="3036"/>
    <s v="Dinheiro"/>
    <x v="0"/>
  </r>
  <r>
    <s v="00372"/>
    <x v="82"/>
    <x v="29"/>
    <s v="01/2025"/>
    <d v="2025-01-13T00:00:00"/>
    <x v="8"/>
    <n v="1280"/>
    <n v="0"/>
    <n v="0"/>
    <n v="0"/>
    <n v="1280"/>
    <s v="Dinheiro"/>
    <x v="0"/>
  </r>
  <r>
    <s v="00355"/>
    <x v="83"/>
    <x v="29"/>
    <s v="01/2025"/>
    <d v="2025-01-13T00:00:00"/>
    <x v="8"/>
    <n v="600"/>
    <n v="0"/>
    <n v="0"/>
    <n v="0"/>
    <n v="600"/>
    <s v="Dinheiro"/>
    <x v="0"/>
  </r>
  <r>
    <s v="00102"/>
    <x v="84"/>
    <x v="10"/>
    <s v="01/2025"/>
    <d v="2025-01-13T00:00:00"/>
    <x v="8"/>
    <n v="590.32000000000005"/>
    <n v="0"/>
    <n v="0"/>
    <n v="0"/>
    <n v="590.32000000000005"/>
    <s v="Dinheiro"/>
    <x v="0"/>
  </r>
  <r>
    <s v="00379"/>
    <x v="85"/>
    <x v="29"/>
    <s v="01/2025"/>
    <d v="2025-01-13T00:00:00"/>
    <x v="8"/>
    <n v="320"/>
    <n v="0"/>
    <n v="0"/>
    <n v="0"/>
    <n v="320"/>
    <s v="Dinheiro"/>
    <x v="0"/>
  </r>
  <r>
    <s v="00362"/>
    <x v="7"/>
    <x v="3"/>
    <s v="01/2025"/>
    <d v="2025-01-13T00:00:00"/>
    <x v="8"/>
    <n v="3.58"/>
    <n v="0"/>
    <n v="0"/>
    <n v="0"/>
    <n v="3.58"/>
    <s v="Dinheiro"/>
    <x v="0"/>
  </r>
  <r>
    <s v="00235"/>
    <x v="86"/>
    <x v="29"/>
    <s v="01/2025"/>
    <d v="2025-01-13T00:00:00"/>
    <x v="8"/>
    <n v="720"/>
    <n v="0"/>
    <n v="0"/>
    <n v="0"/>
    <n v="720"/>
    <s v="Dinheiro"/>
    <x v="0"/>
  </r>
  <r>
    <s v="00154"/>
    <x v="12"/>
    <x v="33"/>
    <s v="01/2025"/>
    <d v="2025-01-13T00:00:00"/>
    <x v="8"/>
    <n v="12000"/>
    <n v="0"/>
    <n v="0"/>
    <n v="0"/>
    <n v="12000"/>
    <s v="Dinheiro"/>
    <x v="0"/>
  </r>
  <r>
    <s v="00378"/>
    <x v="87"/>
    <x v="29"/>
    <s v="01/2025"/>
    <d v="2025-01-13T00:00:00"/>
    <x v="8"/>
    <n v="1440"/>
    <n v="0"/>
    <n v="0"/>
    <n v="0"/>
    <n v="1440"/>
    <s v="Dinheiro"/>
    <x v="0"/>
  </r>
  <r>
    <s v="00362"/>
    <x v="7"/>
    <x v="3"/>
    <s v="01/2025"/>
    <d v="2025-01-14T00:00:00"/>
    <x v="9"/>
    <n v="603.5"/>
    <n v="0"/>
    <n v="0"/>
    <n v="0"/>
    <n v="603.5"/>
    <s v="Dinheiro"/>
    <x v="0"/>
  </r>
  <r>
    <s v="00058"/>
    <x v="88"/>
    <x v="9"/>
    <s v="01/2024"/>
    <d v="2025-01-13T00:00:00"/>
    <x v="9"/>
    <n v="89.95"/>
    <n v="0"/>
    <n v="0"/>
    <n v="0"/>
    <n v="89.95"/>
    <s v="Dinheiro"/>
    <x v="0"/>
  </r>
  <r>
    <s v="00366"/>
    <x v="89"/>
    <x v="17"/>
    <s v="01/2025"/>
    <d v="2025-01-14T00:00:00"/>
    <x v="9"/>
    <n v="50"/>
    <n v="0"/>
    <n v="0"/>
    <n v="0"/>
    <n v="50"/>
    <s v="Dinheiro"/>
    <x v="0"/>
  </r>
  <r>
    <s v="00253"/>
    <x v="41"/>
    <x v="1"/>
    <s v="01/2025"/>
    <d v="2025-01-14T00:00:00"/>
    <x v="9"/>
    <n v="440"/>
    <n v="0"/>
    <n v="0"/>
    <n v="0"/>
    <n v="440"/>
    <s v="Dinheiro"/>
    <x v="0"/>
  </r>
  <r>
    <s v="00257"/>
    <x v="9"/>
    <x v="1"/>
    <s v="01/2025"/>
    <d v="2025-01-14T00:00:00"/>
    <x v="9"/>
    <n v="30"/>
    <n v="0"/>
    <n v="0"/>
    <n v="0"/>
    <n v="30"/>
    <s v="Dinheiro"/>
    <x v="0"/>
  </r>
  <r>
    <s v="00316"/>
    <x v="17"/>
    <x v="8"/>
    <s v="01/2025"/>
    <d v="2025-01-14T00:00:00"/>
    <x v="9"/>
    <n v="360"/>
    <n v="0"/>
    <n v="0"/>
    <n v="0"/>
    <n v="360"/>
    <s v="Dinheiro"/>
    <x v="0"/>
  </r>
  <r>
    <s v="00257"/>
    <x v="9"/>
    <x v="1"/>
    <s v="01/2025"/>
    <d v="2025-01-14T00:00:00"/>
    <x v="9"/>
    <n v="22"/>
    <n v="0"/>
    <n v="0"/>
    <n v="0"/>
    <n v="22"/>
    <s v="Dinheiro"/>
    <x v="0"/>
  </r>
  <r>
    <s v="00362"/>
    <x v="7"/>
    <x v="34"/>
    <s v="01/2025"/>
    <d v="2025-01-14T00:00:00"/>
    <x v="9"/>
    <n v="4248.63"/>
    <n v="0"/>
    <n v="0"/>
    <n v="0"/>
    <n v="4248.63"/>
    <s v="Dinheiro"/>
    <x v="0"/>
  </r>
  <r>
    <s v="00109"/>
    <x v="90"/>
    <x v="35"/>
    <s v="01/2025"/>
    <d v="2025-01-14T00:00:00"/>
    <x v="9"/>
    <n v="224.21"/>
    <n v="0"/>
    <n v="0"/>
    <n v="0"/>
    <n v="224.21"/>
    <s v="Dinheiro"/>
    <x v="0"/>
  </r>
  <r>
    <s v="00091"/>
    <x v="46"/>
    <x v="28"/>
    <s v="01/2025"/>
    <d v="2025-01-14T00:00:00"/>
    <x v="9"/>
    <n v="49"/>
    <n v="0"/>
    <n v="0"/>
    <n v="0"/>
    <n v="49"/>
    <s v="Dinheiro"/>
    <x v="0"/>
  </r>
  <r>
    <s v="00380"/>
    <x v="91"/>
    <x v="29"/>
    <s v="01/2025"/>
    <d v="2025-01-14T00:00:00"/>
    <x v="9"/>
    <n v="1560"/>
    <n v="0"/>
    <n v="0"/>
    <n v="0"/>
    <n v="1560"/>
    <s v="Dinheiro"/>
    <x v="0"/>
  </r>
  <r>
    <s v="00380"/>
    <x v="91"/>
    <x v="30"/>
    <s v="01/2025"/>
    <d v="2025-01-14T00:00:00"/>
    <x v="9"/>
    <n v="1200"/>
    <n v="0"/>
    <n v="0"/>
    <n v="0"/>
    <n v="1200"/>
    <s v="Dinheiro"/>
    <x v="0"/>
  </r>
  <r>
    <s v="00237"/>
    <x v="80"/>
    <x v="29"/>
    <s v="01/2025"/>
    <d v="2025-01-14T00:00:00"/>
    <x v="9"/>
    <n v="1920"/>
    <n v="0"/>
    <n v="0"/>
    <n v="0"/>
    <n v="1920"/>
    <s v="Dinheiro"/>
    <x v="0"/>
  </r>
  <r>
    <s v="00362"/>
    <x v="7"/>
    <x v="3"/>
    <s v="01/2025"/>
    <d v="2025-01-15T00:00:00"/>
    <x v="10"/>
    <n v="1.79"/>
    <n v="0"/>
    <n v="0"/>
    <n v="0"/>
    <n v="1.79"/>
    <s v="Dinheiro"/>
    <x v="0"/>
  </r>
  <r>
    <s v="00065"/>
    <x v="92"/>
    <x v="36"/>
    <s v="01/2025"/>
    <d v="2025-01-15T00:00:00"/>
    <x v="10"/>
    <n v="18743.05"/>
    <n v="0"/>
    <n v="0"/>
    <n v="0"/>
    <n v="18743.05"/>
    <s v="Dinheiro"/>
    <x v="0"/>
  </r>
  <r>
    <s v="00367"/>
    <x v="93"/>
    <x v="14"/>
    <s v="01/2025"/>
    <d v="2025-01-15T00:00:00"/>
    <x v="10"/>
    <n v="50"/>
    <n v="0"/>
    <n v="0"/>
    <n v="0"/>
    <n v="50"/>
    <s v="Dinheiro"/>
    <x v="0"/>
  </r>
  <r>
    <s v="00368"/>
    <x v="94"/>
    <x v="14"/>
    <s v="01/2025"/>
    <d v="2025-01-15T00:00:00"/>
    <x v="10"/>
    <n v="40"/>
    <n v="0"/>
    <n v="0"/>
    <n v="0"/>
    <n v="40"/>
    <s v="Dinheiro"/>
    <x v="0"/>
  </r>
  <r>
    <s v="00363"/>
    <x v="15"/>
    <x v="1"/>
    <s v="01/2025"/>
    <d v="2025-01-15T00:00:00"/>
    <x v="10"/>
    <n v="75.2"/>
    <n v="0"/>
    <n v="0"/>
    <n v="0"/>
    <n v="75.2"/>
    <s v="Dinheiro"/>
    <x v="0"/>
  </r>
  <r>
    <s v="00351"/>
    <x v="42"/>
    <x v="1"/>
    <s v="01/2025"/>
    <d v="2025-01-15T00:00:00"/>
    <x v="10"/>
    <n v="345.8"/>
    <n v="0"/>
    <n v="0"/>
    <n v="0"/>
    <n v="345.8"/>
    <s v="Dinheiro"/>
    <x v="0"/>
  </r>
  <r>
    <s v="00257"/>
    <x v="9"/>
    <x v="1"/>
    <s v="01/2025"/>
    <d v="2025-01-15T00:00:00"/>
    <x v="10"/>
    <n v="286"/>
    <n v="0"/>
    <n v="0"/>
    <n v="0"/>
    <n v="286"/>
    <s v="Dinheiro"/>
    <x v="0"/>
  </r>
  <r>
    <s v="00102"/>
    <x v="84"/>
    <x v="10"/>
    <s v="01/2025"/>
    <d v="2025-01-15T00:00:00"/>
    <x v="10"/>
    <n v="700"/>
    <n v="0"/>
    <n v="0"/>
    <n v="0"/>
    <n v="700"/>
    <s v="Dinheiro"/>
    <x v="0"/>
  </r>
  <r>
    <s v="00018"/>
    <x v="95"/>
    <x v="37"/>
    <s v="01/2025"/>
    <d v="2025-01-15T00:00:00"/>
    <x v="10"/>
    <n v="500"/>
    <n v="0"/>
    <n v="0"/>
    <n v="0"/>
    <n v="500"/>
    <s v="Dinheiro"/>
    <x v="0"/>
  </r>
  <r>
    <s v="00315"/>
    <x v="2"/>
    <x v="1"/>
    <s v="01/2025"/>
    <d v="2025-01-15T00:00:00"/>
    <x v="10"/>
    <n v="162.4"/>
    <n v="0"/>
    <n v="0"/>
    <n v="0"/>
    <n v="162.4"/>
    <s v="Dinheiro"/>
    <x v="0"/>
  </r>
  <r>
    <s v="00302"/>
    <x v="96"/>
    <x v="38"/>
    <s v="01/2025"/>
    <d v="2025-01-15T00:00:00"/>
    <x v="10"/>
    <n v="935"/>
    <n v="0"/>
    <n v="0"/>
    <n v="0"/>
    <n v="935"/>
    <s v="Dinheiro"/>
    <x v="0"/>
  </r>
  <r>
    <s v="00362"/>
    <x v="7"/>
    <x v="3"/>
    <s v="01/2025"/>
    <d v="2025-01-15T00:00:00"/>
    <x v="10"/>
    <n v="222.02"/>
    <n v="0"/>
    <n v="0"/>
    <n v="0"/>
    <n v="222.02"/>
    <s v="Dinheiro"/>
    <x v="0"/>
  </r>
  <r>
    <s v="00103"/>
    <x v="97"/>
    <x v="17"/>
    <s v="01/2025"/>
    <d v="2025-01-15T00:00:00"/>
    <x v="10"/>
    <n v="154.44"/>
    <n v="0"/>
    <n v="0"/>
    <n v="0"/>
    <n v="154.44"/>
    <s v="Dinheiro"/>
    <x v="0"/>
  </r>
  <r>
    <s v="00102"/>
    <x v="84"/>
    <x v="36"/>
    <s v="01/2025"/>
    <d v="2025-01-15T00:00:00"/>
    <x v="10"/>
    <n v="1157.31"/>
    <n v="0"/>
    <n v="0"/>
    <n v="0"/>
    <n v="1157.31"/>
    <s v="Dinheiro"/>
    <x v="0"/>
  </r>
  <r>
    <s v="00068"/>
    <x v="98"/>
    <x v="39"/>
    <s v="01/2025"/>
    <d v="2025-01-15T00:00:00"/>
    <x v="10"/>
    <n v="1518"/>
    <n v="0"/>
    <n v="0"/>
    <n v="0"/>
    <n v="1518"/>
    <s v="Dinheiro"/>
    <x v="0"/>
  </r>
  <r>
    <s v="00381"/>
    <x v="99"/>
    <x v="2"/>
    <s v="01/2025"/>
    <d v="2025-01-15T00:00:00"/>
    <x v="10"/>
    <n v="390"/>
    <n v="0"/>
    <n v="0"/>
    <n v="0"/>
    <n v="390"/>
    <s v="Dinheiro"/>
    <x v="0"/>
  </r>
  <r>
    <s v="00083"/>
    <x v="5"/>
    <x v="1"/>
    <s v="01/2025"/>
    <d v="2025-01-15T00:00:00"/>
    <x v="10"/>
    <n v="4098.5"/>
    <n v="0"/>
    <n v="0"/>
    <n v="0"/>
    <n v="4098.5"/>
    <s v="Dinheiro"/>
    <x v="0"/>
  </r>
  <r>
    <s v="00102"/>
    <x v="84"/>
    <x v="10"/>
    <s v="01/2025"/>
    <d v="2025-01-15T00:00:00"/>
    <x v="10"/>
    <n v="721.2"/>
    <n v="0"/>
    <n v="0"/>
    <n v="0"/>
    <n v="721.2"/>
    <s v="Dinheiro"/>
    <x v="0"/>
  </r>
  <r>
    <s v="00248"/>
    <x v="1"/>
    <x v="1"/>
    <s v="01/2025"/>
    <d v="2025-01-15T00:00:00"/>
    <x v="10"/>
    <n v="330"/>
    <n v="0"/>
    <n v="0"/>
    <n v="0"/>
    <n v="330"/>
    <s v="Dinheiro"/>
    <x v="0"/>
  </r>
  <r>
    <s v="00109"/>
    <x v="90"/>
    <x v="35"/>
    <s v="01/2025"/>
    <d v="2025-01-15T00:00:00"/>
    <x v="10"/>
    <n v="217.76"/>
    <n v="0"/>
    <n v="0"/>
    <n v="0"/>
    <n v="217.76"/>
    <s v="Dinheiro"/>
    <x v="0"/>
  </r>
  <r>
    <s v="00364"/>
    <x v="16"/>
    <x v="1"/>
    <s v="01/2025"/>
    <d v="2025-01-15T00:00:00"/>
    <x v="10"/>
    <n v="285.60000000000002"/>
    <n v="0"/>
    <n v="0"/>
    <n v="0"/>
    <n v="285.60000000000002"/>
    <s v="Dinheiro"/>
    <x v="0"/>
  </r>
  <r>
    <s v="00121"/>
    <x v="56"/>
    <x v="26"/>
    <s v="01/2025"/>
    <d v="2025-01-15T00:00:00"/>
    <x v="10"/>
    <n v="61.29"/>
    <n v="0"/>
    <n v="0"/>
    <n v="0"/>
    <n v="61.29"/>
    <s v="Dinheiro"/>
    <x v="0"/>
  </r>
  <r>
    <s v="00037"/>
    <x v="0"/>
    <x v="0"/>
    <s v="01/2025"/>
    <d v="2025-01-16T00:00:00"/>
    <x v="11"/>
    <n v="1147.5"/>
    <n v="0"/>
    <n v="0"/>
    <n v="0"/>
    <n v="1147.5"/>
    <s v="Dinheiro"/>
    <x v="0"/>
  </r>
  <r>
    <s v="00037"/>
    <x v="0"/>
    <x v="0"/>
    <s v="01/2025"/>
    <d v="2025-01-16T00:00:00"/>
    <x v="11"/>
    <n v="724.80000000000007"/>
    <n v="0"/>
    <n v="0"/>
    <n v="0"/>
    <n v="724.80000000000007"/>
    <s v="Dinheiro"/>
    <x v="0"/>
  </r>
  <r>
    <s v="00193"/>
    <x v="3"/>
    <x v="0"/>
    <s v="01/2025"/>
    <d v="2025-01-16T00:00:00"/>
    <x v="11"/>
    <n v="3352.5"/>
    <n v="0"/>
    <n v="0"/>
    <n v="0"/>
    <n v="3352.5"/>
    <s v="Dinheiro"/>
    <x v="0"/>
  </r>
  <r>
    <s v="00193"/>
    <x v="3"/>
    <x v="0"/>
    <s v="01/2025"/>
    <d v="2025-01-16T00:00:00"/>
    <x v="11"/>
    <n v="2275.2000000000003"/>
    <n v="0"/>
    <n v="0"/>
    <n v="0"/>
    <n v="2275.2000000000003"/>
    <s v="Dinheiro"/>
    <x v="0"/>
  </r>
  <r>
    <s v="00082"/>
    <x v="100"/>
    <x v="17"/>
    <s v="01/2025"/>
    <d v="2025-01-16T00:00:00"/>
    <x v="11"/>
    <n v="41.2"/>
    <n v="0"/>
    <n v="0"/>
    <n v="0"/>
    <n v="41.2"/>
    <s v="Dinheiro"/>
    <x v="0"/>
  </r>
  <r>
    <s v="00051"/>
    <x v="101"/>
    <x v="17"/>
    <s v="01/2025"/>
    <d v="2025-01-16T00:00:00"/>
    <x v="11"/>
    <n v="24"/>
    <n v="0"/>
    <n v="0"/>
    <n v="0"/>
    <n v="24"/>
    <s v="Dinheiro"/>
    <x v="0"/>
  </r>
  <r>
    <s v="00078"/>
    <x v="13"/>
    <x v="17"/>
    <s v="01/2025"/>
    <d v="2025-01-16T00:00:00"/>
    <x v="11"/>
    <n v="40"/>
    <n v="0"/>
    <n v="0"/>
    <n v="0"/>
    <n v="40"/>
    <s v="Dinheiro"/>
    <x v="0"/>
  </r>
  <r>
    <s v="00368"/>
    <x v="94"/>
    <x v="14"/>
    <s v="01/2025"/>
    <d v="2025-01-16T00:00:00"/>
    <x v="11"/>
    <n v="40"/>
    <n v="0"/>
    <n v="0"/>
    <n v="0"/>
    <n v="40"/>
    <s v="Dinheiro"/>
    <x v="0"/>
  </r>
  <r>
    <s v="00142"/>
    <x v="63"/>
    <x v="8"/>
    <s v="01/2025"/>
    <d v="2025-01-16T00:00:00"/>
    <x v="11"/>
    <n v="500"/>
    <n v="0"/>
    <n v="0"/>
    <n v="0"/>
    <n v="500"/>
    <s v="Dinheiro"/>
    <x v="0"/>
  </r>
  <r>
    <s v="00254"/>
    <x v="22"/>
    <x v="1"/>
    <s v="01/2025"/>
    <d v="2025-01-16T00:00:00"/>
    <x v="11"/>
    <n v="33.6"/>
    <n v="0"/>
    <n v="0"/>
    <n v="0"/>
    <n v="33.6"/>
    <s v="Dinheiro"/>
    <x v="0"/>
  </r>
  <r>
    <s v="00334"/>
    <x v="33"/>
    <x v="1"/>
    <s v="01/2025"/>
    <d v="2025-01-16T00:00:00"/>
    <x v="11"/>
    <n v="31.2"/>
    <n v="0"/>
    <n v="0"/>
    <n v="0"/>
    <n v="31.2"/>
    <s v="Dinheiro"/>
    <x v="0"/>
  </r>
  <r>
    <s v="00091"/>
    <x v="46"/>
    <x v="20"/>
    <s v="01/2025"/>
    <d v="2025-01-16T00:00:00"/>
    <x v="11"/>
    <n v="280.88"/>
    <n v="0"/>
    <n v="0"/>
    <n v="0"/>
    <n v="280.88"/>
    <s v="Dinheiro"/>
    <x v="0"/>
  </r>
  <r>
    <s v="00078"/>
    <x v="13"/>
    <x v="17"/>
    <s v="01/2025"/>
    <d v="2025-01-17T00:00:00"/>
    <x v="12"/>
    <n v="27"/>
    <n v="0"/>
    <n v="0"/>
    <n v="0"/>
    <n v="27"/>
    <s v="Dinheiro"/>
    <x v="0"/>
  </r>
  <r>
    <s v="00027"/>
    <x v="58"/>
    <x v="27"/>
    <s v="01/2025"/>
    <d v="2025-01-17T00:00:00"/>
    <x v="12"/>
    <n v="30"/>
    <n v="0"/>
    <n v="0"/>
    <n v="0"/>
    <n v="30"/>
    <s v="Dinheiro"/>
    <x v="0"/>
  </r>
  <r>
    <s v="00368"/>
    <x v="94"/>
    <x v="14"/>
    <s v="01/2025"/>
    <d v="2025-01-17T00:00:00"/>
    <x v="12"/>
    <n v="80"/>
    <n v="0"/>
    <n v="0"/>
    <n v="0"/>
    <n v="80"/>
    <s v="Dinheiro"/>
    <x v="0"/>
  </r>
  <r>
    <s v="00027"/>
    <x v="58"/>
    <x v="25"/>
    <s v="01/2025"/>
    <d v="2025-01-17T00:00:00"/>
    <x v="12"/>
    <n v="26.45"/>
    <n v="0"/>
    <n v="0"/>
    <n v="0"/>
    <n v="26.45"/>
    <s v="Dinheiro"/>
    <x v="0"/>
  </r>
  <r>
    <s v="00058"/>
    <x v="88"/>
    <x v="25"/>
    <s v="01/2025"/>
    <d v="2025-01-17T00:00:00"/>
    <x v="12"/>
    <n v="14.16"/>
    <n v="0"/>
    <n v="0"/>
    <n v="0"/>
    <n v="14.16"/>
    <s v="Dinheiro"/>
    <x v="0"/>
  </r>
  <r>
    <s v="00382"/>
    <x v="102"/>
    <x v="29"/>
    <s v="01/2025"/>
    <d v="2025-01-17T00:00:00"/>
    <x v="12"/>
    <n v="1040"/>
    <n v="0"/>
    <n v="0"/>
    <n v="0"/>
    <n v="1040"/>
    <s v="Dinheiro"/>
    <x v="0"/>
  </r>
  <r>
    <s v="00344"/>
    <x v="103"/>
    <x v="30"/>
    <s v="01/2025"/>
    <d v="2025-01-17T00:00:00"/>
    <x v="12"/>
    <n v="360"/>
    <n v="0"/>
    <n v="0"/>
    <n v="0"/>
    <n v="360"/>
    <s v="Dinheiro"/>
    <x v="0"/>
  </r>
  <r>
    <s v="00363"/>
    <x v="15"/>
    <x v="1"/>
    <s v="01/2025"/>
    <d v="2025-01-17T00:00:00"/>
    <x v="12"/>
    <n v="99.9"/>
    <n v="0"/>
    <n v="0"/>
    <n v="0"/>
    <n v="99.9"/>
    <s v="Dinheiro"/>
    <x v="0"/>
  </r>
  <r>
    <s v="00011"/>
    <x v="45"/>
    <x v="16"/>
    <s v="01/2025"/>
    <d v="2025-01-20T00:00:00"/>
    <x v="13"/>
    <n v="941.56000000000006"/>
    <n v="0"/>
    <n v="0"/>
    <n v="0"/>
    <n v="941.56000000000006"/>
    <s v="Dinheiro"/>
    <x v="0"/>
  </r>
  <r>
    <s v="00011"/>
    <x v="45"/>
    <x v="16"/>
    <s v="01/2025"/>
    <d v="2025-01-20T00:00:00"/>
    <x v="13"/>
    <n v="791.23"/>
    <n v="0"/>
    <n v="0"/>
    <n v="0"/>
    <n v="791.23"/>
    <s v="Dinheiro"/>
    <x v="0"/>
  </r>
  <r>
    <s v="00085"/>
    <x v="104"/>
    <x v="2"/>
    <s v="01/2025"/>
    <d v="2025-01-20T00:00:00"/>
    <x v="13"/>
    <n v="350"/>
    <n v="0"/>
    <n v="0"/>
    <n v="0"/>
    <n v="350"/>
    <s v="Dinheiro"/>
    <x v="0"/>
  </r>
  <r>
    <s v="00040"/>
    <x v="105"/>
    <x v="40"/>
    <s v="01/2025"/>
    <d v="2025-01-20T00:00:00"/>
    <x v="13"/>
    <n v="17230.03"/>
    <n v="0"/>
    <n v="0"/>
    <n v="0"/>
    <n v="17230.03"/>
    <s v="Dinheiro"/>
    <x v="0"/>
  </r>
  <r>
    <s v="00078"/>
    <x v="13"/>
    <x v="12"/>
    <s v="01/2025"/>
    <d v="2025-01-20T00:00:00"/>
    <x v="13"/>
    <n v="135"/>
    <n v="0"/>
    <n v="0"/>
    <n v="0"/>
    <n v="135"/>
    <s v="Dinheiro"/>
    <x v="0"/>
  </r>
  <r>
    <s v="00355"/>
    <x v="83"/>
    <x v="41"/>
    <s v="01/2025"/>
    <d v="2025-01-20T00:00:00"/>
    <x v="13"/>
    <n v="300"/>
    <n v="0"/>
    <n v="0"/>
    <n v="0"/>
    <n v="300"/>
    <s v="Dinheiro"/>
    <x v="0"/>
  </r>
  <r>
    <s v="00316"/>
    <x v="17"/>
    <x v="8"/>
    <s v="01/2025"/>
    <d v="2025-01-20T00:00:00"/>
    <x v="13"/>
    <n v="36"/>
    <n v="0"/>
    <n v="0"/>
    <n v="0"/>
    <n v="36"/>
    <s v="Dinheiro"/>
    <x v="0"/>
  </r>
  <r>
    <s v="00334"/>
    <x v="33"/>
    <x v="8"/>
    <s v="01/2025"/>
    <d v="2025-01-20T00:00:00"/>
    <x v="13"/>
    <n v="60"/>
    <n v="0"/>
    <n v="0"/>
    <n v="0"/>
    <n v="60"/>
    <s v="Dinheiro"/>
    <x v="0"/>
  </r>
  <r>
    <s v="00315"/>
    <x v="2"/>
    <x v="8"/>
    <s v="01/2025"/>
    <d v="2025-01-20T00:00:00"/>
    <x v="13"/>
    <n v="40"/>
    <n v="0"/>
    <n v="0"/>
    <n v="0"/>
    <n v="40"/>
    <s v="Dinheiro"/>
    <x v="0"/>
  </r>
  <r>
    <s v="00253"/>
    <x v="41"/>
    <x v="32"/>
    <s v="01/2025"/>
    <d v="2025-01-20T00:00:00"/>
    <x v="13"/>
    <n v="242.4"/>
    <n v="0"/>
    <n v="0"/>
    <n v="0"/>
    <n v="242.4"/>
    <s v="Dinheiro"/>
    <x v="0"/>
  </r>
  <r>
    <s v="00126"/>
    <x v="38"/>
    <x v="1"/>
    <s v="01/2025"/>
    <d v="2025-01-20T00:00:00"/>
    <x v="13"/>
    <n v="34.92"/>
    <n v="0"/>
    <n v="0"/>
    <n v="0"/>
    <n v="34.92"/>
    <s v="Dinheiro"/>
    <x v="0"/>
  </r>
  <r>
    <s v="00368"/>
    <x v="94"/>
    <x v="14"/>
    <s v="01/2025"/>
    <d v="2025-01-20T00:00:00"/>
    <x v="13"/>
    <n v="80"/>
    <n v="0"/>
    <n v="0"/>
    <n v="0"/>
    <n v="80"/>
    <s v="Dinheiro"/>
    <x v="0"/>
  </r>
  <r>
    <s v="00133"/>
    <x v="24"/>
    <x v="8"/>
    <s v="01/2025"/>
    <d v="2025-01-20T00:00:00"/>
    <x v="13"/>
    <n v="80"/>
    <n v="0"/>
    <n v="0"/>
    <n v="0"/>
    <n v="80"/>
    <s v="Dinheiro"/>
    <x v="0"/>
  </r>
  <r>
    <s v="00160"/>
    <x v="31"/>
    <x v="1"/>
    <s v="01/2025"/>
    <d v="2025-01-20T00:00:00"/>
    <x v="13"/>
    <n v="49.6"/>
    <n v="0"/>
    <n v="0"/>
    <n v="0"/>
    <n v="49.6"/>
    <s v="Dinheiro"/>
    <x v="0"/>
  </r>
  <r>
    <s v="00363"/>
    <x v="15"/>
    <x v="8"/>
    <s v="01/2025"/>
    <d v="2025-01-20T00:00:00"/>
    <x v="13"/>
    <n v="146"/>
    <n v="0"/>
    <n v="0"/>
    <n v="0"/>
    <n v="146"/>
    <s v="Dinheiro"/>
    <x v="0"/>
  </r>
  <r>
    <s v="00134"/>
    <x v="18"/>
    <x v="8"/>
    <s v="01/2025"/>
    <d v="2025-01-20T00:00:00"/>
    <x v="13"/>
    <n v="226"/>
    <n v="0"/>
    <n v="0"/>
    <n v="0"/>
    <n v="226"/>
    <s v="Dinheiro"/>
    <x v="0"/>
  </r>
  <r>
    <s v="00364"/>
    <x v="16"/>
    <x v="8"/>
    <s v="01/2025"/>
    <d v="2025-01-20T00:00:00"/>
    <x v="13"/>
    <n v="186"/>
    <n v="0"/>
    <n v="0"/>
    <n v="0"/>
    <n v="186"/>
    <s v="Dinheiro"/>
    <x v="0"/>
  </r>
  <r>
    <s v="00367"/>
    <x v="93"/>
    <x v="1"/>
    <s v="01/2025"/>
    <d v="2025-01-20T00:00:00"/>
    <x v="13"/>
    <n v="204"/>
    <n v="0"/>
    <n v="0"/>
    <n v="0"/>
    <n v="204"/>
    <s v="Dinheiro"/>
    <x v="0"/>
  </r>
  <r>
    <s v="00367"/>
    <x v="93"/>
    <x v="32"/>
    <s v="01/2025"/>
    <d v="2025-01-20T00:00:00"/>
    <x v="13"/>
    <n v="96"/>
    <n v="0"/>
    <n v="0"/>
    <n v="0"/>
    <n v="96"/>
    <s v="Dinheiro"/>
    <x v="0"/>
  </r>
  <r>
    <s v="00373"/>
    <x v="106"/>
    <x v="42"/>
    <s v="01/2025"/>
    <d v="2025-01-20T00:00:00"/>
    <x v="13"/>
    <n v="99.990000000000009"/>
    <n v="0"/>
    <n v="0"/>
    <n v="0"/>
    <n v="99.990000000000009"/>
    <s v="Dinheiro"/>
    <x v="0"/>
  </r>
  <r>
    <s v="00364"/>
    <x v="16"/>
    <x v="5"/>
    <s v="01/2025"/>
    <d v="2025-01-20T00:00:00"/>
    <x v="13"/>
    <n v="30"/>
    <n v="0"/>
    <n v="0"/>
    <n v="0"/>
    <n v="30"/>
    <s v="Dinheiro"/>
    <x v="0"/>
  </r>
  <r>
    <s v="00374"/>
    <x v="107"/>
    <x v="9"/>
    <s v="01/2025"/>
    <d v="2025-01-20T00:00:00"/>
    <x v="13"/>
    <n v="3.5"/>
    <n v="0"/>
    <n v="0"/>
    <n v="0"/>
    <n v="3.5"/>
    <s v="Dinheiro"/>
    <x v="0"/>
  </r>
  <r>
    <s v="00373"/>
    <x v="106"/>
    <x v="42"/>
    <s v="01/2025"/>
    <d v="2025-01-20T00:00:00"/>
    <x v="13"/>
    <n v="99.990000000000009"/>
    <n v="0"/>
    <n v="0"/>
    <n v="0"/>
    <n v="99.990000000000009"/>
    <s v="Dinheiro"/>
    <x v="0"/>
  </r>
  <r>
    <s v="00072"/>
    <x v="105"/>
    <x v="43"/>
    <s v="01/2025"/>
    <d v="2025-01-20T00:00:00"/>
    <x v="13"/>
    <n v="114.86"/>
    <n v="0"/>
    <n v="0"/>
    <n v="0"/>
    <n v="114.86"/>
    <s v="Dinheiro"/>
    <x v="0"/>
  </r>
  <r>
    <s v="00126"/>
    <x v="38"/>
    <x v="1"/>
    <s v="01/2025"/>
    <d v="2025-01-21T00:00:00"/>
    <x v="14"/>
    <n v="34.950000000000003"/>
    <n v="0"/>
    <n v="0"/>
    <n v="0"/>
    <n v="34.950000000000003"/>
    <s v="Dinheiro"/>
    <x v="0"/>
  </r>
  <r>
    <s v="00028"/>
    <x v="108"/>
    <x v="44"/>
    <s v="01/2025"/>
    <d v="2025-01-21T00:00:00"/>
    <x v="14"/>
    <n v="49"/>
    <n v="0"/>
    <n v="0"/>
    <n v="0"/>
    <n v="49"/>
    <s v="Dinheiro"/>
    <x v="0"/>
  </r>
  <r>
    <s v="00036"/>
    <x v="109"/>
    <x v="44"/>
    <s v="01/2025"/>
    <d v="2025-01-21T00:00:00"/>
    <x v="14"/>
    <n v="27.490000000000002"/>
    <n v="0"/>
    <n v="0"/>
    <n v="0"/>
    <n v="27.490000000000002"/>
    <s v="Dinheiro"/>
    <x v="0"/>
  </r>
  <r>
    <s v="00051"/>
    <x v="101"/>
    <x v="17"/>
    <s v="02/2025"/>
    <d v="2025-01-21T00:00:00"/>
    <x v="14"/>
    <n v="24"/>
    <n v="0"/>
    <n v="0"/>
    <n v="0"/>
    <n v="24"/>
    <s v="Dinheiro"/>
    <x v="0"/>
  </r>
  <r>
    <s v="00368"/>
    <x v="94"/>
    <x v="1"/>
    <s v="01/2025"/>
    <d v="2025-01-21T00:00:00"/>
    <x v="14"/>
    <n v="120"/>
    <n v="0"/>
    <n v="0"/>
    <n v="0"/>
    <n v="120"/>
    <s v="Dinheiro"/>
    <x v="0"/>
  </r>
  <r>
    <s v="00363"/>
    <x v="15"/>
    <x v="1"/>
    <s v="01/2025"/>
    <d v="2025-01-21T00:00:00"/>
    <x v="14"/>
    <n v="90"/>
    <n v="0"/>
    <n v="0"/>
    <n v="0"/>
    <n v="90"/>
    <s v="Dinheiro"/>
    <x v="0"/>
  </r>
  <r>
    <s v="00302"/>
    <x v="96"/>
    <x v="38"/>
    <s v="01/2025"/>
    <d v="2025-01-21T00:00:00"/>
    <x v="14"/>
    <n v="298.90000000000003"/>
    <n v="0"/>
    <n v="0"/>
    <n v="0"/>
    <n v="298.90000000000003"/>
    <s v="Dinheiro"/>
    <x v="0"/>
  </r>
  <r>
    <s v="00058"/>
    <x v="96"/>
    <x v="38"/>
    <s v="01/2025"/>
    <d v="2025-01-22T00:00:00"/>
    <x v="15"/>
    <n v="390"/>
    <n v="0"/>
    <n v="0"/>
    <n v="0"/>
    <n v="390"/>
    <s v="Dinheiro"/>
    <x v="0"/>
  </r>
  <r>
    <s v="00213"/>
    <x v="110"/>
    <x v="34"/>
    <s v="01/2025"/>
    <d v="2025-01-22T00:00:00"/>
    <x v="15"/>
    <n v="2000"/>
    <n v="0"/>
    <n v="0"/>
    <n v="0"/>
    <n v="2000"/>
    <s v="Dinheiro"/>
    <x v="0"/>
  </r>
  <r>
    <s v="00058"/>
    <x v="88"/>
    <x v="9"/>
    <s v="01/2025"/>
    <d v="2025-01-22T00:00:00"/>
    <x v="15"/>
    <n v="90.93"/>
    <n v="0"/>
    <n v="0"/>
    <n v="0"/>
    <n v="90.93"/>
    <s v="Dinheiro"/>
    <x v="0"/>
  </r>
  <r>
    <s v="00027"/>
    <x v="58"/>
    <x v="45"/>
    <s v="01/2025"/>
    <d v="2025-01-22T00:00:00"/>
    <x v="15"/>
    <n v="11.99"/>
    <n v="0"/>
    <n v="0"/>
    <n v="0"/>
    <n v="11.99"/>
    <s v="Dinheiro"/>
    <x v="0"/>
  </r>
  <r>
    <s v="00120"/>
    <x v="111"/>
    <x v="2"/>
    <s v="01/2025"/>
    <d v="2025-01-22T00:00:00"/>
    <x v="15"/>
    <n v="4"/>
    <n v="0"/>
    <n v="0"/>
    <n v="0"/>
    <n v="4"/>
    <s v="Dinheiro"/>
    <x v="0"/>
  </r>
  <r>
    <s v="00126"/>
    <x v="38"/>
    <x v="1"/>
    <s v="01/2025"/>
    <d v="2025-01-22T00:00:00"/>
    <x v="15"/>
    <n v="39.619999999999997"/>
    <n v="0"/>
    <n v="0"/>
    <n v="0"/>
    <n v="39.619999999999997"/>
    <s v="Dinheiro"/>
    <x v="0"/>
  </r>
  <r>
    <s v="00027"/>
    <x v="58"/>
    <x v="45"/>
    <s v="01/2025"/>
    <d v="2025-01-22T00:00:00"/>
    <x v="15"/>
    <n v="26.37"/>
    <n v="0"/>
    <n v="0"/>
    <n v="0"/>
    <n v="26.37"/>
    <s v="Dinheiro"/>
    <x v="0"/>
  </r>
  <r>
    <s v="00375"/>
    <x v="112"/>
    <x v="44"/>
    <s v="01/2025"/>
    <d v="2025-01-22T00:00:00"/>
    <x v="15"/>
    <n v="64.8"/>
    <n v="0"/>
    <n v="0"/>
    <n v="0"/>
    <n v="64.8"/>
    <s v="Dinheiro"/>
    <x v="0"/>
  </r>
  <r>
    <s v="00028"/>
    <x v="108"/>
    <x v="45"/>
    <s v="01/2025"/>
    <d v="2025-01-22T00:00:00"/>
    <x v="15"/>
    <n v="51"/>
    <n v="0"/>
    <n v="0"/>
    <n v="0"/>
    <n v="51"/>
    <s v="Dinheiro"/>
    <x v="0"/>
  </r>
  <r>
    <s v="00376"/>
    <x v="113"/>
    <x v="14"/>
    <s v="01/2025"/>
    <d v="2025-01-22T00:00:00"/>
    <x v="15"/>
    <n v="30"/>
    <n v="0"/>
    <n v="0"/>
    <n v="0"/>
    <n v="30"/>
    <s v="Dinheiro"/>
    <x v="0"/>
  </r>
  <r>
    <s v="00384"/>
    <x v="114"/>
    <x v="17"/>
    <s v="01/2025"/>
    <d v="2025-01-22T00:00:00"/>
    <x v="15"/>
    <n v="1048.49"/>
    <n v="0"/>
    <n v="0"/>
    <n v="0"/>
    <n v="1048.49"/>
    <s v="Dinheiro"/>
    <x v="0"/>
  </r>
  <r>
    <s v="00022"/>
    <x v="115"/>
    <x v="46"/>
    <s v="01/2025"/>
    <d v="2025-01-22T00:00:00"/>
    <x v="15"/>
    <n v="3241.09"/>
    <n v="0"/>
    <n v="0"/>
    <n v="0"/>
    <n v="3241.09"/>
    <s v="Dinheiro"/>
    <x v="0"/>
  </r>
  <r>
    <s v="00383"/>
    <x v="116"/>
    <x v="17"/>
    <s v="01/2025"/>
    <d v="2025-01-22T00:00:00"/>
    <x v="15"/>
    <n v="2511"/>
    <n v="0"/>
    <n v="0"/>
    <n v="0"/>
    <n v="2511"/>
    <s v="Dinheiro"/>
    <x v="0"/>
  </r>
  <r>
    <s v="00286"/>
    <x v="117"/>
    <x v="2"/>
    <s v="01/2025"/>
    <d v="2025-01-23T00:00:00"/>
    <x v="16"/>
    <n v="104.7"/>
    <n v="0"/>
    <n v="0"/>
    <n v="0"/>
    <n v="104.7"/>
    <s v="Dinheiro"/>
    <x v="0"/>
  </r>
  <r>
    <s v="00072"/>
    <x v="118"/>
    <x v="20"/>
    <s v="01/2025"/>
    <d v="2025-01-23T00:00:00"/>
    <x v="16"/>
    <n v="234.5"/>
    <n v="0"/>
    <n v="0"/>
    <n v="0"/>
    <n v="234.5"/>
    <s v="Dinheiro"/>
    <x v="0"/>
  </r>
  <r>
    <s v="00036"/>
    <x v="109"/>
    <x v="45"/>
    <s v="01/2025"/>
    <d v="2025-01-23T00:00:00"/>
    <x v="16"/>
    <n v="5.89"/>
    <n v="0"/>
    <n v="0"/>
    <n v="0"/>
    <n v="5.89"/>
    <s v="Dinheiro"/>
    <x v="0"/>
  </r>
  <r>
    <s v="00093"/>
    <x v="119"/>
    <x v="47"/>
    <s v="01/2025"/>
    <d v="2025-01-23T00:00:00"/>
    <x v="16"/>
    <n v="80"/>
    <n v="0"/>
    <n v="0"/>
    <n v="0"/>
    <n v="80"/>
    <s v="Dinheiro"/>
    <x v="0"/>
  </r>
  <r>
    <s v="00078"/>
    <x v="13"/>
    <x v="12"/>
    <s v="01/2025"/>
    <d v="2025-01-23T00:00:00"/>
    <x v="16"/>
    <n v="18"/>
    <n v="0"/>
    <n v="0"/>
    <n v="0"/>
    <n v="18"/>
    <s v="Dinheiro"/>
    <x v="0"/>
  </r>
  <r>
    <s v="00027"/>
    <x v="58"/>
    <x v="45"/>
    <s v="01/2025"/>
    <d v="2025-01-23T00:00:00"/>
    <x v="16"/>
    <n v="34.07"/>
    <n v="0"/>
    <n v="0"/>
    <n v="0"/>
    <n v="34.07"/>
    <s v="Dinheiro"/>
    <x v="0"/>
  </r>
  <r>
    <s v="00027"/>
    <x v="58"/>
    <x v="45"/>
    <s v="01/2025"/>
    <d v="2025-01-23T00:00:00"/>
    <x v="16"/>
    <n v="38.06"/>
    <n v="0"/>
    <n v="0"/>
    <n v="0"/>
    <n v="38.06"/>
    <s v="Dinheiro"/>
    <x v="0"/>
  </r>
  <r>
    <s v="00376"/>
    <x v="113"/>
    <x v="14"/>
    <s v="01/2025"/>
    <d v="2025-01-23T00:00:00"/>
    <x v="16"/>
    <n v="30"/>
    <n v="0"/>
    <n v="0"/>
    <n v="0"/>
    <n v="30"/>
    <s v="Dinheiro"/>
    <x v="0"/>
  </r>
  <r>
    <s v="00142"/>
    <x v="63"/>
    <x v="9"/>
    <s v="01/2025"/>
    <d v="2025-01-23T00:00:00"/>
    <x v="16"/>
    <n v="100"/>
    <n v="0"/>
    <n v="0"/>
    <n v="0"/>
    <n v="100"/>
    <s v="Dinheiro"/>
    <x v="0"/>
  </r>
  <r>
    <s v="00160"/>
    <x v="31"/>
    <x v="1"/>
    <s v="01/2025"/>
    <d v="2025-01-23T00:00:00"/>
    <x v="16"/>
    <n v="50"/>
    <n v="0"/>
    <n v="0"/>
    <n v="0"/>
    <n v="50"/>
    <s v="Dinheiro"/>
    <x v="0"/>
  </r>
  <r>
    <s v="00368"/>
    <x v="94"/>
    <x v="1"/>
    <s v="01/2025"/>
    <d v="2025-01-23T00:00:00"/>
    <x v="16"/>
    <n v="80"/>
    <n v="0"/>
    <n v="0"/>
    <n v="0"/>
    <n v="80"/>
    <s v="Dinheiro"/>
    <x v="0"/>
  </r>
  <r>
    <s v="00362"/>
    <x v="7"/>
    <x v="3"/>
    <s v="01/2025"/>
    <d v="2025-01-24T00:00:00"/>
    <x v="17"/>
    <n v="1.79"/>
    <n v="0"/>
    <n v="0"/>
    <n v="0"/>
    <n v="1.79"/>
    <s v="Dinheiro"/>
    <x v="0"/>
  </r>
  <r>
    <s v="00190"/>
    <x v="32"/>
    <x v="15"/>
    <s v="01/2025"/>
    <d v="2025-01-24T00:00:00"/>
    <x v="17"/>
    <n v="300"/>
    <n v="0"/>
    <n v="0"/>
    <n v="0"/>
    <n v="300"/>
    <s v="Dinheiro"/>
    <x v="0"/>
  </r>
  <r>
    <s v="00287"/>
    <x v="15"/>
    <x v="1"/>
    <s v="01/2025"/>
    <d v="2025-01-24T00:00:00"/>
    <x v="17"/>
    <n v="30"/>
    <n v="0"/>
    <n v="0"/>
    <n v="0"/>
    <n v="30"/>
    <s v="Dinheiro"/>
    <x v="0"/>
  </r>
  <r>
    <s v="00078"/>
    <x v="13"/>
    <x v="12"/>
    <s v="01/2025"/>
    <d v="2025-01-24T00:00:00"/>
    <x v="17"/>
    <n v="10"/>
    <n v="0"/>
    <n v="0"/>
    <n v="0"/>
    <n v="10"/>
    <s v="Dinheiro"/>
    <x v="0"/>
  </r>
  <r>
    <s v="00376"/>
    <x v="113"/>
    <x v="14"/>
    <s v="01/2025"/>
    <d v="2025-01-25T00:00:00"/>
    <x v="18"/>
    <n v="60"/>
    <n v="0"/>
    <n v="0"/>
    <n v="0"/>
    <n v="60"/>
    <s v="Dinheiro"/>
    <x v="0"/>
  </r>
  <r>
    <s v="00368"/>
    <x v="94"/>
    <x v="14"/>
    <s v="01/2025"/>
    <d v="2025-01-23T00:00:00"/>
    <x v="18"/>
    <n v="80"/>
    <n v="0"/>
    <n v="0"/>
    <n v="0"/>
    <n v="80"/>
    <s v="Dinheiro"/>
    <x v="0"/>
  </r>
  <r>
    <s v="00368"/>
    <x v="94"/>
    <x v="1"/>
    <s v="01/2025"/>
    <d v="2025-01-25T00:00:00"/>
    <x v="18"/>
    <n v="128.4"/>
    <n v="0"/>
    <n v="0"/>
    <n v="0"/>
    <n v="128.4"/>
    <s v="Dinheiro"/>
    <x v="0"/>
  </r>
  <r>
    <s v="00363"/>
    <x v="15"/>
    <x v="1"/>
    <s v="01/2025"/>
    <d v="2025-01-25T00:00:00"/>
    <x v="18"/>
    <n v="60"/>
    <n v="0"/>
    <n v="0"/>
    <n v="0"/>
    <n v="60"/>
    <s v="Dinheiro"/>
    <x v="0"/>
  </r>
  <r>
    <s v="00032"/>
    <x v="120"/>
    <x v="45"/>
    <s v="01/2025"/>
    <d v="2025-01-25T00:00:00"/>
    <x v="18"/>
    <n v="20"/>
    <n v="0"/>
    <n v="0"/>
    <n v="0"/>
    <n v="20"/>
    <s v="Dinheiro"/>
    <x v="0"/>
  </r>
  <r>
    <s v="00288"/>
    <x v="121"/>
    <x v="1"/>
    <s v="01/2025"/>
    <d v="2025-01-27T00:00:00"/>
    <x v="19"/>
    <n v="80"/>
    <n v="0"/>
    <n v="0"/>
    <n v="0"/>
    <n v="80"/>
    <s v="Dinheiro"/>
    <x v="0"/>
  </r>
  <r>
    <s v="00362"/>
    <x v="7"/>
    <x v="34"/>
    <s v="01/2025"/>
    <d v="2025-01-27T00:00:00"/>
    <x v="19"/>
    <n v="749.82"/>
    <n v="0"/>
    <n v="0"/>
    <n v="0"/>
    <n v="749.82"/>
    <s v="Dinheiro"/>
    <x v="0"/>
  </r>
  <r>
    <s v="00072"/>
    <x v="118"/>
    <x v="28"/>
    <s v="01/2025"/>
    <d v="2025-01-27T00:00:00"/>
    <x v="19"/>
    <n v="99"/>
    <n v="0"/>
    <n v="0"/>
    <n v="0"/>
    <n v="99"/>
    <s v="Dinheiro"/>
    <x v="0"/>
  </r>
  <r>
    <s v="00089"/>
    <x v="37"/>
    <x v="31"/>
    <s v="01/2025"/>
    <d v="2025-01-27T00:00:00"/>
    <x v="19"/>
    <n v="3150.7400000000002"/>
    <n v="0"/>
    <n v="0"/>
    <n v="0"/>
    <n v="3150.7400000000002"/>
    <s v="Dinheiro"/>
    <x v="0"/>
  </r>
  <r>
    <s v="00362"/>
    <x v="7"/>
    <x v="48"/>
    <s v="01/2025"/>
    <d v="2025-01-27T00:00:00"/>
    <x v="19"/>
    <n v="22534.37"/>
    <n v="0"/>
    <n v="0"/>
    <n v="0"/>
    <n v="8937.1200000000008"/>
    <s v="Dinheiro"/>
    <x v="0"/>
  </r>
  <r>
    <s v="00362"/>
    <x v="7"/>
    <x v="48"/>
    <s v="01/2025"/>
    <d v="2025-01-27T00:00:00"/>
    <x v="19"/>
    <n v="22534.37"/>
    <n v="0"/>
    <n v="0"/>
    <n v="0"/>
    <n v="13597.25"/>
    <s v="Banco Investimentos"/>
    <x v="0"/>
  </r>
  <r>
    <s v="00388"/>
    <x v="122"/>
    <x v="1"/>
    <s v="01/2025"/>
    <d v="2025-01-27T00:00:00"/>
    <x v="19"/>
    <n v="100"/>
    <n v="0"/>
    <n v="0"/>
    <n v="0"/>
    <n v="100"/>
    <s v="Dinheiro"/>
    <x v="0"/>
  </r>
  <r>
    <s v="00389"/>
    <x v="123"/>
    <x v="1"/>
    <s v="01/2025"/>
    <d v="2025-01-27T00:00:00"/>
    <x v="19"/>
    <n v="100"/>
    <n v="0"/>
    <n v="0"/>
    <n v="0"/>
    <n v="100"/>
    <s v="Dinheiro"/>
    <x v="0"/>
  </r>
  <r>
    <s v="00391"/>
    <x v="124"/>
    <x v="1"/>
    <s v="01/2025"/>
    <d v="2025-01-27T00:00:00"/>
    <x v="19"/>
    <n v="100"/>
    <n v="0"/>
    <n v="0"/>
    <n v="0"/>
    <n v="100"/>
    <s v="Dinheiro"/>
    <x v="0"/>
  </r>
  <r>
    <s v="00376"/>
    <x v="113"/>
    <x v="14"/>
    <s v="01/2025"/>
    <d v="2025-01-27T00:00:00"/>
    <x v="19"/>
    <n v="30"/>
    <n v="0"/>
    <n v="0"/>
    <n v="0"/>
    <n v="30"/>
    <s v="Dinheiro"/>
    <x v="0"/>
  </r>
  <r>
    <s v="00363"/>
    <x v="15"/>
    <x v="8"/>
    <s v="01/2025"/>
    <d v="2025-01-27T00:00:00"/>
    <x v="19"/>
    <n v="272"/>
    <n v="0"/>
    <n v="0"/>
    <n v="0"/>
    <n v="272"/>
    <s v="Dinheiro"/>
    <x v="0"/>
  </r>
  <r>
    <s v="00133"/>
    <x v="24"/>
    <x v="8"/>
    <s v="01/2025"/>
    <d v="2025-01-27T00:00:00"/>
    <x v="19"/>
    <n v="200"/>
    <n v="0"/>
    <n v="0"/>
    <n v="0"/>
    <n v="200"/>
    <s v="Dinheiro"/>
    <x v="0"/>
  </r>
  <r>
    <s v="00390"/>
    <x v="125"/>
    <x v="1"/>
    <s v="01/2025"/>
    <d v="2025-01-27T00:00:00"/>
    <x v="19"/>
    <n v="100"/>
    <n v="0"/>
    <n v="0"/>
    <n v="0"/>
    <n v="100"/>
    <s v="Dinheiro"/>
    <x v="0"/>
  </r>
  <r>
    <s v="00385"/>
    <x v="126"/>
    <x v="49"/>
    <s v="01/2025"/>
    <d v="2025-01-27T00:00:00"/>
    <x v="19"/>
    <n v="750"/>
    <n v="0"/>
    <n v="0"/>
    <n v="0"/>
    <n v="750"/>
    <s v="Banco Investimentos"/>
    <x v="0"/>
  </r>
  <r>
    <s v="00386"/>
    <x v="127"/>
    <x v="17"/>
    <s v="01/2025"/>
    <d v="2025-01-27T00:00:00"/>
    <x v="19"/>
    <n v="362.22"/>
    <n v="0"/>
    <n v="0"/>
    <n v="0"/>
    <n v="362.22"/>
    <s v="Dinheiro"/>
    <x v="0"/>
  </r>
  <r>
    <s v="00362"/>
    <x v="7"/>
    <x v="3"/>
    <s v="01/2025"/>
    <d v="2025-01-27T00:00:00"/>
    <x v="19"/>
    <n v="1.79"/>
    <n v="0"/>
    <n v="0"/>
    <n v="0"/>
    <n v="1.79"/>
    <s v="Dinheiro"/>
    <x v="0"/>
  </r>
  <r>
    <s v="00362"/>
    <x v="7"/>
    <x v="34"/>
    <s v="01/2025"/>
    <d v="2025-01-27T00:00:00"/>
    <x v="19"/>
    <n v="1325.41"/>
    <n v="0"/>
    <n v="0"/>
    <n v="0"/>
    <n v="1325.41"/>
    <s v="Dinheiro"/>
    <x v="0"/>
  </r>
  <r>
    <s v="00013"/>
    <x v="128"/>
    <x v="12"/>
    <s v="01/2025"/>
    <d v="2025-01-28T00:00:00"/>
    <x v="20"/>
    <n v="39.99"/>
    <n v="0"/>
    <n v="0"/>
    <n v="0"/>
    <n v="39.99"/>
    <s v="Dinheiro"/>
    <x v="0"/>
  </r>
  <r>
    <s v="00025"/>
    <x v="51"/>
    <x v="2"/>
    <s v="01/2025"/>
    <d v="2025-01-28T00:00:00"/>
    <x v="20"/>
    <n v="651.66999999999996"/>
    <n v="0"/>
    <n v="0"/>
    <n v="0"/>
    <n v="651.66999999999996"/>
    <s v="Dinheiro"/>
    <x v="0"/>
  </r>
  <r>
    <s v="00287"/>
    <x v="15"/>
    <x v="1"/>
    <s v="01/2025"/>
    <d v="2025-01-28T00:00:00"/>
    <x v="20"/>
    <n v="90"/>
    <n v="0"/>
    <n v="0"/>
    <n v="0"/>
    <n v="90"/>
    <s v="Dinheiro"/>
    <x v="0"/>
  </r>
  <r>
    <s v="00028"/>
    <x v="108"/>
    <x v="45"/>
    <s v="01/2025"/>
    <d v="2025-01-28T00:00:00"/>
    <x v="20"/>
    <n v="49"/>
    <n v="0"/>
    <n v="0"/>
    <n v="0"/>
    <n v="49"/>
    <s v="Dinheiro"/>
    <x v="0"/>
  </r>
  <r>
    <s v="00028"/>
    <x v="108"/>
    <x v="25"/>
    <s v="01/2025"/>
    <d v="2025-01-28T00:00:00"/>
    <x v="20"/>
    <n v="100"/>
    <n v="0"/>
    <n v="0"/>
    <n v="0"/>
    <n v="100"/>
    <s v="Dinheiro"/>
    <x v="0"/>
  </r>
  <r>
    <s v="00331"/>
    <x v="129"/>
    <x v="25"/>
    <s v="01/2025"/>
    <d v="2025-01-29T00:00:00"/>
    <x v="21"/>
    <n v="14.99"/>
    <n v="0"/>
    <n v="0"/>
    <n v="0"/>
    <n v="14.99"/>
    <s v="Dinheiro"/>
    <x v="0"/>
  </r>
  <r>
    <s v="00032"/>
    <x v="120"/>
    <x v="45"/>
    <s v="01/2025"/>
    <d v="2025-01-29T00:00:00"/>
    <x v="21"/>
    <n v="33.25"/>
    <n v="0"/>
    <n v="0"/>
    <n v="0"/>
    <n v="33.25"/>
    <s v="Dinheiro"/>
    <x v="0"/>
  </r>
  <r>
    <s v="00200"/>
    <x v="119"/>
    <x v="50"/>
    <s v="01/2025"/>
    <d v="2025-01-29T00:00:00"/>
    <x v="21"/>
    <n v="30.55"/>
    <n v="0"/>
    <n v="0"/>
    <n v="0"/>
    <n v="30.55"/>
    <s v="Dinheiro"/>
    <x v="0"/>
  </r>
  <r>
    <s v="00362"/>
    <x v="7"/>
    <x v="3"/>
    <s v="01/2025"/>
    <d v="2025-01-29T00:00:00"/>
    <x v="21"/>
    <n v="5.37"/>
    <n v="0"/>
    <n v="0"/>
    <n v="0"/>
    <n v="5.37"/>
    <s v="Dinheiro"/>
    <x v="0"/>
  </r>
  <r>
    <s v="00276"/>
    <x v="130"/>
    <x v="17"/>
    <s v="01/2025"/>
    <d v="2025-01-30T00:00:00"/>
    <x v="22"/>
    <n v="1335.5"/>
    <n v="0"/>
    <n v="0"/>
    <n v="0"/>
    <n v="1335.5"/>
    <s v="Banco Investimentos"/>
    <x v="0"/>
  </r>
  <r>
    <s v="00368"/>
    <x v="94"/>
    <x v="32"/>
    <s v="01/2025"/>
    <d v="2025-01-30T00:00:00"/>
    <x v="22"/>
    <n v="200"/>
    <n v="0"/>
    <n v="0"/>
    <n v="0"/>
    <n v="200"/>
    <s v="Dinheiro"/>
    <x v="0"/>
  </r>
  <r>
    <s v="00376"/>
    <x v="113"/>
    <x v="1"/>
    <s v="01/2025"/>
    <d v="2025-01-30T00:00:00"/>
    <x v="22"/>
    <n v="81.600000000000009"/>
    <n v="0"/>
    <n v="0"/>
    <n v="0"/>
    <n v="81.600000000000009"/>
    <s v="Dinheiro"/>
    <x v="0"/>
  </r>
  <r>
    <s v="00160"/>
    <x v="31"/>
    <x v="1"/>
    <s v="01/2025"/>
    <d v="2025-01-30T00:00:00"/>
    <x v="22"/>
    <n v="43.2"/>
    <n v="0"/>
    <n v="0"/>
    <n v="0"/>
    <n v="43.2"/>
    <s v="Dinheiro"/>
    <x v="0"/>
  </r>
  <r>
    <s v="00362"/>
    <x v="7"/>
    <x v="3"/>
    <s v="01/2025"/>
    <d v="2025-01-30T00:00:00"/>
    <x v="22"/>
    <n v="3.58"/>
    <n v="0"/>
    <n v="0"/>
    <n v="0"/>
    <n v="3.58"/>
    <s v="Dinheiro"/>
    <x v="0"/>
  </r>
  <r>
    <s v="00277"/>
    <x v="47"/>
    <x v="16"/>
    <s v="01/2025"/>
    <d v="2025-01-30T00:00:00"/>
    <x v="22"/>
    <n v="350"/>
    <n v="0"/>
    <n v="0"/>
    <n v="0"/>
    <n v="350"/>
    <s v="Dinheiro"/>
    <x v="0"/>
  </r>
  <r>
    <s v="00091"/>
    <x v="46"/>
    <x v="28"/>
    <s v="01/2025"/>
    <d v="2025-01-30T00:00:00"/>
    <x v="22"/>
    <n v="100"/>
    <n v="0"/>
    <n v="0"/>
    <n v="0"/>
    <n v="100"/>
    <s v="Dinheiro"/>
    <x v="0"/>
  </r>
  <r>
    <s v="00011"/>
    <x v="131"/>
    <x v="32"/>
    <s v="01/2025"/>
    <d v="2025-01-31T00:00:00"/>
    <x v="23"/>
    <n v="6102.4000000000005"/>
    <n v="0"/>
    <n v="0"/>
    <n v="0"/>
    <n v="6102.4000000000005"/>
    <s v="Dinheiro"/>
    <x v="0"/>
  </r>
  <r>
    <s v="00011"/>
    <x v="131"/>
    <x v="1"/>
    <s v="01/2025"/>
    <d v="2025-01-31T00:00:00"/>
    <x v="23"/>
    <n v="5250.6"/>
    <n v="0"/>
    <n v="0"/>
    <n v="0"/>
    <n v="5250.6"/>
    <s v="Dinheiro"/>
    <x v="0"/>
  </r>
  <r>
    <s v="00040"/>
    <x v="105"/>
    <x v="40"/>
    <s v="01/2025"/>
    <d v="2025-01-31T00:00:00"/>
    <x v="23"/>
    <n v="645.94000000000005"/>
    <n v="0"/>
    <n v="0"/>
    <n v="0"/>
    <n v="645.94000000000005"/>
    <s v="Dinheiro"/>
    <x v="0"/>
  </r>
  <r>
    <s v="00067"/>
    <x v="132"/>
    <x v="51"/>
    <s v="01/2025"/>
    <d v="2025-01-31T00:00:00"/>
    <x v="23"/>
    <n v="377.58"/>
    <n v="0"/>
    <n v="0"/>
    <n v="0"/>
    <n v="377.58"/>
    <s v="Dinheiro"/>
    <x v="0"/>
  </r>
  <r>
    <s v="00368"/>
    <x v="94"/>
    <x v="1"/>
    <s v="01/2025"/>
    <d v="2025-01-31T00:00:00"/>
    <x v="23"/>
    <n v="300"/>
    <n v="0"/>
    <n v="0"/>
    <n v="0"/>
    <n v="300"/>
    <s v="Dinheiro"/>
    <x v="0"/>
  </r>
  <r>
    <s v="00392"/>
    <x v="133"/>
    <x v="25"/>
    <s v="01/2025"/>
    <d v="2025-01-31T00:00:00"/>
    <x v="23"/>
    <n v="15.98"/>
    <n v="0"/>
    <n v="0"/>
    <n v="0"/>
    <n v="15.98"/>
    <s v="Dinheiro"/>
    <x v="0"/>
  </r>
  <r>
    <s v="00027"/>
    <x v="58"/>
    <x v="45"/>
    <s v="01/2025"/>
    <d v="2025-01-31T00:00:00"/>
    <x v="23"/>
    <n v="18.18"/>
    <n v="0"/>
    <n v="0"/>
    <n v="0"/>
    <n v="18.18"/>
    <s v="Dinheiro"/>
    <x v="0"/>
  </r>
  <r>
    <s v="00091"/>
    <x v="46"/>
    <x v="28"/>
    <s v="01/2025"/>
    <d v="2025-01-31T00:00:00"/>
    <x v="23"/>
    <n v="30"/>
    <n v="0"/>
    <n v="0"/>
    <n v="0"/>
    <n v="30"/>
    <s v="Dinheiro"/>
    <x v="0"/>
  </r>
  <r>
    <s v="00362"/>
    <x v="7"/>
    <x v="3"/>
    <s v="01/2025"/>
    <d v="2025-01-31T00:00:00"/>
    <x v="23"/>
    <n v="3.58"/>
    <n v="0"/>
    <n v="0"/>
    <n v="0"/>
    <n v="3.58"/>
    <s v="Dinheiro"/>
    <x v="0"/>
  </r>
  <r>
    <s v="00388"/>
    <x v="122"/>
    <x v="15"/>
    <s v="02/2025"/>
    <d v="2025-02-03T00:00:00"/>
    <x v="24"/>
    <n v="250"/>
    <n v="0"/>
    <n v="0"/>
    <n v="0"/>
    <n v="250"/>
    <s v="Dinheiro"/>
    <x v="0"/>
  </r>
  <r>
    <s v="00389"/>
    <x v="123"/>
    <x v="52"/>
    <s v="02/2025"/>
    <d v="2025-02-03T00:00:00"/>
    <x v="24"/>
    <n v="250"/>
    <n v="0"/>
    <n v="0"/>
    <n v="0"/>
    <n v="250"/>
    <s v="Dinheiro"/>
    <x v="0"/>
  </r>
  <r>
    <s v="00293"/>
    <x v="134"/>
    <x v="15"/>
    <s v="02/2025"/>
    <d v="2025-02-03T00:00:00"/>
    <x v="24"/>
    <n v="250"/>
    <n v="0"/>
    <n v="0"/>
    <n v="0"/>
    <n v="250"/>
    <s v="Dinheiro"/>
    <x v="0"/>
  </r>
  <r>
    <s v="00209"/>
    <x v="135"/>
    <x v="27"/>
    <s v="02/2025"/>
    <d v="2025-02-03T00:00:00"/>
    <x v="24"/>
    <n v="70.02"/>
    <n v="0"/>
    <n v="0"/>
    <n v="0"/>
    <n v="70.02"/>
    <s v="Dinheiro"/>
    <x v="0"/>
  </r>
  <r>
    <s v="00294"/>
    <x v="27"/>
    <x v="16"/>
    <s v="02/2025"/>
    <d v="2025-02-03T00:00:00"/>
    <x v="24"/>
    <n v="1381.38"/>
    <n v="0"/>
    <n v="0"/>
    <n v="0"/>
    <n v="1381.38"/>
    <s v="Dinheiro"/>
    <x v="0"/>
  </r>
  <r>
    <s v="00053"/>
    <x v="136"/>
    <x v="35"/>
    <s v="02/2025"/>
    <d v="2025-02-03T00:00:00"/>
    <x v="24"/>
    <n v="252.28"/>
    <n v="0"/>
    <n v="0"/>
    <n v="0"/>
    <n v="252.28"/>
    <s v="Dinheiro"/>
    <x v="0"/>
  </r>
  <r>
    <s v="00006"/>
    <x v="137"/>
    <x v="53"/>
    <s v="02/2025"/>
    <d v="2025-02-03T00:00:00"/>
    <x v="24"/>
    <n v="1437.3500000000001"/>
    <n v="0"/>
    <n v="0"/>
    <n v="0"/>
    <n v="1437.3500000000001"/>
    <s v="Dinheiro"/>
    <x v="0"/>
  </r>
  <r>
    <s v="00121"/>
    <x v="56"/>
    <x v="26"/>
    <s v="02/2025"/>
    <d v="2025-02-03T00:00:00"/>
    <x v="24"/>
    <n v="1052.58"/>
    <n v="0"/>
    <n v="0"/>
    <n v="0"/>
    <n v="1052.58"/>
    <s v="Dinheiro"/>
    <x v="0"/>
  </r>
  <r>
    <s v="00091"/>
    <x v="31"/>
    <x v="31"/>
    <s v="02/2025"/>
    <d v="2025-02-03T00:00:00"/>
    <x v="24"/>
    <n v="2124.98"/>
    <n v="0"/>
    <n v="0"/>
    <n v="0"/>
    <n v="2124.98"/>
    <s v="Dinheiro"/>
    <x v="0"/>
  </r>
  <r>
    <s v="00362"/>
    <x v="7"/>
    <x v="3"/>
    <s v="02/2025"/>
    <d v="2025-02-03T00:00:00"/>
    <x v="24"/>
    <n v="1.79"/>
    <n v="0"/>
    <n v="0"/>
    <n v="0"/>
    <n v="1.79"/>
    <s v="Dinheiro"/>
    <x v="0"/>
  </r>
  <r>
    <s v="00364"/>
    <x v="16"/>
    <x v="32"/>
    <s v="02/2024"/>
    <d v="2024-02-03T00:00:00"/>
    <x v="24"/>
    <n v="164.20000000000002"/>
    <n v="0"/>
    <n v="0"/>
    <n v="0"/>
    <n v="164.20000000000002"/>
    <s v="Dinheiro"/>
    <x v="0"/>
  </r>
  <r>
    <s v="00362"/>
    <x v="7"/>
    <x v="3"/>
    <s v="02/2025"/>
    <d v="2025-02-03T00:00:00"/>
    <x v="24"/>
    <n v="1.79"/>
    <n v="0"/>
    <n v="0"/>
    <n v="0"/>
    <n v="1.79"/>
    <s v="Dinheiro"/>
    <x v="0"/>
  </r>
  <r>
    <s v="00032"/>
    <x v="138"/>
    <x v="0"/>
    <s v="02/2025"/>
    <d v="2025-02-04T00:00:00"/>
    <x v="25"/>
    <n v="955.84"/>
    <n v="0"/>
    <n v="0"/>
    <n v="0"/>
    <n v="955.84"/>
    <s v="Dinheiro"/>
    <x v="0"/>
  </r>
  <r>
    <s v="00032"/>
    <x v="138"/>
    <x v="0"/>
    <s v="02/2025"/>
    <d v="2025-02-04T00:00:00"/>
    <x v="25"/>
    <n v="704.6"/>
    <n v="0"/>
    <n v="0"/>
    <n v="0"/>
    <n v="704.6"/>
    <s v="Dinheiro"/>
    <x v="0"/>
  </r>
  <r>
    <s v="00032"/>
    <x v="138"/>
    <x v="0"/>
    <s v="02/2025"/>
    <d v="2025-02-04T00:00:00"/>
    <x v="25"/>
    <n v="2244.16"/>
    <n v="0"/>
    <n v="0"/>
    <n v="0"/>
    <n v="2244.16"/>
    <s v="Dinheiro"/>
    <x v="0"/>
  </r>
  <r>
    <s v="00032"/>
    <x v="138"/>
    <x v="0"/>
    <s v="02/2025"/>
    <d v="2025-02-04T00:00:00"/>
    <x v="25"/>
    <n v="1295.4000000000001"/>
    <n v="0"/>
    <n v="0"/>
    <n v="0"/>
    <n v="1295.4000000000001"/>
    <s v="Dinheiro"/>
    <x v="0"/>
  </r>
  <r>
    <s v="00362"/>
    <x v="7"/>
    <x v="4"/>
    <s v="02/2025"/>
    <d v="2025-02-04T00:00:00"/>
    <x v="25"/>
    <n v="174.88"/>
    <n v="0"/>
    <n v="0"/>
    <n v="0"/>
    <n v="174.88"/>
    <s v="Dinheiro"/>
    <x v="0"/>
  </r>
  <r>
    <s v="00362"/>
    <x v="7"/>
    <x v="3"/>
    <s v="02/2025"/>
    <d v="2025-02-04T00:00:00"/>
    <x v="25"/>
    <n v="1.79"/>
    <n v="0"/>
    <n v="0"/>
    <n v="0"/>
    <n v="1.79"/>
    <s v="Dinheiro"/>
    <x v="0"/>
  </r>
  <r>
    <s v="00315"/>
    <x v="2"/>
    <x v="8"/>
    <s v="02/2025"/>
    <d v="2025-02-04T00:00:00"/>
    <x v="25"/>
    <n v="106"/>
    <n v="0"/>
    <n v="0"/>
    <n v="0"/>
    <n v="106"/>
    <s v="Dinheiro"/>
    <x v="0"/>
  </r>
  <r>
    <s v="00133"/>
    <x v="24"/>
    <x v="8"/>
    <s v="02/2025"/>
    <d v="2025-02-04T00:00:00"/>
    <x v="25"/>
    <n v="100"/>
    <n v="0"/>
    <n v="0"/>
    <n v="0"/>
    <n v="100"/>
    <s v="Dinheiro"/>
    <x v="0"/>
  </r>
  <r>
    <s v="00316"/>
    <x v="17"/>
    <x v="8"/>
    <s v="02/2025"/>
    <d v="2025-02-04T00:00:00"/>
    <x v="25"/>
    <n v="36"/>
    <n v="0"/>
    <n v="0"/>
    <n v="0"/>
    <n v="36"/>
    <s v="Dinheiro"/>
    <x v="0"/>
  </r>
  <r>
    <s v="00134"/>
    <x v="18"/>
    <x v="8"/>
    <s v="02/2025"/>
    <d v="2025-02-04T00:00:00"/>
    <x v="25"/>
    <n v="400"/>
    <n v="0"/>
    <n v="0"/>
    <n v="0"/>
    <n v="400"/>
    <s v="Dinheiro"/>
    <x v="0"/>
  </r>
  <r>
    <s v="00364"/>
    <x v="16"/>
    <x v="8"/>
    <s v="02/2025"/>
    <d v="2025-02-04T00:00:00"/>
    <x v="25"/>
    <n v="230"/>
    <n v="0"/>
    <n v="0"/>
    <n v="0"/>
    <n v="230"/>
    <s v="Dinheiro"/>
    <x v="0"/>
  </r>
  <r>
    <s v="00363"/>
    <x v="15"/>
    <x v="8"/>
    <s v="02/2025"/>
    <d v="2025-02-04T00:00:00"/>
    <x v="25"/>
    <n v="100"/>
    <n v="0"/>
    <n v="0"/>
    <n v="0"/>
    <n v="100"/>
    <s v="Dinheiro"/>
    <x v="0"/>
  </r>
  <r>
    <s v="00363"/>
    <x v="15"/>
    <x v="32"/>
    <s v="02/2025"/>
    <d v="2025-02-04T00:00:00"/>
    <x v="25"/>
    <n v="164.20000000000002"/>
    <n v="0"/>
    <n v="0"/>
    <n v="0"/>
    <n v="164.20000000000002"/>
    <s v="Dinheiro"/>
    <x v="0"/>
  </r>
  <r>
    <s v="00110"/>
    <x v="139"/>
    <x v="13"/>
    <s v="02/2025"/>
    <d v="2025-02-04T00:00:00"/>
    <x v="25"/>
    <n v="300"/>
    <n v="0"/>
    <n v="0"/>
    <n v="0"/>
    <n v="300"/>
    <s v="Dinheiro"/>
    <x v="0"/>
  </r>
  <r>
    <s v="00393"/>
    <x v="140"/>
    <x v="12"/>
    <s v="02/2025"/>
    <d v="2025-02-04T00:00:00"/>
    <x v="25"/>
    <n v="220"/>
    <n v="0"/>
    <n v="0"/>
    <n v="0"/>
    <n v="220"/>
    <s v="Dinheiro"/>
    <x v="0"/>
  </r>
  <r>
    <s v="00362"/>
    <x v="7"/>
    <x v="3"/>
    <s v="02/2025"/>
    <d v="2025-02-04T00:00:00"/>
    <x v="25"/>
    <n v="46.54"/>
    <n v="0"/>
    <n v="0"/>
    <n v="0"/>
    <n v="46.54"/>
    <s v="Dinheiro"/>
    <x v="0"/>
  </r>
  <r>
    <s v="00362"/>
    <x v="7"/>
    <x v="6"/>
    <s v="02/2025"/>
    <d v="2025-02-04T00:00:00"/>
    <x v="25"/>
    <n v="310.25"/>
    <n v="0"/>
    <n v="0"/>
    <n v="0"/>
    <n v="310.25"/>
    <s v="Dinheiro"/>
    <x v="0"/>
  </r>
  <r>
    <s v="00362"/>
    <x v="7"/>
    <x v="4"/>
    <s v="02/2025"/>
    <d v="2025-02-04T00:00:00"/>
    <x v="25"/>
    <n v="101.68"/>
    <n v="0"/>
    <n v="0"/>
    <n v="0"/>
    <n v="101.68"/>
    <s v="Dinheiro"/>
    <x v="0"/>
  </r>
  <r>
    <s v="00053"/>
    <x v="138"/>
    <x v="0"/>
    <s v="02/2025"/>
    <d v="2025-02-05T00:00:00"/>
    <x v="26"/>
    <n v="1905.75"/>
    <n v="0"/>
    <n v="0"/>
    <n v="0"/>
    <n v="1905.75"/>
    <s v="Dinheiro"/>
    <x v="0"/>
  </r>
  <r>
    <s v="00362"/>
    <x v="7"/>
    <x v="54"/>
    <s v="02/2025"/>
    <d v="2025-02-05T00:00:00"/>
    <x v="26"/>
    <n v="135.52000000000001"/>
    <n v="0"/>
    <n v="0"/>
    <n v="0"/>
    <n v="135.52000000000001"/>
    <s v="Dinheiro"/>
    <x v="0"/>
  </r>
  <r>
    <s v="00394"/>
    <x v="141"/>
    <x v="14"/>
    <s v="02/2025"/>
    <d v="2025-02-05T00:00:00"/>
    <x v="26"/>
    <n v="30"/>
    <n v="0"/>
    <n v="0"/>
    <n v="0"/>
    <n v="30"/>
    <s v="Dinheiro"/>
    <x v="0"/>
  </r>
  <r>
    <s v="00362"/>
    <x v="7"/>
    <x v="3"/>
    <s v="02/2025"/>
    <d v="2025-02-05T00:00:00"/>
    <x v="26"/>
    <n v="26.85"/>
    <n v="0"/>
    <n v="0"/>
    <n v="0"/>
    <n v="26.85"/>
    <s v="Dinheiro"/>
    <x v="0"/>
  </r>
  <r>
    <s v="00142"/>
    <x v="63"/>
    <x v="9"/>
    <s v="02/2025"/>
    <d v="2025-02-05T00:00:00"/>
    <x v="26"/>
    <n v="260"/>
    <n v="0"/>
    <n v="0"/>
    <n v="0"/>
    <n v="260"/>
    <s v="Banco Investimentos"/>
    <x v="0"/>
  </r>
  <r>
    <s v="00182"/>
    <x v="142"/>
    <x v="10"/>
    <s v="02/2025"/>
    <d v="2025-02-06T00:00:00"/>
    <x v="27"/>
    <n v="2727.33"/>
    <n v="0"/>
    <n v="0"/>
    <n v="0"/>
    <n v="2727.33"/>
    <s v="Dinheiro"/>
    <x v="0"/>
  </r>
  <r>
    <s v="00295"/>
    <x v="143"/>
    <x v="15"/>
    <s v="02/2025"/>
    <d v="2025-02-06T00:00:00"/>
    <x v="27"/>
    <n v="111.48"/>
    <n v="0"/>
    <n v="0"/>
    <n v="0"/>
    <n v="111.48"/>
    <s v="Dinheiro"/>
    <x v="0"/>
  </r>
  <r>
    <s v="00288"/>
    <x v="121"/>
    <x v="15"/>
    <s v="02/2025"/>
    <d v="2025-02-06T00:00:00"/>
    <x v="27"/>
    <n v="1282.02"/>
    <n v="0"/>
    <n v="0"/>
    <n v="0"/>
    <n v="1282.02"/>
    <s v="Dinheiro"/>
    <x v="0"/>
  </r>
  <r>
    <s v="00280"/>
    <x v="144"/>
    <x v="15"/>
    <s v="02/2025"/>
    <d v="2025-02-06T00:00:00"/>
    <x v="27"/>
    <n v="1209"/>
    <n v="0"/>
    <n v="0"/>
    <n v="0"/>
    <n v="1209"/>
    <s v="Dinheiro"/>
    <x v="0"/>
  </r>
  <r>
    <s v="00287"/>
    <x v="15"/>
    <x v="15"/>
    <s v="02/2025"/>
    <d v="2025-02-06T00:00:00"/>
    <x v="27"/>
    <n v="1282.02"/>
    <n v="0"/>
    <n v="0"/>
    <n v="0"/>
    <n v="1282.02"/>
    <s v="Dinheiro"/>
    <x v="0"/>
  </r>
  <r>
    <s v="00285"/>
    <x v="23"/>
    <x v="15"/>
    <s v="02/2025"/>
    <d v="2025-02-06T00:00:00"/>
    <x v="27"/>
    <n v="2747"/>
    <n v="0"/>
    <n v="0"/>
    <n v="0"/>
    <n v="2747"/>
    <s v="Dinheiro"/>
    <x v="0"/>
  </r>
  <r>
    <s v="00100"/>
    <x v="145"/>
    <x v="15"/>
    <s v="02/2025"/>
    <d v="2025-02-06T00:00:00"/>
    <x v="27"/>
    <n v="2000"/>
    <n v="0"/>
    <n v="0"/>
    <n v="0"/>
    <n v="2000"/>
    <s v="Dinheiro"/>
    <x v="0"/>
  </r>
  <r>
    <s v="00275"/>
    <x v="42"/>
    <x v="15"/>
    <s v="02/2025"/>
    <d v="2025-02-06T00:00:00"/>
    <x v="27"/>
    <n v="1282.02"/>
    <n v="0"/>
    <n v="0"/>
    <n v="0"/>
    <n v="1282.02"/>
    <s v="Dinheiro"/>
    <x v="0"/>
  </r>
  <r>
    <s v="00111"/>
    <x v="39"/>
    <x v="15"/>
    <s v="02/2025"/>
    <d v="2025-02-06T00:00:00"/>
    <x v="27"/>
    <n v="1723"/>
    <n v="0"/>
    <n v="0"/>
    <n v="0"/>
    <n v="1723"/>
    <s v="Dinheiro"/>
    <x v="0"/>
  </r>
  <r>
    <s v="00296"/>
    <x v="93"/>
    <x v="55"/>
    <s v="02/2025"/>
    <d v="2025-02-06T00:00:00"/>
    <x v="27"/>
    <n v="283.85000000000002"/>
    <n v="0"/>
    <n v="0"/>
    <n v="0"/>
    <n v="283.85000000000002"/>
    <s v="Dinheiro"/>
    <x v="0"/>
  </r>
  <r>
    <s v="00362"/>
    <x v="7"/>
    <x v="3"/>
    <s v="02/2025"/>
    <d v="2025-02-06T00:00:00"/>
    <x v="27"/>
    <n v="79.56"/>
    <n v="0"/>
    <n v="0"/>
    <n v="0"/>
    <n v="79.56"/>
    <s v="Dinheiro"/>
    <x v="0"/>
  </r>
  <r>
    <s v="00081"/>
    <x v="146"/>
    <x v="27"/>
    <s v="02/2025"/>
    <d v="2025-02-06T00:00:00"/>
    <x v="27"/>
    <n v="34.99"/>
    <n v="0"/>
    <n v="0"/>
    <n v="0"/>
    <n v="34.99"/>
    <s v="Dinheiro"/>
    <x v="0"/>
  </r>
  <r>
    <s v="00257"/>
    <x v="9"/>
    <x v="8"/>
    <s v="02/2025"/>
    <d v="2025-02-06T00:00:00"/>
    <x v="27"/>
    <n v="176"/>
    <n v="0"/>
    <n v="0"/>
    <n v="0"/>
    <n v="176"/>
    <s v="Dinheiro"/>
    <x v="0"/>
  </r>
  <r>
    <s v="00394"/>
    <x v="141"/>
    <x v="14"/>
    <s v="02/2025"/>
    <d v="2025-02-06T00:00:00"/>
    <x v="27"/>
    <n v="30"/>
    <n v="0"/>
    <n v="0"/>
    <n v="0"/>
    <n v="30"/>
    <s v="Dinheiro"/>
    <x v="0"/>
  </r>
  <r>
    <s v="00130"/>
    <x v="36"/>
    <x v="5"/>
    <s v="02/2025"/>
    <d v="2025-02-06T00:00:00"/>
    <x v="27"/>
    <n v="30"/>
    <n v="0"/>
    <n v="0"/>
    <n v="0"/>
    <n v="30"/>
    <s v="Dinheiro"/>
    <x v="0"/>
  </r>
  <r>
    <s v="00040"/>
    <x v="147"/>
    <x v="47"/>
    <s v="02/2025"/>
    <d v="2025-02-06T00:00:00"/>
    <x v="27"/>
    <n v="29.98"/>
    <n v="0"/>
    <n v="0"/>
    <n v="0"/>
    <n v="29.98"/>
    <s v="Dinheiro"/>
    <x v="0"/>
  </r>
  <r>
    <s v="00365"/>
    <x v="57"/>
    <x v="27"/>
    <s v="02/2025"/>
    <d v="2025-02-06T00:00:00"/>
    <x v="27"/>
    <n v="100"/>
    <n v="0"/>
    <n v="0"/>
    <n v="0"/>
    <n v="100"/>
    <s v="Dinheiro"/>
    <x v="0"/>
  </r>
  <r>
    <s v="00368"/>
    <x v="94"/>
    <x v="15"/>
    <s v="02/2025"/>
    <d v="2025-02-06T00:00:00"/>
    <x v="27"/>
    <n v="891.84"/>
    <n v="0"/>
    <n v="0"/>
    <n v="0"/>
    <n v="891.84"/>
    <s v="Dinheiro"/>
    <x v="0"/>
  </r>
  <r>
    <s v="00349"/>
    <x v="25"/>
    <x v="15"/>
    <s v="02/2025"/>
    <d v="2025-02-06T00:00:00"/>
    <x v="27"/>
    <n v="1760"/>
    <n v="0"/>
    <n v="0"/>
    <n v="0"/>
    <n v="1760"/>
    <s v="Dinheiro"/>
    <x v="0"/>
  </r>
  <r>
    <s v="00362"/>
    <x v="7"/>
    <x v="34"/>
    <s v="02/2025"/>
    <d v="2025-02-06T00:00:00"/>
    <x v="27"/>
    <n v="852.72"/>
    <n v="0"/>
    <n v="0"/>
    <n v="0"/>
    <n v="852.72"/>
    <s v="Dinheiro"/>
    <x v="0"/>
  </r>
  <r>
    <s v="00399"/>
    <x v="148"/>
    <x v="56"/>
    <s v="02/2025"/>
    <d v="2025-02-06T00:00:00"/>
    <x v="27"/>
    <n v="100.8"/>
    <n v="0"/>
    <n v="0"/>
    <n v="0"/>
    <n v="100.8"/>
    <s v="Banco Investimentos"/>
    <x v="0"/>
  </r>
  <r>
    <s v="00304"/>
    <x v="17"/>
    <x v="15"/>
    <s v="02/2025"/>
    <d v="2025-02-06T00:00:00"/>
    <x v="27"/>
    <n v="1492"/>
    <n v="0"/>
    <n v="0"/>
    <n v="0"/>
    <n v="1492"/>
    <s v="Dinheiro"/>
    <x v="0"/>
  </r>
  <r>
    <s v="00223"/>
    <x v="32"/>
    <x v="15"/>
    <s v="02/2025"/>
    <d v="2025-02-06T00:00:00"/>
    <x v="27"/>
    <n v="1848"/>
    <n v="0"/>
    <n v="0"/>
    <n v="0"/>
    <n v="1848"/>
    <s v="Dinheiro"/>
    <x v="0"/>
  </r>
  <r>
    <s v="00130"/>
    <x v="36"/>
    <x v="15"/>
    <s v="02/2025"/>
    <d v="2025-02-06T00:00:00"/>
    <x v="27"/>
    <n v="1182"/>
    <n v="0"/>
    <n v="0"/>
    <n v="0"/>
    <n v="1182"/>
    <s v="Dinheiro"/>
    <x v="0"/>
  </r>
  <r>
    <s v="00153"/>
    <x v="21"/>
    <x v="15"/>
    <s v="02/2025"/>
    <d v="2025-02-06T00:00:00"/>
    <x v="27"/>
    <n v="571"/>
    <n v="0"/>
    <n v="0"/>
    <n v="0"/>
    <n v="571"/>
    <s v="Dinheiro"/>
    <x v="0"/>
  </r>
  <r>
    <s v="00315"/>
    <x v="2"/>
    <x v="15"/>
    <s v="02/2025"/>
    <d v="2025-02-06T00:00:00"/>
    <x v="27"/>
    <n v="1521"/>
    <n v="0"/>
    <n v="0"/>
    <n v="0"/>
    <n v="1521"/>
    <s v="Dinheiro"/>
    <x v="0"/>
  </r>
  <r>
    <s v="00136"/>
    <x v="37"/>
    <x v="15"/>
    <s v="02/2025"/>
    <d v="2025-02-06T00:00:00"/>
    <x v="27"/>
    <n v="1883"/>
    <n v="0"/>
    <n v="0"/>
    <n v="0"/>
    <n v="1883"/>
    <s v="Dinheiro"/>
    <x v="0"/>
  </r>
  <r>
    <s v="00160"/>
    <x v="31"/>
    <x v="15"/>
    <s v="02/2025"/>
    <d v="2025-02-06T00:00:00"/>
    <x v="27"/>
    <n v="1492"/>
    <n v="0"/>
    <n v="0"/>
    <n v="0"/>
    <n v="1492"/>
    <s v="Dinheiro"/>
    <x v="0"/>
  </r>
  <r>
    <s v="00254"/>
    <x v="22"/>
    <x v="15"/>
    <s v="02/2025"/>
    <d v="2025-02-06T00:00:00"/>
    <x v="27"/>
    <n v="1492"/>
    <n v="0"/>
    <n v="0"/>
    <n v="0"/>
    <n v="1492"/>
    <s v="Dinheiro"/>
    <x v="0"/>
  </r>
  <r>
    <s v="00252"/>
    <x v="40"/>
    <x v="15"/>
    <s v="02/2025"/>
    <d v="2025-02-06T00:00:00"/>
    <x v="27"/>
    <n v="1492"/>
    <n v="0"/>
    <n v="0"/>
    <n v="0"/>
    <n v="1492"/>
    <s v="Dinheiro"/>
    <x v="0"/>
  </r>
  <r>
    <s v="00289"/>
    <x v="20"/>
    <x v="15"/>
    <s v="02/2025"/>
    <d v="2025-02-06T00:00:00"/>
    <x v="27"/>
    <n v="1623"/>
    <n v="0"/>
    <n v="0"/>
    <n v="0"/>
    <n v="1623"/>
    <s v="Dinheiro"/>
    <x v="0"/>
  </r>
  <r>
    <s v="00214"/>
    <x v="30"/>
    <x v="15"/>
    <s v="02/2025"/>
    <d v="2025-02-06T00:00:00"/>
    <x v="27"/>
    <n v="1557"/>
    <n v="0"/>
    <n v="0"/>
    <n v="0"/>
    <n v="1557"/>
    <s v="Dinheiro"/>
    <x v="0"/>
  </r>
  <r>
    <s v="00126"/>
    <x v="38"/>
    <x v="15"/>
    <s v="02/2025"/>
    <d v="2025-02-06T00:00:00"/>
    <x v="27"/>
    <n v="1530"/>
    <n v="0"/>
    <n v="0"/>
    <n v="0"/>
    <n v="1530"/>
    <s v="Dinheiro"/>
    <x v="0"/>
  </r>
  <r>
    <s v="00400"/>
    <x v="149"/>
    <x v="20"/>
    <s v="02/2025"/>
    <d v="2025-02-06T00:00:00"/>
    <x v="27"/>
    <n v="525.89"/>
    <n v="0"/>
    <n v="0"/>
    <n v="0"/>
    <n v="525.89"/>
    <s v="Dinheiro"/>
    <x v="0"/>
  </r>
  <r>
    <s v="00351"/>
    <x v="42"/>
    <x v="15"/>
    <s v="02/2025"/>
    <d v="2025-02-06T00:00:00"/>
    <x v="27"/>
    <n v="445.98"/>
    <n v="0"/>
    <n v="0"/>
    <n v="0"/>
    <n v="445.98"/>
    <s v="Dinheiro"/>
    <x v="0"/>
  </r>
  <r>
    <s v="00248"/>
    <x v="1"/>
    <x v="15"/>
    <s v="02/2025"/>
    <d v="2025-02-06T00:00:00"/>
    <x v="27"/>
    <n v="850"/>
    <n v="0"/>
    <n v="0"/>
    <n v="0"/>
    <n v="850"/>
    <s v="Dinheiro"/>
    <x v="0"/>
  </r>
  <r>
    <s v="00291"/>
    <x v="35"/>
    <x v="15"/>
    <s v="02/2025"/>
    <d v="2025-02-06T00:00:00"/>
    <x v="27"/>
    <n v="1303"/>
    <n v="0"/>
    <n v="0"/>
    <n v="0"/>
    <n v="1303"/>
    <s v="Dinheiro"/>
    <x v="0"/>
  </r>
  <r>
    <s v="00401"/>
    <x v="150"/>
    <x v="28"/>
    <s v="02/2025"/>
    <d v="2025-02-06T00:00:00"/>
    <x v="27"/>
    <n v="99"/>
    <n v="0"/>
    <n v="0"/>
    <n v="0"/>
    <n v="99"/>
    <s v="Dinheiro"/>
    <x v="0"/>
  </r>
  <r>
    <s v="00134"/>
    <x v="18"/>
    <x v="15"/>
    <s v="02/2025"/>
    <d v="2025-02-06T00:00:00"/>
    <x v="27"/>
    <n v="1748"/>
    <n v="0"/>
    <n v="0"/>
    <n v="0"/>
    <n v="1748"/>
    <s v="Dinheiro"/>
    <x v="0"/>
  </r>
  <r>
    <s v="00267"/>
    <x v="34"/>
    <x v="15"/>
    <s v="02/2025"/>
    <d v="2025-02-06T00:00:00"/>
    <x v="27"/>
    <n v="900"/>
    <n v="0"/>
    <n v="0"/>
    <n v="0"/>
    <n v="900"/>
    <s v="Dinheiro"/>
    <x v="0"/>
  </r>
  <r>
    <s v="00133"/>
    <x v="24"/>
    <x v="15"/>
    <s v="02/2025"/>
    <d v="2025-02-06T00:00:00"/>
    <x v="27"/>
    <n v="1358"/>
    <n v="0"/>
    <n v="0"/>
    <n v="0"/>
    <n v="1358"/>
    <s v="Dinheiro"/>
    <x v="0"/>
  </r>
  <r>
    <s v="00297"/>
    <x v="151"/>
    <x v="28"/>
    <s v="02/2025"/>
    <d v="2025-02-07T00:00:00"/>
    <x v="28"/>
    <n v="49"/>
    <n v="0"/>
    <n v="0"/>
    <n v="0"/>
    <n v="49"/>
    <s v="Dinheiro"/>
    <x v="0"/>
  </r>
  <r>
    <s v="00362"/>
    <x v="7"/>
    <x v="3"/>
    <s v="02/2025"/>
    <d v="2025-02-07T00:00:00"/>
    <x v="28"/>
    <n v="4.08"/>
    <n v="0"/>
    <n v="0"/>
    <n v="0"/>
    <n v="4.08"/>
    <s v="Dinheiro"/>
    <x v="0"/>
  </r>
  <r>
    <s v="00394"/>
    <x v="141"/>
    <x v="14"/>
    <s v="02/2025"/>
    <d v="2025-02-07T00:00:00"/>
    <x v="28"/>
    <n v="30"/>
    <n v="0"/>
    <n v="0"/>
    <n v="0"/>
    <n v="30"/>
    <s v="Dinheiro"/>
    <x v="0"/>
  </r>
  <r>
    <s v="00397"/>
    <x v="152"/>
    <x v="32"/>
    <s v="02/2025"/>
    <d v="2025-02-07T00:00:00"/>
    <x v="28"/>
    <n v="56.56"/>
    <n v="0"/>
    <n v="0"/>
    <n v="0"/>
    <n v="56.56"/>
    <s v="Dinheiro"/>
    <x v="0"/>
  </r>
  <r>
    <s v="00395"/>
    <x v="153"/>
    <x v="14"/>
    <s v="02/2025"/>
    <d v="2025-02-07T00:00:00"/>
    <x v="28"/>
    <n v="30"/>
    <n v="0"/>
    <n v="0"/>
    <n v="0"/>
    <n v="30"/>
    <s v="Dinheiro"/>
    <x v="0"/>
  </r>
  <r>
    <s v="00397"/>
    <x v="152"/>
    <x v="1"/>
    <s v="02/2025"/>
    <d v="2025-02-07T00:00:00"/>
    <x v="28"/>
    <n v="132.65"/>
    <n v="0"/>
    <n v="0"/>
    <n v="0"/>
    <n v="132.65"/>
    <s v="Dinheiro"/>
    <x v="0"/>
  </r>
  <r>
    <s v="00396"/>
    <x v="154"/>
    <x v="14"/>
    <s v="02/2025"/>
    <d v="2025-02-07T00:00:00"/>
    <x v="28"/>
    <n v="30"/>
    <n v="0"/>
    <n v="0"/>
    <n v="0"/>
    <n v="30"/>
    <s v="Dinheiro"/>
    <x v="0"/>
  </r>
  <r>
    <s v="00126"/>
    <x v="38"/>
    <x v="38"/>
    <s v="02/2025"/>
    <d v="2025-02-07T00:00:00"/>
    <x v="28"/>
    <n v="97.89"/>
    <n v="0"/>
    <n v="0"/>
    <n v="0"/>
    <n v="97.89"/>
    <s v="Dinheiro"/>
    <x v="0"/>
  </r>
  <r>
    <s v="00362"/>
    <x v="7"/>
    <x v="3"/>
    <s v="02/2025"/>
    <d v="2025-02-07T00:00:00"/>
    <x v="28"/>
    <n v="79.56"/>
    <n v="0"/>
    <n v="0"/>
    <n v="0"/>
    <n v="79.56"/>
    <s v="Dinheiro"/>
    <x v="0"/>
  </r>
  <r>
    <s v="00402"/>
    <x v="155"/>
    <x v="20"/>
    <s v="02/2025"/>
    <d v="2025-02-07T00:00:00"/>
    <x v="28"/>
    <n v="199.9"/>
    <n v="0"/>
    <n v="0"/>
    <n v="0"/>
    <n v="199.9"/>
    <s v="Dinheiro"/>
    <x v="0"/>
  </r>
  <r>
    <s v="00279"/>
    <x v="156"/>
    <x v="15"/>
    <s v="02/2025"/>
    <d v="2025-02-08T00:00:00"/>
    <x v="29"/>
    <n v="1193"/>
    <n v="0"/>
    <n v="0"/>
    <n v="0"/>
    <n v="1193"/>
    <s v="Dinheiro"/>
    <x v="0"/>
  </r>
  <r>
    <s v="00219"/>
    <x v="41"/>
    <x v="15"/>
    <s v="02/2025"/>
    <d v="2025-02-08T00:00:00"/>
    <x v="29"/>
    <n v="1672.46"/>
    <n v="0"/>
    <n v="0"/>
    <n v="0"/>
    <n v="1672.46"/>
    <s v="Dinheiro"/>
    <x v="0"/>
  </r>
  <r>
    <s v="00097"/>
    <x v="21"/>
    <x v="8"/>
    <s v="02/2025"/>
    <d v="2025-02-10T00:00:00"/>
    <x v="30"/>
    <n v="251"/>
    <n v="0"/>
    <n v="0"/>
    <n v="0"/>
    <n v="251"/>
    <s v="Dinheiro"/>
    <x v="0"/>
  </r>
  <r>
    <s v="00287"/>
    <x v="15"/>
    <x v="8"/>
    <s v="02/2025"/>
    <d v="2025-02-10T00:00:00"/>
    <x v="30"/>
    <n v="840"/>
    <n v="0"/>
    <n v="0"/>
    <n v="0"/>
    <n v="840"/>
    <s v="Dinheiro"/>
    <x v="0"/>
  </r>
  <r>
    <s v="00287"/>
    <x v="15"/>
    <x v="8"/>
    <s v="02/2025"/>
    <d v="2025-02-10T00:00:00"/>
    <x v="30"/>
    <n v="106"/>
    <n v="0"/>
    <n v="0"/>
    <n v="0"/>
    <n v="106"/>
    <s v="Dinheiro"/>
    <x v="0"/>
  </r>
  <r>
    <s v="00085"/>
    <x v="49"/>
    <x v="22"/>
    <s v="02/2025"/>
    <d v="2025-02-10T00:00:00"/>
    <x v="30"/>
    <n v="11317"/>
    <n v="0"/>
    <n v="0"/>
    <n v="0"/>
    <n v="11317"/>
    <s v="Dinheiro"/>
    <x v="0"/>
  </r>
  <r>
    <s v="00098"/>
    <x v="8"/>
    <x v="41"/>
    <s v="02/2025"/>
    <d v="2025-02-10T00:00:00"/>
    <x v="30"/>
    <n v="1000"/>
    <n v="0"/>
    <n v="0"/>
    <n v="0"/>
    <n v="1000"/>
    <s v="Dinheiro"/>
    <x v="0"/>
  </r>
  <r>
    <s v="00009"/>
    <x v="53"/>
    <x v="24"/>
    <s v="02/2025"/>
    <d v="2025-02-10T00:00:00"/>
    <x v="30"/>
    <n v="26091.79"/>
    <n v="0"/>
    <n v="0"/>
    <n v="0"/>
    <n v="26091.79"/>
    <s v="Dinheiro"/>
    <x v="0"/>
  </r>
  <r>
    <s v="00216"/>
    <x v="75"/>
    <x v="30"/>
    <s v="02/2025"/>
    <d v="2025-02-10T00:00:00"/>
    <x v="30"/>
    <n v="1440"/>
    <n v="0"/>
    <n v="0"/>
    <n v="0"/>
    <n v="1440"/>
    <s v="Dinheiro"/>
    <x v="0"/>
  </r>
  <r>
    <s v="00145"/>
    <x v="71"/>
    <x v="30"/>
    <s v="02/2025"/>
    <d v="2025-02-10T00:00:00"/>
    <x v="30"/>
    <n v="1840"/>
    <n v="0"/>
    <n v="0"/>
    <n v="0"/>
    <n v="1840"/>
    <s v="Dinheiro"/>
    <x v="0"/>
  </r>
  <r>
    <s v="00202"/>
    <x v="157"/>
    <x v="30"/>
    <s v="02/2025"/>
    <d v="2025-02-10T00:00:00"/>
    <x v="30"/>
    <n v="640"/>
    <n v="0"/>
    <n v="0"/>
    <n v="0"/>
    <n v="640"/>
    <s v="Dinheiro"/>
    <x v="0"/>
  </r>
  <r>
    <s v="00353"/>
    <x v="61"/>
    <x v="30"/>
    <s v="02/2025"/>
    <d v="2025-02-10T00:00:00"/>
    <x v="30"/>
    <n v="1360"/>
    <n v="0"/>
    <n v="0"/>
    <n v="0"/>
    <n v="1360"/>
    <s v="Dinheiro"/>
    <x v="0"/>
  </r>
  <r>
    <s v="00239"/>
    <x v="70"/>
    <x v="30"/>
    <s v="02/2025"/>
    <d v="2025-02-10T00:00:00"/>
    <x v="30"/>
    <n v="1042.26"/>
    <n v="0"/>
    <n v="0"/>
    <n v="0"/>
    <n v="1042.26"/>
    <s v="Dinheiro"/>
    <x v="0"/>
  </r>
  <r>
    <s v="00240"/>
    <x v="60"/>
    <x v="30"/>
    <s v="02/2025"/>
    <d v="2025-02-10T00:00:00"/>
    <x v="30"/>
    <n v="920"/>
    <n v="0"/>
    <n v="0"/>
    <n v="0"/>
    <n v="920"/>
    <s v="Dinheiro"/>
    <x v="0"/>
  </r>
  <r>
    <s v="00299"/>
    <x v="91"/>
    <x v="30"/>
    <s v="02/2025"/>
    <d v="2025-02-10T00:00:00"/>
    <x v="30"/>
    <n v="1200"/>
    <n v="0"/>
    <n v="0"/>
    <n v="0"/>
    <n v="1200"/>
    <s v="Dinheiro"/>
    <x v="0"/>
  </r>
  <r>
    <s v="00300"/>
    <x v="72"/>
    <x v="30"/>
    <s v="02/2025"/>
    <d v="2025-02-10T00:00:00"/>
    <x v="30"/>
    <n v="2755.8"/>
    <n v="0"/>
    <n v="0"/>
    <n v="0"/>
    <n v="2755.8"/>
    <s v="Dinheiro"/>
    <x v="0"/>
  </r>
  <r>
    <s v="00176"/>
    <x v="158"/>
    <x v="29"/>
    <s v="02/2025"/>
    <d v="2025-02-10T00:00:00"/>
    <x v="30"/>
    <n v="2600"/>
    <n v="0"/>
    <n v="0"/>
    <n v="0"/>
    <n v="2600"/>
    <s v="Dinheiro"/>
    <x v="0"/>
  </r>
  <r>
    <s v="00362"/>
    <x v="7"/>
    <x v="3"/>
    <s v="02/2025"/>
    <d v="2025-02-10T00:00:00"/>
    <x v="30"/>
    <n v="4.08"/>
    <n v="0"/>
    <n v="0"/>
    <n v="0"/>
    <n v="4.08"/>
    <s v="Dinheiro"/>
    <x v="0"/>
  </r>
  <r>
    <s v="00015"/>
    <x v="50"/>
    <x v="23"/>
    <s v="02/2025"/>
    <d v="2025-02-10T00:00:00"/>
    <x v="30"/>
    <n v="2366.5700000000002"/>
    <n v="0"/>
    <n v="0"/>
    <n v="0"/>
    <n v="2366.5700000000002"/>
    <s v="Dinheiro"/>
    <x v="0"/>
  </r>
  <r>
    <s v="00189"/>
    <x v="100"/>
    <x v="57"/>
    <s v="02/2025"/>
    <d v="2025-02-10T00:00:00"/>
    <x v="30"/>
    <n v="120"/>
    <n v="0"/>
    <n v="0"/>
    <n v="0"/>
    <n v="120"/>
    <s v="Dinheiro"/>
    <x v="0"/>
  </r>
  <r>
    <s v="00153"/>
    <x v="21"/>
    <x v="8"/>
    <s v="02/2025"/>
    <d v="2025-02-10T00:00:00"/>
    <x v="30"/>
    <n v="49"/>
    <n v="0"/>
    <n v="0"/>
    <n v="0"/>
    <n v="49"/>
    <s v="Dinheiro"/>
    <x v="0"/>
  </r>
  <r>
    <s v="00019"/>
    <x v="159"/>
    <x v="2"/>
    <s v="02/2025"/>
    <d v="2025-02-10T00:00:00"/>
    <x v="30"/>
    <n v="363.76"/>
    <n v="0"/>
    <n v="0"/>
    <n v="0"/>
    <n v="363.76"/>
    <s v="Dinheiro"/>
    <x v="0"/>
  </r>
  <r>
    <s v="00607"/>
    <x v="52"/>
    <x v="16"/>
    <s v="02/2025"/>
    <d v="2025-02-10T00:00:00"/>
    <x v="30"/>
    <n v="209.81"/>
    <n v="0"/>
    <n v="0"/>
    <n v="0"/>
    <n v="209.81"/>
    <s v="Dinheiro"/>
    <x v="0"/>
  </r>
  <r>
    <s v="00074"/>
    <x v="54"/>
    <x v="16"/>
    <s v="02/2025"/>
    <d v="2025-02-10T00:00:00"/>
    <x v="30"/>
    <n v="99"/>
    <n v="0"/>
    <n v="0"/>
    <n v="0"/>
    <n v="99"/>
    <s v="Dinheiro"/>
    <x v="0"/>
  </r>
  <r>
    <s v="00121"/>
    <x v="56"/>
    <x v="26"/>
    <s v="02/2025"/>
    <d v="2025-02-10T00:00:00"/>
    <x v="30"/>
    <n v="120"/>
    <n v="0"/>
    <n v="0"/>
    <n v="0"/>
    <n v="120"/>
    <s v="Dinheiro"/>
    <x v="0"/>
  </r>
  <r>
    <s v="00376"/>
    <x v="113"/>
    <x v="8"/>
    <s v="02/2025"/>
    <d v="2025-02-10T00:00:00"/>
    <x v="30"/>
    <n v="120"/>
    <n v="0"/>
    <n v="0"/>
    <n v="0"/>
    <n v="120"/>
    <s v="Dinheiro"/>
    <x v="0"/>
  </r>
  <r>
    <s v="00168"/>
    <x v="39"/>
    <x v="8"/>
    <s v="02/2025"/>
    <d v="2025-02-10T00:00:00"/>
    <x v="30"/>
    <n v="550"/>
    <n v="0"/>
    <n v="0"/>
    <n v="0"/>
    <n v="550"/>
    <s v="Dinheiro"/>
    <x v="0"/>
  </r>
  <r>
    <s v="00134"/>
    <x v="18"/>
    <x v="8"/>
    <s v="02/2025"/>
    <d v="2025-02-10T00:00:00"/>
    <x v="30"/>
    <n v="1922"/>
    <n v="0"/>
    <n v="0"/>
    <n v="0"/>
    <n v="1922"/>
    <s v="Dinheiro"/>
    <x v="0"/>
  </r>
  <r>
    <s v="00133"/>
    <x v="24"/>
    <x v="8"/>
    <s v="02/2025"/>
    <d v="2025-02-10T00:00:00"/>
    <x v="30"/>
    <n v="1620"/>
    <n v="0"/>
    <n v="0"/>
    <n v="0"/>
    <n v="1620"/>
    <s v="Dinheiro"/>
    <x v="0"/>
  </r>
  <r>
    <s v="00153"/>
    <x v="21"/>
    <x v="8"/>
    <s v="02/2025"/>
    <d v="2025-02-10T00:00:00"/>
    <x v="30"/>
    <n v="275"/>
    <n v="0"/>
    <n v="0"/>
    <n v="0"/>
    <n v="275"/>
    <s v="Dinheiro"/>
    <x v="0"/>
  </r>
  <r>
    <s v="00396"/>
    <x v="154"/>
    <x v="14"/>
    <s v="02/2025"/>
    <d v="2025-02-10T00:00:00"/>
    <x v="30"/>
    <n v="30"/>
    <n v="0"/>
    <n v="0"/>
    <n v="0"/>
    <n v="30"/>
    <s v="Dinheiro"/>
    <x v="0"/>
  </r>
  <r>
    <s v="00394"/>
    <x v="141"/>
    <x v="14"/>
    <s v="02/2025"/>
    <d v="2025-02-10T00:00:00"/>
    <x v="30"/>
    <n v="30"/>
    <n v="0"/>
    <n v="0"/>
    <n v="0"/>
    <n v="30"/>
    <s v="Dinheiro"/>
    <x v="0"/>
  </r>
  <r>
    <s v="00362"/>
    <x v="7"/>
    <x v="3"/>
    <s v="02/2025"/>
    <d v="2025-02-10T00:00:00"/>
    <x v="30"/>
    <n v="108.12"/>
    <n v="0"/>
    <n v="0"/>
    <n v="0"/>
    <n v="108.12"/>
    <s v="Dinheiro"/>
    <x v="0"/>
  </r>
  <r>
    <s v="00152"/>
    <x v="19"/>
    <x v="15"/>
    <s v="02/2025"/>
    <d v="2025-02-10T00:00:00"/>
    <x v="30"/>
    <n v="1492"/>
    <n v="0"/>
    <n v="0"/>
    <n v="0"/>
    <n v="1492"/>
    <s v="Dinheiro"/>
    <x v="0"/>
  </r>
  <r>
    <s v="00102"/>
    <x v="84"/>
    <x v="10"/>
    <s v="02/2025"/>
    <d v="2025-02-10T00:00:00"/>
    <x v="30"/>
    <n v="861.02"/>
    <n v="0"/>
    <n v="0"/>
    <n v="0"/>
    <n v="861.02"/>
    <s v="Dinheiro"/>
    <x v="0"/>
  </r>
  <r>
    <s v="00378"/>
    <x v="87"/>
    <x v="29"/>
    <s v="02/2025"/>
    <d v="2025-02-10T00:00:00"/>
    <x v="30"/>
    <n v="1920"/>
    <n v="0"/>
    <n v="0"/>
    <n v="0"/>
    <n v="1920"/>
    <s v="Dinheiro"/>
    <x v="0"/>
  </r>
  <r>
    <s v="00189"/>
    <x v="76"/>
    <x v="30"/>
    <s v="02/2025"/>
    <d v="2025-02-10T00:00:00"/>
    <x v="30"/>
    <n v="2320"/>
    <n v="0"/>
    <n v="0"/>
    <n v="0"/>
    <n v="2320"/>
    <s v="Dinheiro"/>
    <x v="0"/>
  </r>
  <r>
    <s v="00223"/>
    <x v="32"/>
    <x v="8"/>
    <s v="02/2025"/>
    <d v="2025-02-10T00:00:00"/>
    <x v="30"/>
    <n v="4840"/>
    <n v="0"/>
    <n v="0"/>
    <n v="0"/>
    <n v="4840"/>
    <s v="Dinheiro"/>
    <x v="0"/>
  </r>
  <r>
    <s v="00260"/>
    <x v="23"/>
    <x v="29"/>
    <s v="02/2025"/>
    <d v="2025-02-10T00:00:00"/>
    <x v="30"/>
    <n v="2820"/>
    <n v="0"/>
    <n v="0"/>
    <n v="0"/>
    <n v="2820"/>
    <s v="Dinheiro"/>
    <x v="0"/>
  </r>
  <r>
    <s v="00231"/>
    <x v="64"/>
    <x v="29"/>
    <s v="02/2025"/>
    <d v="2025-02-10T00:00:00"/>
    <x v="30"/>
    <n v="2620"/>
    <n v="0"/>
    <n v="0"/>
    <n v="0"/>
    <n v="2620"/>
    <s v="Dinheiro"/>
    <x v="0"/>
  </r>
  <r>
    <s v="00151"/>
    <x v="26"/>
    <x v="29"/>
    <s v="02/2025"/>
    <d v="2025-02-10T00:00:00"/>
    <x v="30"/>
    <n v="240"/>
    <n v="0"/>
    <n v="0"/>
    <n v="0"/>
    <n v="240"/>
    <s v="Dinheiro"/>
    <x v="0"/>
  </r>
  <r>
    <s v="00218"/>
    <x v="66"/>
    <x v="29"/>
    <s v="02/2025"/>
    <d v="2025-02-10T00:00:00"/>
    <x v="30"/>
    <n v="2560"/>
    <n v="0"/>
    <n v="0"/>
    <n v="0"/>
    <n v="2560"/>
    <s v="Dinheiro"/>
    <x v="0"/>
  </r>
  <r>
    <s v="00308"/>
    <x v="62"/>
    <x v="30"/>
    <s v="02/2025"/>
    <d v="2025-02-10T00:00:00"/>
    <x v="30"/>
    <n v="960"/>
    <n v="0"/>
    <n v="0"/>
    <n v="0"/>
    <n v="960"/>
    <s v="Dinheiro"/>
    <x v="0"/>
  </r>
  <r>
    <s v="00397"/>
    <x v="152"/>
    <x v="29"/>
    <s v="02/2025"/>
    <d v="2025-02-10T00:00:00"/>
    <x v="30"/>
    <n v="1040"/>
    <n v="0"/>
    <n v="0"/>
    <n v="0"/>
    <n v="1040"/>
    <s v="Dinheiro"/>
    <x v="0"/>
  </r>
  <r>
    <s v="00187"/>
    <x v="71"/>
    <x v="30"/>
    <s v="02/2025"/>
    <d v="2025-02-10T00:00:00"/>
    <x v="30"/>
    <n v="960"/>
    <n v="0"/>
    <n v="0"/>
    <n v="0"/>
    <n v="960"/>
    <s v="Dinheiro"/>
    <x v="0"/>
  </r>
  <r>
    <s v="00228"/>
    <x v="79"/>
    <x v="29"/>
    <s v="02/2025"/>
    <d v="2025-02-10T00:00:00"/>
    <x v="30"/>
    <n v="2880"/>
    <n v="0"/>
    <n v="0"/>
    <n v="0"/>
    <n v="2880"/>
    <s v="Dinheiro"/>
    <x v="0"/>
  </r>
  <r>
    <s v="00403"/>
    <x v="160"/>
    <x v="29"/>
    <s v="02/2025"/>
    <d v="2025-02-10T00:00:00"/>
    <x v="30"/>
    <n v="400"/>
    <n v="0"/>
    <n v="0"/>
    <n v="0"/>
    <n v="400"/>
    <s v="Dinheiro"/>
    <x v="0"/>
  </r>
  <r>
    <s v="00235"/>
    <x v="86"/>
    <x v="29"/>
    <s v="02/2025"/>
    <d v="2025-02-10T00:00:00"/>
    <x v="30"/>
    <n v="1380"/>
    <n v="0"/>
    <n v="0"/>
    <n v="0"/>
    <n v="1380"/>
    <s v="Dinheiro"/>
    <x v="0"/>
  </r>
  <r>
    <s v="00280"/>
    <x v="73"/>
    <x v="30"/>
    <s v="02/2025"/>
    <d v="2025-02-10T00:00:00"/>
    <x v="30"/>
    <n v="400"/>
    <n v="0"/>
    <n v="0"/>
    <n v="0"/>
    <n v="400"/>
    <s v="Dinheiro"/>
    <x v="0"/>
  </r>
  <r>
    <s v="00404"/>
    <x v="161"/>
    <x v="11"/>
    <s v="02/2025"/>
    <d v="2025-02-10T00:00:00"/>
    <x v="30"/>
    <n v="1464.64"/>
    <n v="0"/>
    <n v="0"/>
    <n v="0"/>
    <n v="1464.64"/>
    <s v="Dinheiro"/>
    <x v="0"/>
  </r>
  <r>
    <s v="00364"/>
    <x v="16"/>
    <x v="8"/>
    <s v="02/2025"/>
    <d v="2025-02-10T00:00:00"/>
    <x v="30"/>
    <n v="866"/>
    <n v="0"/>
    <n v="0"/>
    <n v="0"/>
    <n v="866"/>
    <s v="Dinheiro"/>
    <x v="0"/>
  </r>
  <r>
    <s v="00257"/>
    <x v="9"/>
    <x v="8"/>
    <s v="02/2025"/>
    <d v="2025-02-10T00:00:00"/>
    <x v="30"/>
    <n v="640"/>
    <n v="0"/>
    <n v="0"/>
    <n v="0"/>
    <n v="640"/>
    <s v="Dinheiro"/>
    <x v="0"/>
  </r>
  <r>
    <s v="00304"/>
    <x v="17"/>
    <x v="8"/>
    <s v="02/2025"/>
    <d v="2025-02-10T00:00:00"/>
    <x v="30"/>
    <n v="446"/>
    <n v="0"/>
    <n v="0"/>
    <n v="0"/>
    <n v="446"/>
    <s v="Dinheiro"/>
    <x v="0"/>
  </r>
  <r>
    <s v="00299"/>
    <x v="91"/>
    <x v="30"/>
    <s v="02/2025"/>
    <d v="2025-02-11T00:00:00"/>
    <x v="31"/>
    <n v="1520"/>
    <n v="0"/>
    <n v="0"/>
    <n v="0"/>
    <n v="1520"/>
    <s v="Dinheiro"/>
    <x v="0"/>
  </r>
  <r>
    <s v="00093"/>
    <x v="38"/>
    <x v="8"/>
    <s v="02/2025"/>
    <d v="2025-02-11T00:00:00"/>
    <x v="31"/>
    <n v="300"/>
    <n v="0"/>
    <n v="0"/>
    <n v="0"/>
    <n v="300"/>
    <s v="Dinheiro"/>
    <x v="0"/>
  </r>
  <r>
    <s v="00284"/>
    <x v="162"/>
    <x v="8"/>
    <s v="02/2025"/>
    <d v="2025-02-11T00:00:00"/>
    <x v="31"/>
    <n v="300"/>
    <n v="0"/>
    <n v="0"/>
    <n v="0"/>
    <n v="300"/>
    <s v="Dinheiro"/>
    <x v="0"/>
  </r>
  <r>
    <s v="00362"/>
    <x v="7"/>
    <x v="3"/>
    <s v="02/2025"/>
    <d v="2025-02-11T00:00:00"/>
    <x v="31"/>
    <n v="18.28"/>
    <n v="0"/>
    <n v="0"/>
    <n v="0"/>
    <n v="18.28"/>
    <s v="Dinheiro"/>
    <x v="0"/>
  </r>
  <r>
    <s v="00058"/>
    <x v="88"/>
    <x v="9"/>
    <s v="02/2025"/>
    <d v="2025-02-11T00:00:00"/>
    <x v="31"/>
    <n v="95.18"/>
    <n v="0"/>
    <n v="0"/>
    <n v="0"/>
    <n v="95.18"/>
    <s v="Dinheiro"/>
    <x v="0"/>
  </r>
  <r>
    <s v="00362"/>
    <x v="7"/>
    <x v="3"/>
    <s v="02/2025"/>
    <d v="2025-02-11T00:00:00"/>
    <x v="31"/>
    <n v="81.600000000000009"/>
    <n v="0"/>
    <n v="0"/>
    <n v="0"/>
    <n v="81.600000000000009"/>
    <s v="Dinheiro"/>
    <x v="0"/>
  </r>
  <r>
    <s v="00227"/>
    <x v="81"/>
    <x v="17"/>
    <s v="02/2025"/>
    <d v="2025-02-11T00:00:00"/>
    <x v="31"/>
    <n v="3036"/>
    <n v="0"/>
    <n v="0"/>
    <n v="0"/>
    <n v="3036"/>
    <s v="Dinheiro"/>
    <x v="0"/>
  </r>
  <r>
    <s v="00405"/>
    <x v="163"/>
    <x v="29"/>
    <s v="02/2025"/>
    <d v="2025-02-11T00:00:00"/>
    <x v="31"/>
    <n v="320"/>
    <n v="0"/>
    <n v="0"/>
    <n v="0"/>
    <n v="320"/>
    <s v="Dinheiro"/>
    <x v="0"/>
  </r>
  <r>
    <s v="00237"/>
    <x v="80"/>
    <x v="30"/>
    <s v="02/2025"/>
    <d v="2025-02-11T00:00:00"/>
    <x v="31"/>
    <n v="700"/>
    <n v="0"/>
    <n v="0"/>
    <n v="0"/>
    <n v="700"/>
    <s v="Dinheiro"/>
    <x v="0"/>
  </r>
  <r>
    <s v="00406"/>
    <x v="164"/>
    <x v="29"/>
    <s v="02/2025"/>
    <d v="2025-02-11T00:00:00"/>
    <x v="31"/>
    <n v="560"/>
    <n v="0"/>
    <n v="0"/>
    <n v="0"/>
    <n v="560"/>
    <s v="Dinheiro"/>
    <x v="0"/>
  </r>
  <r>
    <s v="00407"/>
    <x v="165"/>
    <x v="29"/>
    <s v="02/2025"/>
    <d v="2025-02-11T00:00:00"/>
    <x v="31"/>
    <n v="800"/>
    <n v="0"/>
    <n v="0"/>
    <n v="0"/>
    <n v="800"/>
    <s v="Dinheiro"/>
    <x v="0"/>
  </r>
  <r>
    <s v="00379"/>
    <x v="85"/>
    <x v="29"/>
    <s v="02/2025"/>
    <d v="2025-02-11T00:00:00"/>
    <x v="31"/>
    <n v="640"/>
    <n v="0"/>
    <n v="0"/>
    <n v="0"/>
    <n v="640"/>
    <s v="Dinheiro"/>
    <x v="0"/>
  </r>
  <r>
    <s v="00315"/>
    <x v="2"/>
    <x v="8"/>
    <s v="02/2025"/>
    <d v="2025-02-11T00:00:00"/>
    <x v="31"/>
    <n v="480"/>
    <n v="0"/>
    <n v="0"/>
    <n v="0"/>
    <n v="480"/>
    <s v="Dinheiro"/>
    <x v="0"/>
  </r>
  <r>
    <s v="00408"/>
    <x v="166"/>
    <x v="29"/>
    <s v="02/2025"/>
    <d v="2025-02-11T00:00:00"/>
    <x v="31"/>
    <n v="400"/>
    <n v="0"/>
    <n v="0"/>
    <n v="0"/>
    <n v="400"/>
    <s v="Dinheiro"/>
    <x v="0"/>
  </r>
  <r>
    <s v="00301"/>
    <x v="154"/>
    <x v="1"/>
    <s v="02/2025"/>
    <d v="2025-02-12T00:00:00"/>
    <x v="32"/>
    <n v="99.37"/>
    <n v="0"/>
    <n v="0"/>
    <n v="0"/>
    <n v="99.37"/>
    <s v="Dinheiro"/>
    <x v="0"/>
  </r>
  <r>
    <s v="00289"/>
    <x v="141"/>
    <x v="1"/>
    <s v="02/2025"/>
    <d v="2025-02-12T00:00:00"/>
    <x v="32"/>
    <n v="99.37"/>
    <n v="0"/>
    <n v="0"/>
    <n v="0"/>
    <n v="99.37"/>
    <s v="Dinheiro"/>
    <x v="0"/>
  </r>
  <r>
    <s v="00150"/>
    <x v="167"/>
    <x v="9"/>
    <s v="02/2025"/>
    <d v="2025-02-12T00:00:00"/>
    <x v="32"/>
    <n v="500"/>
    <n v="0"/>
    <n v="0"/>
    <n v="0"/>
    <n v="500"/>
    <s v="Dinheiro"/>
    <x v="0"/>
  </r>
  <r>
    <s v="00355"/>
    <x v="83"/>
    <x v="29"/>
    <s v="02/2025"/>
    <d v="2025-02-12T00:00:00"/>
    <x v="32"/>
    <n v="500"/>
    <n v="0"/>
    <n v="0"/>
    <n v="0"/>
    <n v="500"/>
    <s v="Dinheiro"/>
    <x v="0"/>
  </r>
  <r>
    <s v="00302"/>
    <x v="82"/>
    <x v="29"/>
    <s v="02/2025"/>
    <d v="2025-02-12T00:00:00"/>
    <x v="32"/>
    <n v="960"/>
    <n v="0"/>
    <n v="0"/>
    <n v="0"/>
    <n v="960"/>
    <s v="Dinheiro"/>
    <x v="0"/>
  </r>
  <r>
    <s v="00315"/>
    <x v="2"/>
    <x v="8"/>
    <s v="02/2025"/>
    <d v="2025-02-12T00:00:00"/>
    <x v="32"/>
    <n v="40"/>
    <n v="0"/>
    <n v="0"/>
    <n v="0"/>
    <n v="40"/>
    <s v="Dinheiro"/>
    <x v="0"/>
  </r>
  <r>
    <s v="00398"/>
    <x v="168"/>
    <x v="25"/>
    <s v="02/2025"/>
    <d v="2025-02-12T00:00:00"/>
    <x v="32"/>
    <n v="44.97"/>
    <n v="0"/>
    <n v="0"/>
    <n v="0"/>
    <n v="44.97"/>
    <s v="Dinheiro"/>
    <x v="0"/>
  </r>
  <r>
    <s v="00394"/>
    <x v="141"/>
    <x v="32"/>
    <s v="02/2025"/>
    <d v="2025-02-12T00:00:00"/>
    <x v="32"/>
    <n v="38"/>
    <n v="0"/>
    <n v="0"/>
    <n v="0"/>
    <n v="38"/>
    <s v="Dinheiro"/>
    <x v="0"/>
  </r>
  <r>
    <s v="00396"/>
    <x v="154"/>
    <x v="32"/>
    <s v="02/2025"/>
    <d v="2025-02-12T00:00:00"/>
    <x v="32"/>
    <n v="38"/>
    <n v="0"/>
    <n v="0"/>
    <n v="0"/>
    <n v="38"/>
    <s v="Dinheiro"/>
    <x v="0"/>
  </r>
  <r>
    <s v="00362"/>
    <x v="7"/>
    <x v="3"/>
    <s v="02/2025"/>
    <d v="2025-02-12T00:00:00"/>
    <x v="32"/>
    <n v="8.16"/>
    <n v="0"/>
    <n v="0"/>
    <n v="0"/>
    <n v="8.16"/>
    <s v="Dinheiro"/>
    <x v="0"/>
  </r>
  <r>
    <s v="00303"/>
    <x v="169"/>
    <x v="11"/>
    <s v="02/2025"/>
    <d v="2025-02-13T00:00:00"/>
    <x v="33"/>
    <n v="2100"/>
    <n v="0"/>
    <n v="0"/>
    <n v="0"/>
    <n v="2100"/>
    <s v="Dinheiro"/>
    <x v="0"/>
  </r>
  <r>
    <s v="00039"/>
    <x v="92"/>
    <x v="10"/>
    <s v="02/2025"/>
    <d v="2025-02-13T00:00:00"/>
    <x v="33"/>
    <n v="1048.9000000000001"/>
    <n v="0"/>
    <n v="0"/>
    <n v="0"/>
    <n v="1048.9000000000001"/>
    <s v="Dinheiro"/>
    <x v="0"/>
  </r>
  <r>
    <s v="00282"/>
    <x v="11"/>
    <x v="10"/>
    <s v="02/2025"/>
    <d v="2025-02-13T00:00:00"/>
    <x v="33"/>
    <n v="10489.01"/>
    <n v="0"/>
    <n v="0"/>
    <n v="0"/>
    <n v="10489.01"/>
    <s v="Dinheiro"/>
    <x v="0"/>
  </r>
  <r>
    <s v="00167"/>
    <x v="170"/>
    <x v="29"/>
    <s v="02/2025"/>
    <d v="2025-02-13T00:00:00"/>
    <x v="33"/>
    <n v="640"/>
    <n v="0"/>
    <n v="0"/>
    <n v="0"/>
    <n v="640"/>
    <s v="Dinheiro"/>
    <x v="0"/>
  </r>
  <r>
    <s v="00362"/>
    <x v="7"/>
    <x v="3"/>
    <s v="02/2025"/>
    <d v="2025-02-13T00:00:00"/>
    <x v="33"/>
    <n v="520.98"/>
    <n v="0"/>
    <n v="0"/>
    <n v="0"/>
    <n v="520.98"/>
    <s v="Dinheiro"/>
    <x v="0"/>
  </r>
  <r>
    <s v="00394"/>
    <x v="141"/>
    <x v="5"/>
    <s v="02/2025"/>
    <d v="2025-02-13T00:00:00"/>
    <x v="33"/>
    <n v="30"/>
    <n v="0"/>
    <n v="0"/>
    <n v="0"/>
    <n v="30"/>
    <s v="Dinheiro"/>
    <x v="0"/>
  </r>
  <r>
    <s v="00397"/>
    <x v="152"/>
    <x v="5"/>
    <s v="02/2025"/>
    <d v="2025-02-13T00:00:00"/>
    <x v="33"/>
    <n v="30"/>
    <n v="0"/>
    <n v="0"/>
    <n v="0"/>
    <n v="30"/>
    <s v="Dinheiro"/>
    <x v="0"/>
  </r>
  <r>
    <s v="00315"/>
    <x v="2"/>
    <x v="5"/>
    <s v="02/2025"/>
    <d v="2025-02-13T00:00:00"/>
    <x v="33"/>
    <n v="30"/>
    <n v="0"/>
    <n v="0"/>
    <n v="0"/>
    <n v="30"/>
    <s v="Dinheiro"/>
    <x v="0"/>
  </r>
  <r>
    <s v="00396"/>
    <x v="154"/>
    <x v="5"/>
    <s v="02/2025"/>
    <d v="2025-02-13T00:00:00"/>
    <x v="33"/>
    <n v="30"/>
    <n v="0"/>
    <n v="0"/>
    <n v="0"/>
    <n v="30"/>
    <s v="Dinheiro"/>
    <x v="0"/>
  </r>
  <r>
    <s v="00058"/>
    <x v="88"/>
    <x v="9"/>
    <s v="02/2025"/>
    <d v="2025-02-13T00:00:00"/>
    <x v="33"/>
    <n v="26.78"/>
    <n v="0"/>
    <n v="0"/>
    <n v="0"/>
    <n v="26.78"/>
    <s v="Dinheiro"/>
    <x v="0"/>
  </r>
  <r>
    <s v="00082"/>
    <x v="100"/>
    <x v="57"/>
    <s v="02/2025"/>
    <d v="2025-02-13T00:00:00"/>
    <x v="33"/>
    <n v="41.2"/>
    <n v="0"/>
    <n v="0"/>
    <n v="0"/>
    <n v="41.2"/>
    <s v="Dinheiro"/>
    <x v="0"/>
  </r>
  <r>
    <s v="00409"/>
    <x v="168"/>
    <x v="45"/>
    <s v="02/2025"/>
    <d v="2025-02-13T00:00:00"/>
    <x v="33"/>
    <n v="47.92"/>
    <n v="0"/>
    <n v="0"/>
    <n v="0"/>
    <n v="47.92"/>
    <s v="Dinheiro"/>
    <x v="0"/>
  </r>
  <r>
    <s v="00362"/>
    <x v="7"/>
    <x v="3"/>
    <s v="02/2025"/>
    <d v="2025-02-13T00:00:00"/>
    <x v="33"/>
    <n v="4.08"/>
    <n v="0"/>
    <n v="0"/>
    <n v="0"/>
    <n v="4.08"/>
    <s v="Dinheiro"/>
    <x v="0"/>
  </r>
  <r>
    <s v="00362"/>
    <x v="7"/>
    <x v="34"/>
    <s v="02/2025"/>
    <d v="2025-02-13T00:00:00"/>
    <x v="33"/>
    <n v="5472"/>
    <n v="0"/>
    <n v="0"/>
    <n v="0"/>
    <n v="5472"/>
    <s v="Dinheiro"/>
    <x v="0"/>
  </r>
  <r>
    <s v="00254"/>
    <x v="22"/>
    <x v="32"/>
    <s v="02/2025"/>
    <d v="2025-02-13T00:00:00"/>
    <x v="33"/>
    <n v="20.400000000000002"/>
    <n v="0"/>
    <n v="0"/>
    <n v="0"/>
    <n v="20.400000000000002"/>
    <s v="Dinheiro"/>
    <x v="0"/>
  </r>
  <r>
    <s v="00101"/>
    <x v="171"/>
    <x v="58"/>
    <s v="02/2025"/>
    <d v="2025-02-13T00:00:00"/>
    <x v="33"/>
    <n v="605"/>
    <n v="0"/>
    <n v="0"/>
    <n v="0"/>
    <n v="605"/>
    <s v="Dinheiro"/>
    <x v="0"/>
  </r>
  <r>
    <s v="00154"/>
    <x v="172"/>
    <x v="38"/>
    <s v="02/2025"/>
    <d v="2025-02-14T00:00:00"/>
    <x v="34"/>
    <n v="50"/>
    <n v="0"/>
    <n v="0"/>
    <n v="0"/>
    <n v="50"/>
    <s v="Dinheiro"/>
    <x v="0"/>
  </r>
  <r>
    <s v="00304"/>
    <x v="68"/>
    <x v="30"/>
    <s v="02/2025"/>
    <d v="2025-02-14T00:00:00"/>
    <x v="34"/>
    <n v="240"/>
    <n v="0"/>
    <n v="0"/>
    <n v="0"/>
    <n v="240"/>
    <s v="Dinheiro"/>
    <x v="0"/>
  </r>
  <r>
    <s v="00305"/>
    <x v="173"/>
    <x v="29"/>
    <s v="02/2025"/>
    <d v="2025-02-14T00:00:00"/>
    <x v="34"/>
    <n v="320"/>
    <n v="0"/>
    <n v="0"/>
    <n v="0"/>
    <n v="320"/>
    <s v="Dinheiro"/>
    <x v="0"/>
  </r>
  <r>
    <s v="00306"/>
    <x v="174"/>
    <x v="30"/>
    <s v="02/2025"/>
    <d v="2025-02-14T00:00:00"/>
    <x v="34"/>
    <n v="320"/>
    <n v="0"/>
    <n v="0"/>
    <n v="0"/>
    <n v="320"/>
    <s v="Dinheiro"/>
    <x v="0"/>
  </r>
  <r>
    <s v="00011"/>
    <x v="131"/>
    <x v="1"/>
    <s v="02/2025"/>
    <d v="2025-02-14T00:00:00"/>
    <x v="34"/>
    <n v="2787.75"/>
    <n v="0"/>
    <n v="0"/>
    <n v="0"/>
    <n v="2787.75"/>
    <s v="Dinheiro"/>
    <x v="0"/>
  </r>
  <r>
    <s v="00295"/>
    <x v="143"/>
    <x v="49"/>
    <s v="02/2025"/>
    <d v="2025-02-14T00:00:00"/>
    <x v="34"/>
    <n v="163"/>
    <n v="0"/>
    <n v="0"/>
    <n v="0"/>
    <n v="163"/>
    <s v="Dinheiro"/>
    <x v="0"/>
  </r>
  <r>
    <s v="00261"/>
    <x v="175"/>
    <x v="38"/>
    <s v="02/2025"/>
    <d v="2025-02-14T00:00:00"/>
    <x v="34"/>
    <n v="10"/>
    <n v="0"/>
    <n v="0"/>
    <n v="0"/>
    <n v="10"/>
    <s v="Dinheiro"/>
    <x v="0"/>
  </r>
  <r>
    <s v="00368"/>
    <x v="94"/>
    <x v="1"/>
    <s v="02/2025"/>
    <d v="2025-02-14T00:00:00"/>
    <x v="34"/>
    <n v="235.4"/>
    <n v="0"/>
    <n v="0"/>
    <n v="0"/>
    <n v="235.4"/>
    <s v="Dinheiro"/>
    <x v="0"/>
  </r>
  <r>
    <s v="00410"/>
    <x v="176"/>
    <x v="14"/>
    <s v="02/2025"/>
    <d v="2025-02-14T00:00:00"/>
    <x v="34"/>
    <n v="30"/>
    <n v="0"/>
    <n v="0"/>
    <n v="0"/>
    <n v="30"/>
    <s v="Dinheiro"/>
    <x v="0"/>
  </r>
  <r>
    <s v="00410"/>
    <x v="176"/>
    <x v="1"/>
    <s v="02/2025"/>
    <d v="2025-02-14T00:00:00"/>
    <x v="34"/>
    <n v="20.400000000000002"/>
    <n v="0"/>
    <n v="0"/>
    <n v="0"/>
    <n v="20.400000000000002"/>
    <s v="Dinheiro"/>
    <x v="0"/>
  </r>
  <r>
    <s v="00037"/>
    <x v="177"/>
    <x v="38"/>
    <s v="02/2025"/>
    <d v="2025-02-14T00:00:00"/>
    <x v="34"/>
    <n v="112.06"/>
    <n v="0"/>
    <n v="0"/>
    <n v="0"/>
    <n v="112.06"/>
    <s v="Dinheiro"/>
    <x v="0"/>
  </r>
  <r>
    <s v="00058"/>
    <x v="88"/>
    <x v="9"/>
    <s v="02/2025"/>
    <d v="2025-02-14T00:00:00"/>
    <x v="34"/>
    <n v="23.98"/>
    <n v="0"/>
    <n v="0"/>
    <n v="0"/>
    <n v="23.98"/>
    <s v="Dinheiro"/>
    <x v="0"/>
  </r>
  <r>
    <s v="00237"/>
    <x v="80"/>
    <x v="59"/>
    <s v="02/2025"/>
    <d v="2025-02-14T00:00:00"/>
    <x v="34"/>
    <n v="70"/>
    <n v="0"/>
    <n v="0"/>
    <n v="0"/>
    <n v="70"/>
    <s v="Dinheiro"/>
    <x v="0"/>
  </r>
  <r>
    <s v="00316"/>
    <x v="17"/>
    <x v="12"/>
    <s v="02/2025"/>
    <d v="2025-02-14T00:00:00"/>
    <x v="34"/>
    <n v="35"/>
    <n v="0"/>
    <n v="0"/>
    <n v="0"/>
    <n v="35"/>
    <s v="Dinheiro"/>
    <x v="0"/>
  </r>
  <r>
    <s v="00334"/>
    <x v="33"/>
    <x v="8"/>
    <s v="02/2025"/>
    <d v="2025-02-14T00:00:00"/>
    <x v="34"/>
    <n v="200"/>
    <n v="0"/>
    <n v="0"/>
    <n v="0"/>
    <n v="200"/>
    <s v="Dinheiro"/>
    <x v="0"/>
  </r>
  <r>
    <s v="00316"/>
    <x v="17"/>
    <x v="1"/>
    <s v="02/2025"/>
    <d v="2025-02-14T00:00:00"/>
    <x v="34"/>
    <n v="35"/>
    <n v="0"/>
    <n v="0"/>
    <n v="0"/>
    <n v="35"/>
    <s v="Dinheiro"/>
    <x v="0"/>
  </r>
  <r>
    <s v="00362"/>
    <x v="7"/>
    <x v="3"/>
    <s v="02/2025"/>
    <d v="2025-02-14T00:00:00"/>
    <x v="34"/>
    <n v="4.08"/>
    <n v="0"/>
    <n v="0"/>
    <n v="0"/>
    <n v="4.08"/>
    <s v="Dinheiro"/>
    <x v="0"/>
  </r>
  <r>
    <s v="00364"/>
    <x v="16"/>
    <x v="1"/>
    <s v="02/2025"/>
    <d v="2025-02-14T00:00:00"/>
    <x v="34"/>
    <n v="224"/>
    <n v="0"/>
    <n v="0"/>
    <n v="0"/>
    <n v="224"/>
    <s v="Dinheiro"/>
    <x v="0"/>
  </r>
  <r>
    <s v="00396"/>
    <x v="154"/>
    <x v="1"/>
    <s v="02/2025"/>
    <d v="2025-02-14T00:00:00"/>
    <x v="34"/>
    <n v="163.80000000000001"/>
    <n v="0"/>
    <n v="0"/>
    <n v="0"/>
    <n v="163.80000000000001"/>
    <s v="Dinheiro"/>
    <x v="0"/>
  </r>
  <r>
    <s v="00257"/>
    <x v="9"/>
    <x v="1"/>
    <s v="02/2025"/>
    <d v="2025-02-14T00:00:00"/>
    <x v="34"/>
    <n v="214"/>
    <n v="0"/>
    <n v="0"/>
    <n v="0"/>
    <n v="214"/>
    <s v="Dinheiro"/>
    <x v="0"/>
  </r>
  <r>
    <s v="00397"/>
    <x v="152"/>
    <x v="1"/>
    <s v="02/2025"/>
    <d v="2025-02-14T00:00:00"/>
    <x v="34"/>
    <n v="163.80000000000001"/>
    <n v="0"/>
    <n v="0"/>
    <n v="0"/>
    <n v="163.80000000000001"/>
    <s v="Dinheiro"/>
    <x v="0"/>
  </r>
  <r>
    <s v="00351"/>
    <x v="42"/>
    <x v="1"/>
    <s v="02/2025"/>
    <d v="2025-02-14T00:00:00"/>
    <x v="34"/>
    <n v="247"/>
    <n v="0"/>
    <n v="0"/>
    <n v="0"/>
    <n v="247"/>
    <s v="Dinheiro"/>
    <x v="0"/>
  </r>
  <r>
    <s v="00363"/>
    <x v="15"/>
    <x v="1"/>
    <s v="02/2025"/>
    <d v="2025-02-14T00:00:00"/>
    <x v="34"/>
    <n v="318"/>
    <n v="0"/>
    <n v="0"/>
    <n v="0"/>
    <n v="318"/>
    <s v="Dinheiro"/>
    <x v="0"/>
  </r>
  <r>
    <s v="00394"/>
    <x v="141"/>
    <x v="1"/>
    <s v="02/2025"/>
    <d v="2025-02-14T00:00:00"/>
    <x v="34"/>
    <n v="145.6"/>
    <n v="0"/>
    <n v="0"/>
    <n v="0"/>
    <n v="145.6"/>
    <s v="Dinheiro"/>
    <x v="0"/>
  </r>
  <r>
    <s v="00288"/>
    <x v="121"/>
    <x v="8"/>
    <s v="02/2025"/>
    <d v="2025-02-17T00:00:00"/>
    <x v="35"/>
    <n v="50.21"/>
    <n v="0"/>
    <n v="0"/>
    <n v="0"/>
    <n v="50.21"/>
    <s v="Dinheiro"/>
    <x v="0"/>
  </r>
  <r>
    <s v="00092"/>
    <x v="18"/>
    <x v="8"/>
    <s v="02/2025"/>
    <d v="2025-02-17T00:00:00"/>
    <x v="35"/>
    <n v="322"/>
    <n v="0"/>
    <n v="0"/>
    <n v="0"/>
    <n v="322"/>
    <s v="Dinheiro"/>
    <x v="0"/>
  </r>
  <r>
    <s v="00068"/>
    <x v="98"/>
    <x v="39"/>
    <s v="02/2025"/>
    <d v="2025-02-17T00:00:00"/>
    <x v="35"/>
    <n v="1518"/>
    <n v="0"/>
    <n v="0"/>
    <n v="0"/>
    <n v="1518"/>
    <s v="Dinheiro"/>
    <x v="0"/>
  </r>
  <r>
    <s v="00065"/>
    <x v="92"/>
    <x v="36"/>
    <s v="02/2025"/>
    <d v="2025-02-17T00:00:00"/>
    <x v="35"/>
    <n v="22634.010000000002"/>
    <n v="0"/>
    <n v="0"/>
    <n v="0"/>
    <n v="22634.010000000002"/>
    <s v="Dinheiro"/>
    <x v="0"/>
  </r>
  <r>
    <s v="00279"/>
    <x v="156"/>
    <x v="19"/>
    <s v="02/2025"/>
    <d v="2025-02-17T00:00:00"/>
    <x v="35"/>
    <n v="408.07"/>
    <n v="0"/>
    <n v="0"/>
    <n v="0"/>
    <n v="408.07"/>
    <s v="Dinheiro"/>
    <x v="0"/>
  </r>
  <r>
    <s v="00279"/>
    <x v="156"/>
    <x v="46"/>
    <s v="02/2025"/>
    <d v="2025-02-17T00:00:00"/>
    <x v="35"/>
    <n v="106.98"/>
    <n v="0"/>
    <n v="0"/>
    <n v="0"/>
    <n v="106.98"/>
    <s v="Dinheiro"/>
    <x v="0"/>
  </r>
  <r>
    <s v="00081"/>
    <x v="178"/>
    <x v="46"/>
    <s v="02/2025"/>
    <d v="2025-02-17T00:00:00"/>
    <x v="35"/>
    <n v="1117.6100000000001"/>
    <n v="0"/>
    <n v="0"/>
    <n v="0"/>
    <n v="1117.6100000000001"/>
    <s v="Dinheiro"/>
    <x v="0"/>
  </r>
  <r>
    <s v="00134"/>
    <x v="18"/>
    <x v="8"/>
    <s v="02/2025"/>
    <d v="2025-02-15T00:00:00"/>
    <x v="35"/>
    <n v="322"/>
    <n v="0"/>
    <n v="0"/>
    <n v="0"/>
    <n v="322"/>
    <s v="Dinheiro"/>
    <x v="0"/>
  </r>
  <r>
    <s v="00376"/>
    <x v="113"/>
    <x v="5"/>
    <s v="02/2025"/>
    <d v="2025-02-17T00:00:00"/>
    <x v="35"/>
    <n v="30"/>
    <n v="0"/>
    <n v="0"/>
    <n v="0"/>
    <n v="30"/>
    <s v="Dinheiro"/>
    <x v="0"/>
  </r>
  <r>
    <s v="00066"/>
    <x v="179"/>
    <x v="17"/>
    <s v="02/2025"/>
    <d v="2025-02-17T00:00:00"/>
    <x v="35"/>
    <n v="40"/>
    <n v="0"/>
    <n v="0"/>
    <n v="0"/>
    <n v="40"/>
    <s v="Dinheiro"/>
    <x v="0"/>
  </r>
  <r>
    <s v="00363"/>
    <x v="15"/>
    <x v="8"/>
    <s v="02/2025"/>
    <d v="2025-02-17T00:00:00"/>
    <x v="35"/>
    <n v="220"/>
    <n v="0"/>
    <n v="0"/>
    <n v="0"/>
    <n v="220"/>
    <s v="Dinheiro"/>
    <x v="0"/>
  </r>
  <r>
    <s v="00364"/>
    <x v="16"/>
    <x v="8"/>
    <s v="02/2025"/>
    <d v="2025-02-17T00:00:00"/>
    <x v="35"/>
    <n v="29.79"/>
    <n v="0"/>
    <n v="0"/>
    <n v="0"/>
    <n v="29.79"/>
    <s v="Dinheiro"/>
    <x v="0"/>
  </r>
  <r>
    <s v="00154"/>
    <x v="12"/>
    <x v="2"/>
    <s v="02/2025"/>
    <d v="2025-02-17T00:00:00"/>
    <x v="35"/>
    <n v="500"/>
    <n v="0"/>
    <n v="0"/>
    <n v="0"/>
    <n v="500"/>
    <s v="Dinheiro"/>
    <x v="0"/>
  </r>
  <r>
    <s v="00133"/>
    <x v="24"/>
    <x v="8"/>
    <s v="02/2025"/>
    <d v="2025-02-17T00:00:00"/>
    <x v="35"/>
    <n v="180"/>
    <n v="0"/>
    <n v="0"/>
    <n v="0"/>
    <n v="180"/>
    <s v="Dinheiro"/>
    <x v="0"/>
  </r>
  <r>
    <s v="00355"/>
    <x v="83"/>
    <x v="41"/>
    <s v="02/2025"/>
    <d v="2025-02-17T00:00:00"/>
    <x v="35"/>
    <n v="250"/>
    <n v="0"/>
    <n v="0"/>
    <n v="0"/>
    <n v="250"/>
    <s v="Dinheiro"/>
    <x v="0"/>
  </r>
  <r>
    <s v="00410"/>
    <x v="176"/>
    <x v="14"/>
    <s v="02/2025"/>
    <d v="2025-02-17T00:00:00"/>
    <x v="35"/>
    <n v="30"/>
    <n v="0"/>
    <n v="0"/>
    <n v="0"/>
    <n v="30"/>
    <s v="Dinheiro"/>
    <x v="0"/>
  </r>
  <r>
    <s v="00376"/>
    <x v="113"/>
    <x v="8"/>
    <s v="01/2025"/>
    <d v="2025-01-17T00:00:00"/>
    <x v="35"/>
    <n v="152"/>
    <n v="0"/>
    <n v="0"/>
    <n v="0"/>
    <n v="152"/>
    <s v="Dinheiro"/>
    <x v="0"/>
  </r>
  <r>
    <s v="00362"/>
    <x v="7"/>
    <x v="54"/>
    <s v="02/2025"/>
    <d v="2025-02-17T00:00:00"/>
    <x v="35"/>
    <n v="222.02"/>
    <n v="0"/>
    <n v="0"/>
    <n v="0"/>
    <n v="222.02"/>
    <s v="Dinheiro"/>
    <x v="0"/>
  </r>
  <r>
    <s v="00102"/>
    <x v="84"/>
    <x v="36"/>
    <s v="02/2025"/>
    <d v="2025-02-17T00:00:00"/>
    <x v="35"/>
    <n v="1722.03"/>
    <n v="0"/>
    <n v="0"/>
    <n v="0"/>
    <n v="1722.03"/>
    <s v="Dinheiro"/>
    <x v="0"/>
  </r>
  <r>
    <s v="00103"/>
    <x v="97"/>
    <x v="17"/>
    <s v="02/2025"/>
    <d v="2025-02-17T00:00:00"/>
    <x v="35"/>
    <n v="132"/>
    <n v="0"/>
    <n v="0"/>
    <n v="0"/>
    <n v="132"/>
    <s v="Dinheiro"/>
    <x v="0"/>
  </r>
  <r>
    <s v="00282"/>
    <x v="11"/>
    <x v="17"/>
    <s v="02/2025"/>
    <d v="2025-02-17T00:00:00"/>
    <x v="35"/>
    <n v="8204.7100000000009"/>
    <n v="0"/>
    <n v="0"/>
    <n v="0"/>
    <n v="8204.7100000000009"/>
    <s v="Dinheiro"/>
    <x v="0"/>
  </r>
  <r>
    <s v="00381"/>
    <x v="99"/>
    <x v="16"/>
    <s v="02/2025"/>
    <d v="2025-02-17T00:00:00"/>
    <x v="35"/>
    <n v="390"/>
    <n v="0"/>
    <n v="0"/>
    <n v="0"/>
    <n v="390"/>
    <s v="Dinheiro"/>
    <x v="0"/>
  </r>
  <r>
    <s v="00109"/>
    <x v="90"/>
    <x v="35"/>
    <s v="02/2025"/>
    <d v="2025-02-17T00:00:00"/>
    <x v="35"/>
    <n v="217.76"/>
    <n v="0"/>
    <n v="0"/>
    <n v="0"/>
    <n v="217.76"/>
    <s v="Dinheiro"/>
    <x v="0"/>
  </r>
  <r>
    <s v="00272"/>
    <x v="17"/>
    <x v="8"/>
    <s v="02/2025"/>
    <d v="2025-02-18T00:00:00"/>
    <x v="36"/>
    <n v="20"/>
    <n v="0"/>
    <n v="0"/>
    <n v="0"/>
    <n v="20"/>
    <s v="Dinheiro"/>
    <x v="0"/>
  </r>
  <r>
    <s v="00111"/>
    <x v="39"/>
    <x v="38"/>
    <s v="02/2025"/>
    <d v="2025-02-18T00:00:00"/>
    <x v="36"/>
    <n v="100"/>
    <n v="0"/>
    <n v="0"/>
    <n v="0"/>
    <n v="100"/>
    <s v="Dinheiro"/>
    <x v="0"/>
  </r>
  <r>
    <s v="00072"/>
    <x v="118"/>
    <x v="28"/>
    <s v="02/2025"/>
    <d v="2025-02-18T00:00:00"/>
    <x v="36"/>
    <n v="99"/>
    <n v="0"/>
    <n v="0"/>
    <n v="0"/>
    <n v="99"/>
    <s v="Dinheiro"/>
    <x v="0"/>
  </r>
  <r>
    <s v="00307"/>
    <x v="180"/>
    <x v="20"/>
    <s v="02/2025"/>
    <d v="2025-02-18T00:00:00"/>
    <x v="36"/>
    <n v="200"/>
    <n v="0"/>
    <n v="0"/>
    <n v="0"/>
    <n v="200"/>
    <s v="Dinheiro"/>
    <x v="0"/>
  </r>
  <r>
    <s v="00081"/>
    <x v="178"/>
    <x v="19"/>
    <s v="02/2025"/>
    <d v="2025-02-18T00:00:00"/>
    <x v="36"/>
    <n v="2328.0500000000002"/>
    <n v="0"/>
    <n v="0"/>
    <n v="0"/>
    <n v="2328.0500000000002"/>
    <s v="Dinheiro"/>
    <x v="0"/>
  </r>
  <r>
    <s v="00316"/>
    <x v="17"/>
    <x v="8"/>
    <s v="02/2025"/>
    <d v="2025-02-18T00:00:00"/>
    <x v="36"/>
    <n v="50"/>
    <n v="0"/>
    <n v="0"/>
    <n v="0"/>
    <n v="50"/>
    <s v="Dinheiro"/>
    <x v="0"/>
  </r>
  <r>
    <s v="00160"/>
    <x v="31"/>
    <x v="1"/>
    <s v="02/2025"/>
    <d v="2025-02-18T00:00:00"/>
    <x v="36"/>
    <n v="25"/>
    <n v="0"/>
    <n v="0"/>
    <n v="0"/>
    <n v="25"/>
    <s v="Dinheiro"/>
    <x v="0"/>
  </r>
  <r>
    <s v="00362"/>
    <x v="7"/>
    <x v="3"/>
    <s v="02/2025"/>
    <d v="2025-02-18T00:00:00"/>
    <x v="36"/>
    <n v="4.08"/>
    <n v="0"/>
    <n v="0"/>
    <n v="0"/>
    <n v="4.08"/>
    <s v="Dinheiro"/>
    <x v="0"/>
  </r>
  <r>
    <s v="00193"/>
    <x v="3"/>
    <x v="0"/>
    <s v="02/2025"/>
    <d v="2025-02-20T00:00:00"/>
    <x v="37"/>
    <n v="1203.4000000000001"/>
    <n v="0"/>
    <n v="0"/>
    <n v="0"/>
    <n v="1203.4000000000001"/>
    <s v="Dinheiro"/>
    <x v="0"/>
  </r>
  <r>
    <s v="00193"/>
    <x v="3"/>
    <x v="0"/>
    <s v="02/2025"/>
    <d v="2025-02-20T00:00:00"/>
    <x v="37"/>
    <n v="1580.4"/>
    <n v="0"/>
    <n v="0"/>
    <n v="0"/>
    <n v="1580.4"/>
    <s v="Dinheiro"/>
    <x v="0"/>
  </r>
  <r>
    <s v="00040"/>
    <x v="105"/>
    <x v="40"/>
    <s v="02/2025"/>
    <d v="2025-02-20T00:00:00"/>
    <x v="37"/>
    <n v="18069.54"/>
    <n v="0"/>
    <n v="0"/>
    <n v="0"/>
    <n v="18069.54"/>
    <s v="Dinheiro"/>
    <x v="0"/>
  </r>
  <r>
    <s v="00065"/>
    <x v="92"/>
    <x v="36"/>
    <s v="02/2025"/>
    <d v="2025-02-20T00:00:00"/>
    <x v="37"/>
    <n v="7068.92"/>
    <n v="0"/>
    <n v="0"/>
    <n v="0"/>
    <n v="7068.92"/>
    <s v="Dinheiro"/>
    <x v="0"/>
  </r>
  <r>
    <s v="00037"/>
    <x v="0"/>
    <x v="0"/>
    <s v="02/2025"/>
    <d v="2025-02-20T00:00:00"/>
    <x v="37"/>
    <n v="996.6"/>
    <n v="0"/>
    <n v="0"/>
    <n v="0"/>
    <n v="996.6"/>
    <s v="Dinheiro"/>
    <x v="0"/>
  </r>
  <r>
    <s v="00037"/>
    <x v="0"/>
    <x v="0"/>
    <s v="02/2025"/>
    <d v="2025-02-20T00:00:00"/>
    <x v="37"/>
    <n v="1419.6000000000001"/>
    <n v="0"/>
    <n v="0"/>
    <n v="0"/>
    <n v="1419.6000000000001"/>
    <s v="Dinheiro"/>
    <x v="0"/>
  </r>
  <r>
    <s v="00025"/>
    <x v="51"/>
    <x v="2"/>
    <s v="02/2025"/>
    <d v="2025-02-20T00:00:00"/>
    <x v="37"/>
    <n v="638.9"/>
    <n v="0"/>
    <n v="0"/>
    <n v="0"/>
    <n v="638.9"/>
    <s v="Dinheiro"/>
    <x v="0"/>
  </r>
  <r>
    <s v="00022"/>
    <x v="105"/>
    <x v="17"/>
    <s v="02/2025"/>
    <d v="2025-02-20T00:00:00"/>
    <x v="37"/>
    <n v="3097.2000000000003"/>
    <n v="0"/>
    <n v="0"/>
    <n v="0"/>
    <n v="3097.2000000000003"/>
    <s v="Dinheiro"/>
    <x v="0"/>
  </r>
  <r>
    <s v="00006"/>
    <x v="137"/>
    <x v="53"/>
    <s v="02/2025"/>
    <d v="2025-02-20T00:00:00"/>
    <x v="37"/>
    <n v="1528.05"/>
    <n v="0"/>
    <n v="0"/>
    <n v="0"/>
    <n v="1528.05"/>
    <s v="Dinheiro"/>
    <x v="0"/>
  </r>
  <r>
    <s v="00011"/>
    <x v="45"/>
    <x v="16"/>
    <s v="02/2025"/>
    <d v="2025-02-20T00:00:00"/>
    <x v="37"/>
    <n v="941.56000000000006"/>
    <n v="0"/>
    <n v="0"/>
    <n v="0"/>
    <n v="941.56000000000006"/>
    <s v="Dinheiro"/>
    <x v="0"/>
  </r>
  <r>
    <s v="00011"/>
    <x v="45"/>
    <x v="16"/>
    <s v="02/2025"/>
    <d v="2025-02-20T00:00:00"/>
    <x v="37"/>
    <n v="791.23"/>
    <n v="0"/>
    <n v="0"/>
    <n v="0"/>
    <n v="791.23"/>
    <s v="Dinheiro"/>
    <x v="0"/>
  </r>
  <r>
    <s v="00182"/>
    <x v="142"/>
    <x v="36"/>
    <s v="02/2025"/>
    <d v="2025-02-20T00:00:00"/>
    <x v="37"/>
    <n v="886.12"/>
    <n v="0"/>
    <n v="0"/>
    <n v="0"/>
    <n v="886.12"/>
    <s v="Dinheiro"/>
    <x v="0"/>
  </r>
  <r>
    <s v="00182"/>
    <x v="142"/>
    <x v="36"/>
    <s v="02/2025"/>
    <d v="2025-02-20T00:00:00"/>
    <x v="37"/>
    <n v="714.15"/>
    <n v="0"/>
    <n v="0"/>
    <n v="0"/>
    <n v="714.15"/>
    <s v="Dinheiro"/>
    <x v="0"/>
  </r>
  <r>
    <s v="00018"/>
    <x v="95"/>
    <x v="37"/>
    <s v="02/2025"/>
    <d v="2025-02-20T00:00:00"/>
    <x v="37"/>
    <n v="757"/>
    <n v="0"/>
    <n v="0"/>
    <n v="0"/>
    <n v="757"/>
    <s v="Dinheiro"/>
    <x v="0"/>
  </r>
  <r>
    <s v="00160"/>
    <x v="31"/>
    <x v="17"/>
    <s v="02/2025"/>
    <d v="2025-02-20T00:00:00"/>
    <x v="37"/>
    <n v="120"/>
    <n v="0"/>
    <n v="0"/>
    <n v="0"/>
    <n v="120"/>
    <s v="Dinheiro"/>
    <x v="0"/>
  </r>
  <r>
    <s v="00091"/>
    <x v="46"/>
    <x v="28"/>
    <s v="02/2025"/>
    <d v="2025-02-20T00:00:00"/>
    <x v="37"/>
    <n v="100"/>
    <n v="0"/>
    <n v="0"/>
    <n v="0"/>
    <n v="100"/>
    <s v="Dinheiro"/>
    <x v="0"/>
  </r>
  <r>
    <s v="00394"/>
    <x v="141"/>
    <x v="32"/>
    <s v="02/2025"/>
    <d v="2025-02-21T00:00:00"/>
    <x v="38"/>
    <n v="95"/>
    <n v="0"/>
    <n v="0"/>
    <n v="0"/>
    <n v="95"/>
    <s v="Dinheiro"/>
    <x v="0"/>
  </r>
  <r>
    <s v="00396"/>
    <x v="154"/>
    <x v="32"/>
    <s v="02/2025"/>
    <d v="2025-02-21T00:00:00"/>
    <x v="38"/>
    <n v="95"/>
    <n v="0"/>
    <n v="0"/>
    <n v="0"/>
    <n v="95"/>
    <s v="Dinheiro"/>
    <x v="0"/>
  </r>
  <r>
    <s v="00411"/>
    <x v="181"/>
    <x v="14"/>
    <s v="02/2025"/>
    <d v="2025-02-21T00:00:00"/>
    <x v="38"/>
    <n v="20.400000000000002"/>
    <n v="0"/>
    <n v="0"/>
    <n v="0"/>
    <n v="20.400000000000002"/>
    <s v="Dinheiro"/>
    <x v="0"/>
  </r>
  <r>
    <s v="00411"/>
    <x v="181"/>
    <x v="14"/>
    <s v="02/2025"/>
    <d v="2025-02-21T00:00:00"/>
    <x v="38"/>
    <n v="21"/>
    <n v="0"/>
    <n v="0"/>
    <n v="0"/>
    <n v="21"/>
    <s v="Dinheiro"/>
    <x v="0"/>
  </r>
  <r>
    <s v="00414"/>
    <x v="112"/>
    <x v="45"/>
    <s v="02/2025"/>
    <d v="2025-02-21T00:00:00"/>
    <x v="38"/>
    <n v="79.8"/>
    <n v="0"/>
    <n v="0"/>
    <n v="0"/>
    <n v="79.8"/>
    <s v="Dinheiro"/>
    <x v="0"/>
  </r>
  <r>
    <s v="00027"/>
    <x v="58"/>
    <x v="45"/>
    <s v="02/2025"/>
    <d v="2025-02-21T00:00:00"/>
    <x v="38"/>
    <n v="30.27"/>
    <n v="0"/>
    <n v="0"/>
    <n v="0"/>
    <n v="30.27"/>
    <s v="Dinheiro"/>
    <x v="0"/>
  </r>
  <r>
    <s v="00362"/>
    <x v="7"/>
    <x v="3"/>
    <s v="02/2025"/>
    <d v="2025-02-21T00:00:00"/>
    <x v="38"/>
    <n v="2.04"/>
    <n v="0"/>
    <n v="0"/>
    <n v="0"/>
    <n v="2.04"/>
    <s v="Dinheiro"/>
    <x v="0"/>
  </r>
  <r>
    <s v="00389"/>
    <x v="123"/>
    <x v="1"/>
    <s v="02/2025"/>
    <d v="2025-02-22T00:00:00"/>
    <x v="39"/>
    <n v="20.400000000000002"/>
    <n v="0"/>
    <n v="0"/>
    <n v="0"/>
    <n v="20.400000000000002"/>
    <s v="Dinheiro"/>
    <x v="0"/>
  </r>
  <r>
    <s v="00388"/>
    <x v="122"/>
    <x v="1"/>
    <s v="02/2025"/>
    <d v="2025-02-22T00:00:00"/>
    <x v="39"/>
    <n v="20.400000000000002"/>
    <n v="0"/>
    <n v="0"/>
    <n v="0"/>
    <n v="20.400000000000002"/>
    <s v="Dinheiro"/>
    <x v="0"/>
  </r>
  <r>
    <s v="00412"/>
    <x v="182"/>
    <x v="1"/>
    <s v="02/2025"/>
    <d v="2025-02-22T00:00:00"/>
    <x v="39"/>
    <n v="20.400000000000002"/>
    <n v="0"/>
    <n v="0"/>
    <n v="0"/>
    <n v="20.400000000000002"/>
    <s v="Dinheiro"/>
    <x v="0"/>
  </r>
  <r>
    <s v="00413"/>
    <x v="183"/>
    <x v="1"/>
    <s v="02/2025"/>
    <d v="2025-02-22T00:00:00"/>
    <x v="39"/>
    <n v="20.400000000000002"/>
    <n v="0"/>
    <n v="0"/>
    <n v="0"/>
    <n v="20.400000000000002"/>
    <s v="Dinheiro"/>
    <x v="0"/>
  </r>
  <r>
    <s v="00288"/>
    <x v="121"/>
    <x v="8"/>
    <s v="02/2025"/>
    <d v="2025-02-24T00:00:00"/>
    <x v="40"/>
    <n v="290"/>
    <n v="0"/>
    <n v="0"/>
    <n v="0"/>
    <n v="290"/>
    <s v="Dinheiro"/>
    <x v="0"/>
  </r>
  <r>
    <s v="00287"/>
    <x v="15"/>
    <x v="8"/>
    <s v="02/2025"/>
    <d v="2025-02-24T00:00:00"/>
    <x v="40"/>
    <n v="285"/>
    <n v="0"/>
    <n v="0"/>
    <n v="0"/>
    <n v="285"/>
    <s v="Dinheiro"/>
    <x v="0"/>
  </r>
  <r>
    <s v="00092"/>
    <x v="18"/>
    <x v="8"/>
    <s v="02/2025"/>
    <d v="2025-02-24T00:00:00"/>
    <x v="40"/>
    <n v="244"/>
    <n v="0"/>
    <n v="0"/>
    <n v="0"/>
    <n v="244"/>
    <s v="Dinheiro"/>
    <x v="0"/>
  </r>
  <r>
    <s v="00280"/>
    <x v="144"/>
    <x v="8"/>
    <s v="02/2025"/>
    <d v="2025-02-24T00:00:00"/>
    <x v="40"/>
    <n v="6"/>
    <n v="0"/>
    <n v="0"/>
    <n v="0"/>
    <n v="6"/>
    <s v="Dinheiro"/>
    <x v="0"/>
  </r>
  <r>
    <s v="00212"/>
    <x v="114"/>
    <x v="17"/>
    <s v="02/2025"/>
    <d v="2025-02-24T00:00:00"/>
    <x v="40"/>
    <n v="3187.92"/>
    <n v="0"/>
    <n v="0"/>
    <n v="0"/>
    <n v="3187.92"/>
    <s v="Dinheiro"/>
    <x v="0"/>
  </r>
  <r>
    <s v="00213"/>
    <x v="110"/>
    <x v="34"/>
    <s v="02/2025"/>
    <d v="2025-02-24T00:00:00"/>
    <x v="40"/>
    <n v="2000"/>
    <n v="0"/>
    <n v="0"/>
    <n v="0"/>
    <n v="2000"/>
    <s v="Dinheiro"/>
    <x v="0"/>
  </r>
  <r>
    <s v="00067"/>
    <x v="132"/>
    <x v="51"/>
    <s v="02/2025"/>
    <d v="2025-02-24T00:00:00"/>
    <x v="40"/>
    <n v="370"/>
    <n v="0"/>
    <n v="0"/>
    <n v="0"/>
    <n v="370"/>
    <s v="Dinheiro"/>
    <x v="0"/>
  </r>
  <r>
    <s v="00362"/>
    <x v="7"/>
    <x v="3"/>
    <s v="02/2025"/>
    <d v="2025-02-24T00:00:00"/>
    <x v="40"/>
    <n v="2.04"/>
    <n v="0"/>
    <n v="0"/>
    <n v="0"/>
    <n v="2.04"/>
    <s v="Dinheiro"/>
    <x v="0"/>
  </r>
  <r>
    <s v="00416"/>
    <x v="184"/>
    <x v="14"/>
    <s v="02/2025"/>
    <d v="2025-02-24T00:00:00"/>
    <x v="40"/>
    <n v="30"/>
    <n v="0"/>
    <n v="0"/>
    <n v="0"/>
    <n v="30"/>
    <s v="Dinheiro"/>
    <x v="0"/>
  </r>
  <r>
    <s v="00257"/>
    <x v="9"/>
    <x v="8"/>
    <s v="02/2025"/>
    <d v="2025-02-24T00:00:00"/>
    <x v="40"/>
    <n v="34"/>
    <n v="0"/>
    <n v="0"/>
    <n v="0"/>
    <n v="34"/>
    <s v="Dinheiro"/>
    <x v="0"/>
  </r>
  <r>
    <s v="00133"/>
    <x v="24"/>
    <x v="8"/>
    <s v="02/2025"/>
    <d v="2025-02-24T00:00:00"/>
    <x v="40"/>
    <n v="115"/>
    <n v="0"/>
    <n v="0"/>
    <n v="0"/>
    <n v="115"/>
    <s v="Dinheiro"/>
    <x v="0"/>
  </r>
  <r>
    <s v="00058"/>
    <x v="88"/>
    <x v="9"/>
    <s v="02/2025"/>
    <d v="2025-02-24T00:00:00"/>
    <x v="40"/>
    <n v="72.44"/>
    <n v="0"/>
    <n v="0"/>
    <n v="0"/>
    <n v="72.44"/>
    <s v="Dinheiro"/>
    <x v="0"/>
  </r>
  <r>
    <s v="00356"/>
    <x v="67"/>
    <x v="14"/>
    <s v="02/2025"/>
    <d v="2025-02-24T00:00:00"/>
    <x v="40"/>
    <n v="21"/>
    <n v="0"/>
    <n v="0"/>
    <n v="0"/>
    <n v="21"/>
    <s v="Dinheiro"/>
    <x v="0"/>
  </r>
  <r>
    <s v="00016"/>
    <x v="185"/>
    <x v="12"/>
    <s v="02/2025"/>
    <d v="2025-02-24T00:00:00"/>
    <x v="40"/>
    <n v="40.9"/>
    <n v="0"/>
    <n v="0"/>
    <n v="0"/>
    <n v="40.9"/>
    <s v="Dinheiro"/>
    <x v="0"/>
  </r>
  <r>
    <s v="00232"/>
    <x v="186"/>
    <x v="19"/>
    <s v="02/2025"/>
    <d v="2025-02-25T00:00:00"/>
    <x v="41"/>
    <n v="637.5"/>
    <n v="0"/>
    <n v="0"/>
    <n v="0"/>
    <n v="637.5"/>
    <s v="Dinheiro"/>
    <x v="0"/>
  </r>
  <r>
    <s v="00016"/>
    <x v="187"/>
    <x v="50"/>
    <s v="02/2025"/>
    <d v="2025-02-25T00:00:00"/>
    <x v="41"/>
    <n v="33.47"/>
    <n v="0"/>
    <n v="0"/>
    <n v="0"/>
    <n v="33.47"/>
    <s v="Dinheiro"/>
    <x v="0"/>
  </r>
  <r>
    <s v="00411"/>
    <x v="181"/>
    <x v="32"/>
    <s v="02/2025"/>
    <d v="2025-02-25T00:00:00"/>
    <x v="41"/>
    <n v="18"/>
    <n v="0"/>
    <n v="0"/>
    <n v="0"/>
    <n v="18"/>
    <s v="Dinheiro"/>
    <x v="0"/>
  </r>
  <r>
    <s v="00416"/>
    <x v="184"/>
    <x v="14"/>
    <s v="02/2025"/>
    <d v="2025-02-25T00:00:00"/>
    <x v="41"/>
    <n v="30"/>
    <n v="0"/>
    <n v="0"/>
    <n v="0"/>
    <n v="30"/>
    <s v="Dinheiro"/>
    <x v="0"/>
  </r>
  <r>
    <s v="00082"/>
    <x v="100"/>
    <x v="57"/>
    <s v="02/2025"/>
    <d v="2025-02-25T00:00:00"/>
    <x v="41"/>
    <n v="18.05"/>
    <n v="0"/>
    <n v="0"/>
    <n v="0"/>
    <n v="18.05"/>
    <s v="Dinheiro"/>
    <x v="0"/>
  </r>
  <r>
    <s v="00411"/>
    <x v="181"/>
    <x v="1"/>
    <s v="02/2025"/>
    <d v="2025-02-25T00:00:00"/>
    <x v="41"/>
    <n v="24"/>
    <n v="0"/>
    <n v="0"/>
    <n v="0"/>
    <n v="24"/>
    <s v="Dinheiro"/>
    <x v="0"/>
  </r>
  <r>
    <s v="00362"/>
    <x v="7"/>
    <x v="3"/>
    <s v="02/2025"/>
    <d v="2025-02-25T00:00:00"/>
    <x v="41"/>
    <n v="6.12"/>
    <n v="0"/>
    <n v="0"/>
    <n v="0"/>
    <n v="6.12"/>
    <s v="Dinheiro"/>
    <x v="0"/>
  </r>
  <r>
    <s v="00362"/>
    <x v="7"/>
    <x v="34"/>
    <s v="02/2025"/>
    <d v="2025-02-26T00:00:00"/>
    <x v="42"/>
    <n v="1313.4"/>
    <n v="0"/>
    <n v="0"/>
    <n v="0"/>
    <n v="1313.4"/>
    <s v="Dinheiro"/>
    <x v="0"/>
  </r>
  <r>
    <s v="00362"/>
    <x v="7"/>
    <x v="48"/>
    <s v="02/2025"/>
    <d v="2025-02-26T00:00:00"/>
    <x v="42"/>
    <n v="7803.3"/>
    <n v="0"/>
    <n v="0"/>
    <n v="0"/>
    <n v="7803.3"/>
    <s v="Dinheiro"/>
    <x v="0"/>
  </r>
  <r>
    <s v="00362"/>
    <x v="7"/>
    <x v="48"/>
    <s v="02/2025"/>
    <d v="2025-02-26T00:00:00"/>
    <x v="42"/>
    <n v="13296.5"/>
    <n v="0"/>
    <n v="0"/>
    <n v="0"/>
    <n v="13296.5"/>
    <s v="Banco Investimentos"/>
    <x v="0"/>
  </r>
  <r>
    <s v="00278"/>
    <x v="188"/>
    <x v="19"/>
    <s v="02/2025"/>
    <d v="2025-02-26T00:00:00"/>
    <x v="42"/>
    <n v="52"/>
    <n v="0"/>
    <n v="0"/>
    <n v="0"/>
    <n v="52"/>
    <s v="Dinheiro"/>
    <x v="0"/>
  </r>
  <r>
    <s v="00417"/>
    <x v="189"/>
    <x v="17"/>
    <s v="02/2025"/>
    <d v="2025-02-26T00:00:00"/>
    <x v="42"/>
    <n v="50"/>
    <n v="0"/>
    <n v="0"/>
    <n v="0"/>
    <n v="50"/>
    <s v="Dinheiro"/>
    <x v="0"/>
  </r>
  <r>
    <s v="00418"/>
    <x v="190"/>
    <x v="17"/>
    <s v="02/2025"/>
    <d v="2025-02-26T00:00:00"/>
    <x v="42"/>
    <n v="50"/>
    <n v="0"/>
    <n v="0"/>
    <n v="0"/>
    <n v="50"/>
    <s v="Dinheiro"/>
    <x v="0"/>
  </r>
  <r>
    <s v="00416"/>
    <x v="184"/>
    <x v="14"/>
    <s v="02/2025"/>
    <d v="2025-02-26T00:00:00"/>
    <x v="42"/>
    <n v="30"/>
    <n v="0"/>
    <n v="0"/>
    <n v="0"/>
    <n v="30"/>
    <s v="Dinheiro"/>
    <x v="0"/>
  </r>
  <r>
    <s v="00423"/>
    <x v="191"/>
    <x v="28"/>
    <s v="02/2025"/>
    <d v="2025-02-26T00:00:00"/>
    <x v="42"/>
    <n v="100"/>
    <n v="0"/>
    <n v="0"/>
    <n v="0"/>
    <n v="100"/>
    <s v="Dinheiro"/>
    <x v="0"/>
  </r>
  <r>
    <s v="00424"/>
    <x v="192"/>
    <x v="28"/>
    <s v="02/2025"/>
    <d v="2025-02-26T00:00:00"/>
    <x v="42"/>
    <n v="100"/>
    <n v="0"/>
    <n v="0"/>
    <n v="0"/>
    <n v="100"/>
    <s v="Dinheiro"/>
    <x v="0"/>
  </r>
  <r>
    <s v="00362"/>
    <x v="7"/>
    <x v="34"/>
    <s v="02/2025"/>
    <d v="2025-02-26T00:00:00"/>
    <x v="42"/>
    <n v="1738.99"/>
    <n v="0"/>
    <n v="0"/>
    <n v="0"/>
    <n v="1738.99"/>
    <s v="Dinheiro"/>
    <x v="0"/>
  </r>
  <r>
    <s v="00072"/>
    <x v="105"/>
    <x v="40"/>
    <s v="02/2025"/>
    <d v="2025-02-27T00:00:00"/>
    <x v="43"/>
    <n v="652.34"/>
    <n v="0"/>
    <n v="0"/>
    <n v="0"/>
    <n v="652.34"/>
    <s v="Dinheiro"/>
    <x v="0"/>
  </r>
  <r>
    <s v="00416"/>
    <x v="184"/>
    <x v="14"/>
    <s v="02/2025"/>
    <d v="2025-02-27T00:00:00"/>
    <x v="43"/>
    <n v="30"/>
    <n v="0"/>
    <n v="0"/>
    <n v="0"/>
    <n v="30"/>
    <s v="Dinheiro"/>
    <x v="0"/>
  </r>
  <r>
    <s v="00419"/>
    <x v="193"/>
    <x v="17"/>
    <s v="02/2025"/>
    <d v="2025-02-27T00:00:00"/>
    <x v="43"/>
    <n v="50"/>
    <n v="0"/>
    <n v="0"/>
    <n v="0"/>
    <n v="50"/>
    <s v="Dinheiro"/>
    <x v="0"/>
  </r>
  <r>
    <s v="00394"/>
    <x v="141"/>
    <x v="14"/>
    <s v="02/2025"/>
    <d v="2025-02-27T00:00:00"/>
    <x v="43"/>
    <n v="30"/>
    <n v="0"/>
    <n v="0"/>
    <n v="0"/>
    <n v="30"/>
    <s v="Dinheiro"/>
    <x v="0"/>
  </r>
  <r>
    <s v="00362"/>
    <x v="7"/>
    <x v="3"/>
    <s v="02/2025"/>
    <d v="2025-02-27T00:00:00"/>
    <x v="43"/>
    <n v="2.04"/>
    <n v="0"/>
    <n v="0"/>
    <n v="0"/>
    <n v="2.04"/>
    <s v="Dinheiro"/>
    <x v="0"/>
  </r>
  <r>
    <s v="00011"/>
    <x v="131"/>
    <x v="1"/>
    <s v="03/2025"/>
    <d v="2025-02-28T00:00:00"/>
    <x v="44"/>
    <n v="7243.72"/>
    <n v="0"/>
    <n v="0"/>
    <n v="0"/>
    <n v="7243.72"/>
    <s v="Dinheiro"/>
    <x v="0"/>
  </r>
  <r>
    <s v="00111"/>
    <x v="39"/>
    <x v="1"/>
    <s v="02/2025"/>
    <d v="2025-02-28T00:00:00"/>
    <x v="44"/>
    <n v="385.2"/>
    <n v="0"/>
    <n v="0"/>
    <n v="0"/>
    <n v="385.2"/>
    <s v="Dinheiro"/>
    <x v="0"/>
  </r>
  <r>
    <s v="00275"/>
    <x v="42"/>
    <x v="1"/>
    <s v="02/2025"/>
    <d v="2025-02-28T00:00:00"/>
    <x v="44"/>
    <n v="469.3"/>
    <n v="0"/>
    <n v="0"/>
    <n v="0"/>
    <n v="469.3"/>
    <s v="Dinheiro"/>
    <x v="0"/>
  </r>
  <r>
    <s v="00011"/>
    <x v="131"/>
    <x v="1"/>
    <s v="02/2025"/>
    <d v="2025-02-28T00:00:00"/>
    <x v="44"/>
    <n v="1514.3"/>
    <n v="0"/>
    <n v="0"/>
    <n v="0"/>
    <n v="1514.3"/>
    <s v="Dinheiro"/>
    <x v="0"/>
  </r>
  <r>
    <s v="00416"/>
    <x v="184"/>
    <x v="14"/>
    <s v="02/2025"/>
    <d v="2025-02-28T00:00:00"/>
    <x v="44"/>
    <n v="30"/>
    <n v="0"/>
    <n v="0"/>
    <n v="0"/>
    <n v="30"/>
    <s v="Dinheiro"/>
    <x v="0"/>
  </r>
  <r>
    <s v="00420"/>
    <x v="194"/>
    <x v="28"/>
    <s v="02/2025"/>
    <d v="2025-02-28T00:00:00"/>
    <x v="44"/>
    <n v="69"/>
    <n v="0"/>
    <n v="0"/>
    <n v="0"/>
    <n v="69"/>
    <s v="Dinheiro"/>
    <x v="0"/>
  </r>
  <r>
    <s v="00393"/>
    <x v="140"/>
    <x v="12"/>
    <s v="02/2025"/>
    <d v="2025-02-28T00:00:00"/>
    <x v="44"/>
    <n v="30"/>
    <n v="0"/>
    <n v="0"/>
    <n v="0"/>
    <n v="30"/>
    <s v="Dinheiro"/>
    <x v="0"/>
  </r>
  <r>
    <s v="00058"/>
    <x v="88"/>
    <x v="9"/>
    <s v="02/2025"/>
    <d v="2025-02-28T00:00:00"/>
    <x v="44"/>
    <n v="4.99"/>
    <n v="0"/>
    <n v="0"/>
    <n v="0"/>
    <n v="4.99"/>
    <s v="Dinheiro"/>
    <x v="0"/>
  </r>
  <r>
    <s v="00393"/>
    <x v="140"/>
    <x v="60"/>
    <s v="02/2025"/>
    <d v="2025-02-28T00:00:00"/>
    <x v="44"/>
    <n v="35"/>
    <n v="0"/>
    <n v="0"/>
    <n v="0"/>
    <n v="35"/>
    <s v="Dinheiro"/>
    <x v="0"/>
  </r>
  <r>
    <s v="00028"/>
    <x v="108"/>
    <x v="45"/>
    <s v="02/2025"/>
    <d v="2025-02-28T00:00:00"/>
    <x v="44"/>
    <n v="51"/>
    <n v="0"/>
    <n v="0"/>
    <n v="0"/>
    <n v="51"/>
    <s v="Dinheiro"/>
    <x v="0"/>
  </r>
  <r>
    <s v="00221"/>
    <x v="195"/>
    <x v="45"/>
    <s v="02/2025"/>
    <d v="2025-02-28T00:00:00"/>
    <x v="44"/>
    <n v="15.99"/>
    <n v="0"/>
    <n v="0"/>
    <n v="0"/>
    <n v="15.99"/>
    <s v="Dinheiro"/>
    <x v="0"/>
  </r>
  <r>
    <s v="00411"/>
    <x v="181"/>
    <x v="1"/>
    <s v="02/2025"/>
    <d v="2025-02-28T00:00:00"/>
    <x v="44"/>
    <n v="50"/>
    <n v="0"/>
    <n v="0"/>
    <n v="0"/>
    <n v="50"/>
    <s v="Dinheiro"/>
    <x v="0"/>
  </r>
  <r>
    <s v="00410"/>
    <x v="176"/>
    <x v="15"/>
    <s v="02/2025"/>
    <d v="2025-02-28T00:00:00"/>
    <x v="44"/>
    <n v="125"/>
    <n v="0"/>
    <n v="0"/>
    <n v="0"/>
    <n v="125"/>
    <s v="Dinheiro"/>
    <x v="0"/>
  </r>
  <r>
    <s v="00362"/>
    <x v="7"/>
    <x v="3"/>
    <s v="02/2025"/>
    <d v="2025-02-28T00:00:00"/>
    <x v="44"/>
    <n v="4.08"/>
    <n v="0"/>
    <n v="0"/>
    <n v="0"/>
    <n v="4.08"/>
    <s v="Dinheiro"/>
    <x v="0"/>
  </r>
  <r>
    <s v="00362"/>
    <x v="7"/>
    <x v="54"/>
    <s v="03/2025"/>
    <d v="2025-03-05T00:00:00"/>
    <x v="45"/>
    <n v="135.52000000000001"/>
    <n v="0"/>
    <n v="0"/>
    <n v="0"/>
    <n v="135.52000000000001"/>
    <s v="Dinheiro"/>
    <x v="0"/>
  </r>
  <r>
    <s v="00073"/>
    <x v="196"/>
    <x v="17"/>
    <s v="03/2025"/>
    <d v="2025-03-05T00:00:00"/>
    <x v="45"/>
    <n v="714.80000000000007"/>
    <n v="0"/>
    <n v="0"/>
    <n v="0"/>
    <n v="714.80000000000007"/>
    <s v="Dinheiro"/>
    <x v="0"/>
  </r>
  <r>
    <s v="00043"/>
    <x v="197"/>
    <x v="18"/>
    <s v="03/2025"/>
    <d v="2025-03-05T00:00:00"/>
    <x v="45"/>
    <n v="3240.83"/>
    <n v="0"/>
    <n v="0"/>
    <n v="0"/>
    <n v="3240.83"/>
    <s v="Dinheiro"/>
    <x v="0"/>
  </r>
  <r>
    <s v="00121"/>
    <x v="56"/>
    <x v="26"/>
    <s v="03/2025"/>
    <d v="2025-03-05T00:00:00"/>
    <x v="45"/>
    <n v="1292.3700000000001"/>
    <n v="0"/>
    <n v="0"/>
    <n v="0"/>
    <n v="1292.3700000000001"/>
    <s v="Dinheiro"/>
    <x v="0"/>
  </r>
  <r>
    <s v="00011"/>
    <x v="131"/>
    <x v="32"/>
    <s v="03/2025"/>
    <d v="2025-03-05T00:00:00"/>
    <x v="45"/>
    <n v="5825.42"/>
    <n v="0"/>
    <n v="0"/>
    <n v="0"/>
    <n v="5825.42"/>
    <s v="Dinheiro"/>
    <x v="0"/>
  </r>
  <r>
    <s v="00277"/>
    <x v="47"/>
    <x v="16"/>
    <s v="03/2025"/>
    <d v="2025-03-05T00:00:00"/>
    <x v="45"/>
    <n v="351.25"/>
    <n v="0"/>
    <n v="0"/>
    <n v="0"/>
    <n v="351.25"/>
    <s v="Dinheiro"/>
    <x v="0"/>
  </r>
  <r>
    <s v="00033"/>
    <x v="198"/>
    <x v="1"/>
    <s v="03/2025"/>
    <d v="2025-03-05T00:00:00"/>
    <x v="45"/>
    <n v="240.70000000000002"/>
    <n v="0"/>
    <n v="0"/>
    <n v="0"/>
    <n v="240.70000000000002"/>
    <s v="Dinheiro"/>
    <x v="0"/>
  </r>
  <r>
    <s v="00396"/>
    <x v="154"/>
    <x v="32"/>
    <s v="03/2025"/>
    <d v="2025-03-05T00:00:00"/>
    <x v="45"/>
    <n v="242.5"/>
    <n v="0"/>
    <n v="0"/>
    <n v="0"/>
    <n v="242.5"/>
    <s v="Dinheiro"/>
    <x v="0"/>
  </r>
  <r>
    <s v="00133"/>
    <x v="24"/>
    <x v="32"/>
    <s v="03/2025"/>
    <d v="2025-03-05T00:00:00"/>
    <x v="45"/>
    <n v="242.5"/>
    <n v="0"/>
    <n v="0"/>
    <n v="0"/>
    <n v="242.5"/>
    <s v="Dinheiro"/>
    <x v="0"/>
  </r>
  <r>
    <s v="00133"/>
    <x v="24"/>
    <x v="1"/>
    <s v="03/2025"/>
    <d v="2025-03-05T00:00:00"/>
    <x v="45"/>
    <n v="228"/>
    <n v="0"/>
    <n v="0"/>
    <n v="0"/>
    <n v="228"/>
    <s v="Dinheiro"/>
    <x v="0"/>
  </r>
  <r>
    <s v="00254"/>
    <x v="22"/>
    <x v="15"/>
    <s v="03/2025"/>
    <d v="2025-03-05T00:00:00"/>
    <x v="45"/>
    <n v="1492"/>
    <n v="0"/>
    <n v="0"/>
    <n v="0"/>
    <n v="1492"/>
    <s v="Dinheiro"/>
    <x v="0"/>
  </r>
  <r>
    <s v="00053"/>
    <x v="138"/>
    <x v="0"/>
    <s v="03/2025"/>
    <d v="2025-03-05T00:00:00"/>
    <x v="45"/>
    <n v="1905.75"/>
    <n v="0"/>
    <n v="0"/>
    <n v="0"/>
    <n v="1905.75"/>
    <s v="Dinheiro"/>
    <x v="0"/>
  </r>
  <r>
    <s v="00319"/>
    <x v="27"/>
    <x v="16"/>
    <s v="03/2025"/>
    <d v="2025-03-05T00:00:00"/>
    <x v="45"/>
    <n v="1381.38"/>
    <n v="0"/>
    <n v="0"/>
    <n v="0"/>
    <n v="1381.38"/>
    <s v="Dinheiro"/>
    <x v="0"/>
  </r>
  <r>
    <s v="00429"/>
    <x v="199"/>
    <x v="61"/>
    <s v="03/2025"/>
    <d v="2025-03-05T00:00:00"/>
    <x v="45"/>
    <n v="540"/>
    <n v="0"/>
    <n v="0"/>
    <n v="0"/>
    <n v="540"/>
    <s v="Dinheiro"/>
    <x v="0"/>
  </r>
  <r>
    <s v="00088"/>
    <x v="29"/>
    <x v="62"/>
    <s v="03/2025"/>
    <d v="2025-03-05T00:00:00"/>
    <x v="45"/>
    <n v="252.28"/>
    <n v="0"/>
    <n v="0"/>
    <n v="0"/>
    <n v="252.28"/>
    <s v="Dinheiro"/>
    <x v="0"/>
  </r>
  <r>
    <s v="00154"/>
    <x v="12"/>
    <x v="33"/>
    <s v="03/2025"/>
    <d v="2025-03-05T00:00:00"/>
    <x v="45"/>
    <n v="12000"/>
    <n v="0"/>
    <n v="0"/>
    <n v="0"/>
    <n v="12000"/>
    <s v="Dinheiro"/>
    <x v="0"/>
  </r>
  <r>
    <s v="00260"/>
    <x v="23"/>
    <x v="32"/>
    <s v="03/2025"/>
    <d v="2025-03-05T00:00:00"/>
    <x v="45"/>
    <n v="242.4"/>
    <n v="0"/>
    <n v="0"/>
    <n v="0"/>
    <n v="242.4"/>
    <s v="Dinheiro"/>
    <x v="0"/>
  </r>
  <r>
    <s v="00153"/>
    <x v="21"/>
    <x v="32"/>
    <s v="03/2025"/>
    <d v="2025-03-05T00:00:00"/>
    <x v="45"/>
    <n v="242.4"/>
    <n v="0"/>
    <n v="0"/>
    <n v="0"/>
    <n v="242.4"/>
    <s v="Dinheiro"/>
    <x v="0"/>
  </r>
  <r>
    <s v="00257"/>
    <x v="9"/>
    <x v="32"/>
    <s v="03/2025"/>
    <d v="2025-03-05T00:00:00"/>
    <x v="45"/>
    <n v="242.4"/>
    <n v="0"/>
    <n v="0"/>
    <n v="0"/>
    <n v="242.4"/>
    <s v="Dinheiro"/>
    <x v="0"/>
  </r>
  <r>
    <s v="00289"/>
    <x v="20"/>
    <x v="15"/>
    <s v="03/2024"/>
    <d v="2025-03-05T00:00:00"/>
    <x v="45"/>
    <n v="1622"/>
    <n v="0"/>
    <n v="0"/>
    <n v="0"/>
    <n v="1622"/>
    <s v="Dinheiro"/>
    <x v="0"/>
  </r>
  <r>
    <s v="00136"/>
    <x v="37"/>
    <x v="15"/>
    <s v="03/2025"/>
    <d v="2025-03-05T00:00:00"/>
    <x v="45"/>
    <n v="231"/>
    <n v="0"/>
    <n v="0"/>
    <n v="0"/>
    <n v="231"/>
    <s v="Dinheiro"/>
    <x v="0"/>
  </r>
  <r>
    <s v="00265"/>
    <x v="72"/>
    <x v="29"/>
    <s v="03/2025"/>
    <d v="2025-03-05T00:00:00"/>
    <x v="45"/>
    <n v="2043"/>
    <n v="0"/>
    <n v="0"/>
    <n v="0"/>
    <n v="2043"/>
    <s v="Dinheiro"/>
    <x v="0"/>
  </r>
  <r>
    <s v="00136"/>
    <x v="37"/>
    <x v="32"/>
    <s v="03/2025"/>
    <d v="2025-03-05T00:00:00"/>
    <x v="45"/>
    <n v="242.4"/>
    <n v="0"/>
    <n v="0"/>
    <n v="0"/>
    <n v="242.4"/>
    <s v="Dinheiro"/>
    <x v="0"/>
  </r>
  <r>
    <s v="00134"/>
    <x v="18"/>
    <x v="32"/>
    <s v="04/2025"/>
    <d v="2025-03-05T00:00:00"/>
    <x v="45"/>
    <n v="242.4"/>
    <n v="0"/>
    <n v="0"/>
    <n v="0"/>
    <n v="242.4"/>
    <s v="Dinheiro"/>
    <x v="0"/>
  </r>
  <r>
    <s v="00214"/>
    <x v="30"/>
    <x v="32"/>
    <s v="03/2025"/>
    <d v="2025-03-05T00:00:00"/>
    <x v="45"/>
    <n v="242.4"/>
    <n v="0"/>
    <n v="0"/>
    <n v="0"/>
    <n v="242.4"/>
    <s v="Dinheiro"/>
    <x v="0"/>
  </r>
  <r>
    <s v="00152"/>
    <x v="19"/>
    <x v="32"/>
    <s v="03/2025"/>
    <d v="2025-03-05T00:00:00"/>
    <x v="45"/>
    <n v="242.4"/>
    <n v="0"/>
    <n v="0"/>
    <n v="0"/>
    <n v="242.4"/>
    <s v="Dinheiro"/>
    <x v="0"/>
  </r>
  <r>
    <s v="00394"/>
    <x v="141"/>
    <x v="32"/>
    <s v="03/2025"/>
    <d v="2025-03-05T00:00:00"/>
    <x v="45"/>
    <n v="242.4"/>
    <n v="0"/>
    <n v="0"/>
    <n v="0"/>
    <n v="242.4"/>
    <s v="Dinheiro"/>
    <x v="0"/>
  </r>
  <r>
    <s v="00254"/>
    <x v="22"/>
    <x v="32"/>
    <s v="03/2025"/>
    <d v="2025-03-05T00:00:00"/>
    <x v="45"/>
    <n v="242.4"/>
    <n v="0"/>
    <n v="0"/>
    <n v="0"/>
    <n v="242.4"/>
    <s v="Dinheiro"/>
    <x v="0"/>
  </r>
  <r>
    <s v="00252"/>
    <x v="40"/>
    <x v="32"/>
    <s v="03/2025"/>
    <d v="2025-03-05T00:00:00"/>
    <x v="45"/>
    <n v="242.4"/>
    <n v="0"/>
    <n v="0"/>
    <n v="0"/>
    <n v="242.4"/>
    <s v="Dinheiro"/>
    <x v="0"/>
  </r>
  <r>
    <s v="00151"/>
    <x v="26"/>
    <x v="32"/>
    <s v="03/2025"/>
    <d v="2025-03-05T00:00:00"/>
    <x v="45"/>
    <n v="242.4"/>
    <n v="0"/>
    <n v="0"/>
    <n v="0"/>
    <n v="242.4"/>
    <s v="Dinheiro"/>
    <x v="0"/>
  </r>
  <r>
    <s v="00376"/>
    <x v="113"/>
    <x v="32"/>
    <s v="03/2025"/>
    <d v="2025-03-05T00:00:00"/>
    <x v="45"/>
    <n v="242.4"/>
    <n v="0"/>
    <n v="0"/>
    <n v="0"/>
    <n v="242.4"/>
    <s v="Dinheiro"/>
    <x v="0"/>
  </r>
  <r>
    <s v="00364"/>
    <x v="16"/>
    <x v="32"/>
    <s v="03/2025"/>
    <d v="2025-03-05T00:00:00"/>
    <x v="45"/>
    <n v="242.4"/>
    <n v="0"/>
    <n v="0"/>
    <n v="0"/>
    <n v="242.4"/>
    <s v="Dinheiro"/>
    <x v="0"/>
  </r>
  <r>
    <s v="00368"/>
    <x v="94"/>
    <x v="32"/>
    <s v="03/2025"/>
    <d v="2025-03-05T00:00:00"/>
    <x v="45"/>
    <n v="242.4"/>
    <n v="0"/>
    <n v="0"/>
    <n v="0"/>
    <n v="242.4"/>
    <s v="Dinheiro"/>
    <x v="0"/>
  </r>
  <r>
    <s v="00349"/>
    <x v="25"/>
    <x v="32"/>
    <s v="03/2025"/>
    <d v="2025-03-05T00:00:00"/>
    <x v="45"/>
    <n v="242.4"/>
    <n v="0"/>
    <n v="0"/>
    <n v="0"/>
    <n v="242.4"/>
    <s v="Dinheiro"/>
    <x v="0"/>
  </r>
  <r>
    <s v="00397"/>
    <x v="152"/>
    <x v="32"/>
    <s v="03/2025"/>
    <d v="2025-03-05T00:00:00"/>
    <x v="45"/>
    <n v="242.4"/>
    <n v="0"/>
    <n v="0"/>
    <n v="0"/>
    <n v="242.4"/>
    <s v="Dinheiro"/>
    <x v="0"/>
  </r>
  <r>
    <s v="00351"/>
    <x v="42"/>
    <x v="32"/>
    <s v="03/2025"/>
    <d v="2025-03-05T00:00:00"/>
    <x v="45"/>
    <n v="242.4"/>
    <n v="0"/>
    <n v="0"/>
    <n v="0"/>
    <n v="242.4"/>
    <s v="Dinheiro"/>
    <x v="0"/>
  </r>
  <r>
    <s v="00223"/>
    <x v="32"/>
    <x v="32"/>
    <s v="03/2025"/>
    <d v="2025-03-05T00:00:00"/>
    <x v="45"/>
    <n v="242.4"/>
    <n v="0"/>
    <n v="0"/>
    <n v="0"/>
    <n v="242.4"/>
    <s v="Dinheiro"/>
    <x v="0"/>
  </r>
  <r>
    <s v="00289"/>
    <x v="20"/>
    <x v="32"/>
    <s v="03/2025"/>
    <d v="2025-03-05T00:00:00"/>
    <x v="45"/>
    <n v="242.4"/>
    <n v="0"/>
    <n v="0"/>
    <n v="0"/>
    <n v="242.4"/>
    <s v="Dinheiro"/>
    <x v="0"/>
  </r>
  <r>
    <s v="00363"/>
    <x v="15"/>
    <x v="32"/>
    <s v="03/2025"/>
    <d v="2025-03-05T00:00:00"/>
    <x v="45"/>
    <n v="242.4"/>
    <n v="0"/>
    <n v="0"/>
    <n v="0"/>
    <n v="242.4"/>
    <s v="Dinheiro"/>
    <x v="0"/>
  </r>
  <r>
    <s v="00316"/>
    <x v="17"/>
    <x v="32"/>
    <s v="03/2025"/>
    <d v="2025-03-05T00:00:00"/>
    <x v="45"/>
    <n v="242.4"/>
    <n v="0"/>
    <n v="0"/>
    <n v="0"/>
    <n v="242.4"/>
    <s v="Dinheiro"/>
    <x v="0"/>
  </r>
  <r>
    <s v="00287"/>
    <x v="15"/>
    <x v="8"/>
    <s v="03/2025"/>
    <d v="2025-03-06T00:00:00"/>
    <x v="46"/>
    <n v="44"/>
    <n v="0"/>
    <n v="0"/>
    <n v="0"/>
    <n v="44"/>
    <s v="Dinheiro"/>
    <x v="0"/>
  </r>
  <r>
    <s v="00308"/>
    <x v="200"/>
    <x v="14"/>
    <s v="03/2025"/>
    <d v="2025-03-06T00:00:00"/>
    <x v="46"/>
    <n v="50"/>
    <n v="0"/>
    <n v="0"/>
    <n v="0"/>
    <n v="50"/>
    <s v="Dinheiro"/>
    <x v="0"/>
  </r>
  <r>
    <s v="00092"/>
    <x v="18"/>
    <x v="8"/>
    <s v="03/2025"/>
    <d v="2025-03-06T00:00:00"/>
    <x v="46"/>
    <n v="200"/>
    <n v="0"/>
    <n v="0"/>
    <n v="0"/>
    <n v="200"/>
    <s v="Dinheiro"/>
    <x v="0"/>
  </r>
  <r>
    <s v="00275"/>
    <x v="42"/>
    <x v="15"/>
    <s v="03/2025"/>
    <d v="2025-03-06T00:00:00"/>
    <x v="46"/>
    <n v="1728"/>
    <n v="0"/>
    <n v="0"/>
    <n v="0"/>
    <n v="1728"/>
    <s v="Dinheiro"/>
    <x v="0"/>
  </r>
  <r>
    <s v="00310"/>
    <x v="201"/>
    <x v="15"/>
    <s v="03/2025"/>
    <d v="2025-03-06T00:00:00"/>
    <x v="46"/>
    <n v="1728"/>
    <n v="0"/>
    <n v="0"/>
    <n v="0"/>
    <n v="1728"/>
    <s v="Dinheiro"/>
    <x v="0"/>
  </r>
  <r>
    <s v="00111"/>
    <x v="39"/>
    <x v="15"/>
    <s v="03/2025"/>
    <d v="2025-03-06T00:00:00"/>
    <x v="46"/>
    <n v="1723"/>
    <n v="0"/>
    <n v="0"/>
    <n v="0"/>
    <n v="1723"/>
    <s v="Dinheiro"/>
    <x v="0"/>
  </r>
  <r>
    <s v="00295"/>
    <x v="143"/>
    <x v="15"/>
    <s v="03/2025"/>
    <d v="2025-03-06T00:00:00"/>
    <x v="46"/>
    <n v="1542.75"/>
    <n v="0"/>
    <n v="0"/>
    <n v="0"/>
    <n v="1542.75"/>
    <s v="Dinheiro"/>
    <x v="0"/>
  </r>
  <r>
    <s v="00288"/>
    <x v="121"/>
    <x v="15"/>
    <s v="03/2025"/>
    <d v="2025-03-06T00:00:00"/>
    <x v="46"/>
    <n v="1542.75"/>
    <n v="0"/>
    <n v="0"/>
    <n v="0"/>
    <n v="1542.75"/>
    <s v="Visa Crédito"/>
    <x v="0"/>
  </r>
  <r>
    <s v="00094"/>
    <x v="19"/>
    <x v="15"/>
    <s v="03/2025"/>
    <d v="2025-03-06T00:00:00"/>
    <x v="46"/>
    <n v="1492"/>
    <n v="0"/>
    <n v="0"/>
    <n v="0"/>
    <n v="1492"/>
    <s v="Dinheiro"/>
    <x v="0"/>
  </r>
  <r>
    <s v="00280"/>
    <x v="144"/>
    <x v="15"/>
    <s v="03/2025"/>
    <d v="2025-03-06T00:00:00"/>
    <x v="46"/>
    <n v="1437"/>
    <n v="0"/>
    <n v="0"/>
    <n v="0"/>
    <n v="1437"/>
    <s v="Dinheiro"/>
    <x v="0"/>
  </r>
  <r>
    <s v="00311"/>
    <x v="202"/>
    <x v="15"/>
    <s v="03/2025"/>
    <d v="2025-03-06T00:00:00"/>
    <x v="46"/>
    <n v="1110.78"/>
    <n v="0"/>
    <n v="0"/>
    <n v="0"/>
    <n v="1110.78"/>
    <s v="Dinheiro"/>
    <x v="0"/>
  </r>
  <r>
    <s v="00289"/>
    <x v="141"/>
    <x v="15"/>
    <s v="03/2025"/>
    <d v="2025-03-06T00:00:00"/>
    <x v="46"/>
    <n v="628.5"/>
    <n v="0"/>
    <n v="0"/>
    <n v="0"/>
    <n v="628.5"/>
    <s v="Dinheiro"/>
    <x v="0"/>
  </r>
  <r>
    <s v="00311"/>
    <x v="202"/>
    <x v="15"/>
    <s v="03/2025"/>
    <d v="2025-03-06T00:00:00"/>
    <x v="46"/>
    <n v="628"/>
    <n v="0"/>
    <n v="0"/>
    <n v="0"/>
    <n v="628"/>
    <s v="Dinheiro"/>
    <x v="0"/>
  </r>
  <r>
    <s v="00289"/>
    <x v="141"/>
    <x v="15"/>
    <s v="03/2025"/>
    <d v="2025-03-06T00:00:00"/>
    <x v="46"/>
    <n v="588"/>
    <n v="0"/>
    <n v="0"/>
    <n v="0"/>
    <n v="588"/>
    <s v="Dinheiro"/>
    <x v="0"/>
  </r>
  <r>
    <s v="00301"/>
    <x v="154"/>
    <x v="15"/>
    <s v="03/2025"/>
    <d v="2025-03-06T00:00:00"/>
    <x v="46"/>
    <n v="581"/>
    <n v="0"/>
    <n v="0"/>
    <n v="0"/>
    <n v="581"/>
    <s v="Dinheiro"/>
    <x v="0"/>
  </r>
  <r>
    <s v="00295"/>
    <x v="143"/>
    <x v="15"/>
    <s v="03/2025"/>
    <d v="2025-03-06T00:00:00"/>
    <x v="46"/>
    <n v="112"/>
    <n v="0"/>
    <n v="0"/>
    <n v="0"/>
    <n v="112"/>
    <s v="Dinheiro"/>
    <x v="0"/>
  </r>
  <r>
    <s v="00288"/>
    <x v="121"/>
    <x v="15"/>
    <s v="03/2025"/>
    <d v="2025-03-06T00:00:00"/>
    <x v="46"/>
    <n v="112"/>
    <n v="0"/>
    <n v="0"/>
    <n v="0"/>
    <n v="112"/>
    <s v="Dinheiro"/>
    <x v="0"/>
  </r>
  <r>
    <s v="00362"/>
    <x v="7"/>
    <x v="4"/>
    <s v="03/2025"/>
    <d v="2025-03-06T00:00:00"/>
    <x v="46"/>
    <n v="120.92"/>
    <n v="0"/>
    <n v="0"/>
    <n v="0"/>
    <n v="120.92"/>
    <s v="Dinheiro"/>
    <x v="0"/>
  </r>
  <r>
    <s v="00362"/>
    <x v="7"/>
    <x v="3"/>
    <s v="03/2025"/>
    <d v="2025-03-06T00:00:00"/>
    <x v="46"/>
    <n v="8.16"/>
    <n v="0"/>
    <n v="0"/>
    <n v="0"/>
    <n v="8.16"/>
    <s v="Dinheiro"/>
    <x v="0"/>
  </r>
  <r>
    <s v="00362"/>
    <x v="7"/>
    <x v="6"/>
    <s v="03/2025"/>
    <d v="2025-03-06T00:00:00"/>
    <x v="46"/>
    <n v="4.7700000000000005"/>
    <n v="0"/>
    <n v="0"/>
    <n v="0"/>
    <n v="4.7700000000000005"/>
    <s v="Dinheiro"/>
    <x v="0"/>
  </r>
  <r>
    <s v="00362"/>
    <x v="7"/>
    <x v="6"/>
    <s v="03/2025"/>
    <d v="2025-03-06T00:00:00"/>
    <x v="46"/>
    <n v="200.34"/>
    <n v="0"/>
    <n v="0"/>
    <n v="0"/>
    <n v="200.34"/>
    <s v="Dinheiro"/>
    <x v="0"/>
  </r>
  <r>
    <s v="00285"/>
    <x v="23"/>
    <x v="15"/>
    <s v="03/2025"/>
    <d v="2025-03-06T00:00:00"/>
    <x v="46"/>
    <n v="2747"/>
    <n v="0"/>
    <n v="0"/>
    <n v="0"/>
    <n v="2747"/>
    <s v="Dinheiro"/>
    <x v="0"/>
  </r>
  <r>
    <s v="00100"/>
    <x v="145"/>
    <x v="15"/>
    <s v="03/2025"/>
    <d v="2025-03-06T00:00:00"/>
    <x v="46"/>
    <n v="2000"/>
    <n v="0"/>
    <n v="0"/>
    <n v="0"/>
    <n v="2000"/>
    <s v="Dinheiro"/>
    <x v="0"/>
  </r>
  <r>
    <s v="00309"/>
    <x v="25"/>
    <x v="15"/>
    <s v="03/2025"/>
    <d v="2025-03-06T00:00:00"/>
    <x v="46"/>
    <n v="1760"/>
    <n v="0"/>
    <n v="0"/>
    <n v="0"/>
    <n v="1760"/>
    <s v="Dinheiro"/>
    <x v="0"/>
  </r>
  <r>
    <s v="00134"/>
    <x v="18"/>
    <x v="8"/>
    <s v="03/2025"/>
    <d v="2025-03-06T00:00:00"/>
    <x v="46"/>
    <n v="50"/>
    <n v="0"/>
    <n v="0"/>
    <n v="0"/>
    <n v="50"/>
    <s v="Dinheiro"/>
    <x v="0"/>
  </r>
  <r>
    <s v="00376"/>
    <x v="113"/>
    <x v="8"/>
    <s v="03/2025"/>
    <d v="2025-03-06T00:00:00"/>
    <x v="46"/>
    <n v="246"/>
    <n v="0"/>
    <n v="0"/>
    <n v="0"/>
    <n v="246"/>
    <s v="Dinheiro"/>
    <x v="0"/>
  </r>
  <r>
    <s v="00058"/>
    <x v="88"/>
    <x v="9"/>
    <s v="03/2025"/>
    <d v="2025-03-06T00:00:00"/>
    <x v="46"/>
    <n v="1.71"/>
    <n v="0"/>
    <n v="0"/>
    <n v="0"/>
    <n v="1.71"/>
    <s v="Dinheiro"/>
    <x v="0"/>
  </r>
  <r>
    <s v="00421"/>
    <x v="203"/>
    <x v="9"/>
    <s v="03/2025"/>
    <d v="2025-03-06T00:00:00"/>
    <x v="46"/>
    <n v="15"/>
    <n v="0"/>
    <n v="0"/>
    <n v="0"/>
    <n v="15"/>
    <s v="Dinheiro"/>
    <x v="0"/>
  </r>
  <r>
    <s v="00126"/>
    <x v="38"/>
    <x v="5"/>
    <s v="03/2025"/>
    <d v="2025-03-06T00:00:00"/>
    <x v="46"/>
    <n v="30"/>
    <n v="0"/>
    <n v="0"/>
    <n v="0"/>
    <n v="30"/>
    <s v="Dinheiro"/>
    <x v="0"/>
  </r>
  <r>
    <s v="00035"/>
    <x v="204"/>
    <x v="47"/>
    <s v="03/2025"/>
    <d v="2025-03-06T00:00:00"/>
    <x v="46"/>
    <n v="25"/>
    <n v="0"/>
    <n v="0"/>
    <n v="0"/>
    <n v="25"/>
    <s v="Dinheiro"/>
    <x v="0"/>
  </r>
  <r>
    <s v="00131"/>
    <x v="8"/>
    <x v="41"/>
    <s v="03/2025"/>
    <d v="2025-03-06T00:00:00"/>
    <x v="46"/>
    <n v="1000"/>
    <n v="0"/>
    <n v="0"/>
    <n v="0"/>
    <n v="1000"/>
    <s v="Dinheiro"/>
    <x v="0"/>
  </r>
  <r>
    <s v="00364"/>
    <x v="16"/>
    <x v="8"/>
    <s v="03/2025"/>
    <d v="2025-03-06T00:00:00"/>
    <x v="46"/>
    <n v="186"/>
    <n v="0"/>
    <n v="0"/>
    <n v="0"/>
    <n v="186"/>
    <s v="Dinheiro"/>
    <x v="0"/>
  </r>
  <r>
    <s v="00126"/>
    <x v="38"/>
    <x v="63"/>
    <s v="03/2025"/>
    <d v="2025-03-06T00:00:00"/>
    <x v="46"/>
    <n v="300"/>
    <n v="0"/>
    <n v="0"/>
    <n v="0"/>
    <n v="300"/>
    <s v="Dinheiro"/>
    <x v="0"/>
  </r>
  <r>
    <s v="00422"/>
    <x v="205"/>
    <x v="14"/>
    <s v="03/2025"/>
    <d v="2025-03-06T00:00:00"/>
    <x v="46"/>
    <n v="30"/>
    <n v="0"/>
    <n v="0"/>
    <n v="0"/>
    <n v="30"/>
    <s v="Dinheiro"/>
    <x v="0"/>
  </r>
  <r>
    <s v="00422"/>
    <x v="205"/>
    <x v="14"/>
    <s v="03/2025"/>
    <d v="2025-03-06T00:00:00"/>
    <x v="46"/>
    <n v="60"/>
    <n v="0"/>
    <n v="0"/>
    <n v="0"/>
    <n v="60"/>
    <s v="Dinheiro"/>
    <x v="0"/>
  </r>
  <r>
    <s v="00257"/>
    <x v="9"/>
    <x v="8"/>
    <s v="03/2025"/>
    <d v="2025-03-06T00:00:00"/>
    <x v="46"/>
    <n v="232"/>
    <n v="0"/>
    <n v="0"/>
    <n v="0"/>
    <n v="232"/>
    <s v="Dinheiro"/>
    <x v="0"/>
  </r>
  <r>
    <s v="00214"/>
    <x v="30"/>
    <x v="15"/>
    <s v="03/2025"/>
    <d v="2025-03-06T00:00:00"/>
    <x v="46"/>
    <n v="1558"/>
    <n v="0"/>
    <n v="0"/>
    <n v="0"/>
    <n v="1558"/>
    <s v="Dinheiro"/>
    <x v="0"/>
  </r>
  <r>
    <s v="00160"/>
    <x v="31"/>
    <x v="15"/>
    <s v="03/2025"/>
    <d v="2025-03-06T00:00:00"/>
    <x v="46"/>
    <n v="105"/>
    <n v="0"/>
    <n v="0"/>
    <n v="0"/>
    <n v="105"/>
    <s v="Dinheiro"/>
    <x v="0"/>
  </r>
  <r>
    <s v="00223"/>
    <x v="32"/>
    <x v="15"/>
    <s v="03/2025"/>
    <d v="2025-03-06T00:00:00"/>
    <x v="46"/>
    <n v="2147"/>
    <n v="0"/>
    <n v="0"/>
    <n v="0"/>
    <n v="2147"/>
    <s v="Dinheiro"/>
    <x v="0"/>
  </r>
  <r>
    <s v="00126"/>
    <x v="38"/>
    <x v="15"/>
    <s v="03/2025"/>
    <d v="2025-03-06T00:00:00"/>
    <x v="46"/>
    <n v="1530"/>
    <n v="0"/>
    <n v="0"/>
    <n v="0"/>
    <n v="1530"/>
    <s v="Dinheiro"/>
    <x v="0"/>
  </r>
  <r>
    <s v="00153"/>
    <x v="21"/>
    <x v="15"/>
    <s v="03/2025"/>
    <d v="2025-03-06T00:00:00"/>
    <x v="46"/>
    <n v="1438"/>
    <n v="0"/>
    <n v="0"/>
    <n v="0"/>
    <n v="1438"/>
    <s v="Dinheiro"/>
    <x v="0"/>
  </r>
  <r>
    <s v="00252"/>
    <x v="40"/>
    <x v="15"/>
    <s v="03/2025"/>
    <d v="2025-03-06T00:00:00"/>
    <x v="46"/>
    <n v="1492"/>
    <n v="0"/>
    <n v="0"/>
    <n v="0"/>
    <n v="1492"/>
    <s v="Dinheiro"/>
    <x v="0"/>
  </r>
  <r>
    <s v="00133"/>
    <x v="24"/>
    <x v="15"/>
    <s v="03/2025"/>
    <d v="2025-03-06T00:00:00"/>
    <x v="46"/>
    <n v="1481"/>
    <n v="0"/>
    <n v="0"/>
    <n v="0"/>
    <n v="1481"/>
    <s v="Dinheiro"/>
    <x v="0"/>
  </r>
  <r>
    <s v="00362"/>
    <x v="7"/>
    <x v="6"/>
    <s v="03/2025"/>
    <d v="2025-03-06T00:00:00"/>
    <x v="46"/>
    <n v="108.32000000000001"/>
    <n v="0"/>
    <n v="0"/>
    <n v="0"/>
    <n v="108.32000000000001"/>
    <s v="Dinheiro"/>
    <x v="0"/>
  </r>
  <r>
    <s v="00362"/>
    <x v="7"/>
    <x v="4"/>
    <s v="03/2025"/>
    <d v="2025-03-06T00:00:00"/>
    <x v="46"/>
    <n v="148.08000000000001"/>
    <n v="0"/>
    <n v="0"/>
    <n v="0"/>
    <n v="148.08000000000001"/>
    <s v="Dinheiro"/>
    <x v="0"/>
  </r>
  <r>
    <s v="00362"/>
    <x v="7"/>
    <x v="3"/>
    <s v="03/2025"/>
    <d v="2025-03-06T00:00:00"/>
    <x v="46"/>
    <n v="124.44"/>
    <n v="0"/>
    <n v="0"/>
    <n v="0"/>
    <n v="124.44"/>
    <s v="Dinheiro"/>
    <x v="0"/>
  </r>
  <r>
    <s v="00134"/>
    <x v="18"/>
    <x v="15"/>
    <s v="03/2025"/>
    <d v="2025-03-06T00:00:00"/>
    <x v="46"/>
    <n v="1748"/>
    <n v="0"/>
    <n v="0"/>
    <n v="0"/>
    <n v="1748"/>
    <s v="Dinheiro"/>
    <x v="0"/>
  </r>
  <r>
    <s v="00362"/>
    <x v="7"/>
    <x v="4"/>
    <s v="03/2025"/>
    <d v="2025-03-06T00:00:00"/>
    <x v="46"/>
    <n v="91.84"/>
    <n v="0"/>
    <n v="0"/>
    <n v="0"/>
    <n v="91.84"/>
    <s v="Dinheiro"/>
    <x v="0"/>
  </r>
  <r>
    <s v="00304"/>
    <x v="17"/>
    <x v="15"/>
    <s v="03/2025"/>
    <d v="2025-03-06T00:00:00"/>
    <x v="46"/>
    <n v="1492"/>
    <n v="0"/>
    <n v="0"/>
    <n v="0"/>
    <n v="1492"/>
    <s v="Dinheiro"/>
    <x v="0"/>
  </r>
  <r>
    <s v="00267"/>
    <x v="34"/>
    <x v="15"/>
    <s v="03/2025"/>
    <d v="2025-03-06T00:00:00"/>
    <x v="46"/>
    <n v="900"/>
    <n v="0"/>
    <n v="0"/>
    <n v="0"/>
    <n v="900"/>
    <s v="Dinheiro"/>
    <x v="0"/>
  </r>
  <r>
    <s v="00362"/>
    <x v="7"/>
    <x v="3"/>
    <s v="03/2025"/>
    <d v="2025-03-07T00:00:00"/>
    <x v="47"/>
    <n v="4.08"/>
    <n v="0"/>
    <n v="0"/>
    <n v="0"/>
    <n v="4.08"/>
    <s v="Dinheiro"/>
    <x v="0"/>
  </r>
  <r>
    <s v="00053"/>
    <x v="138"/>
    <x v="0"/>
    <s v="03/2025"/>
    <d v="2025-03-07T00:00:00"/>
    <x v="47"/>
    <n v="1580.4"/>
    <n v="0"/>
    <n v="0"/>
    <n v="0"/>
    <n v="1580.4"/>
    <s v="Dinheiro"/>
    <x v="0"/>
  </r>
  <r>
    <s v="00053"/>
    <x v="138"/>
    <x v="0"/>
    <s v="03/2025"/>
    <d v="2025-03-07T00:00:00"/>
    <x v="47"/>
    <n v="1195.92"/>
    <n v="0"/>
    <n v="0"/>
    <n v="0"/>
    <n v="1195.92"/>
    <s v="Dinheiro"/>
    <x v="0"/>
  </r>
  <r>
    <s v="00168"/>
    <x v="55"/>
    <x v="25"/>
    <s v="03/2025"/>
    <d v="2025-03-07T00:00:00"/>
    <x v="47"/>
    <n v="975.16"/>
    <n v="0"/>
    <n v="0"/>
    <n v="0"/>
    <n v="975.16"/>
    <s v="Dinheiro"/>
    <x v="0"/>
  </r>
  <r>
    <s v="00168"/>
    <x v="55"/>
    <x v="25"/>
    <s v="03/2025"/>
    <d v="2025-03-07T00:00:00"/>
    <x v="47"/>
    <n v="1475.73"/>
    <n v="0"/>
    <n v="0"/>
    <n v="0"/>
    <n v="1475.73"/>
    <s v="Dinheiro"/>
    <x v="0"/>
  </r>
  <r>
    <s v="00110"/>
    <x v="139"/>
    <x v="13"/>
    <s v="03/2025"/>
    <d v="2025-03-07T00:00:00"/>
    <x v="47"/>
    <n v="300"/>
    <n v="0"/>
    <n v="0"/>
    <n v="0"/>
    <n v="300"/>
    <s v="Dinheiro"/>
    <x v="0"/>
  </r>
  <r>
    <s v="00153"/>
    <x v="21"/>
    <x v="63"/>
    <s v="03/2025"/>
    <d v="2025-03-07T00:00:00"/>
    <x v="47"/>
    <n v="300"/>
    <n v="0"/>
    <n v="0"/>
    <n v="0"/>
    <n v="300"/>
    <s v="Dinheiro"/>
    <x v="0"/>
  </r>
  <r>
    <s v="00153"/>
    <x v="21"/>
    <x v="8"/>
    <s v="03/2025"/>
    <d v="2025-03-07T00:00:00"/>
    <x v="47"/>
    <n v="275"/>
    <n v="0"/>
    <n v="0"/>
    <n v="0"/>
    <n v="275"/>
    <s v="Dinheiro"/>
    <x v="0"/>
  </r>
  <r>
    <s v="00362"/>
    <x v="7"/>
    <x v="3"/>
    <s v="03/2025"/>
    <d v="2025-03-07T00:00:00"/>
    <x v="47"/>
    <n v="99.960000000000008"/>
    <n v="0"/>
    <n v="0"/>
    <n v="0"/>
    <n v="99.960000000000008"/>
    <s v="Dinheiro"/>
    <x v="0"/>
  </r>
  <r>
    <s v="00363"/>
    <x v="15"/>
    <x v="15"/>
    <s v="03/2025"/>
    <d v="2025-03-07T00:00:00"/>
    <x v="47"/>
    <n v="1728"/>
    <n v="0"/>
    <n v="0"/>
    <n v="0"/>
    <n v="1728"/>
    <s v="Dinheiro"/>
    <x v="0"/>
  </r>
  <r>
    <s v="00215"/>
    <x v="206"/>
    <x v="11"/>
    <s v="03/2025"/>
    <d v="2025-03-07T00:00:00"/>
    <x v="47"/>
    <n v="1494.43"/>
    <n v="0"/>
    <n v="0"/>
    <n v="0"/>
    <n v="1494.43"/>
    <s v="Dinheiro"/>
    <x v="0"/>
  </r>
  <r>
    <s v="00015"/>
    <x v="50"/>
    <x v="23"/>
    <s v="03/2025"/>
    <d v="2025-03-10T00:00:00"/>
    <x v="48"/>
    <n v="482.24"/>
    <n v="0"/>
    <n v="0"/>
    <n v="0"/>
    <n v="482.24"/>
    <s v="Dinheiro"/>
    <x v="0"/>
  </r>
  <r>
    <s v="00362"/>
    <x v="7"/>
    <x v="3"/>
    <s v="03/2025"/>
    <d v="2025-03-10T00:00:00"/>
    <x v="48"/>
    <n v="2.04"/>
    <n v="0"/>
    <n v="0"/>
    <n v="0"/>
    <n v="2.04"/>
    <s v="Dinheiro"/>
    <x v="0"/>
  </r>
  <r>
    <s v="00190"/>
    <x v="32"/>
    <x v="8"/>
    <s v="03/2025"/>
    <d v="2025-03-10T00:00:00"/>
    <x v="48"/>
    <n v="4900"/>
    <n v="0"/>
    <n v="0"/>
    <n v="0"/>
    <n v="4900"/>
    <s v="Dinheiro"/>
    <x v="0"/>
  </r>
  <r>
    <s v="00178"/>
    <x v="66"/>
    <x v="29"/>
    <s v="03/2025"/>
    <d v="2025-03-10T00:00:00"/>
    <x v="48"/>
    <n v="4400"/>
    <n v="0"/>
    <n v="0"/>
    <n v="0"/>
    <n v="4400"/>
    <s v="Dinheiro"/>
    <x v="0"/>
  </r>
  <r>
    <s v="00176"/>
    <x v="158"/>
    <x v="29"/>
    <s v="03/2025"/>
    <d v="2025-03-10T00:00:00"/>
    <x v="48"/>
    <n v="2800"/>
    <n v="0"/>
    <n v="0"/>
    <n v="0"/>
    <n v="2800"/>
    <s v="Dinheiro"/>
    <x v="0"/>
  </r>
  <r>
    <s v="00127"/>
    <x v="207"/>
    <x v="29"/>
    <s v="03/2025"/>
    <d v="2025-03-10T00:00:00"/>
    <x v="48"/>
    <n v="2720"/>
    <n v="0"/>
    <n v="0"/>
    <n v="0"/>
    <n v="2720"/>
    <s v="Dinheiro"/>
    <x v="0"/>
  </r>
  <r>
    <s v="00131"/>
    <x v="208"/>
    <x v="29"/>
    <s v="03/2025"/>
    <d v="2025-03-10T00:00:00"/>
    <x v="48"/>
    <n v="2620"/>
    <n v="0"/>
    <n v="0"/>
    <n v="0"/>
    <n v="2620"/>
    <s v="Dinheiro"/>
    <x v="0"/>
  </r>
  <r>
    <s v="00311"/>
    <x v="202"/>
    <x v="29"/>
    <s v="04/2025"/>
    <d v="2025-03-10T00:00:00"/>
    <x v="48"/>
    <n v="2080"/>
    <n v="0"/>
    <n v="0"/>
    <n v="0"/>
    <n v="2080"/>
    <s v="Dinheiro"/>
    <x v="0"/>
  </r>
  <r>
    <s v="00285"/>
    <x v="23"/>
    <x v="29"/>
    <s v="03/2025"/>
    <d v="2025-03-10T00:00:00"/>
    <x v="48"/>
    <n v="2020"/>
    <n v="0"/>
    <n v="0"/>
    <n v="0"/>
    <n v="2020"/>
    <s v="Dinheiro"/>
    <x v="0"/>
  </r>
  <r>
    <s v="00132"/>
    <x v="209"/>
    <x v="29"/>
    <s v="03/2025"/>
    <d v="2025-03-10T00:00:00"/>
    <x v="48"/>
    <n v="1980"/>
    <n v="0"/>
    <n v="0"/>
    <n v="0"/>
    <n v="1980"/>
    <s v="Dinheiro"/>
    <x v="0"/>
  </r>
  <r>
    <s v="00312"/>
    <x v="87"/>
    <x v="29"/>
    <s v="03/2025"/>
    <d v="2025-03-10T00:00:00"/>
    <x v="48"/>
    <n v="1960"/>
    <n v="0"/>
    <n v="0"/>
    <n v="0"/>
    <n v="1960"/>
    <s v="Dinheiro"/>
    <x v="0"/>
  </r>
  <r>
    <s v="00202"/>
    <x v="157"/>
    <x v="29"/>
    <s v="03/2025"/>
    <d v="2025-03-10T00:00:00"/>
    <x v="48"/>
    <n v="1680"/>
    <n v="0"/>
    <n v="0"/>
    <n v="0"/>
    <n v="1680"/>
    <s v="Dinheiro"/>
    <x v="0"/>
  </r>
  <r>
    <s v="00313"/>
    <x v="210"/>
    <x v="29"/>
    <s v="03/2025"/>
    <d v="2025-03-10T00:00:00"/>
    <x v="48"/>
    <n v="1520"/>
    <n v="0"/>
    <n v="0"/>
    <n v="0"/>
    <n v="1520"/>
    <s v="Dinheiro"/>
    <x v="0"/>
  </r>
  <r>
    <s v="00314"/>
    <x v="73"/>
    <x v="29"/>
    <s v="03/2025"/>
    <d v="2025-03-10T00:00:00"/>
    <x v="48"/>
    <n v="1440"/>
    <n v="0"/>
    <n v="0"/>
    <n v="0"/>
    <n v="1440"/>
    <s v="Dinheiro"/>
    <x v="0"/>
  </r>
  <r>
    <s v="00216"/>
    <x v="75"/>
    <x v="29"/>
    <s v="03/2025"/>
    <d v="2025-03-10T00:00:00"/>
    <x v="48"/>
    <n v="1440"/>
    <n v="0"/>
    <n v="0"/>
    <n v="0"/>
    <n v="1440"/>
    <s v="Dinheiro"/>
    <x v="0"/>
  </r>
  <r>
    <s v="00053"/>
    <x v="138"/>
    <x v="0"/>
    <s v="03/2025"/>
    <d v="2025-03-10T00:00:00"/>
    <x v="48"/>
    <n v="1004.08"/>
    <n v="0"/>
    <n v="0"/>
    <n v="0"/>
    <n v="1004.08"/>
    <s v="Dinheiro"/>
    <x v="0"/>
  </r>
  <r>
    <s v="00009"/>
    <x v="53"/>
    <x v="24"/>
    <s v="03/2025"/>
    <d v="2025-03-10T00:00:00"/>
    <x v="48"/>
    <n v="26091.79"/>
    <n v="0"/>
    <n v="0"/>
    <n v="0"/>
    <n v="26091.79"/>
    <s v="Dinheiro"/>
    <x v="0"/>
  </r>
  <r>
    <s v="00241"/>
    <x v="62"/>
    <x v="29"/>
    <s v="03/2025"/>
    <d v="2025-03-10T00:00:00"/>
    <x v="48"/>
    <n v="880"/>
    <n v="0"/>
    <n v="0"/>
    <n v="0"/>
    <n v="880"/>
    <s v="Dinheiro"/>
    <x v="0"/>
  </r>
  <r>
    <s v="00145"/>
    <x v="71"/>
    <x v="29"/>
    <s v="03/2025"/>
    <d v="2025-03-10T00:00:00"/>
    <x v="48"/>
    <n v="880"/>
    <n v="0"/>
    <n v="0"/>
    <n v="0"/>
    <n v="880"/>
    <s v="Dinheiro"/>
    <x v="0"/>
  </r>
  <r>
    <s v="00302"/>
    <x v="82"/>
    <x v="29"/>
    <s v="03/2025"/>
    <d v="2025-03-10T00:00:00"/>
    <x v="48"/>
    <n v="560"/>
    <n v="0"/>
    <n v="0"/>
    <n v="0"/>
    <n v="560"/>
    <s v="Dinheiro"/>
    <x v="0"/>
  </r>
  <r>
    <s v="00111"/>
    <x v="39"/>
    <x v="8"/>
    <s v="03/2025"/>
    <d v="2025-03-10T00:00:00"/>
    <x v="48"/>
    <n v="550"/>
    <n v="0"/>
    <n v="0"/>
    <n v="0"/>
    <n v="550"/>
    <s v="Dinheiro"/>
    <x v="0"/>
  </r>
  <r>
    <s v="00129"/>
    <x v="211"/>
    <x v="29"/>
    <s v="03/2025"/>
    <d v="2025-03-10T00:00:00"/>
    <x v="48"/>
    <n v="320"/>
    <n v="0"/>
    <n v="0"/>
    <n v="0"/>
    <n v="320"/>
    <s v="Dinheiro"/>
    <x v="0"/>
  </r>
  <r>
    <s v="00362"/>
    <x v="7"/>
    <x v="3"/>
    <s v="03/2025"/>
    <d v="2025-03-10T00:00:00"/>
    <x v="48"/>
    <n v="114.24000000000001"/>
    <n v="0"/>
    <n v="0"/>
    <n v="0"/>
    <n v="114.24000000000001"/>
    <s v="Dinheiro"/>
    <x v="0"/>
  </r>
  <r>
    <s v="00019"/>
    <x v="159"/>
    <x v="2"/>
    <s v="03/2025"/>
    <d v="2025-03-10T00:00:00"/>
    <x v="48"/>
    <n v="363.76"/>
    <n v="0"/>
    <n v="0"/>
    <n v="0"/>
    <n v="363.76"/>
    <s v="Dinheiro"/>
    <x v="0"/>
  </r>
  <r>
    <s v="00190"/>
    <x v="70"/>
    <x v="30"/>
    <s v="03/2025"/>
    <d v="2025-03-10T00:00:00"/>
    <x v="48"/>
    <n v="2320"/>
    <n v="0"/>
    <n v="0"/>
    <n v="0"/>
    <n v="2320"/>
    <s v="Dinheiro"/>
    <x v="0"/>
  </r>
  <r>
    <s v="00085"/>
    <x v="49"/>
    <x v="22"/>
    <s v="03/2025"/>
    <d v="2025-03-10T00:00:00"/>
    <x v="48"/>
    <n v="10488.58"/>
    <n v="0"/>
    <n v="0"/>
    <n v="0"/>
    <n v="10488.58"/>
    <s v="Dinheiro"/>
    <x v="0"/>
  </r>
  <r>
    <s v="00136"/>
    <x v="37"/>
    <x v="15"/>
    <s v="03/2025"/>
    <d v="2025-03-10T00:00:00"/>
    <x v="48"/>
    <n v="700"/>
    <n v="0"/>
    <n v="0"/>
    <n v="0"/>
    <n v="700"/>
    <s v="Dinheiro"/>
    <x v="0"/>
  </r>
  <r>
    <s v="00237"/>
    <x v="80"/>
    <x v="30"/>
    <s v="03/2025"/>
    <d v="2025-03-10T00:00:00"/>
    <x v="48"/>
    <n v="480"/>
    <n v="0"/>
    <n v="0"/>
    <n v="0"/>
    <n v="480"/>
    <s v="Dinheiro"/>
    <x v="0"/>
  </r>
  <r>
    <s v="00431"/>
    <x v="212"/>
    <x v="30"/>
    <s v="03/2025"/>
    <d v="2025-03-10T00:00:00"/>
    <x v="48"/>
    <n v="1480"/>
    <n v="0"/>
    <n v="0"/>
    <n v="0"/>
    <n v="1480"/>
    <s v="Dinheiro"/>
    <x v="0"/>
  </r>
  <r>
    <s v="00332"/>
    <x v="28"/>
    <x v="30"/>
    <s v="03/2025"/>
    <d v="2025-03-10T00:00:00"/>
    <x v="48"/>
    <n v="2780"/>
    <n v="0"/>
    <n v="0"/>
    <n v="0"/>
    <n v="2780"/>
    <s v="Dinheiro"/>
    <x v="0"/>
  </r>
  <r>
    <s v="00053"/>
    <x v="138"/>
    <x v="0"/>
    <s v="03/2025"/>
    <d v="2025-03-10T00:00:00"/>
    <x v="48"/>
    <n v="1419.6000000000001"/>
    <n v="0"/>
    <n v="0"/>
    <n v="0"/>
    <n v="1419.6000000000001"/>
    <s v="Dinheiro"/>
    <x v="0"/>
  </r>
  <r>
    <s v="00355"/>
    <x v="83"/>
    <x v="29"/>
    <s v="03/2025"/>
    <d v="2025-03-10T00:00:00"/>
    <x v="48"/>
    <n v="300"/>
    <n v="0"/>
    <n v="0"/>
    <n v="0"/>
    <n v="300"/>
    <s v="Dinheiro"/>
    <x v="0"/>
  </r>
  <r>
    <s v="00432"/>
    <x v="213"/>
    <x v="30"/>
    <s v="03/2025"/>
    <d v="2025-03-10T00:00:00"/>
    <x v="48"/>
    <n v="1120"/>
    <n v="0"/>
    <n v="0"/>
    <n v="0"/>
    <n v="1120"/>
    <s v="Dinheiro"/>
    <x v="0"/>
  </r>
  <r>
    <s v="00433"/>
    <x v="214"/>
    <x v="30"/>
    <s v="03/2025"/>
    <d v="2025-03-10T00:00:00"/>
    <x v="48"/>
    <n v="920"/>
    <n v="0"/>
    <n v="0"/>
    <n v="0"/>
    <n v="920"/>
    <s v="Dinheiro"/>
    <x v="0"/>
  </r>
  <r>
    <s v="00101"/>
    <x v="171"/>
    <x v="58"/>
    <s v="03/2025"/>
    <d v="2025-03-10T00:00:00"/>
    <x v="48"/>
    <n v="605"/>
    <n v="0"/>
    <n v="0"/>
    <n v="0"/>
    <n v="605"/>
    <s v="Dinheiro"/>
    <x v="0"/>
  </r>
  <r>
    <s v="00102"/>
    <x v="84"/>
    <x v="10"/>
    <s v="03/2025"/>
    <d v="2025-03-10T00:00:00"/>
    <x v="48"/>
    <n v="859.54"/>
    <n v="0"/>
    <n v="0"/>
    <n v="0"/>
    <n v="859.54"/>
    <s v="Dinheiro"/>
    <x v="0"/>
  </r>
  <r>
    <s v="00607"/>
    <x v="52"/>
    <x v="16"/>
    <s v="03/2025"/>
    <d v="2025-03-10T00:00:00"/>
    <x v="48"/>
    <n v="209.81"/>
    <n v="0"/>
    <n v="0"/>
    <n v="0"/>
    <n v="209.81"/>
    <s v="Dinheiro"/>
    <x v="0"/>
  </r>
  <r>
    <s v="00607"/>
    <x v="52"/>
    <x v="16"/>
    <s v="03/2025"/>
    <d v="2025-03-10T00:00:00"/>
    <x v="48"/>
    <n v="1360"/>
    <n v="0"/>
    <n v="0"/>
    <n v="0"/>
    <n v="1360"/>
    <s v="Dinheiro"/>
    <x v="0"/>
  </r>
  <r>
    <s v="00434"/>
    <x v="215"/>
    <x v="30"/>
    <s v="03/2025"/>
    <d v="2025-03-10T00:00:00"/>
    <x v="48"/>
    <n v="1360"/>
    <n v="0"/>
    <n v="0"/>
    <n v="0"/>
    <n v="1360"/>
    <s v="Dinheiro"/>
    <x v="0"/>
  </r>
  <r>
    <s v="00435"/>
    <x v="216"/>
    <x v="28"/>
    <s v="03/2025"/>
    <d v="2025-03-10T00:00:00"/>
    <x v="48"/>
    <n v="49"/>
    <n v="0"/>
    <n v="0"/>
    <n v="0"/>
    <n v="49"/>
    <s v="Dinheiro"/>
    <x v="0"/>
  </r>
  <r>
    <s v="00436"/>
    <x v="217"/>
    <x v="30"/>
    <s v="03/2025"/>
    <d v="2025-03-10T00:00:00"/>
    <x v="48"/>
    <n v="400"/>
    <n v="0"/>
    <n v="0"/>
    <n v="0"/>
    <n v="400"/>
    <s v="Dinheiro"/>
    <x v="0"/>
  </r>
  <r>
    <s v="00232"/>
    <x v="65"/>
    <x v="29"/>
    <s v="03/2025"/>
    <d v="2025-03-10T00:00:00"/>
    <x v="48"/>
    <n v="560"/>
    <n v="0"/>
    <n v="0"/>
    <n v="0"/>
    <n v="560"/>
    <s v="Dinheiro"/>
    <x v="0"/>
  </r>
  <r>
    <s v="00362"/>
    <x v="7"/>
    <x v="3"/>
    <s v="03/2025"/>
    <d v="2025-03-11T00:00:00"/>
    <x v="49"/>
    <n v="85.600000000000009"/>
    <n v="0"/>
    <n v="0"/>
    <n v="0"/>
    <n v="85.600000000000009"/>
    <s v="Dinheiro"/>
    <x v="0"/>
  </r>
  <r>
    <s v="00195"/>
    <x v="218"/>
    <x v="30"/>
    <s v="03/2025"/>
    <d v="2025-03-11T00:00:00"/>
    <x v="49"/>
    <n v="3440"/>
    <n v="0"/>
    <n v="0"/>
    <n v="0"/>
    <n v="3440"/>
    <s v="Dinheiro"/>
    <x v="0"/>
  </r>
  <r>
    <s v="00202"/>
    <x v="157"/>
    <x v="30"/>
    <s v="03/2025"/>
    <d v="2025-03-11T00:00:00"/>
    <x v="49"/>
    <n v="1920"/>
    <n v="0"/>
    <n v="0"/>
    <n v="0"/>
    <n v="1920"/>
    <s v="Dinheiro"/>
    <x v="0"/>
  </r>
  <r>
    <s v="00299"/>
    <x v="91"/>
    <x v="30"/>
    <s v="03/2025"/>
    <d v="2025-03-11T00:00:00"/>
    <x v="49"/>
    <n v="1520"/>
    <n v="0"/>
    <n v="0"/>
    <n v="0"/>
    <n v="1520"/>
    <s v="Dinheiro"/>
    <x v="0"/>
  </r>
  <r>
    <s v="00216"/>
    <x v="75"/>
    <x v="30"/>
    <s v="03/2025"/>
    <d v="2025-03-11T00:00:00"/>
    <x v="49"/>
    <n v="1440"/>
    <n v="0"/>
    <n v="0"/>
    <n v="0"/>
    <n v="1440"/>
    <s v="Dinheiro"/>
    <x v="0"/>
  </r>
  <r>
    <s v="00315"/>
    <x v="67"/>
    <x v="30"/>
    <s v="03/2025"/>
    <d v="2025-03-11T00:00:00"/>
    <x v="49"/>
    <n v="1340"/>
    <n v="0"/>
    <n v="0"/>
    <n v="0"/>
    <n v="1340"/>
    <s v="Dinheiro"/>
    <x v="0"/>
  </r>
  <r>
    <s v="00145"/>
    <x v="71"/>
    <x v="30"/>
    <s v="03/2025"/>
    <d v="2025-03-11T00:00:00"/>
    <x v="49"/>
    <n v="1280"/>
    <n v="0"/>
    <n v="0"/>
    <n v="0"/>
    <n v="1280"/>
    <s v="Dinheiro"/>
    <x v="0"/>
  </r>
  <r>
    <s v="00240"/>
    <x v="60"/>
    <x v="30"/>
    <s v="03/2025"/>
    <d v="2025-03-11T00:00:00"/>
    <x v="49"/>
    <n v="1240"/>
    <n v="0"/>
    <n v="0"/>
    <n v="0"/>
    <n v="1240"/>
    <s v="Dinheiro"/>
    <x v="0"/>
  </r>
  <r>
    <s v="00316"/>
    <x v="219"/>
    <x v="30"/>
    <s v="03/2025"/>
    <d v="2025-03-11T00:00:00"/>
    <x v="49"/>
    <n v="1120"/>
    <n v="0"/>
    <n v="0"/>
    <n v="0"/>
    <n v="1120"/>
    <s v="Dinheiro"/>
    <x v="0"/>
  </r>
  <r>
    <s v="00295"/>
    <x v="143"/>
    <x v="8"/>
    <s v="03/2025"/>
    <d v="2025-03-11T00:00:00"/>
    <x v="49"/>
    <n v="850"/>
    <n v="0"/>
    <n v="0"/>
    <n v="0"/>
    <n v="850"/>
    <s v="Dinheiro"/>
    <x v="0"/>
  </r>
  <r>
    <s v="00317"/>
    <x v="220"/>
    <x v="30"/>
    <s v="03/2025"/>
    <d v="2025-03-11T00:00:00"/>
    <x v="49"/>
    <n v="800"/>
    <n v="0"/>
    <n v="0"/>
    <n v="0"/>
    <n v="800"/>
    <s v="Dinheiro"/>
    <x v="0"/>
  </r>
  <r>
    <s v="00318"/>
    <x v="221"/>
    <x v="30"/>
    <s v="03/2025"/>
    <d v="2025-03-11T00:00:00"/>
    <x v="49"/>
    <n v="640"/>
    <n v="0"/>
    <n v="0"/>
    <n v="0"/>
    <n v="640"/>
    <s v="Dinheiro"/>
    <x v="0"/>
  </r>
  <r>
    <s v="00150"/>
    <x v="167"/>
    <x v="9"/>
    <s v="03/2025"/>
    <d v="2025-03-11T00:00:00"/>
    <x v="49"/>
    <n v="450"/>
    <n v="0"/>
    <n v="0"/>
    <n v="0"/>
    <n v="450"/>
    <s v="Dinheiro"/>
    <x v="0"/>
  </r>
  <r>
    <s v="00319"/>
    <x v="222"/>
    <x v="17"/>
    <s v="03/2025"/>
    <d v="2025-03-11T00:00:00"/>
    <x v="49"/>
    <n v="370"/>
    <n v="0"/>
    <n v="0"/>
    <n v="0"/>
    <n v="370"/>
    <s v="Dinheiro"/>
    <x v="0"/>
  </r>
  <r>
    <s v="00295"/>
    <x v="143"/>
    <x v="8"/>
    <s v="03/2025"/>
    <d v="2025-03-11T00:00:00"/>
    <x v="49"/>
    <n v="226"/>
    <n v="0"/>
    <n v="0"/>
    <n v="0"/>
    <n v="226"/>
    <s v="Dinheiro"/>
    <x v="0"/>
  </r>
  <r>
    <s v="00288"/>
    <x v="121"/>
    <x v="8"/>
    <s v="03/2025"/>
    <d v="2025-03-11T00:00:00"/>
    <x v="49"/>
    <n v="186"/>
    <n v="0"/>
    <n v="0"/>
    <n v="0"/>
    <n v="186"/>
    <s v="Dinheiro"/>
    <x v="0"/>
  </r>
  <r>
    <s v="00313"/>
    <x v="210"/>
    <x v="30"/>
    <s v="03/2025"/>
    <d v="2025-03-11T00:00:00"/>
    <x v="49"/>
    <n v="80"/>
    <n v="0"/>
    <n v="0"/>
    <n v="0"/>
    <n v="80"/>
    <s v="Dinheiro"/>
    <x v="0"/>
  </r>
  <r>
    <s v="00320"/>
    <x v="223"/>
    <x v="28"/>
    <s v="03/2025"/>
    <d v="2025-03-11T00:00:00"/>
    <x v="49"/>
    <n v="49"/>
    <n v="0"/>
    <n v="0"/>
    <n v="0"/>
    <n v="49"/>
    <s v="Dinheiro"/>
    <x v="0"/>
  </r>
  <r>
    <s v="00362"/>
    <x v="7"/>
    <x v="34"/>
    <s v="04/2025"/>
    <d v="2025-03-11T00:00:00"/>
    <x v="49"/>
    <n v="1113.8399999999999"/>
    <n v="0"/>
    <n v="0"/>
    <n v="0"/>
    <n v="1113.8399999999999"/>
    <s v="Dinheiro"/>
    <x v="0"/>
  </r>
  <r>
    <s v="00362"/>
    <x v="7"/>
    <x v="34"/>
    <s v="03/2025"/>
    <d v="2025-03-11T00:00:00"/>
    <x v="49"/>
    <n v="1113.8399999999999"/>
    <n v="0"/>
    <n v="0"/>
    <n v="0"/>
    <n v="1113.8399999999999"/>
    <s v="Dinheiro"/>
    <x v="0"/>
  </r>
  <r>
    <s v="00058"/>
    <x v="88"/>
    <x v="9"/>
    <s v="03/2025"/>
    <d v="2025-03-12T00:00:00"/>
    <x v="50"/>
    <n v="174.85"/>
    <n v="0"/>
    <n v="0"/>
    <n v="0"/>
    <n v="174.85"/>
    <s v="Dinheiro"/>
    <x v="0"/>
  </r>
  <r>
    <s v="00426"/>
    <x v="224"/>
    <x v="28"/>
    <s v="03/2025"/>
    <d v="2025-03-12T00:00:00"/>
    <x v="50"/>
    <n v="99"/>
    <n v="0"/>
    <n v="0"/>
    <n v="0"/>
    <n v="99"/>
    <s v="Dinheiro"/>
    <x v="0"/>
  </r>
  <r>
    <s v="00416"/>
    <x v="184"/>
    <x v="14"/>
    <s v="03/2025"/>
    <d v="2025-03-12T00:00:00"/>
    <x v="50"/>
    <n v="30"/>
    <n v="0"/>
    <n v="0"/>
    <n v="0"/>
    <n v="30"/>
    <s v="Dinheiro"/>
    <x v="0"/>
  </r>
  <r>
    <s v="00362"/>
    <x v="7"/>
    <x v="3"/>
    <s v="03/2025"/>
    <d v="2025-03-12T00:00:00"/>
    <x v="50"/>
    <n v="14.280000000000001"/>
    <n v="0"/>
    <n v="0"/>
    <n v="0"/>
    <n v="14.280000000000001"/>
    <s v="Dinheiro"/>
    <x v="0"/>
  </r>
  <r>
    <s v="00437"/>
    <x v="225"/>
    <x v="17"/>
    <s v="03/2025"/>
    <d v="2025-03-12T00:00:00"/>
    <x v="50"/>
    <n v="35"/>
    <n v="0"/>
    <n v="0"/>
    <n v="0"/>
    <n v="35"/>
    <s v="Dinheiro"/>
    <x v="0"/>
  </r>
  <r>
    <s v="00362"/>
    <x v="7"/>
    <x v="3"/>
    <s v="03/2025"/>
    <d v="2025-03-13T00:00:00"/>
    <x v="51"/>
    <n v="493.56"/>
    <n v="0"/>
    <n v="0"/>
    <n v="0"/>
    <n v="493.56"/>
    <s v="Dinheiro"/>
    <x v="0"/>
  </r>
  <r>
    <s v="00227"/>
    <x v="81"/>
    <x v="17"/>
    <s v="03/2025"/>
    <d v="2025-03-13T00:00:00"/>
    <x v="51"/>
    <n v="3036"/>
    <n v="0"/>
    <n v="0"/>
    <n v="0"/>
    <n v="3036"/>
    <s v="Dinheiro"/>
    <x v="0"/>
  </r>
  <r>
    <s v="00321"/>
    <x v="226"/>
    <x v="18"/>
    <s v="03/2025"/>
    <d v="2025-03-13T00:00:00"/>
    <x v="51"/>
    <n v="380"/>
    <n v="0"/>
    <n v="0"/>
    <n v="0"/>
    <n v="380"/>
    <s v="Dinheiro"/>
    <x v="0"/>
  </r>
  <r>
    <s v="00322"/>
    <x v="227"/>
    <x v="17"/>
    <s v="03/2025"/>
    <d v="2025-03-13T00:00:00"/>
    <x v="51"/>
    <n v="187"/>
    <n v="0"/>
    <n v="0"/>
    <n v="0"/>
    <n v="187"/>
    <s v="Dinheiro"/>
    <x v="0"/>
  </r>
  <r>
    <s v="00074"/>
    <x v="54"/>
    <x v="16"/>
    <s v="03/2025"/>
    <d v="2025-03-13T00:00:00"/>
    <x v="51"/>
    <n v="99"/>
    <n v="0"/>
    <n v="0"/>
    <n v="0"/>
    <n v="99"/>
    <s v="Dinheiro"/>
    <x v="0"/>
  </r>
  <r>
    <s v="00362"/>
    <x v="7"/>
    <x v="3"/>
    <s v="03/2025"/>
    <d v="2025-03-13T00:00:00"/>
    <x v="51"/>
    <n v="4.08"/>
    <n v="0"/>
    <n v="0"/>
    <n v="0"/>
    <n v="4.08"/>
    <s v="Dinheiro"/>
    <x v="0"/>
  </r>
  <r>
    <s v="00362"/>
    <x v="7"/>
    <x v="3"/>
    <s v="03/2025"/>
    <d v="2025-03-14T00:00:00"/>
    <x v="52"/>
    <n v="9.14"/>
    <n v="0"/>
    <n v="0"/>
    <n v="0"/>
    <n v="9.14"/>
    <s v="Dinheiro"/>
    <x v="0"/>
  </r>
  <r>
    <s v="00035"/>
    <x v="228"/>
    <x v="22"/>
    <s v="03/2025"/>
    <d v="2025-03-14T00:00:00"/>
    <x v="52"/>
    <n v="1719.08"/>
    <n v="0"/>
    <n v="0"/>
    <n v="0"/>
    <n v="1719.08"/>
    <s v="Dinheiro"/>
    <x v="0"/>
  </r>
  <r>
    <s v="00035"/>
    <x v="228"/>
    <x v="10"/>
    <s v="03/2025"/>
    <d v="2025-03-14T00:00:00"/>
    <x v="52"/>
    <n v="868.80000000000007"/>
    <n v="0"/>
    <n v="0"/>
    <n v="0"/>
    <n v="868.80000000000007"/>
    <s v="Dinheiro"/>
    <x v="0"/>
  </r>
  <r>
    <s v="00182"/>
    <x v="142"/>
    <x v="36"/>
    <s v="03/2025"/>
    <d v="2025-03-14T00:00:00"/>
    <x v="52"/>
    <n v="700"/>
    <n v="0"/>
    <n v="0"/>
    <n v="0"/>
    <n v="700"/>
    <s v="Dinheiro"/>
    <x v="0"/>
  </r>
  <r>
    <s v="00018"/>
    <x v="95"/>
    <x v="37"/>
    <s v="03/2025"/>
    <d v="2025-03-14T00:00:00"/>
    <x v="52"/>
    <n v="500"/>
    <n v="0"/>
    <n v="0"/>
    <n v="0"/>
    <n v="500"/>
    <s v="Dinheiro"/>
    <x v="0"/>
  </r>
  <r>
    <s v="00283"/>
    <x v="99"/>
    <x v="16"/>
    <s v="03/2025"/>
    <d v="2025-03-14T00:00:00"/>
    <x v="52"/>
    <n v="390"/>
    <n v="0"/>
    <n v="0"/>
    <n v="0"/>
    <n v="390"/>
    <s v="Dinheiro"/>
    <x v="0"/>
  </r>
  <r>
    <s v="00109"/>
    <x v="90"/>
    <x v="35"/>
    <s v="03/2025"/>
    <d v="2025-03-14T00:00:00"/>
    <x v="52"/>
    <n v="217.76"/>
    <n v="0"/>
    <n v="0"/>
    <n v="0"/>
    <n v="217.76"/>
    <s v="Dinheiro"/>
    <x v="0"/>
  </r>
  <r>
    <s v="00068"/>
    <x v="98"/>
    <x v="39"/>
    <s v="03/2025"/>
    <d v="2025-03-17T00:00:00"/>
    <x v="53"/>
    <n v="1518"/>
    <n v="0"/>
    <n v="0"/>
    <n v="0"/>
    <n v="1518"/>
    <s v="Dinheiro"/>
    <x v="0"/>
  </r>
  <r>
    <s v="00039"/>
    <x v="92"/>
    <x v="10"/>
    <s v="03/2025"/>
    <d v="2025-03-17T00:00:00"/>
    <x v="53"/>
    <n v="1048.9000000000001"/>
    <n v="0"/>
    <n v="0"/>
    <n v="0"/>
    <n v="1048.9000000000001"/>
    <s v="Dinheiro"/>
    <x v="0"/>
  </r>
  <r>
    <s v="00182"/>
    <x v="142"/>
    <x v="36"/>
    <s v="03/2025"/>
    <d v="2025-03-17T00:00:00"/>
    <x v="53"/>
    <n v="700"/>
    <n v="0"/>
    <n v="0"/>
    <n v="0"/>
    <n v="700"/>
    <s v="Dinheiro"/>
    <x v="0"/>
  </r>
  <r>
    <s v="00079"/>
    <x v="97"/>
    <x v="17"/>
    <s v="03/2025"/>
    <d v="2025-03-17T00:00:00"/>
    <x v="53"/>
    <n v="272.39999999999998"/>
    <n v="0"/>
    <n v="0"/>
    <n v="0"/>
    <n v="272.39999999999998"/>
    <s v="Dinheiro"/>
    <x v="0"/>
  </r>
  <r>
    <s v="00092"/>
    <x v="18"/>
    <x v="8"/>
    <s v="03/2025"/>
    <d v="2025-03-17T00:00:00"/>
    <x v="53"/>
    <n v="262"/>
    <n v="0"/>
    <n v="0"/>
    <n v="0"/>
    <n v="262"/>
    <s v="Dinheiro"/>
    <x v="0"/>
  </r>
  <r>
    <s v="00355"/>
    <x v="83"/>
    <x v="41"/>
    <s v="03/2025"/>
    <d v="2025-03-17T00:00:00"/>
    <x v="53"/>
    <n v="250"/>
    <n v="0"/>
    <n v="0"/>
    <n v="0"/>
    <n v="250"/>
    <s v="Dinheiro"/>
    <x v="0"/>
  </r>
  <r>
    <s v="00272"/>
    <x v="17"/>
    <x v="8"/>
    <s v="03/2025"/>
    <d v="2025-03-17T00:00:00"/>
    <x v="53"/>
    <n v="36"/>
    <n v="0"/>
    <n v="0"/>
    <n v="0"/>
    <n v="36"/>
    <s v="Dinheiro"/>
    <x v="0"/>
  </r>
  <r>
    <s v="00032"/>
    <x v="120"/>
    <x v="45"/>
    <s v="03/2025"/>
    <d v="2025-03-17T00:00:00"/>
    <x v="53"/>
    <n v="91.960000000000008"/>
    <n v="0"/>
    <n v="0"/>
    <n v="0"/>
    <n v="91.960000000000008"/>
    <s v="Dinheiro"/>
    <x v="0"/>
  </r>
  <r>
    <s v="00416"/>
    <x v="184"/>
    <x v="14"/>
    <s v="03/2025"/>
    <d v="2025-03-17T00:00:00"/>
    <x v="53"/>
    <n v="30"/>
    <n v="0"/>
    <n v="0"/>
    <n v="0"/>
    <n v="30"/>
    <s v="Dinheiro"/>
    <x v="0"/>
  </r>
  <r>
    <s v="00425"/>
    <x v="229"/>
    <x v="14"/>
    <s v="03/2025"/>
    <d v="2025-03-17T00:00:00"/>
    <x v="53"/>
    <n v="60"/>
    <n v="0"/>
    <n v="0"/>
    <n v="0"/>
    <n v="60"/>
    <s v="Dinheiro"/>
    <x v="0"/>
  </r>
  <r>
    <s v="00411"/>
    <x v="181"/>
    <x v="1"/>
    <s v="03/2025"/>
    <d v="2025-03-17T00:00:00"/>
    <x v="53"/>
    <n v="69.600000000000009"/>
    <n v="0"/>
    <n v="0"/>
    <n v="0"/>
    <n v="69.600000000000009"/>
    <s v="Dinheiro"/>
    <x v="0"/>
  </r>
  <r>
    <s v="00419"/>
    <x v="193"/>
    <x v="64"/>
    <s v="03/2025"/>
    <d v="2025-03-17T00:00:00"/>
    <x v="53"/>
    <n v="50"/>
    <n v="0"/>
    <n v="0"/>
    <n v="0"/>
    <n v="50"/>
    <s v="Dinheiro"/>
    <x v="0"/>
  </r>
  <r>
    <s v="00411"/>
    <x v="181"/>
    <x v="32"/>
    <s v="03/2025"/>
    <d v="2025-03-17T00:00:00"/>
    <x v="53"/>
    <n v="46.910000000000004"/>
    <n v="0"/>
    <n v="0"/>
    <n v="0"/>
    <n v="46.910000000000004"/>
    <s v="Dinheiro"/>
    <x v="0"/>
  </r>
  <r>
    <s v="00416"/>
    <x v="184"/>
    <x v="8"/>
    <s v="03/2025"/>
    <d v="2025-03-17T00:00:00"/>
    <x v="53"/>
    <n v="40"/>
    <n v="0"/>
    <n v="0"/>
    <n v="0"/>
    <n v="40"/>
    <s v="Dinheiro"/>
    <x v="0"/>
  </r>
  <r>
    <s v="00427"/>
    <x v="230"/>
    <x v="14"/>
    <s v="03/2025"/>
    <d v="2025-03-17T00:00:00"/>
    <x v="53"/>
    <n v="30"/>
    <n v="0"/>
    <n v="0"/>
    <n v="0"/>
    <n v="30"/>
    <s v="Dinheiro"/>
    <x v="0"/>
  </r>
  <r>
    <s v="00154"/>
    <x v="12"/>
    <x v="17"/>
    <s v="03/2025"/>
    <d v="2025-03-17T00:00:00"/>
    <x v="53"/>
    <n v="150"/>
    <n v="0"/>
    <n v="0"/>
    <n v="0"/>
    <n v="150"/>
    <s v="Dinheiro"/>
    <x v="0"/>
  </r>
  <r>
    <s v="00411"/>
    <x v="181"/>
    <x v="32"/>
    <s v="03/2025"/>
    <d v="2025-03-17T00:00:00"/>
    <x v="53"/>
    <n v="15.63"/>
    <n v="0"/>
    <n v="0"/>
    <n v="0"/>
    <n v="15.63"/>
    <s v="Dinheiro"/>
    <x v="0"/>
  </r>
  <r>
    <s v="00411"/>
    <x v="181"/>
    <x v="1"/>
    <s v="03/2025"/>
    <d v="2025-03-17T00:00:00"/>
    <x v="53"/>
    <n v="23.2"/>
    <n v="0"/>
    <n v="0"/>
    <n v="0"/>
    <n v="23.2"/>
    <s v="Dinheiro"/>
    <x v="0"/>
  </r>
  <r>
    <s v="00257"/>
    <x v="9"/>
    <x v="8"/>
    <s v="03/2025"/>
    <d v="2025-03-17T00:00:00"/>
    <x v="53"/>
    <n v="60"/>
    <n v="0"/>
    <n v="0"/>
    <n v="0"/>
    <n v="60"/>
    <s v="Dinheiro"/>
    <x v="0"/>
  </r>
  <r>
    <s v="00427"/>
    <x v="230"/>
    <x v="14"/>
    <s v="03/2025"/>
    <d v="2025-03-17T00:00:00"/>
    <x v="53"/>
    <n v="50"/>
    <n v="0"/>
    <n v="0"/>
    <n v="0"/>
    <n v="50"/>
    <s v="Dinheiro"/>
    <x v="0"/>
  </r>
  <r>
    <s v="00428"/>
    <x v="17"/>
    <x v="8"/>
    <s v="03/2025"/>
    <d v="2025-03-17T00:00:00"/>
    <x v="53"/>
    <n v="400"/>
    <n v="0"/>
    <n v="0"/>
    <n v="0"/>
    <n v="400"/>
    <s v="Dinheiro"/>
    <x v="0"/>
  </r>
  <r>
    <s v="00257"/>
    <x v="9"/>
    <x v="8"/>
    <s v="03/2025"/>
    <d v="2025-03-17T00:00:00"/>
    <x v="53"/>
    <n v="440"/>
    <n v="0"/>
    <n v="0"/>
    <n v="0"/>
    <n v="440"/>
    <s v="Dinheiro"/>
    <x v="0"/>
  </r>
  <r>
    <s v="00363"/>
    <x v="15"/>
    <x v="8"/>
    <s v="03/2025"/>
    <d v="2025-03-17T00:00:00"/>
    <x v="53"/>
    <n v="1550"/>
    <n v="0"/>
    <n v="0"/>
    <n v="0"/>
    <n v="1550"/>
    <s v="Dinheiro"/>
    <x v="0"/>
  </r>
  <r>
    <s v="00364"/>
    <x v="16"/>
    <x v="8"/>
    <s v="03/2025"/>
    <d v="2025-03-17T00:00:00"/>
    <x v="53"/>
    <n v="300"/>
    <n v="0"/>
    <n v="0"/>
    <n v="0"/>
    <n v="300"/>
    <s v="Dinheiro"/>
    <x v="0"/>
  </r>
  <r>
    <s v="00134"/>
    <x v="18"/>
    <x v="8"/>
    <s v="03/2025"/>
    <d v="2025-03-17T00:00:00"/>
    <x v="53"/>
    <n v="1400"/>
    <n v="0"/>
    <n v="0"/>
    <n v="0"/>
    <n v="1400"/>
    <s v="Dinheiro"/>
    <x v="0"/>
  </r>
  <r>
    <s v="00146"/>
    <x v="18"/>
    <x v="8"/>
    <s v="03/2025"/>
    <d v="2025-03-17T00:00:00"/>
    <x v="53"/>
    <n v="300"/>
    <n v="0"/>
    <n v="0"/>
    <n v="0"/>
    <n v="300"/>
    <s v="Dinheiro"/>
    <x v="0"/>
  </r>
  <r>
    <s v="00133"/>
    <x v="24"/>
    <x v="8"/>
    <s v="03/2025"/>
    <d v="2025-03-17T00:00:00"/>
    <x v="53"/>
    <n v="1450"/>
    <n v="0"/>
    <n v="0"/>
    <n v="0"/>
    <n v="1450"/>
    <s v="Dinheiro"/>
    <x v="0"/>
  </r>
  <r>
    <s v="00265"/>
    <x v="72"/>
    <x v="29"/>
    <s v="03/2025"/>
    <d v="2025-03-17T00:00:00"/>
    <x v="53"/>
    <n v="360"/>
    <n v="0"/>
    <n v="0"/>
    <n v="0"/>
    <n v="360"/>
    <s v="Dinheiro"/>
    <x v="0"/>
  </r>
  <r>
    <s v="00416"/>
    <x v="184"/>
    <x v="1"/>
    <s v="03/2025"/>
    <d v="2025-03-17T00:00:00"/>
    <x v="53"/>
    <n v="34.800000000000004"/>
    <n v="0"/>
    <n v="0"/>
    <n v="0"/>
    <n v="34.800000000000004"/>
    <s v="Dinheiro"/>
    <x v="0"/>
  </r>
  <r>
    <s v="00039"/>
    <x v="231"/>
    <x v="9"/>
    <s v="03/2025"/>
    <d v="2025-03-17T00:00:00"/>
    <x v="53"/>
    <n v="214.56"/>
    <n v="0"/>
    <n v="0"/>
    <n v="0"/>
    <n v="214.56"/>
    <s v="Dinheiro"/>
    <x v="0"/>
  </r>
  <r>
    <s v="00416"/>
    <x v="184"/>
    <x v="14"/>
    <s v="03/2025"/>
    <d v="2025-03-17T00:00:00"/>
    <x v="53"/>
    <n v="30"/>
    <n v="0"/>
    <n v="0"/>
    <n v="0"/>
    <n v="30"/>
    <s v="Dinheiro"/>
    <x v="0"/>
  </r>
  <r>
    <s v="00425"/>
    <x v="229"/>
    <x v="14"/>
    <s v="03/2025"/>
    <d v="2025-03-17T00:00:00"/>
    <x v="53"/>
    <n v="30"/>
    <n v="0"/>
    <n v="0"/>
    <n v="0"/>
    <n v="30"/>
    <s v="Dinheiro"/>
    <x v="0"/>
  </r>
  <r>
    <s v="00427"/>
    <x v="230"/>
    <x v="14"/>
    <s v="03/2025"/>
    <d v="2025-03-17T00:00:00"/>
    <x v="53"/>
    <n v="30"/>
    <n v="0"/>
    <n v="0"/>
    <n v="0"/>
    <n v="30"/>
    <s v="Dinheiro"/>
    <x v="0"/>
  </r>
  <r>
    <s v="00416"/>
    <x v="184"/>
    <x v="1"/>
    <s v="03/2025"/>
    <d v="2025-03-17T00:00:00"/>
    <x v="53"/>
    <n v="81.2"/>
    <n v="0"/>
    <n v="0"/>
    <n v="0"/>
    <n v="81.2"/>
    <s v="Dinheiro"/>
    <x v="0"/>
  </r>
  <r>
    <s v="00362"/>
    <x v="7"/>
    <x v="54"/>
    <s v="03/2025"/>
    <d v="2025-03-17T00:00:00"/>
    <x v="53"/>
    <n v="222.02"/>
    <n v="0"/>
    <n v="0"/>
    <n v="0"/>
    <n v="222.02"/>
    <s v="Dinheiro"/>
    <x v="0"/>
  </r>
  <r>
    <s v="00362"/>
    <x v="7"/>
    <x v="3"/>
    <s v="04/2025"/>
    <d v="2025-03-17T00:00:00"/>
    <x v="53"/>
    <n v="2.04"/>
    <n v="0"/>
    <n v="0"/>
    <n v="0"/>
    <n v="2.04"/>
    <s v="Dinheiro"/>
    <x v="0"/>
  </r>
  <r>
    <s v="00362"/>
    <x v="7"/>
    <x v="34"/>
    <s v="03/2025"/>
    <d v="2025-03-17T00:00:00"/>
    <x v="53"/>
    <n v="5472"/>
    <n v="0"/>
    <n v="0"/>
    <n v="0"/>
    <n v="5472"/>
    <s v="Dinheiro"/>
    <x v="0"/>
  </r>
  <r>
    <s v="00438"/>
    <x v="232"/>
    <x v="20"/>
    <s v="03/2025"/>
    <d v="2025-03-17T00:00:00"/>
    <x v="53"/>
    <n v="254"/>
    <n v="0"/>
    <n v="0"/>
    <n v="0"/>
    <n v="254"/>
    <s v="Dinheiro"/>
    <x v="0"/>
  </r>
  <r>
    <s v="00126"/>
    <x v="38"/>
    <x v="19"/>
    <s v="03/2025"/>
    <d v="2025-03-17T00:00:00"/>
    <x v="53"/>
    <n v="3199.28"/>
    <n v="0"/>
    <n v="0"/>
    <n v="0"/>
    <n v="3199.28"/>
    <s v="Dinheiro"/>
    <x v="0"/>
  </r>
  <r>
    <s v="00065"/>
    <x v="92"/>
    <x v="36"/>
    <s v="03/2025"/>
    <d v="2025-03-17T00:00:00"/>
    <x v="53"/>
    <n v="20977.16"/>
    <n v="0"/>
    <n v="0"/>
    <n v="0"/>
    <n v="20977.16"/>
    <s v="Dinheiro"/>
    <x v="0"/>
  </r>
  <r>
    <s v="00364"/>
    <x v="16"/>
    <x v="8"/>
    <s v="03/2025"/>
    <d v="2025-03-17T00:00:00"/>
    <x v="53"/>
    <n v="160"/>
    <n v="0"/>
    <n v="0"/>
    <n v="0"/>
    <n v="160"/>
    <s v="Dinheiro"/>
    <x v="0"/>
  </r>
  <r>
    <s v="00428"/>
    <x v="17"/>
    <x v="8"/>
    <s v="03/2025"/>
    <d v="2025-03-17T00:00:00"/>
    <x v="53"/>
    <n v="36"/>
    <n v="0"/>
    <n v="0"/>
    <n v="0"/>
    <n v="36"/>
    <s v="Dinheiro"/>
    <x v="0"/>
  </r>
  <r>
    <s v="00053"/>
    <x v="138"/>
    <x v="0"/>
    <s v="03/2025"/>
    <d v="2025-03-18T00:00:00"/>
    <x v="54"/>
    <n v="1842.3"/>
    <n v="0"/>
    <n v="0"/>
    <n v="0"/>
    <n v="1842.3"/>
    <s v="Dinheiro"/>
    <x v="0"/>
  </r>
  <r>
    <s v="00053"/>
    <x v="138"/>
    <x v="65"/>
    <s v="03/2025"/>
    <d v="2025-03-18T00:00:00"/>
    <x v="54"/>
    <n v="1365.76"/>
    <n v="0"/>
    <n v="0"/>
    <n v="0"/>
    <n v="1365.76"/>
    <s v="Dinheiro"/>
    <x v="0"/>
  </r>
  <r>
    <s v="00053"/>
    <x v="138"/>
    <x v="0"/>
    <s v="03/2025"/>
    <d v="2025-03-18T00:00:00"/>
    <x v="54"/>
    <n v="1157.7"/>
    <n v="0"/>
    <n v="0"/>
    <n v="0"/>
    <n v="1157.7"/>
    <s v="Dinheiro"/>
    <x v="0"/>
  </r>
  <r>
    <s v="00053"/>
    <x v="138"/>
    <x v="0"/>
    <s v="03/2025"/>
    <d v="2025-03-18T00:00:00"/>
    <x v="54"/>
    <n v="834.24"/>
    <n v="0"/>
    <n v="0"/>
    <n v="0"/>
    <n v="834.24"/>
    <s v="Dinheiro"/>
    <x v="0"/>
  </r>
  <r>
    <s v="00323"/>
    <x v="233"/>
    <x v="37"/>
    <s v="03/2025"/>
    <d v="2025-03-18T00:00:00"/>
    <x v="54"/>
    <n v="38"/>
    <n v="0"/>
    <n v="0"/>
    <n v="0"/>
    <n v="38"/>
    <s v="Dinheiro"/>
    <x v="0"/>
  </r>
  <r>
    <s v="00362"/>
    <x v="7"/>
    <x v="3"/>
    <s v="03/2025"/>
    <d v="2025-03-18T00:00:00"/>
    <x v="54"/>
    <n v="10.200000000000001"/>
    <n v="0"/>
    <n v="0"/>
    <n v="0"/>
    <n v="10.200000000000001"/>
    <s v="Dinheiro"/>
    <x v="0"/>
  </r>
  <r>
    <s v="00048"/>
    <x v="234"/>
    <x v="37"/>
    <s v="03/2025"/>
    <d v="2025-03-18T00:00:00"/>
    <x v="54"/>
    <n v="38"/>
    <n v="0"/>
    <n v="0"/>
    <n v="0"/>
    <n v="38"/>
    <s v="Dinheiro"/>
    <x v="0"/>
  </r>
  <r>
    <s v="00305"/>
    <x v="173"/>
    <x v="29"/>
    <s v="03/2025"/>
    <d v="2025-03-19T00:00:00"/>
    <x v="55"/>
    <n v="240"/>
    <n v="0"/>
    <n v="0"/>
    <n v="0"/>
    <n v="240"/>
    <s v="Dinheiro"/>
    <x v="0"/>
  </r>
  <r>
    <s v="00324"/>
    <x v="235"/>
    <x v="14"/>
    <s v="03/2025"/>
    <d v="2025-03-19T00:00:00"/>
    <x v="55"/>
    <n v="30"/>
    <n v="0"/>
    <n v="0"/>
    <n v="0"/>
    <n v="30"/>
    <s v="Dinheiro"/>
    <x v="0"/>
  </r>
  <r>
    <s v="00072"/>
    <x v="105"/>
    <x v="40"/>
    <s v="03/2025"/>
    <d v="2025-03-20T00:00:00"/>
    <x v="56"/>
    <n v="19665.25"/>
    <n v="0"/>
    <n v="0"/>
    <n v="0"/>
    <n v="19665.25"/>
    <s v="Dinheiro"/>
    <x v="0"/>
  </r>
  <r>
    <s v="00326"/>
    <x v="236"/>
    <x v="34"/>
    <s v="03/2025"/>
    <d v="2025-03-20T00:00:00"/>
    <x v="56"/>
    <n v="2890"/>
    <n v="0"/>
    <n v="0"/>
    <n v="0"/>
    <n v="2890"/>
    <s v="Dinheiro"/>
    <x v="0"/>
  </r>
  <r>
    <s v="00213"/>
    <x v="110"/>
    <x v="34"/>
    <s v="03/2025"/>
    <d v="2025-03-20T00:00:00"/>
    <x v="56"/>
    <n v="2000"/>
    <n v="0"/>
    <n v="0"/>
    <n v="0"/>
    <n v="2000"/>
    <s v="Dinheiro"/>
    <x v="0"/>
  </r>
  <r>
    <s v="00011"/>
    <x v="45"/>
    <x v="16"/>
    <s v="03/2025"/>
    <d v="2025-03-20T00:00:00"/>
    <x v="56"/>
    <n v="941.56000000000006"/>
    <n v="0"/>
    <n v="0"/>
    <n v="0"/>
    <n v="941.56000000000006"/>
    <s v="Dinheiro"/>
    <x v="0"/>
  </r>
  <r>
    <s v="00077"/>
    <x v="237"/>
    <x v="66"/>
    <s v="03/2025"/>
    <d v="2025-03-20T00:00:00"/>
    <x v="56"/>
    <n v="350"/>
    <n v="0"/>
    <n v="0"/>
    <n v="0"/>
    <n v="350"/>
    <s v="Dinheiro"/>
    <x v="0"/>
  </r>
  <r>
    <s v="00011"/>
    <x v="45"/>
    <x v="16"/>
    <s v="03/2025"/>
    <d v="2025-03-20T00:00:00"/>
    <x v="56"/>
    <n v="791.23"/>
    <n v="0"/>
    <n v="0"/>
    <n v="0"/>
    <n v="791.23"/>
    <s v="Dinheiro"/>
    <x v="0"/>
  </r>
  <r>
    <s v="00072"/>
    <x v="105"/>
    <x v="67"/>
    <s v="03/2025"/>
    <d v="2025-03-20T00:00:00"/>
    <x v="56"/>
    <n v="2778.9"/>
    <n v="0"/>
    <n v="0"/>
    <n v="0"/>
    <n v="2778.9"/>
    <s v="Dinheiro"/>
    <x v="0"/>
  </r>
  <r>
    <s v="00022"/>
    <x v="115"/>
    <x v="68"/>
    <s v="03/2025"/>
    <d v="2025-03-20T00:00:00"/>
    <x v="56"/>
    <n v="2809.54"/>
    <n v="0"/>
    <n v="0"/>
    <n v="0"/>
    <n v="2809.54"/>
    <s v="Dinheiro"/>
    <x v="0"/>
  </r>
  <r>
    <s v="00065"/>
    <x v="92"/>
    <x v="10"/>
    <s v="03/2025"/>
    <d v="2025-03-20T00:00:00"/>
    <x v="56"/>
    <n v="7068.92"/>
    <n v="0"/>
    <n v="0"/>
    <n v="0"/>
    <n v="7068.92"/>
    <s v="Dinheiro"/>
    <x v="0"/>
  </r>
  <r>
    <s v="00282"/>
    <x v="11"/>
    <x v="10"/>
    <s v="03/2025"/>
    <d v="2025-03-20T00:00:00"/>
    <x v="56"/>
    <n v="10698.880000000001"/>
    <n v="0"/>
    <n v="0"/>
    <n v="0"/>
    <n v="10698.880000000001"/>
    <s v="Dinheiro"/>
    <x v="0"/>
  </r>
  <r>
    <s v="00282"/>
    <x v="11"/>
    <x v="10"/>
    <s v="03/2025"/>
    <d v="2025-03-20T00:00:00"/>
    <x v="56"/>
    <n v="8368.9500000000007"/>
    <n v="0"/>
    <n v="0"/>
    <n v="0"/>
    <n v="8368.9500000000007"/>
    <s v="Dinheiro"/>
    <x v="0"/>
  </r>
  <r>
    <s v="00362"/>
    <x v="7"/>
    <x v="3"/>
    <s v="03/2025"/>
    <d v="2025-03-20T00:00:00"/>
    <x v="56"/>
    <n v="4.08"/>
    <n v="0"/>
    <n v="0"/>
    <n v="0"/>
    <n v="4.08"/>
    <s v="Dinheiro"/>
    <x v="0"/>
  </r>
  <r>
    <s v="00327"/>
    <x v="238"/>
    <x v="20"/>
    <s v="03/2025"/>
    <d v="2025-03-21T00:00:00"/>
    <x v="57"/>
    <n v="199"/>
    <n v="0"/>
    <n v="0"/>
    <n v="0"/>
    <n v="199"/>
    <s v="Dinheiro"/>
    <x v="0"/>
  </r>
  <r>
    <s v="00111"/>
    <x v="39"/>
    <x v="45"/>
    <s v="03/2025"/>
    <d v="2025-03-21T00:00:00"/>
    <x v="57"/>
    <n v="90"/>
    <n v="0"/>
    <n v="0"/>
    <n v="0"/>
    <n v="90"/>
    <s v="Dinheiro"/>
    <x v="0"/>
  </r>
  <r>
    <s v="00362"/>
    <x v="7"/>
    <x v="3"/>
    <s v="03/2025"/>
    <d v="2025-03-24T00:00:00"/>
    <x v="58"/>
    <n v="2.04"/>
    <n v="0"/>
    <n v="0"/>
    <n v="0"/>
    <n v="2.04"/>
    <s v="Dinheiro"/>
    <x v="0"/>
  </r>
  <r>
    <s v="00389"/>
    <x v="123"/>
    <x v="1"/>
    <s v="03/2025"/>
    <d v="2025-03-24T00:00:00"/>
    <x v="58"/>
    <n v="80"/>
    <n v="0"/>
    <n v="0"/>
    <n v="0"/>
    <n v="80"/>
    <s v="Dinheiro"/>
    <x v="0"/>
  </r>
  <r>
    <s v="00388"/>
    <x v="122"/>
    <x v="14"/>
    <s v="03/2025"/>
    <d v="2025-03-24T00:00:00"/>
    <x v="58"/>
    <n v="80"/>
    <n v="0"/>
    <n v="0"/>
    <n v="0"/>
    <n v="80"/>
    <s v="Dinheiro"/>
    <x v="0"/>
  </r>
  <r>
    <s v="00092"/>
    <x v="18"/>
    <x v="8"/>
    <s v="03/2025"/>
    <d v="2025-03-24T00:00:00"/>
    <x v="58"/>
    <n v="278"/>
    <n v="0"/>
    <n v="0"/>
    <n v="0"/>
    <n v="278"/>
    <s v="Dinheiro"/>
    <x v="0"/>
  </r>
  <r>
    <s v="00362"/>
    <x v="7"/>
    <x v="3"/>
    <s v="03/2025"/>
    <d v="2025-03-25T00:00:00"/>
    <x v="59"/>
    <n v="9.14"/>
    <n v="0"/>
    <n v="0"/>
    <n v="0"/>
    <n v="9.14"/>
    <s v="Dinheiro"/>
    <x v="0"/>
  </r>
  <r>
    <s v="00362"/>
    <x v="7"/>
    <x v="3"/>
    <s v="03/2025"/>
    <d v="2025-03-25T00:00:00"/>
    <x v="59"/>
    <n v="2.04"/>
    <n v="0"/>
    <n v="0"/>
    <n v="0"/>
    <n v="2.04"/>
    <s v="Dinheiro"/>
    <x v="0"/>
  </r>
  <r>
    <s v="00362"/>
    <x v="7"/>
    <x v="48"/>
    <s v="03/2025"/>
    <d v="2025-03-26T00:00:00"/>
    <x v="60"/>
    <n v="21086.03"/>
    <n v="0"/>
    <n v="0"/>
    <n v="0"/>
    <n v="21086.03"/>
    <s v="Dinheiro"/>
    <x v="0"/>
  </r>
  <r>
    <s v="00067"/>
    <x v="132"/>
    <x v="51"/>
    <s v="03/2025"/>
    <d v="2025-03-26T00:00:00"/>
    <x v="60"/>
    <n v="400.35"/>
    <n v="0"/>
    <n v="0"/>
    <n v="0"/>
    <n v="400.35"/>
    <s v="Dinheiro"/>
    <x v="0"/>
  </r>
  <r>
    <s v="00329"/>
    <x v="239"/>
    <x v="28"/>
    <s v="03/2025"/>
    <d v="2025-03-26T00:00:00"/>
    <x v="60"/>
    <n v="69.989999999999995"/>
    <n v="0"/>
    <n v="0"/>
    <n v="0"/>
    <n v="69.989999999999995"/>
    <s v="Dinheiro"/>
    <x v="0"/>
  </r>
  <r>
    <s v="00320"/>
    <x v="240"/>
    <x v="69"/>
    <s v="03/2025"/>
    <d v="2025-03-26T00:00:00"/>
    <x v="60"/>
    <n v="22.92"/>
    <n v="0"/>
    <n v="0"/>
    <n v="0"/>
    <n v="22.92"/>
    <s v="Dinheiro"/>
    <x v="0"/>
  </r>
  <r>
    <s v="00362"/>
    <x v="7"/>
    <x v="3"/>
    <s v="03/2025"/>
    <d v="2025-03-26T00:00:00"/>
    <x v="60"/>
    <n v="4.08"/>
    <n v="0"/>
    <n v="0"/>
    <n v="0"/>
    <n v="4.08"/>
    <s v="Dinheiro"/>
    <x v="0"/>
  </r>
  <r>
    <s v="00362"/>
    <x v="7"/>
    <x v="34"/>
    <s v="03/2025"/>
    <d v="2025-03-26T00:00:00"/>
    <x v="60"/>
    <n v="466.56"/>
    <n v="0"/>
    <n v="0"/>
    <n v="0"/>
    <n v="466.56"/>
    <s v="Dinheiro"/>
    <x v="0"/>
  </r>
  <r>
    <s v="00097"/>
    <x v="21"/>
    <x v="19"/>
    <s v="03/2025"/>
    <d v="2025-03-27T00:00:00"/>
    <x v="61"/>
    <n v="122.72"/>
    <n v="0"/>
    <n v="0"/>
    <n v="0"/>
    <n v="122.72"/>
    <s v="Dinheiro"/>
    <x v="0"/>
  </r>
  <r>
    <s v="00097"/>
    <x v="21"/>
    <x v="19"/>
    <s v="03/2025"/>
    <d v="2025-03-27T00:00:00"/>
    <x v="61"/>
    <n v="258.60000000000002"/>
    <n v="0"/>
    <n v="0"/>
    <n v="0"/>
    <n v="258.60000000000002"/>
    <s v="Dinheiro"/>
    <x v="0"/>
  </r>
  <r>
    <s v="00097"/>
    <x v="21"/>
    <x v="8"/>
    <s v="03/2025"/>
    <d v="2025-03-27T00:00:00"/>
    <x v="61"/>
    <n v="150"/>
    <n v="0"/>
    <n v="0"/>
    <n v="0"/>
    <n v="150"/>
    <s v="Dinheiro"/>
    <x v="0"/>
  </r>
  <r>
    <s v="00362"/>
    <x v="7"/>
    <x v="3"/>
    <s v="03/2025"/>
    <d v="2025-03-28T00:00:00"/>
    <x v="62"/>
    <n v="2.04"/>
    <n v="0"/>
    <n v="0"/>
    <n v="0"/>
    <n v="2.04"/>
    <s v="Dinheiro"/>
    <x v="0"/>
  </r>
  <r>
    <s v="00362"/>
    <x v="7"/>
    <x v="3"/>
    <s v="03/2025"/>
    <d v="2025-03-28T00:00:00"/>
    <x v="62"/>
    <n v="2.04"/>
    <n v="0"/>
    <n v="0"/>
    <n v="0"/>
    <n v="2.04"/>
    <s v="Dinheiro"/>
    <x v="0"/>
  </r>
  <r>
    <s v="00275"/>
    <x v="42"/>
    <x v="1"/>
    <s v="03/2025"/>
    <d v="2025-03-31T00:00:00"/>
    <x v="63"/>
    <n v="518.70000000000005"/>
    <n v="0"/>
    <n v="0"/>
    <n v="0"/>
    <n v="518.70000000000005"/>
    <s v="Dinheiro"/>
    <x v="0"/>
  </r>
  <r>
    <s v="00286"/>
    <x v="117"/>
    <x v="1"/>
    <s v="03/2025"/>
    <d v="2025-03-31T00:00:00"/>
    <x v="63"/>
    <n v="515.20000000000005"/>
    <n v="0"/>
    <n v="0"/>
    <n v="0"/>
    <n v="515.20000000000005"/>
    <s v="Dinheiro"/>
    <x v="0"/>
  </r>
  <r>
    <s v="00309"/>
    <x v="25"/>
    <x v="1"/>
    <s v="03/2025"/>
    <d v="2025-03-31T00:00:00"/>
    <x v="63"/>
    <n v="448.8"/>
    <n v="0"/>
    <n v="0"/>
    <n v="0"/>
    <n v="448.8"/>
    <s v="Dinheiro"/>
    <x v="0"/>
  </r>
  <r>
    <s v="00324"/>
    <x v="235"/>
    <x v="1"/>
    <s v="03/2025"/>
    <d v="2025-03-31T00:00:00"/>
    <x v="63"/>
    <n v="448.8"/>
    <n v="0"/>
    <n v="0"/>
    <n v="0"/>
    <n v="448.8"/>
    <s v="Dinheiro"/>
    <x v="0"/>
  </r>
  <r>
    <s v="00272"/>
    <x v="17"/>
    <x v="1"/>
    <s v="03/2025"/>
    <d v="2025-03-31T00:00:00"/>
    <x v="63"/>
    <n v="428"/>
    <n v="0"/>
    <n v="0"/>
    <n v="0"/>
    <n v="428"/>
    <s v="Dinheiro"/>
    <x v="0"/>
  </r>
  <r>
    <s v="00331"/>
    <x v="241"/>
    <x v="1"/>
    <s v="03/2025"/>
    <d v="2025-03-31T00:00:00"/>
    <x v="63"/>
    <n v="409.40000000000003"/>
    <n v="0"/>
    <n v="0"/>
    <n v="0"/>
    <n v="409.40000000000003"/>
    <s v="Dinheiro"/>
    <x v="0"/>
  </r>
  <r>
    <s v="00190"/>
    <x v="32"/>
    <x v="1"/>
    <s v="03/2025"/>
    <d v="2025-03-31T00:00:00"/>
    <x v="63"/>
    <n v="408"/>
    <n v="0"/>
    <n v="0"/>
    <n v="0"/>
    <n v="408"/>
    <s v="Dinheiro"/>
    <x v="0"/>
  </r>
  <r>
    <s v="00311"/>
    <x v="202"/>
    <x v="1"/>
    <s v="03/2025"/>
    <d v="2025-03-31T00:00:00"/>
    <x v="63"/>
    <n v="382.2"/>
    <n v="0"/>
    <n v="0"/>
    <n v="0"/>
    <n v="382.2"/>
    <s v="Dinheiro"/>
    <x v="0"/>
  </r>
  <r>
    <s v="00301"/>
    <x v="154"/>
    <x v="1"/>
    <s v="03/2025"/>
    <d v="2025-03-31T00:00:00"/>
    <x v="63"/>
    <n v="364"/>
    <n v="0"/>
    <n v="0"/>
    <n v="0"/>
    <n v="364"/>
    <s v="Dinheiro"/>
    <x v="0"/>
  </r>
  <r>
    <s v="00231"/>
    <x v="242"/>
    <x v="1"/>
    <s v="03/2025"/>
    <d v="2025-03-31T00:00:00"/>
    <x v="63"/>
    <n v="345.8"/>
    <n v="0"/>
    <n v="0"/>
    <n v="0"/>
    <n v="345.8"/>
    <s v="Dinheiro"/>
    <x v="0"/>
  </r>
  <r>
    <s v="00280"/>
    <x v="144"/>
    <x v="1"/>
    <s v="03/2025"/>
    <d v="2025-03-31T00:00:00"/>
    <x v="63"/>
    <n v="342.40000000000003"/>
    <n v="0"/>
    <n v="0"/>
    <n v="0"/>
    <n v="342.40000000000003"/>
    <s v="Dinheiro"/>
    <x v="0"/>
  </r>
  <r>
    <s v="00289"/>
    <x v="141"/>
    <x v="1"/>
    <s v="03/2025"/>
    <d v="2025-03-31T00:00:00"/>
    <x v="63"/>
    <n v="309.40000000000003"/>
    <n v="0"/>
    <n v="0"/>
    <n v="0"/>
    <n v="309.40000000000003"/>
    <s v="Dinheiro"/>
    <x v="0"/>
  </r>
  <r>
    <s v="00104"/>
    <x v="243"/>
    <x v="1"/>
    <s v="03/2025"/>
    <d v="2025-03-31T00:00:00"/>
    <x v="63"/>
    <n v="272.8"/>
    <n v="0"/>
    <n v="0"/>
    <n v="0"/>
    <n v="272.8"/>
    <s v="Dinheiro"/>
    <x v="0"/>
  </r>
  <r>
    <s v="00308"/>
    <x v="200"/>
    <x v="1"/>
    <s v="03/2025"/>
    <d v="2025-03-31T00:00:00"/>
    <x v="63"/>
    <n v="255.20000000000002"/>
    <n v="0"/>
    <n v="0"/>
    <n v="0"/>
    <n v="255.20000000000002"/>
    <s v="Dinheiro"/>
    <x v="0"/>
  </r>
  <r>
    <s v="00091"/>
    <x v="31"/>
    <x v="1"/>
    <s v="03/2025"/>
    <d v="2025-03-31T00:00:00"/>
    <x v="63"/>
    <n v="255.20000000000002"/>
    <n v="0"/>
    <n v="0"/>
    <n v="0"/>
    <n v="255.20000000000002"/>
    <s v="Dinheiro"/>
    <x v="0"/>
  </r>
  <r>
    <s v="00332"/>
    <x v="244"/>
    <x v="1"/>
    <s v="03/2025"/>
    <d v="2025-03-31T00:00:00"/>
    <x v="63"/>
    <n v="255.20000000000002"/>
    <n v="0"/>
    <n v="0"/>
    <n v="0"/>
    <n v="255.20000000000002"/>
    <s v="Dinheiro"/>
    <x v="0"/>
  </r>
  <r>
    <s v="00333"/>
    <x v="245"/>
    <x v="1"/>
    <s v="03/2025"/>
    <d v="2025-03-31T00:00:00"/>
    <x v="63"/>
    <n v="232"/>
    <n v="0"/>
    <n v="0"/>
    <n v="0"/>
    <n v="232"/>
    <s v="Dinheiro"/>
    <x v="0"/>
  </r>
  <r>
    <s v="00089"/>
    <x v="37"/>
    <x v="1"/>
    <s v="03/2025"/>
    <d v="2025-03-31T00:00:00"/>
    <x v="63"/>
    <n v="145.9"/>
    <n v="0"/>
    <n v="0"/>
    <n v="0"/>
    <n v="145.9"/>
    <s v="Dinheiro"/>
    <x v="0"/>
  </r>
  <r>
    <s v="00154"/>
    <x v="172"/>
    <x v="38"/>
    <s v="03/2025"/>
    <d v="2025-03-31T00:00:00"/>
    <x v="63"/>
    <n v="97.91"/>
    <n v="0"/>
    <n v="0"/>
    <n v="0"/>
    <n v="97.91"/>
    <s v="Dinheiro"/>
    <x v="0"/>
  </r>
  <r>
    <s v="00111"/>
    <x v="39"/>
    <x v="1"/>
    <s v="03/2025"/>
    <d v="2025-03-31T00:00:00"/>
    <x v="63"/>
    <n v="64.2"/>
    <n v="0"/>
    <n v="0"/>
    <n v="0"/>
    <n v="64.2"/>
    <s v="Dinheiro"/>
    <x v="0"/>
  </r>
  <r>
    <s v="00072"/>
    <x v="105"/>
    <x v="40"/>
    <s v="03/2025"/>
    <d v="2025-03-31T00:00:00"/>
    <x v="63"/>
    <n v="658.61"/>
    <n v="0"/>
    <n v="0"/>
    <n v="0"/>
    <n v="658.61"/>
    <s v="Dinheiro"/>
    <x v="0"/>
  </r>
  <r>
    <s v="00389"/>
    <x v="123"/>
    <x v="1"/>
    <s v="03/2025"/>
    <d v="2025-03-31T00:00:00"/>
    <x v="63"/>
    <n v="20"/>
    <n v="0"/>
    <n v="0"/>
    <n v="0"/>
    <n v="20"/>
    <s v="Dinheiro"/>
    <x v="0"/>
  </r>
  <r>
    <s v="00440"/>
    <x v="246"/>
    <x v="1"/>
    <s v="03/2025"/>
    <d v="2025-03-31T00:00:00"/>
    <x v="63"/>
    <n v="20"/>
    <n v="0"/>
    <n v="0"/>
    <n v="0"/>
    <n v="20"/>
    <s v="Dinheiro"/>
    <x v="0"/>
  </r>
  <r>
    <s v="00362"/>
    <x v="7"/>
    <x v="3"/>
    <s v="03/2025"/>
    <d v="2025-03-31T00:00:00"/>
    <x v="63"/>
    <n v="4.08"/>
    <n v="0"/>
    <n v="0"/>
    <n v="0"/>
    <n v="4.08"/>
    <s v="Dinheiro"/>
    <x v="0"/>
  </r>
  <r>
    <s v="00284"/>
    <x v="162"/>
    <x v="19"/>
    <s v="04/2025"/>
    <d v="2025-04-01T00:00:00"/>
    <x v="64"/>
    <n v="3200.9500000000003"/>
    <n v="0"/>
    <n v="0"/>
    <n v="0"/>
    <n v="3200.9500000000003"/>
    <s v="Dinheiro"/>
    <x v="0"/>
  </r>
  <r>
    <s v="00334"/>
    <x v="247"/>
    <x v="1"/>
    <s v="04/2025"/>
    <d v="2025-04-01T00:00:00"/>
    <x v="64"/>
    <n v="657.80000000000007"/>
    <n v="0"/>
    <n v="0"/>
    <n v="0"/>
    <n v="657.80000000000007"/>
    <s v="Dinheiro"/>
    <x v="0"/>
  </r>
  <r>
    <s v="00310"/>
    <x v="201"/>
    <x v="1"/>
    <s v="04/2025"/>
    <d v="2025-04-01T00:00:00"/>
    <x v="64"/>
    <n v="428"/>
    <n v="0"/>
    <n v="0"/>
    <n v="0"/>
    <n v="428"/>
    <s v="Dinheiro"/>
    <x v="0"/>
  </r>
  <r>
    <s v="00092"/>
    <x v="18"/>
    <x v="1"/>
    <s v="04/2025"/>
    <d v="2025-04-01T00:00:00"/>
    <x v="64"/>
    <n v="321"/>
    <n v="0"/>
    <n v="0"/>
    <n v="0"/>
    <n v="321"/>
    <s v="Dinheiro"/>
    <x v="0"/>
  </r>
  <r>
    <s v="00295"/>
    <x v="143"/>
    <x v="1"/>
    <s v="04/2025"/>
    <d v="2025-04-01T00:00:00"/>
    <x v="64"/>
    <n v="309.7"/>
    <n v="0"/>
    <n v="0"/>
    <n v="0"/>
    <n v="309.7"/>
    <s v="Dinheiro"/>
    <x v="0"/>
  </r>
  <r>
    <s v="00225"/>
    <x v="248"/>
    <x v="1"/>
    <s v="04/2025"/>
    <d v="2025-04-01T00:00:00"/>
    <x v="64"/>
    <n v="309.40000000000003"/>
    <n v="0"/>
    <n v="0"/>
    <n v="0"/>
    <n v="309.40000000000003"/>
    <s v="Dinheiro"/>
    <x v="0"/>
  </r>
  <r>
    <s v="00335"/>
    <x v="249"/>
    <x v="32"/>
    <s v="04/2025"/>
    <d v="2025-04-01T00:00:00"/>
    <x v="64"/>
    <n v="242.4"/>
    <n v="0"/>
    <n v="0"/>
    <n v="0"/>
    <n v="242.4"/>
    <s v="Dinheiro"/>
    <x v="0"/>
  </r>
  <r>
    <s v="00336"/>
    <x v="250"/>
    <x v="28"/>
    <s v="04/2025"/>
    <d v="2025-04-01T00:00:00"/>
    <x v="64"/>
    <n v="50"/>
    <n v="0"/>
    <n v="0"/>
    <n v="0"/>
    <n v="50"/>
    <s v="Dinheiro"/>
    <x v="0"/>
  </r>
  <r>
    <s v="00324"/>
    <x v="124"/>
    <x v="1"/>
    <s v="04/2025"/>
    <d v="2025-04-01T00:00:00"/>
    <x v="64"/>
    <n v="20"/>
    <n v="0"/>
    <n v="0"/>
    <n v="0"/>
    <n v="20"/>
    <s v="Dinheiro"/>
    <x v="0"/>
  </r>
  <r>
    <s v="00362"/>
    <x v="7"/>
    <x v="3"/>
    <s v="04/2025"/>
    <d v="2025-04-01T00:00:00"/>
    <x v="64"/>
    <n v="6.12"/>
    <n v="0"/>
    <n v="0"/>
    <n v="0"/>
    <n v="6.12"/>
    <s v="Dinheiro"/>
    <x v="0"/>
  </r>
  <r>
    <s v="00337"/>
    <x v="251"/>
    <x v="17"/>
    <s v="04/2025"/>
    <d v="2025-04-02T00:00:00"/>
    <x v="65"/>
    <n v="3000"/>
    <n v="0"/>
    <n v="0"/>
    <n v="0"/>
    <n v="3000"/>
    <s v="Dinheiro"/>
    <x v="0"/>
  </r>
  <r>
    <s v="00053"/>
    <x v="138"/>
    <x v="0"/>
    <s v="04/2025"/>
    <d v="2025-04-02T00:00:00"/>
    <x v="65"/>
    <n v="2319.36"/>
    <n v="0"/>
    <n v="0"/>
    <n v="0"/>
    <n v="2319.36"/>
    <s v="Dinheiro"/>
    <x v="0"/>
  </r>
  <r>
    <s v="00053"/>
    <x v="138"/>
    <x v="0"/>
    <s v="04/2025"/>
    <d v="2025-04-02T00:00:00"/>
    <x v="65"/>
    <n v="1302"/>
    <n v="0"/>
    <n v="0"/>
    <n v="0"/>
    <n v="1302"/>
    <s v="Dinheiro"/>
    <x v="0"/>
  </r>
  <r>
    <s v="00053"/>
    <x v="138"/>
    <x v="0"/>
    <s v="04/2025"/>
    <d v="2025-04-02T00:00:00"/>
    <x v="65"/>
    <n v="880.64"/>
    <n v="0"/>
    <n v="0"/>
    <n v="0"/>
    <n v="880.64"/>
    <s v="Dinheiro"/>
    <x v="0"/>
  </r>
  <r>
    <s v="00053"/>
    <x v="138"/>
    <x v="0"/>
    <s v="04/2025"/>
    <d v="2025-04-02T00:00:00"/>
    <x v="65"/>
    <n v="698"/>
    <n v="0"/>
    <n v="0"/>
    <n v="0"/>
    <n v="698"/>
    <s v="Dinheiro"/>
    <x v="0"/>
  </r>
  <r>
    <s v="00362"/>
    <x v="7"/>
    <x v="4"/>
    <s v="04/2025"/>
    <d v="2025-04-02T00:00:00"/>
    <x v="65"/>
    <n v="35"/>
    <n v="0"/>
    <n v="0"/>
    <n v="0"/>
    <n v="35"/>
    <s v="Dinheiro"/>
    <x v="0"/>
  </r>
  <r>
    <s v="00362"/>
    <x v="7"/>
    <x v="6"/>
    <s v="04/2025"/>
    <d v="2025-04-02T00:00:00"/>
    <x v="65"/>
    <n v="407.64"/>
    <n v="0"/>
    <n v="0"/>
    <n v="0"/>
    <n v="407.64"/>
    <s v="Dinheiro"/>
    <x v="0"/>
  </r>
  <r>
    <s v="00011"/>
    <x v="131"/>
    <x v="32"/>
    <s v="04/2025"/>
    <d v="2025-04-02T00:00:00"/>
    <x v="65"/>
    <n v="5849.92"/>
    <n v="0"/>
    <n v="0"/>
    <n v="0"/>
    <n v="5849.92"/>
    <s v="Dinheiro"/>
    <x v="0"/>
  </r>
  <r>
    <s v="00362"/>
    <x v="7"/>
    <x v="6"/>
    <s v="04/2025"/>
    <d v="2025-04-02T00:00:00"/>
    <x v="65"/>
    <n v="120.74000000000001"/>
    <n v="0"/>
    <n v="0"/>
    <n v="0"/>
    <n v="120.74000000000001"/>
    <s v="Dinheiro"/>
    <x v="0"/>
  </r>
  <r>
    <s v="00362"/>
    <x v="7"/>
    <x v="4"/>
    <s v="04/2025"/>
    <d v="2025-04-02T00:00:00"/>
    <x v="65"/>
    <n v="101.68"/>
    <n v="0"/>
    <n v="0"/>
    <n v="0"/>
    <n v="101.68"/>
    <s v="Dinheiro"/>
    <x v="0"/>
  </r>
  <r>
    <s v="00362"/>
    <x v="7"/>
    <x v="4"/>
    <s v="04/2025"/>
    <d v="2025-04-02T00:00:00"/>
    <x v="65"/>
    <n v="61.7"/>
    <n v="0"/>
    <n v="0"/>
    <n v="0"/>
    <n v="61.7"/>
    <s v="Dinheiro"/>
    <x v="0"/>
  </r>
  <r>
    <s v="00043"/>
    <x v="197"/>
    <x v="18"/>
    <s v="04/2025"/>
    <d v="2025-04-03T00:00:00"/>
    <x v="66"/>
    <n v="3246.87"/>
    <n v="0"/>
    <n v="0"/>
    <n v="0"/>
    <n v="3246.87"/>
    <s v="Dinheiro"/>
    <x v="0"/>
  </r>
  <r>
    <s v="00058"/>
    <x v="96"/>
    <x v="38"/>
    <s v="04/2025"/>
    <d v="2025-04-03T00:00:00"/>
    <x v="66"/>
    <n v="350"/>
    <n v="0"/>
    <n v="0"/>
    <n v="0"/>
    <n v="350"/>
    <s v="Dinheiro"/>
    <x v="0"/>
  </r>
  <r>
    <s v="00088"/>
    <x v="29"/>
    <x v="17"/>
    <s v="04/2025"/>
    <d v="2025-04-03T00:00:00"/>
    <x v="66"/>
    <n v="126.41"/>
    <n v="0"/>
    <n v="0"/>
    <n v="0"/>
    <n v="126.41"/>
    <s v="Dinheiro"/>
    <x v="0"/>
  </r>
  <r>
    <s v="00280"/>
    <x v="144"/>
    <x v="15"/>
    <s v="04/2025"/>
    <d v="2025-04-04T00:00:00"/>
    <x v="67"/>
    <n v="1056"/>
    <n v="0"/>
    <n v="0"/>
    <n v="0"/>
    <n v="1056"/>
    <s v="Dinheiro"/>
    <x v="0"/>
  </r>
  <r>
    <s v="00272"/>
    <x v="17"/>
    <x v="55"/>
    <s v="04/2025"/>
    <d v="2025-04-04T00:00:00"/>
    <x v="67"/>
    <n v="1284"/>
    <n v="0"/>
    <n v="0"/>
    <n v="0"/>
    <n v="1284"/>
    <s v="Dinheiro"/>
    <x v="0"/>
  </r>
  <r>
    <s v="00091"/>
    <x v="31"/>
    <x v="15"/>
    <s v="04/2025"/>
    <d v="2025-04-04T00:00:00"/>
    <x v="67"/>
    <n v="1298"/>
    <n v="0"/>
    <n v="0"/>
    <n v="0"/>
    <n v="1298"/>
    <s v="Dinheiro"/>
    <x v="0"/>
  </r>
  <r>
    <s v="00288"/>
    <x v="121"/>
    <x v="15"/>
    <s v="04/2025"/>
    <d v="2025-04-04T00:00:00"/>
    <x v="67"/>
    <n v="1425"/>
    <n v="0"/>
    <n v="0"/>
    <n v="0"/>
    <n v="1425"/>
    <s v="Dinheiro"/>
    <x v="0"/>
  </r>
  <r>
    <s v="00104"/>
    <x v="243"/>
    <x v="15"/>
    <s v="04/2025"/>
    <d v="2025-04-04T00:00:00"/>
    <x v="67"/>
    <n v="1452"/>
    <n v="0"/>
    <n v="0"/>
    <n v="0"/>
    <n v="1452"/>
    <s v="Dinheiro"/>
    <x v="0"/>
  </r>
  <r>
    <s v="00225"/>
    <x v="248"/>
    <x v="15"/>
    <s v="04/2025"/>
    <d v="2025-04-04T00:00:00"/>
    <x v="67"/>
    <n v="1492"/>
    <n v="0"/>
    <n v="0"/>
    <n v="0"/>
    <n v="1492"/>
    <s v="Dinheiro"/>
    <x v="0"/>
  </r>
  <r>
    <s v="00231"/>
    <x v="242"/>
    <x v="15"/>
    <s v="04/2025"/>
    <d v="2025-04-04T00:00:00"/>
    <x v="67"/>
    <n v="1493"/>
    <n v="0"/>
    <n v="0"/>
    <n v="0"/>
    <n v="1493"/>
    <s v="Dinheiro"/>
    <x v="0"/>
  </r>
  <r>
    <s v="00295"/>
    <x v="143"/>
    <x v="15"/>
    <s v="04/2025"/>
    <d v="2025-04-04T00:00:00"/>
    <x v="67"/>
    <n v="1516"/>
    <n v="0"/>
    <n v="0"/>
    <n v="0"/>
    <n v="1516"/>
    <s v="Dinheiro"/>
    <x v="0"/>
  </r>
  <r>
    <s v="00089"/>
    <x v="37"/>
    <x v="15"/>
    <s v="04/2025"/>
    <d v="2025-04-04T00:00:00"/>
    <x v="67"/>
    <n v="1551"/>
    <n v="0"/>
    <n v="0"/>
    <n v="0"/>
    <n v="1551"/>
    <s v="Dinheiro"/>
    <x v="0"/>
  </r>
  <r>
    <s v="00133"/>
    <x v="30"/>
    <x v="15"/>
    <s v="04/2025"/>
    <d v="2025-04-04T00:00:00"/>
    <x v="67"/>
    <n v="1557"/>
    <n v="0"/>
    <n v="0"/>
    <n v="0"/>
    <n v="1557"/>
    <s v="Dinheiro"/>
    <x v="0"/>
  </r>
  <r>
    <s v="00286"/>
    <x v="117"/>
    <x v="15"/>
    <s v="04/2025"/>
    <d v="2025-04-04T00:00:00"/>
    <x v="67"/>
    <n v="1622"/>
    <n v="0"/>
    <n v="0"/>
    <n v="0"/>
    <n v="1622"/>
    <s v="Dinheiro"/>
    <x v="0"/>
  </r>
  <r>
    <s v="00092"/>
    <x v="18"/>
    <x v="15"/>
    <s v="04/2025"/>
    <d v="2025-04-04T00:00:00"/>
    <x v="67"/>
    <n v="1659"/>
    <n v="0"/>
    <n v="0"/>
    <n v="0"/>
    <n v="1659"/>
    <s v="Dinheiro"/>
    <x v="0"/>
  </r>
  <r>
    <s v="00111"/>
    <x v="39"/>
    <x v="15"/>
    <s v="04/2025"/>
    <d v="2025-04-04T00:00:00"/>
    <x v="67"/>
    <n v="1722"/>
    <n v="0"/>
    <n v="0"/>
    <n v="0"/>
    <n v="1722"/>
    <s v="Dinheiro"/>
    <x v="0"/>
  </r>
  <r>
    <s v="00190"/>
    <x v="32"/>
    <x v="15"/>
    <s v="04/2025"/>
    <d v="2025-04-04T00:00:00"/>
    <x v="67"/>
    <n v="2148"/>
    <n v="0"/>
    <n v="0"/>
    <n v="0"/>
    <n v="2148"/>
    <s v="Dinheiro"/>
    <x v="0"/>
  </r>
  <r>
    <s v="00111"/>
    <x v="39"/>
    <x v="31"/>
    <s v="04/2025"/>
    <d v="2025-04-04T00:00:00"/>
    <x v="67"/>
    <n v="2457.4500000000003"/>
    <n v="0"/>
    <n v="0"/>
    <n v="0"/>
    <n v="2457.4500000000003"/>
    <s v="Dinheiro"/>
    <x v="0"/>
  </r>
  <r>
    <s v="00285"/>
    <x v="23"/>
    <x v="15"/>
    <s v="04/2025"/>
    <d v="2025-04-04T00:00:00"/>
    <x v="67"/>
    <n v="2746"/>
    <n v="0"/>
    <n v="0"/>
    <n v="0"/>
    <n v="2746"/>
    <s v="Dinheiro"/>
    <x v="0"/>
  </r>
  <r>
    <s v="00309"/>
    <x v="25"/>
    <x v="15"/>
    <s v="04/2025"/>
    <d v="2025-04-04T00:00:00"/>
    <x v="67"/>
    <n v="1760"/>
    <n v="0"/>
    <n v="0"/>
    <n v="0"/>
    <n v="1760"/>
    <s v="Dinheiro"/>
    <x v="0"/>
  </r>
  <r>
    <s v="00275"/>
    <x v="42"/>
    <x v="15"/>
    <s v="04/2025"/>
    <d v="2025-04-04T00:00:00"/>
    <x v="67"/>
    <n v="1728"/>
    <n v="0"/>
    <n v="0"/>
    <n v="0"/>
    <n v="1728"/>
    <s v="Dinheiro"/>
    <x v="0"/>
  </r>
  <r>
    <s v="00310"/>
    <x v="201"/>
    <x v="15"/>
    <s v="04/2025"/>
    <d v="2025-04-04T00:00:00"/>
    <x v="67"/>
    <n v="1728"/>
    <n v="0"/>
    <n v="0"/>
    <n v="0"/>
    <n v="1728"/>
    <s v="Dinheiro"/>
    <x v="0"/>
  </r>
  <r>
    <s v="00301"/>
    <x v="154"/>
    <x v="15"/>
    <s v="04/2025"/>
    <d v="2025-04-04T00:00:00"/>
    <x v="67"/>
    <n v="1648"/>
    <n v="0"/>
    <n v="0"/>
    <n v="0"/>
    <n v="1648"/>
    <s v="Dinheiro"/>
    <x v="0"/>
  </r>
  <r>
    <s v="00289"/>
    <x v="141"/>
    <x v="15"/>
    <s v="04/2025"/>
    <d v="2025-04-04T00:00:00"/>
    <x v="67"/>
    <n v="1518"/>
    <n v="0"/>
    <n v="0"/>
    <n v="0"/>
    <n v="1518"/>
    <s v="Dinheiro"/>
    <x v="0"/>
  </r>
  <r>
    <s v="00338"/>
    <x v="252"/>
    <x v="15"/>
    <s v="04/2025"/>
    <d v="2025-04-04T00:00:00"/>
    <x v="67"/>
    <n v="390"/>
    <n v="0"/>
    <n v="0"/>
    <n v="0"/>
    <n v="390"/>
    <s v="Dinheiro"/>
    <x v="0"/>
  </r>
  <r>
    <s v="00333"/>
    <x v="245"/>
    <x v="15"/>
    <s v="04/2025"/>
    <d v="2025-04-04T00:00:00"/>
    <x v="67"/>
    <n v="390"/>
    <n v="0"/>
    <n v="0"/>
    <n v="0"/>
    <n v="390"/>
    <s v="Dinheiro"/>
    <x v="0"/>
  </r>
  <r>
    <s v="00319"/>
    <x v="27"/>
    <x v="16"/>
    <s v="04/2025"/>
    <d v="2025-04-04T00:00:00"/>
    <x v="67"/>
    <n v="1381.38"/>
    <n v="0"/>
    <n v="0"/>
    <n v="0"/>
    <n v="1381.38"/>
    <s v="Dinheiro"/>
    <x v="0"/>
  </r>
  <r>
    <s v="00053"/>
    <x v="138"/>
    <x v="0"/>
    <s v="04/2025"/>
    <d v="2025-04-04T00:00:00"/>
    <x v="67"/>
    <n v="1905.75"/>
    <n v="0"/>
    <n v="0"/>
    <n v="0"/>
    <n v="1905.75"/>
    <s v="Dinheiro"/>
    <x v="0"/>
  </r>
  <r>
    <s v="00150"/>
    <x v="167"/>
    <x v="9"/>
    <s v="04/2025"/>
    <d v="2025-04-07T00:00:00"/>
    <x v="68"/>
    <n v="500"/>
    <n v="0"/>
    <n v="0"/>
    <n v="0"/>
    <n v="500"/>
    <s v="Dinheiro"/>
    <x v="0"/>
  </r>
  <r>
    <s v="00324"/>
    <x v="235"/>
    <x v="15"/>
    <s v="04/2025"/>
    <d v="2025-04-07T00:00:00"/>
    <x v="68"/>
    <n v="724.62"/>
    <n v="0"/>
    <n v="0"/>
    <n v="0"/>
    <n v="724.62"/>
    <s v="Dinheiro"/>
    <x v="0"/>
  </r>
  <r>
    <s v="00335"/>
    <x v="249"/>
    <x v="15"/>
    <s v="04/2025"/>
    <d v="2025-04-07T00:00:00"/>
    <x v="68"/>
    <n v="1702.02"/>
    <n v="0"/>
    <n v="0"/>
    <n v="0"/>
    <n v="1702.02"/>
    <s v="Dinheiro"/>
    <x v="0"/>
  </r>
  <r>
    <s v="00311"/>
    <x v="202"/>
    <x v="15"/>
    <s v="04/2025"/>
    <d v="2025-04-07T00:00:00"/>
    <x v="68"/>
    <n v="1596"/>
    <n v="0"/>
    <n v="0"/>
    <n v="0"/>
    <n v="1596"/>
    <s v="Dinheiro"/>
    <x v="0"/>
  </r>
  <r>
    <s v="00362"/>
    <x v="7"/>
    <x v="3"/>
    <s v="04/2025"/>
    <d v="2025-04-07T00:00:00"/>
    <x v="68"/>
    <n v="2.04"/>
    <n v="0"/>
    <n v="0"/>
    <n v="0"/>
    <n v="2.04"/>
    <s v="Dinheiro"/>
    <x v="0"/>
  </r>
  <r>
    <s v="00362"/>
    <x v="7"/>
    <x v="54"/>
    <s v="04/2025"/>
    <d v="2025-04-07T00:00:00"/>
    <x v="68"/>
    <n v="135.35"/>
    <n v="0"/>
    <n v="0"/>
    <n v="0"/>
    <n v="135.35"/>
    <s v="Dinheiro"/>
    <x v="0"/>
  </r>
  <r>
    <s v="00043"/>
    <x v="197"/>
    <x v="18"/>
    <s v="04/2025"/>
    <d v="2025-04-07T00:00:00"/>
    <x v="68"/>
    <n v="3023.33"/>
    <n v="0"/>
    <n v="0"/>
    <n v="0"/>
    <n v="3023.33"/>
    <s v="Dinheiro"/>
    <x v="0"/>
  </r>
  <r>
    <s v="00362"/>
    <x v="7"/>
    <x v="3"/>
    <s v="04/2025"/>
    <d v="2025-04-07T00:00:00"/>
    <x v="68"/>
    <n v="110.16"/>
    <n v="0"/>
    <n v="0"/>
    <n v="0"/>
    <n v="110.16"/>
    <s v="Dinheiro"/>
    <x v="0"/>
  </r>
  <r>
    <s v="00362"/>
    <x v="7"/>
    <x v="3"/>
    <s v="04/2025"/>
    <d v="2025-04-08T00:00:00"/>
    <x v="69"/>
    <n v="48.96"/>
    <n v="0"/>
    <n v="0"/>
    <n v="0"/>
    <n v="48.96"/>
    <s v="Dinheiro"/>
    <x v="0"/>
  </r>
  <r>
    <s v="00098"/>
    <x v="8"/>
    <x v="17"/>
    <s v="04/2025"/>
    <d v="2025-04-08T00:00:00"/>
    <x v="69"/>
    <n v="405.76"/>
    <n v="0"/>
    <n v="0"/>
    <n v="0"/>
    <n v="405.76"/>
    <s v="Dinheiro"/>
    <x v="0"/>
  </r>
  <r>
    <s v="00362"/>
    <x v="7"/>
    <x v="3"/>
    <s v="04/2025"/>
    <d v="2025-04-08T00:00:00"/>
    <x v="69"/>
    <n v="159.12"/>
    <n v="0"/>
    <n v="0"/>
    <n v="0"/>
    <n v="159.12"/>
    <s v="Dinheiro"/>
    <x v="0"/>
  </r>
  <r>
    <s v="00170"/>
    <x v="253"/>
    <x v="70"/>
    <s v="04/2025"/>
    <d v="2025-04-09T00:00:00"/>
    <x v="70"/>
    <n v="119.34"/>
    <n v="0"/>
    <n v="0"/>
    <n v="0"/>
    <n v="119.34"/>
    <s v="Dinheiro"/>
    <x v="0"/>
  </r>
  <r>
    <s v="00100"/>
    <x v="145"/>
    <x v="17"/>
    <s v="04/2025"/>
    <d v="2025-04-09T00:00:00"/>
    <x v="70"/>
    <n v="207.95000000000002"/>
    <n v="0"/>
    <n v="0"/>
    <n v="0"/>
    <n v="207.95000000000002"/>
    <s v="Dinheiro"/>
    <x v="0"/>
  </r>
  <r>
    <s v="00607"/>
    <x v="52"/>
    <x v="16"/>
    <s v="04/2025"/>
    <d v="2025-04-09T00:00:00"/>
    <x v="70"/>
    <n v="209.81"/>
    <n v="0"/>
    <n v="0"/>
    <n v="0"/>
    <n v="209.81"/>
    <s v="Dinheiro"/>
    <x v="0"/>
  </r>
  <r>
    <s v="00025"/>
    <x v="51"/>
    <x v="2"/>
    <s v="04/2025"/>
    <d v="2025-04-09T00:00:00"/>
    <x v="70"/>
    <n v="363.76"/>
    <n v="0"/>
    <n v="0"/>
    <n v="0"/>
    <n v="363.76"/>
    <s v="Dinheiro"/>
    <x v="0"/>
  </r>
  <r>
    <s v="00101"/>
    <x v="171"/>
    <x v="58"/>
    <s v="04/2025"/>
    <d v="2025-04-09T00:00:00"/>
    <x v="70"/>
    <n v="605"/>
    <n v="0"/>
    <n v="0"/>
    <n v="0"/>
    <n v="605"/>
    <s v="Dinheiro"/>
    <x v="0"/>
  </r>
  <r>
    <s v="00035"/>
    <x v="228"/>
    <x v="22"/>
    <s v="04/2025"/>
    <d v="2025-04-09T00:00:00"/>
    <x v="70"/>
    <n v="1062.5"/>
    <n v="0"/>
    <n v="0"/>
    <n v="0"/>
    <n v="1062.5"/>
    <s v="Dinheiro"/>
    <x v="0"/>
  </r>
  <r>
    <s v="00015"/>
    <x v="50"/>
    <x v="23"/>
    <s v="04/2025"/>
    <d v="2025-04-09T00:00:00"/>
    <x v="70"/>
    <n v="1782.33"/>
    <n v="0"/>
    <n v="0"/>
    <n v="0"/>
    <n v="1782.33"/>
    <s v="Dinheiro"/>
    <x v="0"/>
  </r>
  <r>
    <s v="00227"/>
    <x v="81"/>
    <x v="17"/>
    <s v="04/2025"/>
    <d v="2025-04-09T00:00:00"/>
    <x v="70"/>
    <n v="3036"/>
    <n v="0"/>
    <n v="0"/>
    <n v="0"/>
    <n v="3036"/>
    <s v="Dinheiro"/>
    <x v="0"/>
  </r>
  <r>
    <s v="00085"/>
    <x v="49"/>
    <x v="22"/>
    <s v="04/2025"/>
    <d v="2025-04-09T00:00:00"/>
    <x v="70"/>
    <n v="10676.98"/>
    <n v="0"/>
    <n v="0"/>
    <n v="0"/>
    <n v="10676.98"/>
    <s v="Dinheiro"/>
    <x v="0"/>
  </r>
  <r>
    <s v="00009"/>
    <x v="53"/>
    <x v="24"/>
    <s v="04/2025"/>
    <d v="2025-04-09T00:00:00"/>
    <x v="70"/>
    <n v="29955.31"/>
    <n v="0"/>
    <n v="0"/>
    <n v="0"/>
    <n v="29955.31"/>
    <s v="Dinheiro"/>
    <x v="0"/>
  </r>
  <r>
    <s v="00362"/>
    <x v="7"/>
    <x v="3"/>
    <s v="04/2025"/>
    <d v="2025-04-09T00:00:00"/>
    <x v="70"/>
    <n v="989.4"/>
    <n v="0"/>
    <n v="0"/>
    <n v="0"/>
    <n v="989.4"/>
    <s v="Dinheiro"/>
    <x v="0"/>
  </r>
  <r>
    <s v="00312"/>
    <x v="87"/>
    <x v="29"/>
    <s v="04/2025"/>
    <d v="2025-04-10T00:00:00"/>
    <x v="71"/>
    <n v="2280"/>
    <n v="0"/>
    <n v="0"/>
    <n v="0"/>
    <n v="2280"/>
    <s v="Dinheiro"/>
    <x v="0"/>
  </r>
  <r>
    <s v="00300"/>
    <x v="72"/>
    <x v="29"/>
    <s v="04/2025"/>
    <d v="2025-04-10T00:00:00"/>
    <x v="71"/>
    <n v="2136"/>
    <n v="0"/>
    <n v="0"/>
    <n v="0"/>
    <n v="2136"/>
    <s v="Dinheiro"/>
    <x v="0"/>
  </r>
  <r>
    <s v="00176"/>
    <x v="158"/>
    <x v="29"/>
    <s v="04/2025"/>
    <d v="2025-04-10T00:00:00"/>
    <x v="71"/>
    <n v="2320"/>
    <n v="0"/>
    <n v="0"/>
    <n v="0"/>
    <n v="2320"/>
    <s v="Dinheiro"/>
    <x v="0"/>
  </r>
  <r>
    <s v="00131"/>
    <x v="208"/>
    <x v="29"/>
    <s v="04/2025"/>
    <d v="2025-04-10T00:00:00"/>
    <x v="71"/>
    <n v="2960"/>
    <n v="0"/>
    <n v="0"/>
    <n v="0"/>
    <n v="2960"/>
    <s v="Dinheiro"/>
    <x v="0"/>
  </r>
  <r>
    <s v="00285"/>
    <x v="23"/>
    <x v="29"/>
    <s v="04/2025"/>
    <d v="2025-04-10T00:00:00"/>
    <x v="71"/>
    <n v="2740"/>
    <n v="0"/>
    <n v="0"/>
    <n v="0"/>
    <n v="2740"/>
    <s v="Dinheiro"/>
    <x v="0"/>
  </r>
  <r>
    <s v="00190"/>
    <x v="32"/>
    <x v="8"/>
    <s v="04/2025"/>
    <d v="2025-04-10T00:00:00"/>
    <x v="71"/>
    <n v="3110"/>
    <n v="0"/>
    <n v="0"/>
    <n v="0"/>
    <n v="3110"/>
    <s v="Dinheiro"/>
    <x v="0"/>
  </r>
  <r>
    <s v="00362"/>
    <x v="7"/>
    <x v="3"/>
    <s v="04/2025"/>
    <d v="2025-04-10T00:00:00"/>
    <x v="71"/>
    <n v="18.28"/>
    <n v="0"/>
    <n v="0"/>
    <n v="0"/>
    <n v="18.28"/>
    <s v="Dinheiro"/>
    <x v="0"/>
  </r>
  <r>
    <s v="00341"/>
    <x v="254"/>
    <x v="30"/>
    <s v="04/2025"/>
    <d v="2025-04-10T00:00:00"/>
    <x v="71"/>
    <n v="160"/>
    <n v="0"/>
    <n v="0"/>
    <n v="0"/>
    <n v="160"/>
    <s v="Dinheiro"/>
    <x v="0"/>
  </r>
  <r>
    <s v="00280"/>
    <x v="144"/>
    <x v="8"/>
    <s v="04/2025"/>
    <d v="2025-04-10T00:00:00"/>
    <x v="71"/>
    <n v="490"/>
    <n v="0"/>
    <n v="0"/>
    <n v="0"/>
    <n v="490"/>
    <s v="Dinheiro"/>
    <x v="0"/>
  </r>
  <r>
    <s v="00342"/>
    <x v="255"/>
    <x v="29"/>
    <s v="04/2025"/>
    <d v="2025-04-10T00:00:00"/>
    <x v="71"/>
    <n v="640"/>
    <n v="0"/>
    <n v="0"/>
    <n v="0"/>
    <n v="640"/>
    <s v="Dinheiro"/>
    <x v="0"/>
  </r>
  <r>
    <s v="00202"/>
    <x v="157"/>
    <x v="29"/>
    <s v="04/2025"/>
    <d v="2025-04-10T00:00:00"/>
    <x v="71"/>
    <n v="720"/>
    <n v="0"/>
    <n v="0"/>
    <n v="0"/>
    <n v="720"/>
    <s v="Dinheiro"/>
    <x v="0"/>
  </r>
  <r>
    <s v="00343"/>
    <x v="256"/>
    <x v="29"/>
    <s v="04/2025"/>
    <d v="2025-04-10T00:00:00"/>
    <x v="71"/>
    <n v="720"/>
    <n v="0"/>
    <n v="0"/>
    <n v="0"/>
    <n v="720"/>
    <s v="Dinheiro"/>
    <x v="0"/>
  </r>
  <r>
    <s v="00241"/>
    <x v="62"/>
    <x v="29"/>
    <s v="04/2025"/>
    <d v="2025-04-10T00:00:00"/>
    <x v="71"/>
    <n v="800"/>
    <n v="0"/>
    <n v="0"/>
    <n v="0"/>
    <n v="800"/>
    <s v="Dinheiro"/>
    <x v="0"/>
  </r>
  <r>
    <s v="00145"/>
    <x v="71"/>
    <x v="29"/>
    <s v="04/2025"/>
    <d v="2025-04-10T00:00:00"/>
    <x v="71"/>
    <n v="880"/>
    <n v="0"/>
    <n v="0"/>
    <n v="0"/>
    <n v="880"/>
    <s v="Dinheiro"/>
    <x v="0"/>
  </r>
  <r>
    <s v="00344"/>
    <x v="217"/>
    <x v="29"/>
    <s v="04/2025"/>
    <d v="2025-04-10T00:00:00"/>
    <x v="71"/>
    <n v="880"/>
    <n v="0"/>
    <n v="0"/>
    <n v="0"/>
    <n v="880"/>
    <s v="Dinheiro"/>
    <x v="0"/>
  </r>
  <r>
    <s v="00129"/>
    <x v="211"/>
    <x v="29"/>
    <s v="04/2025"/>
    <d v="2025-04-10T00:00:00"/>
    <x v="71"/>
    <n v="880"/>
    <n v="0"/>
    <n v="0"/>
    <n v="0"/>
    <n v="880"/>
    <s v="Dinheiro"/>
    <x v="0"/>
  </r>
  <r>
    <s v="00313"/>
    <x v="210"/>
    <x v="29"/>
    <s v="04/2025"/>
    <d v="2025-04-10T00:00:00"/>
    <x v="71"/>
    <n v="1360"/>
    <n v="0"/>
    <n v="0"/>
    <n v="0"/>
    <n v="1360"/>
    <s v="Dinheiro"/>
    <x v="0"/>
  </r>
  <r>
    <s v="00311"/>
    <x v="202"/>
    <x v="29"/>
    <s v="04/2025"/>
    <d v="2025-04-10T00:00:00"/>
    <x v="71"/>
    <n v="1600"/>
    <n v="0"/>
    <n v="0"/>
    <n v="0"/>
    <n v="1600"/>
    <s v="Dinheiro"/>
    <x v="0"/>
  </r>
  <r>
    <s v="00132"/>
    <x v="209"/>
    <x v="29"/>
    <s v="04/2025"/>
    <d v="2025-04-10T00:00:00"/>
    <x v="71"/>
    <n v="1760"/>
    <n v="0"/>
    <n v="0"/>
    <n v="0"/>
    <n v="1760"/>
    <s v="Dinheiro"/>
    <x v="0"/>
  </r>
  <r>
    <s v="00180"/>
    <x v="60"/>
    <x v="30"/>
    <s v="04/2025"/>
    <d v="2025-04-10T00:00:00"/>
    <x v="71"/>
    <n v="1580"/>
    <n v="0"/>
    <n v="0"/>
    <n v="0"/>
    <n v="1580"/>
    <s v="Dinheiro"/>
    <x v="0"/>
  </r>
  <r>
    <s v="00433"/>
    <x v="214"/>
    <x v="30"/>
    <s v="04/2025"/>
    <d v="2025-04-10T00:00:00"/>
    <x v="71"/>
    <n v="640"/>
    <n v="0"/>
    <n v="0"/>
    <n v="0"/>
    <n v="640"/>
    <s v="Dinheiro"/>
    <x v="0"/>
  </r>
  <r>
    <s v="00190"/>
    <x v="70"/>
    <x v="30"/>
    <s v="04/2025"/>
    <d v="2025-04-10T00:00:00"/>
    <x v="71"/>
    <n v="1792.2"/>
    <n v="0"/>
    <n v="0"/>
    <n v="0"/>
    <n v="1792.2"/>
    <s v="Dinheiro"/>
    <x v="0"/>
  </r>
  <r>
    <s v="00187"/>
    <x v="71"/>
    <x v="30"/>
    <s v="04/2025"/>
    <d v="2025-04-10T00:00:00"/>
    <x v="71"/>
    <n v="160"/>
    <n v="0"/>
    <n v="0"/>
    <n v="0"/>
    <n v="160"/>
    <s v="Dinheiro"/>
    <x v="0"/>
  </r>
  <r>
    <s v="00232"/>
    <x v="65"/>
    <x v="29"/>
    <s v="04/2025"/>
    <d v="2025-04-10T00:00:00"/>
    <x v="71"/>
    <n v="800"/>
    <n v="0"/>
    <n v="0"/>
    <n v="0"/>
    <n v="800"/>
    <s v="Dinheiro"/>
    <x v="0"/>
  </r>
  <r>
    <s v="00449"/>
    <x v="257"/>
    <x v="30"/>
    <s v="04/2025"/>
    <d v="2025-04-10T00:00:00"/>
    <x v="71"/>
    <n v="960"/>
    <n v="0"/>
    <n v="0"/>
    <n v="0"/>
    <n v="960"/>
    <s v="Dinheiro"/>
    <x v="0"/>
  </r>
  <r>
    <s v="00450"/>
    <x v="221"/>
    <x v="30"/>
    <s v="04/2025"/>
    <d v="2025-04-10T00:00:00"/>
    <x v="71"/>
    <n v="1040"/>
    <n v="0"/>
    <n v="0"/>
    <n v="0"/>
    <n v="1040"/>
    <s v="Dinheiro"/>
    <x v="0"/>
  </r>
  <r>
    <s v="00432"/>
    <x v="213"/>
    <x v="30"/>
    <s v="04/2025"/>
    <d v="2025-04-10T00:00:00"/>
    <x v="71"/>
    <n v="1120"/>
    <n v="0"/>
    <n v="0"/>
    <n v="0"/>
    <n v="1120"/>
    <s v="Dinheiro"/>
    <x v="0"/>
  </r>
  <r>
    <s v="00451"/>
    <x v="258"/>
    <x v="30"/>
    <s v="04/2025"/>
    <d v="2025-04-10T00:00:00"/>
    <x v="71"/>
    <n v="240"/>
    <n v="0"/>
    <n v="0"/>
    <n v="0"/>
    <n v="240"/>
    <s v="Dinheiro"/>
    <x v="0"/>
  </r>
  <r>
    <s v="00237"/>
    <x v="80"/>
    <x v="30"/>
    <s v="04/2025"/>
    <d v="2025-04-10T00:00:00"/>
    <x v="71"/>
    <n v="240"/>
    <n v="0"/>
    <n v="0"/>
    <n v="0"/>
    <n v="240"/>
    <s v="Dinheiro"/>
    <x v="0"/>
  </r>
  <r>
    <s v="00452"/>
    <x v="76"/>
    <x v="30"/>
    <s v="04/2025"/>
    <d v="2025-04-10T00:00:00"/>
    <x v="71"/>
    <n v="640"/>
    <n v="0"/>
    <n v="0"/>
    <n v="0"/>
    <n v="640"/>
    <s v="Dinheiro"/>
    <x v="0"/>
  </r>
  <r>
    <s v="00188"/>
    <x v="75"/>
    <x v="30"/>
    <s v="04/2025"/>
    <d v="2025-04-10T00:00:00"/>
    <x v="71"/>
    <n v="2480"/>
    <n v="0"/>
    <n v="0"/>
    <n v="0"/>
    <n v="2480"/>
    <s v="Dinheiro"/>
    <x v="0"/>
  </r>
  <r>
    <s v="00280"/>
    <x v="73"/>
    <x v="29"/>
    <s v="04/2025"/>
    <d v="2025-04-10T00:00:00"/>
    <x v="71"/>
    <n v="880"/>
    <n v="0"/>
    <n v="0"/>
    <n v="0"/>
    <n v="880"/>
    <s v="Dinheiro"/>
    <x v="0"/>
  </r>
  <r>
    <s v="00453"/>
    <x v="218"/>
    <x v="30"/>
    <s v="04/2025"/>
    <d v="2025-04-10T00:00:00"/>
    <x v="71"/>
    <n v="2278.4"/>
    <n v="0"/>
    <n v="0"/>
    <n v="0"/>
    <n v="2278.4"/>
    <s v="Dinheiro"/>
    <x v="0"/>
  </r>
  <r>
    <s v="00353"/>
    <x v="61"/>
    <x v="30"/>
    <s v="04/2025"/>
    <d v="2025-04-10T00:00:00"/>
    <x v="71"/>
    <n v="3500"/>
    <n v="0"/>
    <n v="0"/>
    <n v="0"/>
    <n v="3500"/>
    <s v="Dinheiro"/>
    <x v="0"/>
  </r>
  <r>
    <s v="00362"/>
    <x v="7"/>
    <x v="3"/>
    <s v="04/2025"/>
    <d v="2025-04-10T00:00:00"/>
    <x v="71"/>
    <n v="4.08"/>
    <n v="0"/>
    <n v="0"/>
    <n v="0"/>
    <n v="4.08"/>
    <s v="Dinheiro"/>
    <x v="0"/>
  </r>
  <r>
    <s v="00287"/>
    <x v="15"/>
    <x v="19"/>
    <s v="04/2025"/>
    <d v="2025-04-11T00:00:00"/>
    <x v="72"/>
    <n v="2255.4299999999998"/>
    <n v="0"/>
    <n v="0"/>
    <n v="0"/>
    <n v="2255.4299999999998"/>
    <s v="Dinheiro"/>
    <x v="0"/>
  </r>
  <r>
    <s v="00121"/>
    <x v="56"/>
    <x v="26"/>
    <s v="04/2025"/>
    <d v="2025-04-11T00:00:00"/>
    <x v="72"/>
    <n v="1303.98"/>
    <n v="0"/>
    <n v="0"/>
    <n v="0"/>
    <n v="1303.98"/>
    <s v="Dinheiro"/>
    <x v="0"/>
  </r>
  <r>
    <s v="00315"/>
    <x v="67"/>
    <x v="30"/>
    <s v="04/2025"/>
    <d v="2025-04-11T00:00:00"/>
    <x v="72"/>
    <n v="1120"/>
    <n v="0"/>
    <n v="0"/>
    <n v="0"/>
    <n v="1120"/>
    <s v="Dinheiro"/>
    <x v="0"/>
  </r>
  <r>
    <s v="00355"/>
    <x v="83"/>
    <x v="29"/>
    <s v="04/2025"/>
    <d v="2025-04-11T00:00:00"/>
    <x v="72"/>
    <n v="800"/>
    <n v="0"/>
    <n v="0"/>
    <n v="0"/>
    <n v="800"/>
    <s v="Dinheiro"/>
    <x v="0"/>
  </r>
  <r>
    <s v="00287"/>
    <x v="15"/>
    <x v="46"/>
    <s v="04/2025"/>
    <d v="2025-04-11T00:00:00"/>
    <x v="72"/>
    <n v="158.06"/>
    <n v="0"/>
    <n v="0"/>
    <n v="0"/>
    <n v="158.06"/>
    <s v="Dinheiro"/>
    <x v="0"/>
  </r>
  <r>
    <s v="00345"/>
    <x v="259"/>
    <x v="28"/>
    <s v="04/2025"/>
    <d v="2025-04-11T00:00:00"/>
    <x v="72"/>
    <n v="99"/>
    <n v="0"/>
    <n v="0"/>
    <n v="0"/>
    <n v="99"/>
    <s v="Dinheiro"/>
    <x v="0"/>
  </r>
  <r>
    <s v="00301"/>
    <x v="154"/>
    <x v="46"/>
    <s v="04/2025"/>
    <d v="2025-04-11T00:00:00"/>
    <x v="72"/>
    <n v="30.5"/>
    <n v="0"/>
    <n v="0"/>
    <n v="0"/>
    <n v="30.5"/>
    <s v="Dinheiro"/>
    <x v="0"/>
  </r>
  <r>
    <s v="00324"/>
    <x v="124"/>
    <x v="17"/>
    <s v="04/2025"/>
    <d v="2025-04-11T00:00:00"/>
    <x v="72"/>
    <n v="200"/>
    <n v="0"/>
    <n v="0"/>
    <n v="0"/>
    <n v="200"/>
    <s v="Dinheiro"/>
    <x v="0"/>
  </r>
  <r>
    <s v="00389"/>
    <x v="123"/>
    <x v="52"/>
    <s v="04/2025"/>
    <d v="2025-04-11T00:00:00"/>
    <x v="72"/>
    <n v="200"/>
    <n v="0"/>
    <n v="0"/>
    <n v="0"/>
    <n v="200"/>
    <s v="Dinheiro"/>
    <x v="0"/>
  </r>
  <r>
    <s v="00455"/>
    <x v="220"/>
    <x v="30"/>
    <s v="04/2025"/>
    <d v="2025-04-11T00:00:00"/>
    <x v="72"/>
    <n v="800"/>
    <n v="0"/>
    <n v="0"/>
    <n v="0"/>
    <n v="800"/>
    <s v="Dinheiro"/>
    <x v="0"/>
  </r>
  <r>
    <s v="00456"/>
    <x v="260"/>
    <x v="30"/>
    <s v="04/2025"/>
    <d v="2025-04-11T00:00:00"/>
    <x v="72"/>
    <n v="1130"/>
    <n v="0"/>
    <n v="0"/>
    <n v="0"/>
    <n v="1130"/>
    <s v="Dinheiro"/>
    <x v="0"/>
  </r>
  <r>
    <s v="00457"/>
    <x v="219"/>
    <x v="30"/>
    <s v="04/2025"/>
    <d v="2025-04-11T00:00:00"/>
    <x v="72"/>
    <n v="2000"/>
    <n v="0"/>
    <n v="0"/>
    <n v="0"/>
    <n v="2000"/>
    <s v="Dinheiro"/>
    <x v="0"/>
  </r>
  <r>
    <s v="00362"/>
    <x v="7"/>
    <x v="3"/>
    <s v="04/2025"/>
    <d v="2025-04-11T00:00:00"/>
    <x v="72"/>
    <n v="4.08"/>
    <n v="0"/>
    <n v="0"/>
    <n v="0"/>
    <n v="4.08"/>
    <s v="Dinheiro"/>
    <x v="0"/>
  </r>
  <r>
    <s v="00190"/>
    <x v="70"/>
    <x v="30"/>
    <s v="04/2025"/>
    <d v="2025-04-14T00:00:00"/>
    <x v="73"/>
    <n v="188"/>
    <n v="0"/>
    <n v="0"/>
    <n v="0"/>
    <n v="188"/>
    <s v="Dinheiro"/>
    <x v="0"/>
  </r>
  <r>
    <s v="00458"/>
    <x v="261"/>
    <x v="20"/>
    <s v="04/2025"/>
    <d v="2025-04-14T00:00:00"/>
    <x v="73"/>
    <n v="200"/>
    <n v="0"/>
    <n v="0"/>
    <n v="0"/>
    <n v="200"/>
    <s v="Dinheiro"/>
    <x v="0"/>
  </r>
  <r>
    <s v="00459"/>
    <x v="262"/>
    <x v="30"/>
    <s v="04/2025"/>
    <d v="2025-04-14T00:00:00"/>
    <x v="73"/>
    <n v="720"/>
    <n v="0"/>
    <n v="0"/>
    <n v="0"/>
    <n v="720"/>
    <s v="Dinheiro"/>
    <x v="0"/>
  </r>
  <r>
    <s v="00106"/>
    <x v="6"/>
    <x v="61"/>
    <s v="04/2025"/>
    <d v="2025-04-14T00:00:00"/>
    <x v="73"/>
    <n v="290"/>
    <n v="0"/>
    <n v="0"/>
    <n v="0"/>
    <n v="290"/>
    <s v="Dinheiro"/>
    <x v="0"/>
  </r>
  <r>
    <s v="00006"/>
    <x v="137"/>
    <x v="53"/>
    <s v="04/2025"/>
    <d v="2025-04-14T00:00:00"/>
    <x v="73"/>
    <n v="1553.3600000000001"/>
    <n v="0"/>
    <n v="0"/>
    <n v="0"/>
    <n v="1553.3600000000001"/>
    <s v="Dinheiro"/>
    <x v="0"/>
  </r>
  <r>
    <s v="00460"/>
    <x v="244"/>
    <x v="15"/>
    <s v="04/2025"/>
    <d v="2025-04-14T00:00:00"/>
    <x v="73"/>
    <n v="129.12"/>
    <n v="0"/>
    <n v="0"/>
    <n v="0"/>
    <n v="129.12"/>
    <s v="Dinheiro"/>
    <x v="0"/>
  </r>
  <r>
    <s v="00461"/>
    <x v="130"/>
    <x v="71"/>
    <s v="04/2025"/>
    <d v="2025-04-14T00:00:00"/>
    <x v="73"/>
    <n v="2671"/>
    <n v="0"/>
    <n v="0"/>
    <n v="0"/>
    <n v="2671"/>
    <s v="Banco Investimentos"/>
    <x v="0"/>
  </r>
  <r>
    <s v="00342"/>
    <x v="263"/>
    <x v="30"/>
    <s v="04/2025"/>
    <d v="2025-04-14T00:00:00"/>
    <x v="73"/>
    <n v="320"/>
    <n v="0"/>
    <n v="0"/>
    <n v="0"/>
    <n v="320"/>
    <s v="Dinheiro"/>
    <x v="0"/>
  </r>
  <r>
    <s v="00282"/>
    <x v="11"/>
    <x v="10"/>
    <s v="04/2025"/>
    <d v="2025-04-14T00:00:00"/>
    <x v="73"/>
    <n v="10491.98"/>
    <n v="0"/>
    <n v="0"/>
    <n v="0"/>
    <n v="10491.98"/>
    <s v="Dinheiro"/>
    <x v="0"/>
  </r>
  <r>
    <s v="00065"/>
    <x v="92"/>
    <x v="10"/>
    <s v="04/2025"/>
    <d v="2025-04-14T00:00:00"/>
    <x v="73"/>
    <n v="1049.2"/>
    <n v="0"/>
    <n v="0"/>
    <n v="0"/>
    <n v="1049.2"/>
    <s v="Dinheiro"/>
    <x v="0"/>
  </r>
  <r>
    <s v="00302"/>
    <x v="96"/>
    <x v="38"/>
    <s v="04/2025"/>
    <d v="2025-04-14T00:00:00"/>
    <x v="73"/>
    <n v="298"/>
    <n v="0"/>
    <n v="0"/>
    <n v="0"/>
    <n v="298"/>
    <s v="Dinheiro"/>
    <x v="0"/>
  </r>
  <r>
    <s v="00048"/>
    <x v="234"/>
    <x v="37"/>
    <s v="04/2025"/>
    <d v="2025-04-14T00:00:00"/>
    <x v="73"/>
    <n v="114"/>
    <n v="0"/>
    <n v="0"/>
    <n v="0"/>
    <n v="114"/>
    <s v="Dinheiro"/>
    <x v="0"/>
  </r>
  <r>
    <s v="00362"/>
    <x v="7"/>
    <x v="34"/>
    <s v="04/2025"/>
    <d v="2025-04-14T00:00:00"/>
    <x v="73"/>
    <n v="5552"/>
    <n v="0"/>
    <n v="0"/>
    <n v="0"/>
    <n v="5552"/>
    <s v="Dinheiro"/>
    <x v="0"/>
  </r>
  <r>
    <s v="00362"/>
    <x v="7"/>
    <x v="3"/>
    <s v="04/2025"/>
    <d v="2025-04-15T00:00:00"/>
    <x v="74"/>
    <n v="648.94000000000005"/>
    <n v="0"/>
    <n v="0"/>
    <n v="0"/>
    <n v="648.94000000000005"/>
    <s v="Dinheiro"/>
    <x v="0"/>
  </r>
  <r>
    <s v="00287"/>
    <x v="15"/>
    <x v="8"/>
    <s v="04/2025"/>
    <d v="2025-04-15T00:00:00"/>
    <x v="74"/>
    <n v="120"/>
    <n v="0"/>
    <n v="0"/>
    <n v="0"/>
    <n v="120"/>
    <s v="Dinheiro"/>
    <x v="0"/>
  </r>
  <r>
    <s v="00381"/>
    <x v="99"/>
    <x v="26"/>
    <s v="04/2025"/>
    <d v="2025-04-15T00:00:00"/>
    <x v="74"/>
    <n v="390"/>
    <n v="0"/>
    <n v="0"/>
    <n v="0"/>
    <n v="390"/>
    <s v="Dinheiro"/>
    <x v="0"/>
  </r>
  <r>
    <s v="00109"/>
    <x v="90"/>
    <x v="35"/>
    <s v="04/2025"/>
    <d v="2025-04-15T00:00:00"/>
    <x v="74"/>
    <n v="217.76"/>
    <n v="0"/>
    <n v="0"/>
    <n v="0"/>
    <n v="217.76"/>
    <s v="Dinheiro"/>
    <x v="0"/>
  </r>
  <r>
    <s v="00018"/>
    <x v="95"/>
    <x v="37"/>
    <s v="04/2025"/>
    <d v="2025-04-15T00:00:00"/>
    <x v="74"/>
    <n v="500"/>
    <n v="0"/>
    <n v="0"/>
    <n v="0"/>
    <n v="500"/>
    <s v="Dinheiro"/>
    <x v="0"/>
  </r>
  <r>
    <s v="00282"/>
    <x v="11"/>
    <x v="10"/>
    <s v="04/2025"/>
    <d v="2025-04-15T00:00:00"/>
    <x v="74"/>
    <n v="8204.7000000000007"/>
    <n v="0"/>
    <n v="0"/>
    <n v="0"/>
    <n v="8204.7000000000007"/>
    <s v="Dinheiro"/>
    <x v="0"/>
  </r>
  <r>
    <s v="00065"/>
    <x v="92"/>
    <x v="36"/>
    <s v="04/2025"/>
    <d v="2025-04-15T00:00:00"/>
    <x v="74"/>
    <n v="21353.96"/>
    <n v="0"/>
    <n v="0"/>
    <n v="0"/>
    <n v="21353.96"/>
    <s v="Dinheiro"/>
    <x v="0"/>
  </r>
  <r>
    <s v="00103"/>
    <x v="97"/>
    <x v="72"/>
    <s v="04/2025"/>
    <d v="2025-04-15T00:00:00"/>
    <x v="74"/>
    <n v="132"/>
    <n v="0"/>
    <n v="0"/>
    <n v="0"/>
    <n v="132"/>
    <s v="Dinheiro"/>
    <x v="0"/>
  </r>
  <r>
    <s v="00102"/>
    <x v="84"/>
    <x v="10"/>
    <s v="04/2025"/>
    <d v="2025-04-15T00:00:00"/>
    <x v="74"/>
    <n v="868.6"/>
    <n v="0"/>
    <n v="0"/>
    <n v="0"/>
    <n v="868.6"/>
    <s v="Dinheiro"/>
    <x v="0"/>
  </r>
  <r>
    <s v="00102"/>
    <x v="84"/>
    <x v="36"/>
    <s v="04/2025"/>
    <d v="2025-04-15T00:00:00"/>
    <x v="74"/>
    <n v="2125"/>
    <n v="0"/>
    <n v="0"/>
    <n v="0"/>
    <n v="2125"/>
    <s v="Dinheiro"/>
    <x v="0"/>
  </r>
  <r>
    <s v="00362"/>
    <x v="7"/>
    <x v="54"/>
    <s v="04/2025"/>
    <d v="2025-04-15T00:00:00"/>
    <x v="74"/>
    <n v="222.02"/>
    <n v="0"/>
    <n v="0"/>
    <n v="0"/>
    <n v="222.02"/>
    <s v="Dinheiro"/>
    <x v="0"/>
  </r>
  <r>
    <s v="00362"/>
    <x v="7"/>
    <x v="3"/>
    <s v="04/2025"/>
    <d v="2025-04-15T00:00:00"/>
    <x v="74"/>
    <n v="4.08"/>
    <n v="0"/>
    <n v="0"/>
    <n v="0"/>
    <n v="4.08"/>
    <s v="Dinheiro"/>
    <x v="0"/>
  </r>
  <r>
    <s v="00039"/>
    <x v="92"/>
    <x v="10"/>
    <s v="04/2025"/>
    <d v="2025-04-16T00:00:00"/>
    <x v="75"/>
    <n v="7068.81"/>
    <n v="0"/>
    <n v="0"/>
    <n v="0"/>
    <n v="7068.81"/>
    <s v="Dinheiro"/>
    <x v="0"/>
  </r>
  <r>
    <s v="00068"/>
    <x v="98"/>
    <x v="39"/>
    <s v="04/2025"/>
    <d v="2025-04-16T00:00:00"/>
    <x v="75"/>
    <n v="1548.8600000000001"/>
    <n v="0"/>
    <n v="0"/>
    <n v="0"/>
    <n v="1548.8600000000001"/>
    <s v="Dinheiro"/>
    <x v="0"/>
  </r>
  <r>
    <s v="00006"/>
    <x v="137"/>
    <x v="53"/>
    <s v="04/2025"/>
    <d v="2025-04-16T00:00:00"/>
    <x v="75"/>
    <n v="1524.01"/>
    <n v="0"/>
    <n v="0"/>
    <n v="0"/>
    <n v="1524.01"/>
    <s v="Dinheiro"/>
    <x v="0"/>
  </r>
  <r>
    <s v="00277"/>
    <x v="47"/>
    <x v="16"/>
    <s v="04/2025"/>
    <d v="2025-04-16T00:00:00"/>
    <x v="75"/>
    <n v="354.01"/>
    <n v="0"/>
    <n v="0"/>
    <n v="0"/>
    <n v="354.01"/>
    <s v="Dinheiro"/>
    <x v="0"/>
  </r>
  <r>
    <s v="00032"/>
    <x v="120"/>
    <x v="45"/>
    <s v="04/2025"/>
    <d v="2025-04-04T00:00:00"/>
    <x v="75"/>
    <n v="41.980000000000004"/>
    <n v="0"/>
    <n v="0"/>
    <n v="0"/>
    <n v="41.980000000000004"/>
    <s v="Dinheiro"/>
    <x v="0"/>
  </r>
  <r>
    <s v="00416"/>
    <x v="184"/>
    <x v="8"/>
    <s v="04/2025"/>
    <d v="2025-04-16T00:00:00"/>
    <x v="75"/>
    <n v="40"/>
    <n v="0"/>
    <n v="0"/>
    <n v="0"/>
    <n v="40"/>
    <s v="Dinheiro"/>
    <x v="0"/>
  </r>
  <r>
    <s v="00133"/>
    <x v="24"/>
    <x v="8"/>
    <s v="04/2025"/>
    <d v="2025-04-16T00:00:00"/>
    <x v="75"/>
    <n v="218"/>
    <n v="0"/>
    <n v="0"/>
    <n v="0"/>
    <n v="218"/>
    <s v="Dinheiro"/>
    <x v="0"/>
  </r>
  <r>
    <s v="00442"/>
    <x v="264"/>
    <x v="1"/>
    <s v="04/2025"/>
    <d v="2025-04-16T00:00:00"/>
    <x v="75"/>
    <n v="81.600000000000009"/>
    <n v="0"/>
    <n v="0"/>
    <n v="0"/>
    <n v="81.600000000000009"/>
    <s v="Dinheiro"/>
    <x v="0"/>
  </r>
  <r>
    <s v="00442"/>
    <x v="264"/>
    <x v="32"/>
    <s v="04/2025"/>
    <d v="2025-04-16T00:00:00"/>
    <x v="75"/>
    <n v="32.32"/>
    <n v="0"/>
    <n v="0"/>
    <n v="0"/>
    <n v="32.32"/>
    <s v="Dinheiro"/>
    <x v="0"/>
  </r>
  <r>
    <s v="00443"/>
    <x v="265"/>
    <x v="17"/>
    <s v="04/2025"/>
    <d v="2025-04-04T00:00:00"/>
    <x v="75"/>
    <n v="60"/>
    <n v="0"/>
    <n v="0"/>
    <n v="0"/>
    <n v="60"/>
    <s v="Dinheiro"/>
    <x v="0"/>
  </r>
  <r>
    <s v="00444"/>
    <x v="266"/>
    <x v="27"/>
    <s v="04/2025"/>
    <d v="2025-04-01T00:00:00"/>
    <x v="75"/>
    <n v="4"/>
    <n v="0"/>
    <n v="0"/>
    <n v="0"/>
    <n v="4"/>
    <s v="Dinheiro"/>
    <x v="0"/>
  </r>
  <r>
    <s v="00032"/>
    <x v="120"/>
    <x v="45"/>
    <s v="04/2025"/>
    <d v="2025-04-01T00:00:00"/>
    <x v="75"/>
    <n v="45.980000000000004"/>
    <n v="0"/>
    <n v="0"/>
    <n v="0"/>
    <n v="45.980000000000004"/>
    <s v="Dinheiro"/>
    <x v="0"/>
  </r>
  <r>
    <s v="00082"/>
    <x v="100"/>
    <x v="57"/>
    <s v="04/2025"/>
    <d v="2025-04-01T00:00:00"/>
    <x v="75"/>
    <n v="87"/>
    <n v="0"/>
    <n v="0"/>
    <n v="0"/>
    <n v="87"/>
    <s v="Dinheiro"/>
    <x v="0"/>
  </r>
  <r>
    <s v="00445"/>
    <x v="267"/>
    <x v="47"/>
    <s v="04/2025"/>
    <d v="2025-04-02T00:00:00"/>
    <x v="75"/>
    <n v="98"/>
    <n v="0"/>
    <n v="0"/>
    <n v="0"/>
    <n v="98"/>
    <s v="Dinheiro"/>
    <x v="0"/>
  </r>
  <r>
    <s v="00324"/>
    <x v="124"/>
    <x v="14"/>
    <s v="04/2025"/>
    <d v="2025-04-01T00:00:00"/>
    <x v="75"/>
    <n v="60"/>
    <n v="0"/>
    <n v="0"/>
    <n v="0"/>
    <n v="60"/>
    <s v="Dinheiro"/>
    <x v="0"/>
  </r>
  <r>
    <s v="00389"/>
    <x v="123"/>
    <x v="1"/>
    <s v="04/2025"/>
    <d v="2025-04-01T00:00:00"/>
    <x v="75"/>
    <n v="100"/>
    <n v="0"/>
    <n v="0"/>
    <n v="0"/>
    <n v="100"/>
    <s v="Dinheiro"/>
    <x v="0"/>
  </r>
  <r>
    <s v="00440"/>
    <x v="246"/>
    <x v="52"/>
    <s v="04/2025"/>
    <d v="2025-04-01T00:00:00"/>
    <x v="75"/>
    <n v="50"/>
    <n v="0"/>
    <n v="0"/>
    <n v="0"/>
    <n v="50"/>
    <s v="Dinheiro"/>
    <x v="0"/>
  </r>
  <r>
    <s v="00368"/>
    <x v="94"/>
    <x v="5"/>
    <s v="04/2025"/>
    <d v="2025-04-03T00:00:00"/>
    <x v="75"/>
    <n v="35"/>
    <n v="0"/>
    <n v="0"/>
    <n v="0"/>
    <n v="35"/>
    <s v="Dinheiro"/>
    <x v="0"/>
  </r>
  <r>
    <s v="00032"/>
    <x v="120"/>
    <x v="45"/>
    <s v="04/2025"/>
    <d v="2025-04-04T00:00:00"/>
    <x v="75"/>
    <n v="41.980000000000004"/>
    <n v="0"/>
    <n v="0"/>
    <n v="0"/>
    <n v="41.980000000000004"/>
    <s v="Dinheiro"/>
    <x v="0"/>
  </r>
  <r>
    <s v="00397"/>
    <x v="152"/>
    <x v="38"/>
    <s v="04/2025"/>
    <d v="2025-04-04T00:00:00"/>
    <x v="75"/>
    <n v="60"/>
    <n v="0"/>
    <n v="0"/>
    <n v="0"/>
    <n v="60"/>
    <s v="Dinheiro"/>
    <x v="0"/>
  </r>
  <r>
    <s v="00416"/>
    <x v="184"/>
    <x v="15"/>
    <s v="04/2025"/>
    <d v="2025-04-04T00:00:00"/>
    <x v="75"/>
    <n v="1668"/>
    <n v="0"/>
    <n v="0"/>
    <n v="0"/>
    <n v="1668"/>
    <s v="Dinheiro"/>
    <x v="0"/>
  </r>
  <r>
    <s v="00403"/>
    <x v="160"/>
    <x v="9"/>
    <s v="04/2025"/>
    <d v="2025-04-04T00:00:00"/>
    <x v="75"/>
    <n v="500"/>
    <n v="0"/>
    <n v="0"/>
    <n v="0"/>
    <n v="500"/>
    <s v="Dinheiro"/>
    <x v="0"/>
  </r>
  <r>
    <s v="00446"/>
    <x v="268"/>
    <x v="14"/>
    <s v="04/2025"/>
    <d v="2025-04-10T00:00:00"/>
    <x v="75"/>
    <n v="30"/>
    <n v="0"/>
    <n v="0"/>
    <n v="0"/>
    <n v="30"/>
    <s v="Dinheiro"/>
    <x v="0"/>
  </r>
  <r>
    <s v="00442"/>
    <x v="264"/>
    <x v="1"/>
    <s v="04/2025"/>
    <d v="2025-04-11T00:00:00"/>
    <x v="75"/>
    <n v="102"/>
    <n v="0"/>
    <n v="0"/>
    <n v="0"/>
    <n v="102"/>
    <s v="Dinheiro"/>
    <x v="0"/>
  </r>
  <r>
    <s v="00442"/>
    <x v="264"/>
    <x v="32"/>
    <s v="04/2025"/>
    <d v="2025-04-11T00:00:00"/>
    <x v="75"/>
    <n v="40.4"/>
    <n v="0"/>
    <n v="0"/>
    <n v="0"/>
    <n v="40.4"/>
    <s v="Dinheiro"/>
    <x v="0"/>
  </r>
  <r>
    <s v="00447"/>
    <x v="247"/>
    <x v="32"/>
    <s v="04/2025"/>
    <d v="2025-04-11T00:00:00"/>
    <x v="75"/>
    <n v="242"/>
    <n v="0"/>
    <n v="0"/>
    <n v="0"/>
    <n v="242"/>
    <s v="Dinheiro"/>
    <x v="0"/>
  </r>
  <r>
    <s v="00416"/>
    <x v="184"/>
    <x v="8"/>
    <s v="04/2025"/>
    <d v="2025-04-10T00:00:00"/>
    <x v="75"/>
    <n v="440"/>
    <n v="0"/>
    <n v="0"/>
    <n v="0"/>
    <n v="440"/>
    <s v="Dinheiro"/>
    <x v="0"/>
  </r>
  <r>
    <s v="00133"/>
    <x v="24"/>
    <x v="8"/>
    <s v="04/2025"/>
    <d v="2025-04-10T00:00:00"/>
    <x v="75"/>
    <n v="600"/>
    <n v="0"/>
    <n v="0"/>
    <n v="0"/>
    <n v="600"/>
    <s v="Dinheiro"/>
    <x v="0"/>
  </r>
  <r>
    <s v="00448"/>
    <x v="269"/>
    <x v="14"/>
    <s v="04/2025"/>
    <d v="2025-04-05T00:00:00"/>
    <x v="75"/>
    <n v="30"/>
    <n v="0"/>
    <n v="0"/>
    <n v="0"/>
    <n v="30"/>
    <s v="Dinheiro"/>
    <x v="0"/>
  </r>
  <r>
    <s v="00448"/>
    <x v="269"/>
    <x v="14"/>
    <s v="04/2025"/>
    <d v="2025-04-05T00:00:00"/>
    <x v="75"/>
    <n v="30"/>
    <n v="0"/>
    <n v="0"/>
    <n v="0"/>
    <n v="30"/>
    <s v="Dinheiro"/>
    <x v="0"/>
  </r>
  <r>
    <s v="00446"/>
    <x v="268"/>
    <x v="14"/>
    <s v="04/2024"/>
    <d v="2024-04-05T00:00:00"/>
    <x v="75"/>
    <n v="30"/>
    <n v="0"/>
    <n v="0"/>
    <n v="0"/>
    <n v="30"/>
    <s v="Dinheiro"/>
    <x v="0"/>
  </r>
  <r>
    <s v="00446"/>
    <x v="268"/>
    <x v="14"/>
    <s v="04/2025"/>
    <d v="2025-04-05T00:00:00"/>
    <x v="75"/>
    <n v="30"/>
    <n v="0"/>
    <n v="0"/>
    <n v="0"/>
    <n v="30"/>
    <s v="Dinheiro"/>
    <x v="0"/>
  </r>
  <r>
    <s v="00448"/>
    <x v="269"/>
    <x v="14"/>
    <s v="04/2025"/>
    <d v="2025-04-07T00:00:00"/>
    <x v="75"/>
    <n v="30"/>
    <n v="0"/>
    <n v="0"/>
    <n v="0"/>
    <n v="30"/>
    <s v="Dinheiro"/>
    <x v="0"/>
  </r>
  <r>
    <s v="00134"/>
    <x v="18"/>
    <x v="8"/>
    <s v="04/2025"/>
    <d v="2025-04-03T00:00:00"/>
    <x v="75"/>
    <n v="40"/>
    <n v="0"/>
    <n v="0"/>
    <n v="0"/>
    <n v="40"/>
    <s v="Dinheiro"/>
    <x v="0"/>
  </r>
  <r>
    <s v="00134"/>
    <x v="18"/>
    <x v="8"/>
    <s v="04/2025"/>
    <d v="2025-04-07T00:00:00"/>
    <x v="75"/>
    <n v="36"/>
    <n v="0"/>
    <n v="0"/>
    <n v="0"/>
    <n v="36"/>
    <s v="Dinheiro"/>
    <x v="0"/>
  </r>
  <r>
    <s v="00133"/>
    <x v="24"/>
    <x v="8"/>
    <s v="04/2025"/>
    <d v="2025-04-07T00:00:00"/>
    <x v="75"/>
    <n v="40"/>
    <n v="0"/>
    <n v="0"/>
    <n v="0"/>
    <n v="40"/>
    <s v="Dinheiro"/>
    <x v="0"/>
  </r>
  <r>
    <s v="00134"/>
    <x v="18"/>
    <x v="8"/>
    <s v="04/2025"/>
    <d v="2025-04-07T00:00:00"/>
    <x v="75"/>
    <n v="226"/>
    <n v="0"/>
    <n v="0"/>
    <n v="0"/>
    <n v="226"/>
    <s v="Dinheiro"/>
    <x v="0"/>
  </r>
  <r>
    <s v="00364"/>
    <x v="16"/>
    <x v="8"/>
    <s v="04/2025"/>
    <d v="2025-04-07T00:00:00"/>
    <x v="75"/>
    <n v="340"/>
    <n v="0"/>
    <n v="0"/>
    <n v="0"/>
    <n v="340"/>
    <s v="Dinheiro"/>
    <x v="0"/>
  </r>
  <r>
    <s v="00368"/>
    <x v="94"/>
    <x v="25"/>
    <s v="04/2025"/>
    <d v="2025-04-10T00:00:00"/>
    <x v="75"/>
    <n v="19"/>
    <n v="0"/>
    <n v="0"/>
    <n v="0"/>
    <n v="19"/>
    <s v="Dinheiro"/>
    <x v="0"/>
  </r>
  <r>
    <s v="00376"/>
    <x v="113"/>
    <x v="8"/>
    <s v="04/2025"/>
    <d v="2025-04-10T00:00:00"/>
    <x v="75"/>
    <n v="600"/>
    <n v="0"/>
    <n v="0"/>
    <n v="0"/>
    <n v="600"/>
    <s v="Dinheiro"/>
    <x v="0"/>
  </r>
  <r>
    <s v="00143"/>
    <x v="18"/>
    <x v="8"/>
    <s v="04/2025"/>
    <d v="2025-04-10T00:00:00"/>
    <x v="75"/>
    <n v="1240"/>
    <n v="0"/>
    <n v="0"/>
    <n v="0"/>
    <n v="1240"/>
    <s v="Dinheiro"/>
    <x v="0"/>
  </r>
  <r>
    <s v="00304"/>
    <x v="17"/>
    <x v="8"/>
    <s v="04/2025"/>
    <d v="2025-04-10T00:00:00"/>
    <x v="75"/>
    <n v="250"/>
    <n v="0"/>
    <n v="0"/>
    <n v="0"/>
    <n v="250"/>
    <s v="Dinheiro"/>
    <x v="0"/>
  </r>
  <r>
    <s v="00446"/>
    <x v="268"/>
    <x v="14"/>
    <s v="04/2025"/>
    <d v="2025-04-09T00:00:00"/>
    <x v="75"/>
    <n v="90"/>
    <n v="0"/>
    <n v="0"/>
    <n v="0"/>
    <n v="90"/>
    <s v="Dinheiro"/>
    <x v="0"/>
  </r>
  <r>
    <s v="00364"/>
    <x v="16"/>
    <x v="8"/>
    <s v="04/2025"/>
    <d v="2025-04-10T00:00:00"/>
    <x v="75"/>
    <n v="1250"/>
    <n v="0"/>
    <n v="0"/>
    <n v="0"/>
    <n v="1250"/>
    <s v="Dinheiro"/>
    <x v="0"/>
  </r>
  <r>
    <s v="00448"/>
    <x v="269"/>
    <x v="14"/>
    <s v="04/2025"/>
    <d v="2025-04-09T00:00:00"/>
    <x v="75"/>
    <n v="120"/>
    <n v="0"/>
    <n v="0"/>
    <n v="0"/>
    <n v="120"/>
    <s v="Dinheiro"/>
    <x v="0"/>
  </r>
  <r>
    <s v="00328"/>
    <x v="270"/>
    <x v="45"/>
    <s v="04/2025"/>
    <d v="2025-04-15T00:00:00"/>
    <x v="75"/>
    <n v="8.7799999999999994"/>
    <n v="0"/>
    <n v="0"/>
    <n v="0"/>
    <n v="8.7799999999999994"/>
    <s v="Dinheiro"/>
    <x v="0"/>
  </r>
  <r>
    <s v="00032"/>
    <x v="120"/>
    <x v="45"/>
    <s v="04/2025"/>
    <d v="2025-04-09T00:00:00"/>
    <x v="75"/>
    <n v="23.900000000000002"/>
    <n v="0"/>
    <n v="0"/>
    <n v="0"/>
    <n v="23.900000000000002"/>
    <s v="Dinheiro"/>
    <x v="0"/>
  </r>
  <r>
    <s v="00355"/>
    <x v="83"/>
    <x v="41"/>
    <s v="04/2025"/>
    <d v="2025-04-16T00:00:00"/>
    <x v="75"/>
    <n v="150"/>
    <n v="0"/>
    <n v="0"/>
    <n v="0"/>
    <n v="150"/>
    <s v="Dinheiro"/>
    <x v="0"/>
  </r>
  <r>
    <s v="00362"/>
    <x v="7"/>
    <x v="3"/>
    <s v="04/2025"/>
    <d v="2025-04-16T00:00:00"/>
    <x v="75"/>
    <n v="6.12"/>
    <n v="0"/>
    <n v="0"/>
    <n v="0"/>
    <n v="6.12"/>
    <s v="Dinheiro"/>
    <x v="0"/>
  </r>
  <r>
    <s v="00020"/>
    <x v="114"/>
    <x v="22"/>
    <s v="04/2025"/>
    <d v="2025-04-17T00:00:00"/>
    <x v="76"/>
    <n v="338.54"/>
    <n v="0"/>
    <n v="0"/>
    <n v="0"/>
    <n v="338.54"/>
    <s v="Dinheiro"/>
    <x v="0"/>
  </r>
  <r>
    <s v="00053"/>
    <x v="138"/>
    <x v="0"/>
    <s v="04/2025"/>
    <d v="2025-04-17T00:00:00"/>
    <x v="76"/>
    <n v="1711.5"/>
    <n v="0"/>
    <n v="0"/>
    <n v="0"/>
    <n v="1711.5"/>
    <s v="Dinheiro"/>
    <x v="0"/>
  </r>
  <r>
    <s v="00053"/>
    <x v="138"/>
    <x v="0"/>
    <s v="04/2025"/>
    <d v="2025-04-17T00:00:00"/>
    <x v="76"/>
    <n v="1630.8"/>
    <n v="0"/>
    <n v="0"/>
    <n v="0"/>
    <n v="1630.8"/>
    <s v="Dinheiro"/>
    <x v="0"/>
  </r>
  <r>
    <s v="00053"/>
    <x v="138"/>
    <x v="0"/>
    <s v="04/2025"/>
    <d v="2025-04-17T00:00:00"/>
    <x v="76"/>
    <n v="1369.2"/>
    <n v="0"/>
    <n v="0"/>
    <n v="0"/>
    <n v="1369.2"/>
    <s v="Dinheiro"/>
    <x v="0"/>
  </r>
  <r>
    <s v="00053"/>
    <x v="138"/>
    <x v="0"/>
    <s v="04/2025"/>
    <d v="2025-04-17T00:00:00"/>
    <x v="76"/>
    <n v="1288.5"/>
    <n v="0"/>
    <n v="0"/>
    <n v="0"/>
    <n v="1288.5"/>
    <s v="Dinheiro"/>
    <x v="0"/>
  </r>
  <r>
    <s v="00280"/>
    <x v="144"/>
    <x v="46"/>
    <s v="04/2025"/>
    <d v="2025-04-17T00:00:00"/>
    <x v="76"/>
    <n v="57.61"/>
    <n v="0"/>
    <n v="0"/>
    <n v="0"/>
    <n v="57.61"/>
    <s v="Dinheiro"/>
    <x v="0"/>
  </r>
  <r>
    <s v="00280"/>
    <x v="144"/>
    <x v="19"/>
    <s v="04/2025"/>
    <d v="2025-04-17T00:00:00"/>
    <x v="76"/>
    <n v="840.46"/>
    <n v="0"/>
    <n v="0"/>
    <n v="0"/>
    <n v="840.46"/>
    <s v="Dinheiro"/>
    <x v="0"/>
  </r>
  <r>
    <s v="00462"/>
    <x v="271"/>
    <x v="73"/>
    <s v="04/2025"/>
    <d v="2025-04-17T00:00:00"/>
    <x v="76"/>
    <n v="60"/>
    <n v="0"/>
    <n v="0"/>
    <n v="0"/>
    <n v="60"/>
    <s v="Dinheiro"/>
    <x v="0"/>
  </r>
  <r>
    <s v="00072"/>
    <x v="105"/>
    <x v="40"/>
    <s v="04/2025"/>
    <d v="2025-04-22T00:00:00"/>
    <x v="77"/>
    <n v="15697.64"/>
    <n v="0"/>
    <n v="0"/>
    <n v="0"/>
    <n v="15697.64"/>
    <s v="Dinheiro"/>
    <x v="0"/>
  </r>
  <r>
    <s v="00332"/>
    <x v="28"/>
    <x v="30"/>
    <s v="04/2025"/>
    <d v="2025-04-10T00:00:00"/>
    <x v="77"/>
    <n v="480"/>
    <n v="0"/>
    <n v="0"/>
    <n v="0"/>
    <n v="480"/>
    <s v="Dinheiro"/>
    <x v="0"/>
  </r>
  <r>
    <s v="00326"/>
    <x v="236"/>
    <x v="34"/>
    <s v="04/2025"/>
    <d v="2025-04-22T00:00:00"/>
    <x v="77"/>
    <n v="2890"/>
    <n v="0"/>
    <n v="0"/>
    <n v="0"/>
    <n v="2890"/>
    <s v="Dinheiro"/>
    <x v="0"/>
  </r>
  <r>
    <s v="00334"/>
    <x v="247"/>
    <x v="17"/>
    <s v="04/2025"/>
    <d v="2025-04-04T00:00:00"/>
    <x v="78"/>
    <n v="250"/>
    <n v="0"/>
    <n v="0"/>
    <n v="0"/>
    <n v="250"/>
    <s v="Dinheiro"/>
    <x v="0"/>
  </r>
  <r>
    <s v="00362"/>
    <x v="7"/>
    <x v="3"/>
    <s v="04/2025"/>
    <d v="2025-04-23T00:00:00"/>
    <x v="78"/>
    <n v="2.04"/>
    <n v="0"/>
    <n v="0"/>
    <n v="0"/>
    <n v="2.04"/>
    <s v="Dinheiro"/>
    <x v="0"/>
  </r>
  <r>
    <s v="00016"/>
    <x v="187"/>
    <x v="50"/>
    <s v="04/2025"/>
    <d v="2025-04-24T00:00:00"/>
    <x v="79"/>
    <n v="33.85"/>
    <n v="0"/>
    <n v="0"/>
    <n v="0"/>
    <n v="33.85"/>
    <s v="Dinheiro"/>
    <x v="0"/>
  </r>
  <r>
    <s v="00013"/>
    <x v="128"/>
    <x v="12"/>
    <s v="04/2025"/>
    <d v="2025-04-24T00:00:00"/>
    <x v="79"/>
    <n v="41.800000000000004"/>
    <n v="0"/>
    <n v="0"/>
    <n v="0"/>
    <n v="41.800000000000004"/>
    <s v="Dinheiro"/>
    <x v="0"/>
  </r>
  <r>
    <s v="00074"/>
    <x v="54"/>
    <x v="16"/>
    <s v="04/2025"/>
    <d v="2025-04-24T00:00:00"/>
    <x v="79"/>
    <n v="99"/>
    <n v="0"/>
    <n v="0"/>
    <n v="0"/>
    <n v="99"/>
    <s v="Dinheiro"/>
    <x v="0"/>
  </r>
  <r>
    <s v="00213"/>
    <x v="110"/>
    <x v="34"/>
    <s v="04/2025"/>
    <d v="2025-04-24T00:00:00"/>
    <x v="79"/>
    <n v="2000"/>
    <n v="0"/>
    <n v="0"/>
    <n v="0"/>
    <n v="2000"/>
    <s v="Dinheiro"/>
    <x v="0"/>
  </r>
  <r>
    <s v="00072"/>
    <x v="105"/>
    <x v="43"/>
    <s v="04/2025"/>
    <d v="2025-04-24T00:00:00"/>
    <x v="79"/>
    <n v="4260.6499999999996"/>
    <n v="0"/>
    <n v="0"/>
    <n v="0"/>
    <n v="4260.6499999999996"/>
    <s v="Dinheiro"/>
    <x v="0"/>
  </r>
  <r>
    <s v="00362"/>
    <x v="7"/>
    <x v="3"/>
    <s v="04/2025"/>
    <d v="2025-04-25T00:00:00"/>
    <x v="80"/>
    <n v="9.14"/>
    <n v="0"/>
    <n v="0"/>
    <n v="0"/>
    <n v="9.14"/>
    <s v="Dinheiro"/>
    <x v="0"/>
  </r>
  <r>
    <s v="00362"/>
    <x v="7"/>
    <x v="48"/>
    <s v="04/2025"/>
    <d v="2025-04-26T00:00:00"/>
    <x v="81"/>
    <n v="9558.2100000000009"/>
    <n v="0"/>
    <n v="0"/>
    <n v="0"/>
    <n v="9558.2100000000009"/>
    <s v="Dinheiro"/>
    <x v="0"/>
  </r>
  <r>
    <s v="00362"/>
    <x v="7"/>
    <x v="48"/>
    <s v="04/2025"/>
    <d v="2025-04-26T00:00:00"/>
    <x v="81"/>
    <n v="12348.880000000001"/>
    <n v="0"/>
    <n v="0"/>
    <n v="0"/>
    <n v="12348.880000000001"/>
    <s v="Banco Investimentos"/>
    <x v="0"/>
  </r>
  <r>
    <s v="00362"/>
    <x v="7"/>
    <x v="34"/>
    <s v="04/2025"/>
    <d v="2025-04-28T00:00:00"/>
    <x v="82"/>
    <n v="736.76"/>
    <n v="0"/>
    <n v="0"/>
    <n v="0"/>
    <n v="736.76"/>
    <s v="Dinheiro"/>
    <x v="0"/>
  </r>
  <r>
    <s v="00134"/>
    <x v="18"/>
    <x v="8"/>
    <s v="04/2025"/>
    <d v="2025-04-28T00:00:00"/>
    <x v="82"/>
    <n v="226"/>
    <n v="0"/>
    <n v="0"/>
    <n v="0"/>
    <n v="226"/>
    <s v="Dinheiro"/>
    <x v="0"/>
  </r>
  <r>
    <s v="00362"/>
    <x v="7"/>
    <x v="3"/>
    <s v="04/2025"/>
    <d v="2025-04-28T00:00:00"/>
    <x v="82"/>
    <n v="4.08"/>
    <n v="0"/>
    <n v="0"/>
    <n v="0"/>
    <n v="4.08"/>
    <s v="Dinheiro"/>
    <x v="0"/>
  </r>
  <r>
    <s v="00362"/>
    <x v="7"/>
    <x v="34"/>
    <s v="04/2025"/>
    <d v="2025-04-28T00:00:00"/>
    <x v="82"/>
    <n v="1761.63"/>
    <n v="0"/>
    <n v="0"/>
    <n v="0"/>
    <n v="1761.63"/>
    <s v="Dinheiro"/>
    <x v="0"/>
  </r>
  <r>
    <s v="00463"/>
    <x v="272"/>
    <x v="1"/>
    <s v="04/2025"/>
    <d v="2025-04-25T00:00:00"/>
    <x v="83"/>
    <n v="60"/>
    <n v="0"/>
    <n v="0"/>
    <n v="0"/>
    <n v="60"/>
    <s v="Dinheiro"/>
    <x v="0"/>
  </r>
  <r>
    <s v="00448"/>
    <x v="269"/>
    <x v="14"/>
    <s v="04/2025"/>
    <d v="2025-04-28T00:00:00"/>
    <x v="83"/>
    <n v="5.6000000000000005"/>
    <n v="0"/>
    <n v="0"/>
    <n v="0"/>
    <n v="5.6000000000000005"/>
    <s v="Dinheiro"/>
    <x v="0"/>
  </r>
  <r>
    <s v="00464"/>
    <x v="273"/>
    <x v="14"/>
    <s v="04/2025"/>
    <d v="2025-04-25T00:00:00"/>
    <x v="83"/>
    <n v="60"/>
    <n v="0"/>
    <n v="0"/>
    <n v="0"/>
    <n v="60"/>
    <s v="Dinheiro"/>
    <x v="0"/>
  </r>
  <r>
    <s v="00464"/>
    <x v="273"/>
    <x v="14"/>
    <s v="04/2025"/>
    <d v="2025-04-28T00:00:00"/>
    <x v="83"/>
    <n v="30"/>
    <n v="0"/>
    <n v="0"/>
    <n v="0"/>
    <n v="30"/>
    <s v="Cartão Master Crédito"/>
    <x v="0"/>
  </r>
  <r>
    <s v="00363"/>
    <x v="15"/>
    <x v="1"/>
    <s v="04/2025"/>
    <d v="2025-04-25T00:00:00"/>
    <x v="83"/>
    <n v="15"/>
    <n v="0"/>
    <n v="0"/>
    <n v="0"/>
    <n v="15"/>
    <s v="Dinheiro"/>
    <x v="0"/>
  </r>
  <r>
    <s v="00463"/>
    <x v="272"/>
    <x v="1"/>
    <s v="04/2025"/>
    <d v="2025-04-28T00:00:00"/>
    <x v="83"/>
    <n v="40.800000000000004"/>
    <n v="0"/>
    <n v="0"/>
    <n v="0"/>
    <n v="40.800000000000004"/>
    <s v="Pix"/>
    <x v="0"/>
  </r>
  <r>
    <s v="00464"/>
    <x v="273"/>
    <x v="14"/>
    <s v="04/2025"/>
    <d v="2025-04-28T00:00:00"/>
    <x v="83"/>
    <n v="60"/>
    <n v="0"/>
    <n v="0"/>
    <n v="0"/>
    <n v="60"/>
    <s v="Dinheiro"/>
    <x v="0"/>
  </r>
  <r>
    <s v="00442"/>
    <x v="264"/>
    <x v="32"/>
    <s v="04/2025"/>
    <d v="2025-04-09T00:00:00"/>
    <x v="83"/>
    <n v="16.16"/>
    <n v="0"/>
    <n v="0"/>
    <n v="0"/>
    <n v="16.16"/>
    <s v="Dinheiro"/>
    <x v="0"/>
  </r>
  <r>
    <s v="00442"/>
    <x v="264"/>
    <x v="1"/>
    <s v="04/2025"/>
    <d v="2025-04-09T00:00:00"/>
    <x v="83"/>
    <n v="40.800000000000004"/>
    <n v="0"/>
    <n v="0"/>
    <n v="0"/>
    <n v="40.800000000000004"/>
    <s v="Dinheiro"/>
    <x v="0"/>
  </r>
  <r>
    <s v="00448"/>
    <x v="269"/>
    <x v="1"/>
    <s v="04/2025"/>
    <d v="2025-04-23T00:00:00"/>
    <x v="83"/>
    <n v="54"/>
    <n v="0"/>
    <n v="0"/>
    <n v="0"/>
    <n v="54"/>
    <s v="Dinheiro"/>
    <x v="0"/>
  </r>
  <r>
    <s v="00465"/>
    <x v="274"/>
    <x v="14"/>
    <s v="04/2025"/>
    <d v="2025-04-24T00:00:00"/>
    <x v="83"/>
    <n v="30"/>
    <n v="0"/>
    <n v="0"/>
    <n v="0"/>
    <n v="30"/>
    <s v="Dinheiro"/>
    <x v="0"/>
  </r>
  <r>
    <s v="00465"/>
    <x v="274"/>
    <x v="14"/>
    <s v="04/2025"/>
    <d v="2025-04-23T00:00:00"/>
    <x v="83"/>
    <n v="30"/>
    <n v="0"/>
    <n v="0"/>
    <n v="0"/>
    <n v="30"/>
    <s v="Dinheiro"/>
    <x v="0"/>
  </r>
  <r>
    <s v="00465"/>
    <x v="274"/>
    <x v="14"/>
    <s v="04/2025"/>
    <d v="2025-04-24T00:00:00"/>
    <x v="83"/>
    <n v="30"/>
    <n v="0"/>
    <n v="0"/>
    <n v="0"/>
    <n v="30"/>
    <s v="Dinheiro"/>
    <x v="0"/>
  </r>
  <r>
    <s v="00388"/>
    <x v="122"/>
    <x v="14"/>
    <s v="04/2025"/>
    <d v="2025-04-24T00:00:00"/>
    <x v="83"/>
    <n v="20"/>
    <n v="0"/>
    <n v="0"/>
    <n v="0"/>
    <n v="20"/>
    <s v="Dinheiro"/>
    <x v="0"/>
  </r>
  <r>
    <s v="00388"/>
    <x v="122"/>
    <x v="14"/>
    <s v="04/2025"/>
    <d v="2025-04-22T00:00:00"/>
    <x v="83"/>
    <n v="30"/>
    <n v="0"/>
    <n v="0"/>
    <n v="0"/>
    <n v="30"/>
    <s v="Dinheiro"/>
    <x v="0"/>
  </r>
  <r>
    <s v="00388"/>
    <x v="122"/>
    <x v="14"/>
    <s v="04/2025"/>
    <d v="2025-04-23T00:00:00"/>
    <x v="83"/>
    <n v="30"/>
    <n v="0"/>
    <n v="0"/>
    <n v="0"/>
    <n v="30"/>
    <s v="Dinheiro"/>
    <x v="0"/>
  </r>
  <r>
    <s v="00464"/>
    <x v="273"/>
    <x v="14"/>
    <s v="04/2025"/>
    <d v="2025-04-23T00:00:00"/>
    <x v="83"/>
    <n v="50"/>
    <n v="0"/>
    <n v="0"/>
    <n v="0"/>
    <n v="50"/>
    <s v="Dinheiro"/>
    <x v="0"/>
  </r>
  <r>
    <s v="00463"/>
    <x v="272"/>
    <x v="14"/>
    <s v="04/2025"/>
    <d v="2025-04-23T00:00:00"/>
    <x v="83"/>
    <n v="90"/>
    <n v="0"/>
    <n v="0"/>
    <n v="0"/>
    <n v="90"/>
    <s v="Dinheiro"/>
    <x v="0"/>
  </r>
  <r>
    <s v="00442"/>
    <x v="264"/>
    <x v="32"/>
    <s v="04/2025"/>
    <d v="2025-04-21T00:00:00"/>
    <x v="83"/>
    <n v="32.32"/>
    <n v="0"/>
    <n v="0"/>
    <n v="0"/>
    <n v="32.32"/>
    <s v="Dinheiro"/>
    <x v="0"/>
  </r>
  <r>
    <s v="00442"/>
    <x v="264"/>
    <x v="1"/>
    <s v="04/2025"/>
    <d v="2025-04-21T00:00:00"/>
    <x v="83"/>
    <n v="81.600000000000009"/>
    <n v="0"/>
    <n v="0"/>
    <n v="0"/>
    <n v="81.600000000000009"/>
    <s v="Dinheiro"/>
    <x v="0"/>
  </r>
  <r>
    <s v="00403"/>
    <x v="160"/>
    <x v="25"/>
    <s v="04/2025"/>
    <d v="2025-04-17T00:00:00"/>
    <x v="83"/>
    <n v="200"/>
    <n v="0"/>
    <n v="0"/>
    <n v="0"/>
    <n v="200"/>
    <s v="Dinheiro"/>
    <x v="0"/>
  </r>
  <r>
    <s v="00403"/>
    <x v="160"/>
    <x v="74"/>
    <s v="04/2025"/>
    <d v="2025-04-17T00:00:00"/>
    <x v="83"/>
    <n v="500"/>
    <n v="0"/>
    <n v="0"/>
    <n v="0"/>
    <n v="500"/>
    <s v="Dinheiro"/>
    <x v="0"/>
  </r>
  <r>
    <s v="00134"/>
    <x v="18"/>
    <x v="17"/>
    <s v="04/2025"/>
    <d v="2025-04-24T00:00:00"/>
    <x v="83"/>
    <n v="50"/>
    <n v="0"/>
    <n v="0"/>
    <n v="0"/>
    <n v="50"/>
    <s v="Dinheiro"/>
    <x v="0"/>
  </r>
  <r>
    <s v="00389"/>
    <x v="123"/>
    <x v="52"/>
    <s v="04/2025"/>
    <d v="2025-04-28T00:00:00"/>
    <x v="83"/>
    <n v="200"/>
    <n v="0"/>
    <n v="0"/>
    <n v="0"/>
    <n v="200"/>
    <s v="Dinheiro"/>
    <x v="0"/>
  </r>
  <r>
    <s v="00219"/>
    <x v="108"/>
    <x v="17"/>
    <s v="04/2025"/>
    <d v="2025-04-16T00:00:00"/>
    <x v="83"/>
    <n v="26"/>
    <n v="0"/>
    <n v="0"/>
    <n v="0"/>
    <n v="26"/>
    <s v="Dinheiro"/>
    <x v="0"/>
  </r>
  <r>
    <s v="00082"/>
    <x v="100"/>
    <x v="57"/>
    <s v="04/2025"/>
    <d v="2025-04-23T00:00:00"/>
    <x v="83"/>
    <n v="91.3"/>
    <n v="0"/>
    <n v="0"/>
    <n v="0"/>
    <n v="91.3"/>
    <s v="Dinheiro"/>
    <x v="0"/>
  </r>
  <r>
    <s v="00328"/>
    <x v="270"/>
    <x v="45"/>
    <s v="04/2025"/>
    <d v="2025-04-23T00:00:00"/>
    <x v="83"/>
    <n v="26.990000000000002"/>
    <n v="0"/>
    <n v="0"/>
    <n v="0"/>
    <n v="26.990000000000002"/>
    <s v="Dinheiro"/>
    <x v="0"/>
  </r>
  <r>
    <s v="00467"/>
    <x v="275"/>
    <x v="37"/>
    <s v="04/2025"/>
    <d v="2025-04-16T00:00:00"/>
    <x v="83"/>
    <n v="30"/>
    <n v="0"/>
    <n v="0"/>
    <n v="0"/>
    <n v="30"/>
    <s v="Dinheiro"/>
    <x v="0"/>
  </r>
  <r>
    <s v="00040"/>
    <x v="147"/>
    <x v="45"/>
    <s v="04/2025"/>
    <d v="2025-04-23T00:00:00"/>
    <x v="83"/>
    <n v="24.990000000000002"/>
    <n v="0"/>
    <n v="0"/>
    <n v="0"/>
    <n v="24.990000000000002"/>
    <s v="Dinheiro"/>
    <x v="0"/>
  </r>
  <r>
    <s v="00032"/>
    <x v="120"/>
    <x v="45"/>
    <s v="04/2025"/>
    <d v="2025-04-28T00:00:00"/>
    <x v="83"/>
    <n v="91.960000000000008"/>
    <n v="0"/>
    <n v="0"/>
    <n v="0"/>
    <n v="91.960000000000008"/>
    <s v="Dinheiro"/>
    <x v="0"/>
  </r>
  <r>
    <s v="00465"/>
    <x v="274"/>
    <x v="14"/>
    <s v="04/2025"/>
    <d v="2025-04-29T00:00:00"/>
    <x v="83"/>
    <n v="30"/>
    <n v="0"/>
    <n v="0"/>
    <n v="0"/>
    <n v="30"/>
    <s v="Dinheiro"/>
    <x v="0"/>
  </r>
  <r>
    <s v="00388"/>
    <x v="122"/>
    <x v="14"/>
    <s v="04/2025"/>
    <d v="2025-04-29T00:00:00"/>
    <x v="83"/>
    <n v="30"/>
    <n v="0"/>
    <n v="0"/>
    <n v="0"/>
    <n v="30"/>
    <s v="Dinheiro"/>
    <x v="0"/>
  </r>
  <r>
    <s v="00397"/>
    <x v="152"/>
    <x v="38"/>
    <s v="04/2025"/>
    <d v="2025-04-29T00:00:00"/>
    <x v="83"/>
    <n v="47.43"/>
    <n v="0"/>
    <n v="0"/>
    <n v="0"/>
    <n v="47.43"/>
    <s v="Dinheiro"/>
    <x v="0"/>
  </r>
  <r>
    <s v="00362"/>
    <x v="7"/>
    <x v="3"/>
    <s v="04/2025"/>
    <d v="2025-04-29T00:00:00"/>
    <x v="83"/>
    <n v="10.200000000000001"/>
    <n v="0"/>
    <n v="0"/>
    <n v="0"/>
    <n v="10.200000000000001"/>
    <s v="Dinheiro"/>
    <x v="0"/>
  </r>
  <r>
    <s v="00289"/>
    <x v="141"/>
    <x v="1"/>
    <s v="04/2025"/>
    <d v="2025-04-30T00:00:00"/>
    <x v="84"/>
    <n v="26.7"/>
    <n v="0"/>
    <n v="0"/>
    <n v="0"/>
    <n v="26.7"/>
    <s v="Dinheiro"/>
    <x v="0"/>
  </r>
  <r>
    <s v="00016"/>
    <x v="187"/>
    <x v="50"/>
    <s v="04/2025"/>
    <d v="2025-04-30T00:00:00"/>
    <x v="84"/>
    <n v="33.69"/>
    <n v="0"/>
    <n v="0"/>
    <n v="0"/>
    <n v="33.69"/>
    <s v="Dinheiro"/>
    <x v="0"/>
  </r>
  <r>
    <s v="00333"/>
    <x v="245"/>
    <x v="1"/>
    <s v="04/2025"/>
    <d v="2025-04-30T00:00:00"/>
    <x v="84"/>
    <n v="271.39999999999998"/>
    <n v="0"/>
    <n v="0"/>
    <n v="0"/>
    <n v="271.39999999999998"/>
    <s v="Dinheiro"/>
    <x v="0"/>
  </r>
  <r>
    <s v="00338"/>
    <x v="252"/>
    <x v="1"/>
    <s v="04/2025"/>
    <d v="2025-04-30T00:00:00"/>
    <x v="84"/>
    <n v="470.8"/>
    <n v="0"/>
    <n v="0"/>
    <n v="0"/>
    <n v="470.8"/>
    <s v="Dinheiro"/>
    <x v="0"/>
  </r>
  <r>
    <s v="00011"/>
    <x v="131"/>
    <x v="1"/>
    <s v="04/2025"/>
    <d v="2025-04-30T00:00:00"/>
    <x v="84"/>
    <n v="7960.5"/>
    <n v="0"/>
    <n v="0"/>
    <n v="0"/>
    <n v="7960.5"/>
    <s v="Dinheiro"/>
    <x v="0"/>
  </r>
  <r>
    <s v="00465"/>
    <x v="274"/>
    <x v="14"/>
    <s v="04/2025"/>
    <d v="2025-04-30T00:00:00"/>
    <x v="84"/>
    <n v="30"/>
    <n v="0"/>
    <n v="0"/>
    <n v="0"/>
    <n v="30"/>
    <s v="Dinheiro"/>
    <x v="0"/>
  </r>
  <r>
    <s v="00388"/>
    <x v="122"/>
    <x v="14"/>
    <s v="04/2025"/>
    <d v="2025-04-30T00:00:00"/>
    <x v="84"/>
    <n v="30"/>
    <n v="0"/>
    <n v="0"/>
    <n v="0"/>
    <n v="30"/>
    <s v="Dinheiro"/>
    <x v="0"/>
  </r>
  <r>
    <s v="00154"/>
    <x v="12"/>
    <x v="9"/>
    <s v="04/2025"/>
    <d v="2025-04-30T00:00:00"/>
    <x v="84"/>
    <n v="202"/>
    <n v="0"/>
    <n v="0"/>
    <n v="0"/>
    <n v="202"/>
    <s v="Dinheiro"/>
    <x v="0"/>
  </r>
  <r>
    <s v="00011"/>
    <x v="45"/>
    <x v="16"/>
    <s v="04/2025"/>
    <d v="2025-04-30T00:00:00"/>
    <x v="84"/>
    <n v="991.79000000000008"/>
    <n v="0"/>
    <n v="0"/>
    <n v="0"/>
    <n v="991.79000000000008"/>
    <s v="Dinheiro"/>
    <x v="0"/>
  </r>
  <r>
    <s v="00011"/>
    <x v="45"/>
    <x v="16"/>
    <s v="04/2025"/>
    <d v="2025-04-30T00:00:00"/>
    <x v="84"/>
    <n v="883.45"/>
    <n v="0"/>
    <n v="0"/>
    <n v="0"/>
    <n v="883.45"/>
    <s v="Dinheiro"/>
    <x v="0"/>
  </r>
  <r>
    <s v="00072"/>
    <x v="105"/>
    <x v="40"/>
    <s v="04/2025"/>
    <d v="2025-04-30T00:00:00"/>
    <x v="84"/>
    <n v="664.49"/>
    <n v="0"/>
    <n v="0"/>
    <n v="0"/>
    <n v="664.49"/>
    <s v="Dinheiro"/>
    <x v="0"/>
  </r>
  <r>
    <s v="00362"/>
    <x v="7"/>
    <x v="3"/>
    <s v="04/2025"/>
    <d v="2025-04-30T00:00:00"/>
    <x v="84"/>
    <n v="6.12"/>
    <n v="0"/>
    <n v="0"/>
    <n v="0"/>
    <n v="6.12"/>
    <s v="Dinheiro"/>
    <x v="0"/>
  </r>
  <r>
    <s v="00037"/>
    <x v="177"/>
    <x v="38"/>
    <s v="04/2025"/>
    <d v="2025-04-30T00:00:00"/>
    <x v="84"/>
    <n v="124.26"/>
    <n v="0"/>
    <n v="0"/>
    <n v="0"/>
    <n v="124.26"/>
    <s v="Dinheiro"/>
    <x v="0"/>
  </r>
  <r>
    <s v="00388"/>
    <x v="122"/>
    <x v="1"/>
    <s v="05/2025"/>
    <d v="2025-05-02T00:00:00"/>
    <x v="85"/>
    <n v="428.40000000000003"/>
    <n v="0"/>
    <n v="0"/>
    <n v="0"/>
    <n v="428.40000000000003"/>
    <s v="Dinheiro"/>
    <x v="0"/>
  </r>
  <r>
    <s v="00275"/>
    <x v="42"/>
    <x v="32"/>
    <s v="05/2025"/>
    <d v="2025-05-02T00:00:00"/>
    <x v="85"/>
    <n v="242.4"/>
    <n v="0"/>
    <n v="0"/>
    <n v="0"/>
    <n v="242.4"/>
    <s v="Dinheiro"/>
    <x v="0"/>
  </r>
  <r>
    <s v="00348"/>
    <x v="276"/>
    <x v="28"/>
    <s v="05/2025"/>
    <d v="2025-05-02T00:00:00"/>
    <x v="85"/>
    <n v="149"/>
    <n v="0"/>
    <n v="0"/>
    <n v="0"/>
    <n v="149"/>
    <s v="Dinheiro"/>
    <x v="0"/>
  </r>
  <r>
    <s v="00465"/>
    <x v="274"/>
    <x v="1"/>
    <s v="05/2025"/>
    <d v="2025-05-02T00:00:00"/>
    <x v="85"/>
    <n v="428.40000000000003"/>
    <n v="0"/>
    <n v="0"/>
    <n v="0"/>
    <n v="428.40000000000003"/>
    <s v="Dinheiro"/>
    <x v="0"/>
  </r>
  <r>
    <s v="00053"/>
    <x v="136"/>
    <x v="35"/>
    <s v="05/2025"/>
    <d v="2025-05-02T00:00:00"/>
    <x v="85"/>
    <n v="252.28"/>
    <n v="0"/>
    <n v="0"/>
    <n v="0"/>
    <n v="252.28"/>
    <s v="Dinheiro"/>
    <x v="0"/>
  </r>
  <r>
    <s v="00350"/>
    <x v="277"/>
    <x v="25"/>
    <s v="05/2025"/>
    <d v="2025-05-02T00:00:00"/>
    <x v="85"/>
    <n v="802.01"/>
    <n v="0"/>
    <n v="0"/>
    <n v="0"/>
    <n v="802.01"/>
    <s v="Dinheiro"/>
    <x v="0"/>
  </r>
  <r>
    <s v="00039"/>
    <x v="92"/>
    <x v="10"/>
    <s v="05/2025"/>
    <d v="2025-05-02T00:00:00"/>
    <x v="85"/>
    <n v="2413.4299999999998"/>
    <n v="0"/>
    <n v="0"/>
    <n v="0"/>
    <n v="2413.4299999999998"/>
    <s v="Dinheiro"/>
    <x v="0"/>
  </r>
  <r>
    <s v="00011"/>
    <x v="131"/>
    <x v="32"/>
    <s v="05/2025"/>
    <d v="2025-05-02T00:00:00"/>
    <x v="85"/>
    <n v="5332.8"/>
    <n v="0"/>
    <n v="0"/>
    <n v="0"/>
    <n v="5332.8"/>
    <s v="Dinheiro"/>
    <x v="0"/>
  </r>
  <r>
    <s v="00328"/>
    <x v="270"/>
    <x v="45"/>
    <s v="05/2025"/>
    <d v="2025-05-02T00:00:00"/>
    <x v="85"/>
    <n v="31.18"/>
    <n v="0"/>
    <n v="0"/>
    <n v="0"/>
    <n v="31.18"/>
    <s v="Dinheiro"/>
    <x v="0"/>
  </r>
  <r>
    <s v="00463"/>
    <x v="272"/>
    <x v="38"/>
    <s v="05/2025"/>
    <d v="2025-05-02T00:00:00"/>
    <x v="85"/>
    <n v="64.400000000000006"/>
    <n v="0"/>
    <n v="0"/>
    <n v="0"/>
    <n v="64.400000000000006"/>
    <s v="Dinheiro"/>
    <x v="0"/>
  </r>
  <r>
    <s v="00349"/>
    <x v="25"/>
    <x v="38"/>
    <s v="05/2025"/>
    <d v="2025-05-02T00:00:00"/>
    <x v="85"/>
    <n v="72.98"/>
    <n v="0"/>
    <n v="0"/>
    <n v="0"/>
    <n v="72.98"/>
    <s v="Dinheiro"/>
    <x v="0"/>
  </r>
  <r>
    <s v="00411"/>
    <x v="181"/>
    <x v="32"/>
    <s v="05/2025"/>
    <d v="2025-05-02T00:00:00"/>
    <x v="85"/>
    <n v="242.4"/>
    <n v="0"/>
    <n v="0"/>
    <n v="0"/>
    <n v="242.4"/>
    <s v="Dinheiro"/>
    <x v="0"/>
  </r>
  <r>
    <s v="00362"/>
    <x v="7"/>
    <x v="3"/>
    <s v="05/2025"/>
    <d v="2025-05-02T00:00:00"/>
    <x v="85"/>
    <n v="10.200000000000001"/>
    <n v="0"/>
    <n v="0"/>
    <n v="0"/>
    <n v="10.200000000000001"/>
    <s v="Dinheiro"/>
    <x v="0"/>
  </r>
  <r>
    <s v="00362"/>
    <x v="7"/>
    <x v="34"/>
    <s v="05/2025"/>
    <d v="2025-05-02T00:00:00"/>
    <x v="85"/>
    <n v="4.62"/>
    <n v="0"/>
    <n v="0"/>
    <n v="0"/>
    <n v="4.62"/>
    <s v="Dinheiro"/>
    <x v="0"/>
  </r>
  <r>
    <s v="00362"/>
    <x v="7"/>
    <x v="4"/>
    <s v="05/2025"/>
    <d v="2025-05-02T00:00:00"/>
    <x v="85"/>
    <n v="98.4"/>
    <n v="0"/>
    <n v="0"/>
    <n v="0"/>
    <n v="98.4"/>
    <s v="Dinheiro"/>
    <x v="0"/>
  </r>
  <r>
    <s v="00039"/>
    <x v="231"/>
    <x v="9"/>
    <s v="05/2025"/>
    <d v="2025-05-03T00:00:00"/>
    <x v="86"/>
    <n v="34.5"/>
    <n v="0"/>
    <n v="0"/>
    <n v="0"/>
    <n v="34.5"/>
    <s v="Dinheiro"/>
    <x v="0"/>
  </r>
  <r>
    <s v="00039"/>
    <x v="231"/>
    <x v="9"/>
    <s v="05/2025"/>
    <d v="2025-05-03T00:00:00"/>
    <x v="86"/>
    <n v="16.899999999999999"/>
    <n v="0"/>
    <n v="0"/>
    <n v="0"/>
    <n v="16.899999999999999"/>
    <s v="Dinheiro"/>
    <x v="0"/>
  </r>
  <r>
    <s v="00362"/>
    <x v="7"/>
    <x v="4"/>
    <s v="05/2025"/>
    <d v="2025-05-05T00:00:00"/>
    <x v="87"/>
    <n v="208.97"/>
    <n v="0"/>
    <n v="0"/>
    <n v="0"/>
    <n v="208.97"/>
    <s v="Dinheiro"/>
    <x v="0"/>
  </r>
  <r>
    <s v="00362"/>
    <x v="7"/>
    <x v="3"/>
    <s v="05/2025"/>
    <d v="2025-05-05T00:00:00"/>
    <x v="87"/>
    <n v="2.04"/>
    <n v="0"/>
    <n v="0"/>
    <n v="0"/>
    <n v="2.04"/>
    <s v="Dinheiro"/>
    <x v="0"/>
  </r>
  <r>
    <s v="00362"/>
    <x v="7"/>
    <x v="54"/>
    <s v="05/2025"/>
    <d v="2025-05-05T00:00:00"/>
    <x v="87"/>
    <n v="135.52000000000001"/>
    <n v="0"/>
    <n v="0"/>
    <n v="0"/>
    <n v="135.52000000000001"/>
    <s v="Dinheiro"/>
    <x v="0"/>
  </r>
  <r>
    <s v="00362"/>
    <x v="7"/>
    <x v="34"/>
    <s v="05/2025"/>
    <d v="2025-05-05T00:00:00"/>
    <x v="87"/>
    <n v="4107.29"/>
    <n v="0"/>
    <n v="0"/>
    <n v="0"/>
    <n v="4107.29"/>
    <s v="Dinheiro"/>
    <x v="0"/>
  </r>
  <r>
    <s v="00362"/>
    <x v="7"/>
    <x v="6"/>
    <s v="05/2025"/>
    <d v="2025-05-05T00:00:00"/>
    <x v="87"/>
    <n v="278.5"/>
    <n v="0"/>
    <n v="0"/>
    <n v="0"/>
    <n v="278.5"/>
    <s v="Dinheiro"/>
    <x v="0"/>
  </r>
  <r>
    <s v="00362"/>
    <x v="7"/>
    <x v="6"/>
    <s v="05/2025"/>
    <d v="2025-05-05T00:00:00"/>
    <x v="87"/>
    <n v="0.73"/>
    <n v="0"/>
    <n v="0"/>
    <n v="0"/>
    <n v="0.73"/>
    <s v="Dinheiro"/>
    <x v="0"/>
  </r>
  <r>
    <s v="00362"/>
    <x v="7"/>
    <x v="6"/>
    <s v="05/2025"/>
    <d v="2025-05-05T00:00:00"/>
    <x v="87"/>
    <n v="277.2"/>
    <n v="0"/>
    <n v="0"/>
    <n v="0"/>
    <n v="277.2"/>
    <s v="Dinheiro"/>
    <x v="0"/>
  </r>
  <r>
    <s v="00364"/>
    <x v="16"/>
    <x v="8"/>
    <s v="05/2025"/>
    <d v="2025-05-05T00:00:00"/>
    <x v="87"/>
    <n v="98"/>
    <n v="0"/>
    <n v="0"/>
    <n v="0"/>
    <n v="98"/>
    <s v="Dinheiro"/>
    <x v="0"/>
  </r>
  <r>
    <s v="00289"/>
    <x v="20"/>
    <x v="2"/>
    <s v="05/2025"/>
    <d v="2025-05-05T00:00:00"/>
    <x v="87"/>
    <n v="70"/>
    <n v="0"/>
    <n v="0"/>
    <n v="0"/>
    <n v="70"/>
    <s v="Dinheiro"/>
    <x v="0"/>
  </r>
  <r>
    <s v="00133"/>
    <x v="24"/>
    <x v="8"/>
    <s v="05/2025"/>
    <d v="2025-05-05T00:00:00"/>
    <x v="87"/>
    <n v="218"/>
    <n v="0"/>
    <n v="0"/>
    <n v="0"/>
    <n v="218"/>
    <s v="Dinheiro"/>
    <x v="0"/>
  </r>
  <r>
    <s v="00134"/>
    <x v="18"/>
    <x v="8"/>
    <s v="05/2025"/>
    <d v="2025-05-05T00:00:00"/>
    <x v="87"/>
    <n v="226"/>
    <n v="0"/>
    <n v="0"/>
    <n v="0"/>
    <n v="226"/>
    <s v="Dinheiro"/>
    <x v="0"/>
  </r>
  <r>
    <s v="00036"/>
    <x v="109"/>
    <x v="45"/>
    <s v="05/2025"/>
    <d v="2025-05-05T00:00:00"/>
    <x v="87"/>
    <n v="57.6"/>
    <n v="0"/>
    <n v="0"/>
    <n v="0"/>
    <n v="57.6"/>
    <s v="Dinheiro"/>
    <x v="0"/>
  </r>
  <r>
    <s v="00292"/>
    <x v="278"/>
    <x v="5"/>
    <s v="05/2025"/>
    <d v="2025-05-05T00:00:00"/>
    <x v="87"/>
    <n v="35"/>
    <n v="0"/>
    <n v="0"/>
    <n v="0"/>
    <n v="35"/>
    <s v="Dinheiro"/>
    <x v="0"/>
  </r>
  <r>
    <s v="00330"/>
    <x v="14"/>
    <x v="13"/>
    <s v="05/2025"/>
    <d v="2025-05-05T00:00:00"/>
    <x v="87"/>
    <n v="440"/>
    <n v="0"/>
    <n v="0"/>
    <n v="0"/>
    <n v="440"/>
    <s v="Dinheiro"/>
    <x v="0"/>
  </r>
  <r>
    <s v="00032"/>
    <x v="120"/>
    <x v="45"/>
    <s v="05/2025"/>
    <d v="2025-05-05T00:00:00"/>
    <x v="87"/>
    <n v="91.960000000000008"/>
    <n v="0"/>
    <n v="0"/>
    <n v="0"/>
    <n v="91.960000000000008"/>
    <s v="Dinheiro"/>
    <x v="0"/>
  </r>
  <r>
    <s v="00032"/>
    <x v="120"/>
    <x v="45"/>
    <s v="04/2025"/>
    <d v="2025-04-29T00:00:00"/>
    <x v="87"/>
    <n v="51.4"/>
    <n v="0"/>
    <n v="0"/>
    <n v="0"/>
    <n v="51.4"/>
    <s v="Dinheiro"/>
    <x v="0"/>
  </r>
  <r>
    <s v="00362"/>
    <x v="7"/>
    <x v="3"/>
    <s v="05/2025"/>
    <d v="2025-05-05T00:00:00"/>
    <x v="87"/>
    <n v="40.800000000000004"/>
    <n v="0"/>
    <n v="0"/>
    <n v="0"/>
    <n v="40.800000000000004"/>
    <s v="Dinheiro"/>
    <x v="0"/>
  </r>
  <r>
    <s v="00362"/>
    <x v="7"/>
    <x v="6"/>
    <s v="05/2025"/>
    <d v="2025-05-05T00:00:00"/>
    <x v="87"/>
    <n v="79.19"/>
    <n v="0"/>
    <n v="0"/>
    <n v="0"/>
    <n v="79.19"/>
    <s v="Dinheiro"/>
    <x v="0"/>
  </r>
  <r>
    <s v="00362"/>
    <x v="7"/>
    <x v="4"/>
    <s v="05/2025"/>
    <d v="2025-05-05T00:00:00"/>
    <x v="87"/>
    <n v="108.36"/>
    <n v="0"/>
    <n v="0"/>
    <n v="0"/>
    <n v="108.36"/>
    <s v="Dinheiro"/>
    <x v="0"/>
  </r>
  <r>
    <s v="00473"/>
    <x v="279"/>
    <x v="28"/>
    <s v="05/2025"/>
    <d v="2025-05-05T00:00:00"/>
    <x v="87"/>
    <n v="149"/>
    <n v="0"/>
    <n v="0"/>
    <n v="0"/>
    <n v="149"/>
    <s v="Dinheiro"/>
    <x v="0"/>
  </r>
  <r>
    <s v="00362"/>
    <x v="7"/>
    <x v="3"/>
    <s v="05/2025"/>
    <d v="2025-05-06T00:00:00"/>
    <x v="88"/>
    <n v="6.12"/>
    <n v="0"/>
    <n v="0"/>
    <n v="0"/>
    <n v="6.12"/>
    <s v="Dinheiro"/>
    <x v="0"/>
  </r>
  <r>
    <s v="00295"/>
    <x v="143"/>
    <x v="19"/>
    <s v="05/2025"/>
    <d v="2025-05-06T00:00:00"/>
    <x v="88"/>
    <n v="1317.8500000000001"/>
    <n v="0"/>
    <n v="0"/>
    <n v="0"/>
    <n v="1317.8500000000001"/>
    <s v="Dinheiro"/>
    <x v="0"/>
  </r>
  <r>
    <s v="00351"/>
    <x v="280"/>
    <x v="32"/>
    <s v="05/2025"/>
    <d v="2025-05-06T00:00:00"/>
    <x v="88"/>
    <n v="242.4"/>
    <n v="0"/>
    <n v="0"/>
    <n v="0"/>
    <n v="242.4"/>
    <s v="Dinheiro"/>
    <x v="0"/>
  </r>
  <r>
    <s v="00351"/>
    <x v="280"/>
    <x v="1"/>
    <s v="05/2025"/>
    <d v="2025-05-06T00:00:00"/>
    <x v="88"/>
    <n v="354"/>
    <n v="0"/>
    <n v="0"/>
    <n v="0"/>
    <n v="354"/>
    <s v="Dinheiro"/>
    <x v="0"/>
  </r>
  <r>
    <s v="00258"/>
    <x v="43"/>
    <x v="0"/>
    <s v="05/2025"/>
    <d v="2025-05-06T00:00:00"/>
    <x v="88"/>
    <n v="1915.32"/>
    <n v="0"/>
    <n v="0"/>
    <n v="0"/>
    <n v="1915.32"/>
    <s v="Dinheiro"/>
    <x v="0"/>
  </r>
  <r>
    <s v="00294"/>
    <x v="27"/>
    <x v="16"/>
    <s v="05/2025"/>
    <d v="2025-05-06T00:00:00"/>
    <x v="88"/>
    <n v="1409.45"/>
    <n v="0"/>
    <n v="0"/>
    <n v="0"/>
    <n v="1409.45"/>
    <s v="Dinheiro"/>
    <x v="0"/>
  </r>
  <r>
    <s v="00376"/>
    <x v="113"/>
    <x v="8"/>
    <s v="05/2025"/>
    <d v="2025-05-06T00:00:00"/>
    <x v="88"/>
    <n v="440"/>
    <n v="0"/>
    <n v="0"/>
    <n v="0"/>
    <n v="440"/>
    <s v="Dinheiro"/>
    <x v="0"/>
  </r>
  <r>
    <s v="00416"/>
    <x v="184"/>
    <x v="12"/>
    <s v="05/2025"/>
    <d v="2025-05-06T00:00:00"/>
    <x v="88"/>
    <n v="27"/>
    <n v="0"/>
    <n v="0"/>
    <n v="0"/>
    <n v="27"/>
    <s v="Dinheiro"/>
    <x v="0"/>
  </r>
  <r>
    <s v="00328"/>
    <x v="270"/>
    <x v="45"/>
    <s v="05/2025"/>
    <d v="2025-05-06T00:00:00"/>
    <x v="88"/>
    <n v="34.81"/>
    <n v="0"/>
    <n v="0"/>
    <n v="0"/>
    <n v="34.81"/>
    <s v="Dinheiro"/>
    <x v="0"/>
  </r>
  <r>
    <s v="00053"/>
    <x v="138"/>
    <x v="0"/>
    <s v="05/2025"/>
    <d v="2025-05-06T00:00:00"/>
    <x v="88"/>
    <n v="1802.1000000000001"/>
    <n v="0"/>
    <n v="0"/>
    <n v="0"/>
    <n v="1802.1000000000001"/>
    <s v="Dinheiro"/>
    <x v="0"/>
  </r>
  <r>
    <s v="00053"/>
    <x v="138"/>
    <x v="0"/>
    <s v="05/2025"/>
    <d v="2025-05-06T00:00:00"/>
    <x v="88"/>
    <n v="792"/>
    <n v="0"/>
    <n v="0"/>
    <n v="0"/>
    <n v="792"/>
    <s v="Dinheiro"/>
    <x v="0"/>
  </r>
  <r>
    <s v="00053"/>
    <x v="138"/>
    <x v="0"/>
    <s v="05/2025"/>
    <d v="2025-05-06T00:00:00"/>
    <x v="88"/>
    <n v="1208"/>
    <n v="0"/>
    <n v="0"/>
    <n v="0"/>
    <n v="1208"/>
    <s v="Dinheiro"/>
    <x v="0"/>
  </r>
  <r>
    <s v="00053"/>
    <x v="138"/>
    <x v="0"/>
    <s v="05/2025"/>
    <d v="2025-05-06T00:00:00"/>
    <x v="88"/>
    <n v="1197.9000000000001"/>
    <n v="0"/>
    <n v="0"/>
    <n v="0"/>
    <n v="1197.9000000000001"/>
    <s v="Dinheiro"/>
    <x v="0"/>
  </r>
  <r>
    <s v="00362"/>
    <x v="7"/>
    <x v="3"/>
    <s v="05/2025"/>
    <d v="2025-05-06T00:00:00"/>
    <x v="88"/>
    <n v="65.28"/>
    <n v="0"/>
    <n v="0"/>
    <n v="0"/>
    <n v="65.28"/>
    <s v="Dinheiro"/>
    <x v="0"/>
  </r>
  <r>
    <s v="00111"/>
    <x v="39"/>
    <x v="15"/>
    <s v="04/2025"/>
    <d v="2025-05-07T00:00:00"/>
    <x v="89"/>
    <n v="340"/>
    <n v="0"/>
    <n v="0"/>
    <n v="0"/>
    <n v="340"/>
    <s v="Dinheiro"/>
    <x v="0"/>
  </r>
  <r>
    <s v="00288"/>
    <x v="121"/>
    <x v="15"/>
    <s v="05/2025"/>
    <d v="2025-05-07T00:00:00"/>
    <x v="89"/>
    <n v="1318"/>
    <n v="0"/>
    <n v="0"/>
    <n v="0"/>
    <n v="1318"/>
    <s v="Dinheiro"/>
    <x v="0"/>
  </r>
  <r>
    <s v="00334"/>
    <x v="247"/>
    <x v="15"/>
    <s v="05/2025"/>
    <d v="2025-05-07T00:00:00"/>
    <x v="89"/>
    <n v="1616"/>
    <n v="0"/>
    <n v="0"/>
    <n v="0"/>
    <n v="1616"/>
    <s v="Dinheiro"/>
    <x v="0"/>
  </r>
  <r>
    <s v="00311"/>
    <x v="202"/>
    <x v="15"/>
    <s v="05/2025"/>
    <d v="2025-05-07T00:00:00"/>
    <x v="89"/>
    <n v="1491"/>
    <n v="0"/>
    <n v="0"/>
    <n v="0"/>
    <n v="1491"/>
    <s v="Dinheiro"/>
    <x v="0"/>
  </r>
  <r>
    <s v="00104"/>
    <x v="243"/>
    <x v="15"/>
    <s v="05/2025"/>
    <d v="2025-05-07T00:00:00"/>
    <x v="89"/>
    <n v="1422"/>
    <n v="0"/>
    <n v="0"/>
    <n v="0"/>
    <n v="1422"/>
    <s v="Dinheiro"/>
    <x v="0"/>
  </r>
  <r>
    <s v="00272"/>
    <x v="17"/>
    <x v="15"/>
    <s v="05/2025"/>
    <d v="2025-05-07T00:00:00"/>
    <x v="89"/>
    <n v="1411"/>
    <n v="0"/>
    <n v="0"/>
    <n v="0"/>
    <n v="1411"/>
    <s v="Dinheiro"/>
    <x v="0"/>
  </r>
  <r>
    <s v="00092"/>
    <x v="18"/>
    <x v="15"/>
    <s v="05/2025"/>
    <d v="2025-05-07T00:00:00"/>
    <x v="89"/>
    <n v="1748"/>
    <n v="0"/>
    <n v="0"/>
    <n v="0"/>
    <n v="1748"/>
    <s v="Dinheiro"/>
    <x v="0"/>
  </r>
  <r>
    <s v="00308"/>
    <x v="200"/>
    <x v="15"/>
    <s v="05/2025"/>
    <d v="2025-05-07T00:00:00"/>
    <x v="89"/>
    <n v="115.8"/>
    <n v="0"/>
    <n v="0"/>
    <n v="0"/>
    <n v="115.8"/>
    <s v="Dinheiro"/>
    <x v="0"/>
  </r>
  <r>
    <s v="00285"/>
    <x v="23"/>
    <x v="75"/>
    <s v="05/2025"/>
    <d v="2025-05-07T00:00:00"/>
    <x v="89"/>
    <n v="955.98"/>
    <n v="0"/>
    <n v="0"/>
    <n v="0"/>
    <n v="955.98"/>
    <s v="Dinheiro"/>
    <x v="0"/>
  </r>
  <r>
    <s v="00309"/>
    <x v="25"/>
    <x v="15"/>
    <s v="05/2025"/>
    <d v="2025-05-07T00:00:00"/>
    <x v="89"/>
    <n v="1690"/>
    <n v="0"/>
    <n v="0"/>
    <n v="0"/>
    <n v="1690"/>
    <s v="Dinheiro"/>
    <x v="0"/>
  </r>
  <r>
    <s v="00285"/>
    <x v="23"/>
    <x v="15"/>
    <s v="05/2025"/>
    <d v="2025-05-07T00:00:00"/>
    <x v="89"/>
    <n v="2202"/>
    <n v="0"/>
    <n v="0"/>
    <n v="0"/>
    <n v="2202"/>
    <s v="Dinheiro"/>
    <x v="0"/>
  </r>
  <r>
    <s v="00338"/>
    <x v="252"/>
    <x v="15"/>
    <s v="05/2025"/>
    <d v="2025-05-07T00:00:00"/>
    <x v="89"/>
    <n v="900"/>
    <n v="0"/>
    <n v="0"/>
    <n v="0"/>
    <n v="900"/>
    <s v="Dinheiro"/>
    <x v="0"/>
  </r>
  <r>
    <s v="00354"/>
    <x v="281"/>
    <x v="15"/>
    <s v="05/2025"/>
    <d v="2025-05-07T00:00:00"/>
    <x v="89"/>
    <n v="972"/>
    <n v="0"/>
    <n v="0"/>
    <n v="0"/>
    <n v="972"/>
    <s v="Dinheiro"/>
    <x v="0"/>
  </r>
  <r>
    <s v="00355"/>
    <x v="282"/>
    <x v="15"/>
    <s v="05/2025"/>
    <d v="2025-05-07T00:00:00"/>
    <x v="89"/>
    <n v="1036.8"/>
    <n v="0"/>
    <n v="0"/>
    <n v="0"/>
    <n v="1036.8"/>
    <s v="Dinheiro"/>
    <x v="0"/>
  </r>
  <r>
    <s v="00225"/>
    <x v="248"/>
    <x v="15"/>
    <s v="05/2025"/>
    <d v="2025-05-07T00:00:00"/>
    <x v="89"/>
    <n v="1493"/>
    <n v="0"/>
    <n v="0"/>
    <n v="0"/>
    <n v="1493"/>
    <s v="Dinheiro"/>
    <x v="0"/>
  </r>
  <r>
    <s v="00335"/>
    <x v="249"/>
    <x v="15"/>
    <s v="05/2025"/>
    <d v="2025-05-07T00:00:00"/>
    <x v="89"/>
    <n v="1621"/>
    <n v="0"/>
    <n v="0"/>
    <n v="0"/>
    <n v="1621"/>
    <s v="Dinheiro"/>
    <x v="0"/>
  </r>
  <r>
    <s v="00286"/>
    <x v="117"/>
    <x v="15"/>
    <s v="05/2025"/>
    <d v="2025-05-07T00:00:00"/>
    <x v="89"/>
    <n v="1541"/>
    <n v="0"/>
    <n v="0"/>
    <n v="0"/>
    <n v="1541"/>
    <s v="Dinheiro"/>
    <x v="0"/>
  </r>
  <r>
    <s v="00231"/>
    <x v="242"/>
    <x v="15"/>
    <s v="05/2025"/>
    <d v="2025-05-07T00:00:00"/>
    <x v="89"/>
    <n v="1722"/>
    <n v="0"/>
    <n v="0"/>
    <n v="0"/>
    <n v="1722"/>
    <s v="Dinheiro"/>
    <x v="0"/>
  </r>
  <r>
    <s v="00289"/>
    <x v="141"/>
    <x v="15"/>
    <s v="05/2025"/>
    <d v="2025-05-07T00:00:00"/>
    <x v="89"/>
    <n v="1519"/>
    <n v="0"/>
    <n v="0"/>
    <n v="0"/>
    <n v="1519"/>
    <s v="Dinheiro"/>
    <x v="0"/>
  </r>
  <r>
    <s v="00089"/>
    <x v="37"/>
    <x v="15"/>
    <s v="05/2025"/>
    <d v="2025-05-07T00:00:00"/>
    <x v="89"/>
    <n v="2251"/>
    <n v="0"/>
    <n v="0"/>
    <n v="0"/>
    <n v="2251"/>
    <s v="Dinheiro"/>
    <x v="0"/>
  </r>
  <r>
    <s v="00352"/>
    <x v="241"/>
    <x v="15"/>
    <s v="05/2025"/>
    <d v="2025-05-07T00:00:00"/>
    <x v="89"/>
    <n v="1573"/>
    <n v="0"/>
    <n v="0"/>
    <n v="0"/>
    <n v="1573"/>
    <s v="Dinheiro"/>
    <x v="0"/>
  </r>
  <r>
    <s v="00190"/>
    <x v="32"/>
    <x v="15"/>
    <s v="05/2025"/>
    <d v="2025-05-07T00:00:00"/>
    <x v="89"/>
    <n v="2148"/>
    <n v="0"/>
    <n v="0"/>
    <n v="0"/>
    <n v="2148"/>
    <s v="Dinheiro"/>
    <x v="0"/>
  </r>
  <r>
    <s v="00351"/>
    <x v="42"/>
    <x v="15"/>
    <s v="05/2025"/>
    <d v="2025-05-07T00:00:00"/>
    <x v="89"/>
    <n v="1580.6000000000001"/>
    <n v="0"/>
    <n v="0"/>
    <n v="0"/>
    <n v="1580.6000000000001"/>
    <s v="Dinheiro"/>
    <x v="0"/>
  </r>
  <r>
    <s v="00416"/>
    <x v="184"/>
    <x v="15"/>
    <s v="05/2025"/>
    <d v="2025-05-07T00:00:00"/>
    <x v="89"/>
    <n v="1387"/>
    <n v="0"/>
    <n v="0"/>
    <n v="0"/>
    <n v="1387"/>
    <s v="Dinheiro"/>
    <x v="0"/>
  </r>
  <r>
    <s v="00160"/>
    <x v="31"/>
    <x v="15"/>
    <s v="05/2025"/>
    <d v="2025-05-07T00:00:00"/>
    <x v="89"/>
    <n v="1493"/>
    <n v="0"/>
    <n v="0"/>
    <n v="0"/>
    <n v="1493"/>
    <s v="Dinheiro"/>
    <x v="0"/>
  </r>
  <r>
    <s v="00463"/>
    <x v="272"/>
    <x v="15"/>
    <s v="05/2025"/>
    <d v="2025-05-07T00:00:00"/>
    <x v="89"/>
    <n v="821.4"/>
    <n v="0"/>
    <n v="0"/>
    <n v="0"/>
    <n v="821.4"/>
    <s v="Dinheiro"/>
    <x v="0"/>
  </r>
  <r>
    <s v="00475"/>
    <x v="245"/>
    <x v="15"/>
    <s v="05/2025"/>
    <d v="2025-05-07T00:00:00"/>
    <x v="89"/>
    <n v="900"/>
    <n v="0"/>
    <n v="0"/>
    <n v="0"/>
    <n v="900"/>
    <s v="Dinheiro"/>
    <x v="0"/>
  </r>
  <r>
    <s v="00430"/>
    <x v="283"/>
    <x v="15"/>
    <s v="05/2025"/>
    <d v="2025-05-07T00:00:00"/>
    <x v="89"/>
    <n v="1728"/>
    <n v="0"/>
    <n v="0"/>
    <n v="0"/>
    <n v="1728"/>
    <s v="Dinheiro"/>
    <x v="0"/>
  </r>
  <r>
    <s v="00464"/>
    <x v="273"/>
    <x v="15"/>
    <s v="05/2025"/>
    <d v="2025-05-07T00:00:00"/>
    <x v="89"/>
    <n v="210"/>
    <n v="0"/>
    <n v="0"/>
    <n v="0"/>
    <n v="210"/>
    <s v="Dinheiro"/>
    <x v="0"/>
  </r>
  <r>
    <s v="00362"/>
    <x v="7"/>
    <x v="3"/>
    <s v="05/2025"/>
    <d v="2025-05-07T00:00:00"/>
    <x v="89"/>
    <n v="942.48"/>
    <n v="0"/>
    <n v="0"/>
    <n v="0"/>
    <n v="942.48"/>
    <s v="Dinheiro"/>
    <x v="0"/>
  </r>
  <r>
    <s v="00310"/>
    <x v="201"/>
    <x v="15"/>
    <s v="05/2025"/>
    <d v="2025-05-08T00:00:00"/>
    <x v="90"/>
    <n v="1660"/>
    <n v="0"/>
    <n v="0"/>
    <n v="0"/>
    <n v="1660"/>
    <s v="Dinheiro"/>
    <x v="0"/>
  </r>
  <r>
    <s v="00362"/>
    <x v="7"/>
    <x v="3"/>
    <s v="05/2025"/>
    <d v="2025-05-08T00:00:00"/>
    <x v="90"/>
    <n v="4.08"/>
    <n v="0"/>
    <n v="0"/>
    <n v="0"/>
    <n v="4.08"/>
    <s v="Dinheiro"/>
    <x v="0"/>
  </r>
  <r>
    <s v="00036"/>
    <x v="109"/>
    <x v="45"/>
    <s v="05/2025"/>
    <d v="2025-05-08T00:00:00"/>
    <x v="90"/>
    <n v="6.78"/>
    <n v="0"/>
    <n v="0"/>
    <n v="0"/>
    <n v="6.78"/>
    <s v="Dinheiro"/>
    <x v="0"/>
  </r>
  <r>
    <s v="00292"/>
    <x v="278"/>
    <x v="5"/>
    <s v="05/2025"/>
    <d v="2025-05-08T00:00:00"/>
    <x v="90"/>
    <n v="35"/>
    <n v="0"/>
    <n v="0"/>
    <n v="0"/>
    <n v="35"/>
    <s v="Dinheiro"/>
    <x v="0"/>
  </r>
  <r>
    <s v="00292"/>
    <x v="278"/>
    <x v="5"/>
    <s v="05/2025"/>
    <d v="2025-05-08T00:00:00"/>
    <x v="90"/>
    <n v="35"/>
    <n v="0"/>
    <n v="0"/>
    <n v="0"/>
    <n v="35"/>
    <s v="Dinheiro"/>
    <x v="0"/>
  </r>
  <r>
    <s v="00448"/>
    <x v="269"/>
    <x v="15"/>
    <s v="05/2025"/>
    <d v="2025-05-08T00:00:00"/>
    <x v="90"/>
    <n v="270"/>
    <n v="0"/>
    <n v="0"/>
    <n v="0"/>
    <n v="270"/>
    <s v="Dinheiro"/>
    <x v="0"/>
  </r>
  <r>
    <s v="00403"/>
    <x v="160"/>
    <x v="9"/>
    <s v="05/2025"/>
    <d v="2025-05-08T00:00:00"/>
    <x v="90"/>
    <n v="290"/>
    <n v="0"/>
    <n v="0"/>
    <n v="0"/>
    <n v="290"/>
    <s v="Dinheiro"/>
    <x v="0"/>
  </r>
  <r>
    <s v="00362"/>
    <x v="7"/>
    <x v="3"/>
    <s v="02/2025"/>
    <d v="2025-05-08T00:00:00"/>
    <x v="90"/>
    <n v="104.04"/>
    <n v="0"/>
    <n v="0"/>
    <n v="0"/>
    <n v="104.04"/>
    <s v="Dinheiro"/>
    <x v="0"/>
  </r>
  <r>
    <s v="00009"/>
    <x v="53"/>
    <x v="24"/>
    <s v="05/2025"/>
    <d v="2025-05-09T00:00:00"/>
    <x v="91"/>
    <n v="29955.31"/>
    <n v="0"/>
    <n v="0"/>
    <n v="0"/>
    <n v="29955.31"/>
    <s v="Dinheiro"/>
    <x v="0"/>
  </r>
  <r>
    <s v="00015"/>
    <x v="50"/>
    <x v="23"/>
    <s v="05/2025"/>
    <d v="2025-05-09T00:00:00"/>
    <x v="91"/>
    <n v="2546.87"/>
    <n v="0"/>
    <n v="0"/>
    <n v="0"/>
    <n v="2546.87"/>
    <s v="Dinheiro"/>
    <x v="0"/>
  </r>
  <r>
    <s v="00362"/>
    <x v="7"/>
    <x v="3"/>
    <s v="05/2025"/>
    <d v="2025-05-09T00:00:00"/>
    <x v="91"/>
    <n v="63.24"/>
    <n v="0"/>
    <n v="0"/>
    <n v="0"/>
    <n v="63.24"/>
    <s v="Dinheiro"/>
    <x v="0"/>
  </r>
  <r>
    <s v="00078"/>
    <x v="13"/>
    <x v="12"/>
    <s v="05/2025"/>
    <d v="2025-05-09T00:00:00"/>
    <x v="91"/>
    <n v="27"/>
    <n v="0"/>
    <n v="0"/>
    <n v="0"/>
    <n v="27"/>
    <s v="Dinheiro"/>
    <x v="0"/>
  </r>
  <r>
    <s v="00039"/>
    <x v="231"/>
    <x v="9"/>
    <s v="05/2025"/>
    <d v="2025-05-09T00:00:00"/>
    <x v="91"/>
    <n v="39.980000000000004"/>
    <n v="0"/>
    <n v="0"/>
    <n v="0"/>
    <n v="39.980000000000004"/>
    <s v="Dinheiro"/>
    <x v="0"/>
  </r>
  <r>
    <s v="00388"/>
    <x v="122"/>
    <x v="15"/>
    <s v="05/2025"/>
    <d v="2025-05-09T00:00:00"/>
    <x v="91"/>
    <n v="211.8"/>
    <n v="0"/>
    <n v="0"/>
    <n v="0"/>
    <n v="211.8"/>
    <s v="Dinheiro"/>
    <x v="0"/>
  </r>
  <r>
    <s v="00190"/>
    <x v="70"/>
    <x v="30"/>
    <s v="05/2025"/>
    <d v="2025-05-09T00:00:00"/>
    <x v="91"/>
    <n v="1600"/>
    <n v="0"/>
    <n v="0"/>
    <n v="0"/>
    <n v="1600"/>
    <s v="Dinheiro"/>
    <x v="0"/>
  </r>
  <r>
    <s v="00403"/>
    <x v="160"/>
    <x v="9"/>
    <s v="05/2025"/>
    <d v="2025-05-09T00:00:00"/>
    <x v="91"/>
    <n v="930"/>
    <n v="0"/>
    <n v="0"/>
    <n v="0"/>
    <n v="930"/>
    <s v="Dinheiro"/>
    <x v="0"/>
  </r>
  <r>
    <s v="00449"/>
    <x v="257"/>
    <x v="30"/>
    <s v="05/2025"/>
    <d v="2025-05-09T00:00:00"/>
    <x v="91"/>
    <n v="340"/>
    <n v="0"/>
    <n v="0"/>
    <n v="0"/>
    <n v="340"/>
    <s v="Dinheiro"/>
    <x v="0"/>
  </r>
  <r>
    <s v="00353"/>
    <x v="61"/>
    <x v="30"/>
    <s v="05/2025"/>
    <d v="2025-05-09T00:00:00"/>
    <x v="91"/>
    <n v="3500"/>
    <n v="0"/>
    <n v="0"/>
    <n v="0"/>
    <n v="3500"/>
    <s v="Dinheiro"/>
    <x v="0"/>
  </r>
  <r>
    <s v="00453"/>
    <x v="218"/>
    <x v="30"/>
    <s v="05/2025"/>
    <d v="2025-05-09T00:00:00"/>
    <x v="91"/>
    <n v="1680"/>
    <n v="0"/>
    <n v="0"/>
    <n v="0"/>
    <n v="1680"/>
    <s v="Dinheiro"/>
    <x v="0"/>
  </r>
  <r>
    <s v="00189"/>
    <x v="76"/>
    <x v="30"/>
    <s v="05/2025"/>
    <d v="2025-05-09T00:00:00"/>
    <x v="91"/>
    <n v="1120"/>
    <n v="0"/>
    <n v="0"/>
    <n v="0"/>
    <n v="1120"/>
    <s v="Dinheiro"/>
    <x v="0"/>
  </r>
  <r>
    <s v="00432"/>
    <x v="213"/>
    <x v="30"/>
    <s v="05/2025"/>
    <d v="2025-05-09T00:00:00"/>
    <x v="91"/>
    <n v="640"/>
    <n v="0"/>
    <n v="0"/>
    <n v="0"/>
    <n v="640"/>
    <s v="Dinheiro"/>
    <x v="0"/>
  </r>
  <r>
    <s v="00019"/>
    <x v="159"/>
    <x v="2"/>
    <s v="05/2025"/>
    <d v="2025-05-09T00:00:00"/>
    <x v="91"/>
    <n v="363.75"/>
    <n v="0"/>
    <n v="0"/>
    <n v="0"/>
    <n v="363.75"/>
    <s v="Dinheiro"/>
    <x v="0"/>
  </r>
  <r>
    <s v="00085"/>
    <x v="49"/>
    <x v="22"/>
    <s v="05/2025"/>
    <d v="2025-05-09T00:00:00"/>
    <x v="91"/>
    <n v="11573.58"/>
    <n v="0"/>
    <n v="0"/>
    <n v="0"/>
    <n v="11573.58"/>
    <s v="Dinheiro"/>
    <x v="0"/>
  </r>
  <r>
    <s v="00101"/>
    <x v="171"/>
    <x v="58"/>
    <s v="05/2025"/>
    <d v="2025-05-09T00:00:00"/>
    <x v="91"/>
    <n v="605"/>
    <n v="0"/>
    <n v="0"/>
    <n v="0"/>
    <n v="605"/>
    <s v="Dinheiro"/>
    <x v="0"/>
  </r>
  <r>
    <s v="00102"/>
    <x v="84"/>
    <x v="36"/>
    <s v="05/2025"/>
    <d v="2025-05-09T00:00:00"/>
    <x v="91"/>
    <n v="971.61"/>
    <n v="0"/>
    <n v="0"/>
    <n v="0"/>
    <n v="971.61"/>
    <s v="Dinheiro"/>
    <x v="0"/>
  </r>
  <r>
    <s v="00607"/>
    <x v="52"/>
    <x v="16"/>
    <s v="05/2025"/>
    <d v="2025-05-09T00:00:00"/>
    <x v="91"/>
    <n v="221.3"/>
    <n v="0"/>
    <n v="0"/>
    <n v="0"/>
    <n v="221.3"/>
    <s v="Dinheiro"/>
    <x v="0"/>
  </r>
  <r>
    <s v="00362"/>
    <x v="7"/>
    <x v="3"/>
    <s v="05/2025"/>
    <d v="2025-05-09T00:00:00"/>
    <x v="91"/>
    <n v="104.04"/>
    <n v="0"/>
    <n v="0"/>
    <n v="0"/>
    <n v="104.04"/>
    <s v="Dinheiro"/>
    <x v="0"/>
  </r>
  <r>
    <s v="00215"/>
    <x v="120"/>
    <x v="45"/>
    <s v="05/2025"/>
    <d v="2025-05-10T00:00:00"/>
    <x v="92"/>
    <n v="45.980000000000004"/>
    <n v="0"/>
    <n v="0"/>
    <n v="0"/>
    <n v="45.980000000000004"/>
    <s v="Dinheiro"/>
    <x v="0"/>
  </r>
  <r>
    <s v="00346"/>
    <x v="284"/>
    <x v="29"/>
    <s v="05/2025"/>
    <d v="2025-05-12T00:00:00"/>
    <x v="92"/>
    <n v="760"/>
    <n v="0"/>
    <n v="0"/>
    <n v="0"/>
    <n v="760"/>
    <s v="Dinheiro"/>
    <x v="0"/>
  </r>
  <r>
    <s v="00346"/>
    <x v="284"/>
    <x v="30"/>
    <s v="05/2025"/>
    <d v="2025-05-12T00:00:00"/>
    <x v="92"/>
    <n v="160"/>
    <n v="0"/>
    <n v="0"/>
    <n v="0"/>
    <n v="160"/>
    <s v="Dinheiro"/>
    <x v="0"/>
  </r>
  <r>
    <s v="00347"/>
    <x v="285"/>
    <x v="1"/>
    <s v="05/2025"/>
    <d v="2025-05-12T00:00:00"/>
    <x v="92"/>
    <n v="20.400000000000002"/>
    <n v="0"/>
    <n v="0"/>
    <n v="0"/>
    <n v="20.400000000000002"/>
    <s v="Dinheiro"/>
    <x v="0"/>
  </r>
  <r>
    <s v="00129"/>
    <x v="211"/>
    <x v="29"/>
    <s v="05/2025"/>
    <d v="2025-05-12T00:00:00"/>
    <x v="92"/>
    <n v="880"/>
    <n v="0"/>
    <n v="0"/>
    <n v="0"/>
    <n v="880"/>
    <s v="Dinheiro"/>
    <x v="0"/>
  </r>
  <r>
    <s v="00132"/>
    <x v="209"/>
    <x v="29"/>
    <s v="05/2025"/>
    <d v="2025-05-12T00:00:00"/>
    <x v="92"/>
    <n v="2080"/>
    <n v="0"/>
    <n v="0"/>
    <n v="0"/>
    <n v="2080"/>
    <s v="Dinheiro"/>
    <x v="0"/>
  </r>
  <r>
    <s v="00131"/>
    <x v="208"/>
    <x v="29"/>
    <s v="05/2025"/>
    <d v="2025-05-12T00:00:00"/>
    <x v="92"/>
    <n v="2000"/>
    <n v="0"/>
    <n v="0"/>
    <n v="0"/>
    <n v="2000"/>
    <s v="Dinheiro"/>
    <x v="0"/>
  </r>
  <r>
    <s v="00356"/>
    <x v="286"/>
    <x v="29"/>
    <s v="05/2025"/>
    <d v="2025-05-12T00:00:00"/>
    <x v="92"/>
    <n v="2920"/>
    <n v="0"/>
    <n v="0"/>
    <n v="0"/>
    <n v="2920"/>
    <s v="Dinheiro"/>
    <x v="0"/>
  </r>
  <r>
    <s v="00285"/>
    <x v="23"/>
    <x v="29"/>
    <s v="05/2025"/>
    <d v="2025-05-12T00:00:00"/>
    <x v="92"/>
    <n v="2160"/>
    <n v="0"/>
    <n v="0"/>
    <n v="0"/>
    <n v="2160"/>
    <s v="Dinheiro"/>
    <x v="0"/>
  </r>
  <r>
    <s v="00131"/>
    <x v="208"/>
    <x v="29"/>
    <s v="05/2025"/>
    <d v="2025-05-12T00:00:00"/>
    <x v="92"/>
    <n v="1360"/>
    <n v="0"/>
    <n v="0"/>
    <n v="0"/>
    <n v="1360"/>
    <s v="Dinheiro"/>
    <x v="0"/>
  </r>
  <r>
    <s v="00145"/>
    <x v="71"/>
    <x v="29"/>
    <s v="05/2025"/>
    <d v="2025-05-12T00:00:00"/>
    <x v="92"/>
    <n v="480"/>
    <n v="0"/>
    <n v="0"/>
    <n v="0"/>
    <n v="480"/>
    <s v="Dinheiro"/>
    <x v="0"/>
  </r>
  <r>
    <s v="00144"/>
    <x v="287"/>
    <x v="29"/>
    <s v="05/2025"/>
    <d v="2025-05-12T00:00:00"/>
    <x v="92"/>
    <n v="1040"/>
    <n v="0"/>
    <n v="0"/>
    <n v="0"/>
    <n v="1040"/>
    <s v="Dinheiro"/>
    <x v="0"/>
  </r>
  <r>
    <s v="00127"/>
    <x v="207"/>
    <x v="29"/>
    <s v="05/2025"/>
    <d v="2025-05-12T00:00:00"/>
    <x v="92"/>
    <n v="2880"/>
    <n v="0"/>
    <n v="0"/>
    <n v="0"/>
    <n v="2880"/>
    <s v="Dinheiro"/>
    <x v="0"/>
  </r>
  <r>
    <s v="00362"/>
    <x v="7"/>
    <x v="3"/>
    <s v="05/2025"/>
    <d v="2025-05-12T00:00:00"/>
    <x v="92"/>
    <n v="11.18"/>
    <n v="0"/>
    <n v="0"/>
    <n v="0"/>
    <n v="11.18"/>
    <s v="Dinheiro"/>
    <x v="0"/>
  </r>
  <r>
    <s v="00223"/>
    <x v="32"/>
    <x v="8"/>
    <s v="05/2025"/>
    <d v="2025-05-09T00:00:00"/>
    <x v="92"/>
    <n v="3920"/>
    <n v="0"/>
    <n v="0"/>
    <n v="0"/>
    <n v="3920"/>
    <s v="Dinheiro"/>
    <x v="0"/>
  </r>
  <r>
    <s v="00364"/>
    <x v="16"/>
    <x v="8"/>
    <s v="05/2025"/>
    <d v="2025-05-09T00:00:00"/>
    <x v="92"/>
    <n v="760"/>
    <n v="0"/>
    <n v="0"/>
    <n v="0"/>
    <n v="760"/>
    <s v="Dinheiro"/>
    <x v="0"/>
  </r>
  <r>
    <s v="00134"/>
    <x v="18"/>
    <x v="8"/>
    <s v="05/2025"/>
    <d v="2025-05-09T00:00:00"/>
    <x v="92"/>
    <n v="1900"/>
    <n v="0"/>
    <n v="0"/>
    <n v="0"/>
    <n v="1900"/>
    <s v="Dinheiro"/>
    <x v="0"/>
  </r>
  <r>
    <s v="00304"/>
    <x v="17"/>
    <x v="8"/>
    <s v="05/2025"/>
    <d v="2025-05-09T00:00:00"/>
    <x v="92"/>
    <n v="300"/>
    <n v="0"/>
    <n v="0"/>
    <n v="0"/>
    <n v="300"/>
    <s v="Dinheiro"/>
    <x v="0"/>
  </r>
  <r>
    <s v="00133"/>
    <x v="24"/>
    <x v="8"/>
    <s v="05/2025"/>
    <d v="2025-05-09T00:00:00"/>
    <x v="92"/>
    <n v="800"/>
    <n v="0"/>
    <n v="0"/>
    <n v="0"/>
    <n v="800"/>
    <s v="Dinheiro"/>
    <x v="0"/>
  </r>
  <r>
    <s v="00416"/>
    <x v="184"/>
    <x v="8"/>
    <s v="05/2025"/>
    <d v="2025-05-09T00:00:00"/>
    <x v="92"/>
    <n v="440"/>
    <n v="0"/>
    <n v="0"/>
    <n v="0"/>
    <n v="440"/>
    <s v="Dinheiro"/>
    <x v="0"/>
  </r>
  <r>
    <s v="00442"/>
    <x v="264"/>
    <x v="8"/>
    <s v="05/2025"/>
    <d v="2025-05-07T00:00:00"/>
    <x v="92"/>
    <n v="200"/>
    <n v="0"/>
    <n v="0"/>
    <n v="0"/>
    <n v="200"/>
    <s v="Dinheiro"/>
    <x v="0"/>
  </r>
  <r>
    <s v="00035"/>
    <x v="204"/>
    <x v="12"/>
    <s v="05/2025"/>
    <d v="2025-05-09T00:00:00"/>
    <x v="92"/>
    <n v="27"/>
    <n v="0"/>
    <n v="0"/>
    <n v="0"/>
    <n v="27"/>
    <s v="Dinheiro"/>
    <x v="0"/>
  </r>
  <r>
    <s v="00447"/>
    <x v="247"/>
    <x v="59"/>
    <s v="05/2025"/>
    <d v="2025-05-12T00:00:00"/>
    <x v="92"/>
    <n v="276.7"/>
    <n v="0"/>
    <n v="0"/>
    <n v="0"/>
    <n v="276.7"/>
    <s v="Dinheiro"/>
    <x v="0"/>
  </r>
  <r>
    <s v="00035"/>
    <x v="204"/>
    <x v="12"/>
    <s v="05/2025"/>
    <d v="2025-05-12T00:00:00"/>
    <x v="92"/>
    <n v="27"/>
    <n v="0"/>
    <n v="0"/>
    <n v="0"/>
    <n v="27"/>
    <s v="Dinheiro"/>
    <x v="0"/>
  </r>
  <r>
    <s v="00316"/>
    <x v="17"/>
    <x v="8"/>
    <s v="05/2025"/>
    <d v="2025-05-12T00:00:00"/>
    <x v="92"/>
    <n v="36"/>
    <n v="0"/>
    <n v="0"/>
    <n v="0"/>
    <n v="36"/>
    <s v="Dinheiro"/>
    <x v="0"/>
  </r>
  <r>
    <s v="00364"/>
    <x v="16"/>
    <x v="8"/>
    <s v="05/2025"/>
    <d v="2025-05-12T00:00:00"/>
    <x v="92"/>
    <n v="66"/>
    <n v="0"/>
    <n v="0"/>
    <n v="0"/>
    <n v="66"/>
    <s v="Dinheiro"/>
    <x v="0"/>
  </r>
  <r>
    <s v="00134"/>
    <x v="18"/>
    <x v="8"/>
    <s v="05/2025"/>
    <d v="2025-05-12T00:00:00"/>
    <x v="92"/>
    <n v="286"/>
    <n v="0"/>
    <n v="0"/>
    <n v="0"/>
    <n v="286"/>
    <s v="Dinheiro"/>
    <x v="0"/>
  </r>
  <r>
    <s v="00265"/>
    <x v="72"/>
    <x v="29"/>
    <s v="05/2025"/>
    <d v="2025-05-12T00:00:00"/>
    <x v="92"/>
    <n v="2420.8000000000002"/>
    <n v="0"/>
    <n v="0"/>
    <n v="0"/>
    <n v="2420.8000000000002"/>
    <s v="Dinheiro"/>
    <x v="0"/>
  </r>
  <r>
    <s v="00476"/>
    <x v="256"/>
    <x v="29"/>
    <s v="05/2025"/>
    <d v="2025-05-12T00:00:00"/>
    <x v="92"/>
    <n v="1600"/>
    <n v="0"/>
    <n v="0"/>
    <n v="0"/>
    <n v="1600"/>
    <s v="Dinheiro"/>
    <x v="0"/>
  </r>
  <r>
    <s v="00218"/>
    <x v="66"/>
    <x v="29"/>
    <s v="05/2025"/>
    <d v="2025-05-12T00:00:00"/>
    <x v="92"/>
    <n v="2240"/>
    <n v="0"/>
    <n v="0"/>
    <n v="0"/>
    <n v="2240"/>
    <s v="Dinheiro"/>
    <x v="0"/>
  </r>
  <r>
    <s v="00378"/>
    <x v="87"/>
    <x v="29"/>
    <s v="05/2025"/>
    <d v="2025-05-12T00:00:00"/>
    <x v="92"/>
    <n v="1680"/>
    <n v="0"/>
    <n v="0"/>
    <n v="0"/>
    <n v="1680"/>
    <s v="Dinheiro"/>
    <x v="0"/>
  </r>
  <r>
    <s v="00436"/>
    <x v="217"/>
    <x v="29"/>
    <s v="05/2025"/>
    <d v="2025-05-12T00:00:00"/>
    <x v="92"/>
    <n v="960"/>
    <n v="0"/>
    <n v="0"/>
    <n v="0"/>
    <n v="960"/>
    <s v="Dinheiro"/>
    <x v="0"/>
  </r>
  <r>
    <s v="00308"/>
    <x v="62"/>
    <x v="29"/>
    <s v="05/2025"/>
    <d v="2025-05-12T00:00:00"/>
    <x v="92"/>
    <n v="1040"/>
    <n v="0"/>
    <n v="0"/>
    <n v="0"/>
    <n v="1040"/>
    <s v="Dinheiro"/>
    <x v="0"/>
  </r>
  <r>
    <s v="00189"/>
    <x v="76"/>
    <x v="29"/>
    <s v="05/2025"/>
    <d v="2025-05-12T00:00:00"/>
    <x v="92"/>
    <n v="2000"/>
    <n v="0"/>
    <n v="0"/>
    <n v="0"/>
    <n v="2000"/>
    <s v="Dinheiro"/>
    <x v="0"/>
  </r>
  <r>
    <s v="00406"/>
    <x v="164"/>
    <x v="29"/>
    <s v="05/2025"/>
    <d v="2025-05-12T00:00:00"/>
    <x v="92"/>
    <n v="720"/>
    <n v="0"/>
    <n v="0"/>
    <n v="0"/>
    <n v="720"/>
    <s v="Dinheiro"/>
    <x v="0"/>
  </r>
  <r>
    <s v="00397"/>
    <x v="152"/>
    <x v="29"/>
    <s v="05/2025"/>
    <d v="2025-05-12T00:00:00"/>
    <x v="92"/>
    <n v="1280"/>
    <n v="0"/>
    <n v="0"/>
    <n v="0"/>
    <n v="1280"/>
    <s v="Dinheiro"/>
    <x v="0"/>
  </r>
  <r>
    <s v="00318"/>
    <x v="221"/>
    <x v="29"/>
    <s v="05/2025"/>
    <d v="2025-05-13T00:00:00"/>
    <x v="93"/>
    <n v="740"/>
    <n v="0"/>
    <n v="0"/>
    <n v="0"/>
    <n v="740"/>
    <s v="Dinheiro"/>
    <x v="0"/>
  </r>
  <r>
    <s v="00314"/>
    <x v="73"/>
    <x v="29"/>
    <s v="05/2025"/>
    <d v="2025-05-13T00:00:00"/>
    <x v="93"/>
    <n v="60"/>
    <n v="0"/>
    <n v="0"/>
    <n v="0"/>
    <n v="60"/>
    <s v="Dinheiro"/>
    <x v="0"/>
  </r>
  <r>
    <s v="00362"/>
    <x v="7"/>
    <x v="3"/>
    <s v="05/2025"/>
    <d v="2025-05-13T00:00:00"/>
    <x v="93"/>
    <n v="1124.22"/>
    <n v="0"/>
    <n v="0"/>
    <n v="0"/>
    <n v="1124.22"/>
    <s v="Dinheiro"/>
    <x v="0"/>
  </r>
  <r>
    <s v="00328"/>
    <x v="270"/>
    <x v="45"/>
    <s v="05/2025"/>
    <d v="2025-05-13T00:00:00"/>
    <x v="93"/>
    <n v="30.18"/>
    <n v="0"/>
    <n v="0"/>
    <n v="0"/>
    <n v="30.18"/>
    <s v="Dinheiro"/>
    <x v="0"/>
  </r>
  <r>
    <s v="00032"/>
    <x v="120"/>
    <x v="45"/>
    <s v="05/2025"/>
    <d v="2025-05-13T00:00:00"/>
    <x v="93"/>
    <n v="45.980000000000004"/>
    <n v="0"/>
    <n v="0"/>
    <n v="0"/>
    <n v="45.980000000000004"/>
    <s v="Dinheiro"/>
    <x v="0"/>
  </r>
  <r>
    <s v="00413"/>
    <x v="183"/>
    <x v="14"/>
    <s v="05/2025"/>
    <d v="2025-05-13T00:00:00"/>
    <x v="93"/>
    <n v="30"/>
    <n v="0"/>
    <n v="0"/>
    <n v="0"/>
    <n v="30"/>
    <s v="Dinheiro"/>
    <x v="0"/>
  </r>
  <r>
    <s v="00465"/>
    <x v="274"/>
    <x v="15"/>
    <s v="05/2025"/>
    <d v="2025-05-13T00:00:00"/>
    <x v="93"/>
    <n v="211.84"/>
    <n v="0"/>
    <n v="0"/>
    <n v="0"/>
    <n v="211.84"/>
    <s v="Dinheiro"/>
    <x v="0"/>
  </r>
  <r>
    <s v="00280"/>
    <x v="73"/>
    <x v="29"/>
    <s v="05/2025"/>
    <d v="2025-05-13T00:00:00"/>
    <x v="93"/>
    <n v="60"/>
    <n v="0"/>
    <n v="0"/>
    <n v="0"/>
    <n v="60"/>
    <s v="Dinheiro"/>
    <x v="0"/>
  </r>
  <r>
    <s v="00477"/>
    <x v="288"/>
    <x v="11"/>
    <s v="05/2025"/>
    <d v="2025-05-13T00:00:00"/>
    <x v="93"/>
    <n v="3640"/>
    <n v="0"/>
    <n v="0"/>
    <n v="0"/>
    <n v="3640"/>
    <s v="Dinheiro"/>
    <x v="0"/>
  </r>
  <r>
    <s v="00227"/>
    <x v="81"/>
    <x v="17"/>
    <s v="05/2025"/>
    <d v="2025-05-13T00:00:00"/>
    <x v="93"/>
    <n v="3036"/>
    <n v="0"/>
    <n v="0"/>
    <n v="0"/>
    <n v="3036"/>
    <s v="Dinheiro"/>
    <x v="0"/>
  </r>
  <r>
    <s v="00362"/>
    <x v="7"/>
    <x v="3"/>
    <s v="05/2025"/>
    <d v="2025-05-13T00:00:00"/>
    <x v="93"/>
    <n v="2.04"/>
    <n v="0"/>
    <n v="0"/>
    <n v="0"/>
    <n v="2.04"/>
    <s v="Dinheiro"/>
    <x v="0"/>
  </r>
  <r>
    <s v="00347"/>
    <x v="285"/>
    <x v="14"/>
    <s v="05/2025"/>
    <d v="2025-05-14T00:00:00"/>
    <x v="94"/>
    <n v="30"/>
    <n v="0"/>
    <n v="0"/>
    <n v="0"/>
    <n v="30"/>
    <s v="Dinheiro"/>
    <x v="0"/>
  </r>
  <r>
    <s v="00357"/>
    <x v="289"/>
    <x v="28"/>
    <s v="05/2025"/>
    <d v="2025-05-14T00:00:00"/>
    <x v="94"/>
    <n v="150"/>
    <n v="0"/>
    <n v="0"/>
    <n v="0"/>
    <n v="150"/>
    <s v="Dinheiro"/>
    <x v="0"/>
  </r>
  <r>
    <s v="00176"/>
    <x v="158"/>
    <x v="29"/>
    <s v="05/2025"/>
    <d v="2025-05-14T00:00:00"/>
    <x v="94"/>
    <n v="1120"/>
    <n v="0"/>
    <n v="0"/>
    <n v="0"/>
    <n v="1120"/>
    <s v="Dinheiro"/>
    <x v="0"/>
  </r>
  <r>
    <s v="00358"/>
    <x v="6"/>
    <x v="61"/>
    <s v="05/2025"/>
    <d v="2025-05-14T00:00:00"/>
    <x v="94"/>
    <n v="301"/>
    <n v="0"/>
    <n v="0"/>
    <n v="0"/>
    <n v="301"/>
    <s v="Dinheiro"/>
    <x v="0"/>
  </r>
  <r>
    <s v="00362"/>
    <x v="7"/>
    <x v="3"/>
    <s v="05/2025"/>
    <d v="2025-05-14T00:00:00"/>
    <x v="94"/>
    <n v="18.28"/>
    <n v="0"/>
    <n v="0"/>
    <n v="0"/>
    <n v="18.28"/>
    <s v="Dinheiro"/>
    <x v="0"/>
  </r>
  <r>
    <s v="00362"/>
    <x v="7"/>
    <x v="3"/>
    <s v="05/2025"/>
    <d v="2025-05-14T00:00:00"/>
    <x v="94"/>
    <n v="8.16"/>
    <n v="0"/>
    <n v="0"/>
    <n v="0"/>
    <n v="8.16"/>
    <s v="Dinheiro"/>
    <x v="0"/>
  </r>
  <r>
    <s v="00362"/>
    <x v="7"/>
    <x v="34"/>
    <s v="05/2025"/>
    <d v="2025-05-14T00:00:00"/>
    <x v="94"/>
    <n v="5552"/>
    <n v="0"/>
    <n v="0"/>
    <n v="0"/>
    <n v="5552"/>
    <s v="Dinheiro"/>
    <x v="0"/>
  </r>
  <r>
    <s v="00355"/>
    <x v="83"/>
    <x v="29"/>
    <s v="05/2025"/>
    <d v="2025-05-15T00:00:00"/>
    <x v="95"/>
    <n v="1040"/>
    <n v="0"/>
    <n v="0"/>
    <n v="0"/>
    <n v="1040"/>
    <s v="Dinheiro"/>
    <x v="0"/>
  </r>
  <r>
    <s v="00065"/>
    <x v="92"/>
    <x v="36"/>
    <s v="05/2025"/>
    <d v="2025-05-15T00:00:00"/>
    <x v="95"/>
    <n v="23147.16"/>
    <n v="0"/>
    <n v="0"/>
    <n v="0"/>
    <n v="23147.16"/>
    <s v="Dinheiro"/>
    <x v="0"/>
  </r>
  <r>
    <s v="00478"/>
    <x v="290"/>
    <x v="32"/>
    <s v="05/2025"/>
    <d v="2025-05-15T00:00:00"/>
    <x v="95"/>
    <n v="265.2"/>
    <n v="0"/>
    <n v="0"/>
    <n v="0"/>
    <n v="265.2"/>
    <s v="Dinheiro"/>
    <x v="0"/>
  </r>
  <r>
    <s v="00102"/>
    <x v="84"/>
    <x v="10"/>
    <s v="05/2025"/>
    <d v="2025-05-15T00:00:00"/>
    <x v="95"/>
    <n v="700"/>
    <n v="0"/>
    <n v="0"/>
    <n v="0"/>
    <n v="700"/>
    <s v="Dinheiro"/>
    <x v="0"/>
  </r>
  <r>
    <s v="00109"/>
    <x v="90"/>
    <x v="35"/>
    <s v="05/2025"/>
    <d v="2025-05-15T00:00:00"/>
    <x v="95"/>
    <n v="217.76"/>
    <n v="0"/>
    <n v="0"/>
    <n v="0"/>
    <n v="217.76"/>
    <s v="Dinheiro"/>
    <x v="0"/>
  </r>
  <r>
    <s v="00102"/>
    <x v="84"/>
    <x v="36"/>
    <s v="05/2025"/>
    <d v="2025-05-15T00:00:00"/>
    <x v="95"/>
    <n v="1943.22"/>
    <n v="0"/>
    <n v="0"/>
    <n v="0"/>
    <n v="1943.22"/>
    <s v="Dinheiro"/>
    <x v="0"/>
  </r>
  <r>
    <s v="00103"/>
    <x v="97"/>
    <x v="72"/>
    <s v="05/2025"/>
    <d v="2025-05-15T00:00:00"/>
    <x v="95"/>
    <n v="377.82"/>
    <n v="0"/>
    <n v="0"/>
    <n v="0"/>
    <n v="377.82"/>
    <s v="Dinheiro"/>
    <x v="0"/>
  </r>
  <r>
    <s v="00362"/>
    <x v="7"/>
    <x v="34"/>
    <s v="05/2025"/>
    <d v="2025-05-15T00:00:00"/>
    <x v="95"/>
    <n v="222.02"/>
    <n v="0"/>
    <n v="0"/>
    <n v="0"/>
    <n v="222.02"/>
    <s v="Dinheiro"/>
    <x v="0"/>
  </r>
  <r>
    <s v="00359"/>
    <x v="291"/>
    <x v="28"/>
    <s v="05/2025"/>
    <d v="2025-05-16T00:00:00"/>
    <x v="96"/>
    <n v="79"/>
    <n v="0"/>
    <n v="0"/>
    <n v="0"/>
    <n v="79"/>
    <s v="Dinheiro"/>
    <x v="0"/>
  </r>
  <r>
    <s v="00006"/>
    <x v="137"/>
    <x v="53"/>
    <s v="05/2025"/>
    <d v="2025-05-16T00:00:00"/>
    <x v="96"/>
    <n v="1524.01"/>
    <n v="0"/>
    <n v="0"/>
    <n v="0"/>
    <n v="1524.01"/>
    <s v="Dinheiro"/>
    <x v="0"/>
  </r>
  <r>
    <s v="00283"/>
    <x v="99"/>
    <x v="26"/>
    <s v="05/2025"/>
    <d v="2025-05-16T00:00:00"/>
    <x v="96"/>
    <n v="391.29"/>
    <n v="0"/>
    <n v="0"/>
    <n v="0"/>
    <n v="391.29"/>
    <s v="Dinheiro"/>
    <x v="0"/>
  </r>
  <r>
    <s v="00358"/>
    <x v="6"/>
    <x v="61"/>
    <s v="05/2025"/>
    <d v="2025-05-16T00:00:00"/>
    <x v="96"/>
    <n v="900"/>
    <n v="0"/>
    <n v="0"/>
    <n v="0"/>
    <n v="900"/>
    <s v="Dinheiro"/>
    <x v="0"/>
  </r>
  <r>
    <s v="00018"/>
    <x v="95"/>
    <x v="37"/>
    <s v="05/2025"/>
    <d v="2025-05-16T00:00:00"/>
    <x v="96"/>
    <n v="537"/>
    <n v="0"/>
    <n v="0"/>
    <n v="0"/>
    <n v="537"/>
    <s v="Dinheiro"/>
    <x v="0"/>
  </r>
  <r>
    <s v="00068"/>
    <x v="98"/>
    <x v="39"/>
    <s v="05/2025"/>
    <d v="2025-05-16T00:00:00"/>
    <x v="96"/>
    <n v="1548.8600000000001"/>
    <n v="0"/>
    <n v="0"/>
    <n v="0"/>
    <n v="1548.8600000000001"/>
    <s v="Dinheiro"/>
    <x v="0"/>
  </r>
  <r>
    <s v="00078"/>
    <x v="13"/>
    <x v="12"/>
    <s v="05/2025"/>
    <d v="2025-05-16T00:00:00"/>
    <x v="96"/>
    <n v="18"/>
    <n v="0"/>
    <n v="0"/>
    <n v="0"/>
    <n v="18"/>
    <s v="Dinheiro"/>
    <x v="0"/>
  </r>
  <r>
    <s v="00058"/>
    <x v="88"/>
    <x v="9"/>
    <s v="05/2025"/>
    <d v="2025-05-16T00:00:00"/>
    <x v="96"/>
    <n v="6.99"/>
    <n v="0"/>
    <n v="0"/>
    <n v="0"/>
    <n v="6.99"/>
    <s v="Dinheiro"/>
    <x v="0"/>
  </r>
  <r>
    <s v="00413"/>
    <x v="183"/>
    <x v="14"/>
    <s v="05/2025"/>
    <d v="2025-05-16T00:00:00"/>
    <x v="96"/>
    <n v="30"/>
    <n v="0"/>
    <n v="0"/>
    <n v="0"/>
    <n v="30"/>
    <s v="Dinheiro"/>
    <x v="0"/>
  </r>
  <r>
    <s v="00469"/>
    <x v="292"/>
    <x v="45"/>
    <s v="05/2025"/>
    <d v="2025-05-16T00:00:00"/>
    <x v="96"/>
    <n v="5"/>
    <n v="0"/>
    <n v="0"/>
    <n v="0"/>
    <n v="5"/>
    <s v="Dinheiro"/>
    <x v="0"/>
  </r>
  <r>
    <s v="00364"/>
    <x v="16"/>
    <x v="8"/>
    <s v="05/2025"/>
    <d v="2025-05-16T00:00:00"/>
    <x v="96"/>
    <n v="150"/>
    <n v="0"/>
    <n v="0"/>
    <n v="0"/>
    <n v="150"/>
    <s v="Dinheiro"/>
    <x v="0"/>
  </r>
  <r>
    <s v="00133"/>
    <x v="24"/>
    <x v="8"/>
    <s v="05/2025"/>
    <d v="2025-05-16T00:00:00"/>
    <x v="96"/>
    <n v="200"/>
    <n v="0"/>
    <n v="0"/>
    <n v="0"/>
    <n v="200"/>
    <s v="Dinheiro"/>
    <x v="0"/>
  </r>
  <r>
    <s v="00413"/>
    <x v="183"/>
    <x v="14"/>
    <s v="05/2025"/>
    <d v="2025-05-16T00:00:00"/>
    <x v="96"/>
    <n v="30"/>
    <n v="0"/>
    <n v="0"/>
    <n v="0"/>
    <n v="30"/>
    <s v="Dinheiro"/>
    <x v="0"/>
  </r>
  <r>
    <s v="00470"/>
    <x v="293"/>
    <x v="73"/>
    <s v="05/2025"/>
    <d v="2025-05-16T00:00:00"/>
    <x v="96"/>
    <n v="50"/>
    <n v="0"/>
    <n v="0"/>
    <n v="0"/>
    <n v="50"/>
    <s v="Dinheiro"/>
    <x v="0"/>
  </r>
  <r>
    <s v="00223"/>
    <x v="32"/>
    <x v="8"/>
    <s v="05/2025"/>
    <d v="2025-05-16T00:00:00"/>
    <x v="96"/>
    <n v="200"/>
    <n v="0"/>
    <n v="0"/>
    <n v="0"/>
    <n v="200"/>
    <s v="Dinheiro"/>
    <x v="0"/>
  </r>
  <r>
    <s v="00355"/>
    <x v="83"/>
    <x v="41"/>
    <s v="05/2025"/>
    <d v="2025-05-16T00:00:00"/>
    <x v="96"/>
    <n v="520"/>
    <n v="0"/>
    <n v="0"/>
    <n v="0"/>
    <n v="520"/>
    <s v="Dinheiro"/>
    <x v="0"/>
  </r>
  <r>
    <s v="00360"/>
    <x v="294"/>
    <x v="28"/>
    <s v="05/2025"/>
    <d v="2025-05-19T00:00:00"/>
    <x v="97"/>
    <n v="99"/>
    <n v="0"/>
    <n v="0"/>
    <n v="0"/>
    <n v="99"/>
    <s v="Dinheiro"/>
    <x v="0"/>
  </r>
  <r>
    <s v="00053"/>
    <x v="138"/>
    <x v="0"/>
    <s v="05/2025"/>
    <d v="2025-05-19T00:00:00"/>
    <x v="97"/>
    <n v="878.46"/>
    <n v="0"/>
    <n v="0"/>
    <n v="0"/>
    <n v="878.46"/>
    <s v="Dinheiro"/>
    <x v="0"/>
  </r>
  <r>
    <s v="00053"/>
    <x v="138"/>
    <x v="0"/>
    <s v="05/2025"/>
    <d v="2025-05-19T00:00:00"/>
    <x v="97"/>
    <n v="1321.54"/>
    <n v="0"/>
    <n v="0"/>
    <n v="0"/>
    <n v="1321.54"/>
    <s v="Dinheiro"/>
    <x v="0"/>
  </r>
  <r>
    <s v="00053"/>
    <x v="138"/>
    <x v="0"/>
    <s v="05/2025"/>
    <d v="2025-05-19T00:00:00"/>
    <x v="97"/>
    <n v="1812"/>
    <n v="0"/>
    <n v="0"/>
    <n v="0"/>
    <n v="1812"/>
    <s v="Dinheiro"/>
    <x v="0"/>
  </r>
  <r>
    <s v="00292"/>
    <x v="278"/>
    <x v="5"/>
    <s v="05/2025"/>
    <d v="2025-05-19T00:00:00"/>
    <x v="97"/>
    <n v="35"/>
    <n v="0"/>
    <n v="0"/>
    <n v="0"/>
    <n v="35"/>
    <s v="Dinheiro"/>
    <x v="0"/>
  </r>
  <r>
    <s v="00416"/>
    <x v="184"/>
    <x v="8"/>
    <s v="05/2025"/>
    <d v="2025-05-19T00:00:00"/>
    <x v="97"/>
    <n v="66"/>
    <n v="0"/>
    <n v="0"/>
    <n v="0"/>
    <n v="66"/>
    <s v="Dinheiro"/>
    <x v="0"/>
  </r>
  <r>
    <s v="00416"/>
    <x v="184"/>
    <x v="8"/>
    <s v="05/2025"/>
    <d v="2025-05-19T00:00:00"/>
    <x v="97"/>
    <n v="100"/>
    <n v="0"/>
    <n v="0"/>
    <n v="0"/>
    <n v="100"/>
    <s v="Dinheiro"/>
    <x v="0"/>
  </r>
  <r>
    <s v="00413"/>
    <x v="183"/>
    <x v="14"/>
    <s v="05/2025"/>
    <d v="2025-05-19T00:00:00"/>
    <x v="97"/>
    <n v="30"/>
    <n v="0"/>
    <n v="0"/>
    <n v="0"/>
    <n v="30"/>
    <s v="Dinheiro"/>
    <x v="0"/>
  </r>
  <r>
    <s v="00134"/>
    <x v="18"/>
    <x v="8"/>
    <s v="05/2025"/>
    <d v="2025-05-19T00:00:00"/>
    <x v="97"/>
    <n v="40"/>
    <n v="0"/>
    <n v="0"/>
    <n v="0"/>
    <n v="40"/>
    <s v="Dinheiro"/>
    <x v="0"/>
  </r>
  <r>
    <s v="00134"/>
    <x v="18"/>
    <x v="8"/>
    <s v="05/2025"/>
    <d v="2025-05-19T00:00:00"/>
    <x v="97"/>
    <n v="250"/>
    <n v="0"/>
    <n v="0"/>
    <n v="0"/>
    <n v="250"/>
    <s v="Dinheiro"/>
    <x v="0"/>
  </r>
  <r>
    <s v="00133"/>
    <x v="24"/>
    <x v="8"/>
    <s v="05/2025"/>
    <d v="2025-05-19T00:00:00"/>
    <x v="97"/>
    <n v="226"/>
    <n v="0"/>
    <n v="0"/>
    <n v="0"/>
    <n v="226"/>
    <s v="Dinheiro"/>
    <x v="0"/>
  </r>
  <r>
    <s v="00471"/>
    <x v="295"/>
    <x v="8"/>
    <s v="05/2025"/>
    <d v="2025-05-19T00:00:00"/>
    <x v="97"/>
    <n v="152"/>
    <n v="0"/>
    <n v="0"/>
    <n v="0"/>
    <n v="152"/>
    <s v="Dinheiro"/>
    <x v="0"/>
  </r>
  <r>
    <s v="00305"/>
    <x v="173"/>
    <x v="29"/>
    <s v="05/2025"/>
    <d v="2025-05-20T00:00:00"/>
    <x v="98"/>
    <n v="480"/>
    <n v="0"/>
    <n v="0"/>
    <n v="0"/>
    <n v="480"/>
    <s v="Dinheiro"/>
    <x v="0"/>
  </r>
  <r>
    <s v="00032"/>
    <x v="120"/>
    <x v="45"/>
    <s v="05/2025"/>
    <d v="2025-05-20T00:00:00"/>
    <x v="98"/>
    <n v="91.960000000000008"/>
    <n v="0"/>
    <n v="0"/>
    <n v="0"/>
    <n v="91.960000000000008"/>
    <s v="Dinheiro"/>
    <x v="0"/>
  </r>
  <r>
    <s v="00413"/>
    <x v="183"/>
    <x v="14"/>
    <s v="05/2025"/>
    <d v="2025-05-20T00:00:00"/>
    <x v="98"/>
    <n v="30"/>
    <n v="0"/>
    <n v="0"/>
    <n v="0"/>
    <n v="30"/>
    <s v="Dinheiro"/>
    <x v="0"/>
  </r>
  <r>
    <s v="00362"/>
    <x v="7"/>
    <x v="3"/>
    <s v="05/2025"/>
    <d v="2025-05-20T00:00:00"/>
    <x v="98"/>
    <n v="6.12"/>
    <n v="0"/>
    <n v="0"/>
    <n v="0"/>
    <n v="6.12"/>
    <s v="Dinheiro"/>
    <x v="0"/>
  </r>
  <r>
    <s v="00072"/>
    <x v="105"/>
    <x v="40"/>
    <s v="05/2025"/>
    <d v="2025-05-21T00:00:00"/>
    <x v="99"/>
    <n v="20640.59"/>
    <n v="0"/>
    <n v="0"/>
    <n v="0"/>
    <n v="20640.59"/>
    <s v="Dinheiro"/>
    <x v="0"/>
  </r>
  <r>
    <s v="00213"/>
    <x v="110"/>
    <x v="34"/>
    <s v="05/2025"/>
    <d v="2025-05-21T00:00:00"/>
    <x v="99"/>
    <n v="2000"/>
    <n v="0"/>
    <n v="0"/>
    <n v="0"/>
    <n v="2000"/>
    <s v="Dinheiro"/>
    <x v="0"/>
  </r>
  <r>
    <s v="00362"/>
    <x v="7"/>
    <x v="3"/>
    <s v="05/2025"/>
    <d v="2025-05-21T00:00:00"/>
    <x v="99"/>
    <n v="2.04"/>
    <n v="0"/>
    <n v="0"/>
    <n v="0"/>
    <n v="2.04"/>
    <s v="Dinheiro"/>
    <x v="0"/>
  </r>
  <r>
    <s v="00168"/>
    <x v="39"/>
    <x v="8"/>
    <s v="05/2025"/>
    <d v="2025-05-21T00:00:00"/>
    <x v="99"/>
    <n v="150"/>
    <n v="0"/>
    <n v="0"/>
    <n v="0"/>
    <n v="150"/>
    <s v="Dinheiro"/>
    <x v="0"/>
  </r>
  <r>
    <s v="00168"/>
    <x v="39"/>
    <x v="8"/>
    <s v="05/2025"/>
    <d v="2025-05-21T00:00:00"/>
    <x v="99"/>
    <n v="200"/>
    <n v="0"/>
    <n v="0"/>
    <n v="0"/>
    <n v="200"/>
    <s v="Dinheiro"/>
    <x v="0"/>
  </r>
  <r>
    <s v="00077"/>
    <x v="237"/>
    <x v="66"/>
    <s v="05/2025"/>
    <d v="2025-05-21T00:00:00"/>
    <x v="99"/>
    <n v="382.75"/>
    <n v="0"/>
    <n v="0"/>
    <n v="0"/>
    <n v="382.75"/>
    <s v="Dinheiro"/>
    <x v="0"/>
  </r>
  <r>
    <s v="00077"/>
    <x v="237"/>
    <x v="66"/>
    <s v="05/2025"/>
    <d v="2025-05-21T00:00:00"/>
    <x v="99"/>
    <n v="357.23"/>
    <n v="0"/>
    <n v="0"/>
    <n v="0"/>
    <n v="357.23"/>
    <s v="Dinheiro"/>
    <x v="0"/>
  </r>
  <r>
    <s v="00067"/>
    <x v="132"/>
    <x v="51"/>
    <s v="05/2025"/>
    <d v="2025-05-21T00:00:00"/>
    <x v="99"/>
    <n v="378.18"/>
    <n v="0"/>
    <n v="0"/>
    <n v="0"/>
    <n v="378.18"/>
    <s v="Dinheiro"/>
    <x v="0"/>
  </r>
  <r>
    <s v="00277"/>
    <x v="47"/>
    <x v="16"/>
    <s v="05/2025"/>
    <d v="2025-05-21T00:00:00"/>
    <x v="99"/>
    <n v="385.39"/>
    <n v="0"/>
    <n v="0"/>
    <n v="0"/>
    <n v="385.39"/>
    <s v="Dinheiro"/>
    <x v="0"/>
  </r>
  <r>
    <s v="00011"/>
    <x v="45"/>
    <x v="16"/>
    <s v="05/2025"/>
    <d v="2025-05-21T00:00:00"/>
    <x v="99"/>
    <n v="809.69"/>
    <n v="0"/>
    <n v="0"/>
    <n v="0"/>
    <n v="809.69"/>
    <s v="Dinheiro"/>
    <x v="0"/>
  </r>
  <r>
    <s v="00011"/>
    <x v="45"/>
    <x v="16"/>
    <s v="05/2025"/>
    <d v="2025-05-21T00:00:00"/>
    <x v="99"/>
    <n v="963.53"/>
    <n v="0"/>
    <n v="0"/>
    <n v="0"/>
    <n v="963.53"/>
    <s v="Dinheiro"/>
    <x v="0"/>
  </r>
  <r>
    <s v="00484"/>
    <x v="296"/>
    <x v="16"/>
    <s v="05/2025"/>
    <d v="2025-05-21T00:00:00"/>
    <x v="99"/>
    <n v="798.47"/>
    <n v="0"/>
    <n v="0"/>
    <n v="0"/>
    <n v="798.47"/>
    <s v="Dinheiro"/>
    <x v="0"/>
  </r>
  <r>
    <s v="00362"/>
    <x v="7"/>
    <x v="3"/>
    <s v="05/2025"/>
    <d v="2025-05-21T00:00:00"/>
    <x v="99"/>
    <n v="2.04"/>
    <n v="0"/>
    <n v="0"/>
    <n v="0"/>
    <n v="2.04"/>
    <s v="Dinheiro"/>
    <x v="0"/>
  </r>
  <r>
    <s v="00020"/>
    <x v="114"/>
    <x v="68"/>
    <s v="05/2025"/>
    <d v="2025-05-22T00:00:00"/>
    <x v="100"/>
    <n v="3374.71"/>
    <n v="0"/>
    <n v="0"/>
    <n v="0"/>
    <n v="3374.71"/>
    <s v="Dinheiro"/>
    <x v="0"/>
  </r>
  <r>
    <s v="00072"/>
    <x v="105"/>
    <x v="43"/>
    <s v="05/2025"/>
    <d v="2025-05-22T00:00:00"/>
    <x v="100"/>
    <n v="2987.77"/>
    <n v="0"/>
    <n v="0"/>
    <n v="0"/>
    <n v="2987.77"/>
    <s v="Dinheiro"/>
    <x v="0"/>
  </r>
  <r>
    <s v="00362"/>
    <x v="7"/>
    <x v="3"/>
    <s v="05/2025"/>
    <d v="2025-05-22T00:00:00"/>
    <x v="100"/>
    <n v="2.04"/>
    <n v="0"/>
    <n v="0"/>
    <n v="0"/>
    <n v="2.04"/>
    <s v="Dinheiro"/>
    <x v="0"/>
  </r>
  <r>
    <s v="00310"/>
    <x v="201"/>
    <x v="19"/>
    <s v="05/2025"/>
    <d v="2025-05-23T00:00:00"/>
    <x v="101"/>
    <n v="300.26"/>
    <n v="0"/>
    <n v="0"/>
    <n v="0"/>
    <n v="300.26"/>
    <s v="Dinheiro"/>
    <x v="0"/>
  </r>
  <r>
    <s v="00361"/>
    <x v="297"/>
    <x v="28"/>
    <s v="05/2025"/>
    <d v="2025-05-23T00:00:00"/>
    <x v="101"/>
    <n v="100"/>
    <n v="0"/>
    <n v="0"/>
    <n v="0"/>
    <n v="100"/>
    <s v="Dinheiro"/>
    <x v="0"/>
  </r>
  <r>
    <s v="00474"/>
    <x v="298"/>
    <x v="32"/>
    <s v="05/2025"/>
    <d v="2025-05-23T00:00:00"/>
    <x v="101"/>
    <n v="39.36"/>
    <n v="0"/>
    <n v="0"/>
    <n v="0"/>
    <n v="39.36"/>
    <s v="Dinheiro"/>
    <x v="0"/>
  </r>
  <r>
    <s v="00474"/>
    <x v="298"/>
    <x v="32"/>
    <s v="05/2025"/>
    <d v="2025-05-23T00:00:00"/>
    <x v="101"/>
    <n v="39.36"/>
    <n v="0"/>
    <n v="0"/>
    <n v="0"/>
    <n v="39.36"/>
    <s v="Dinheiro"/>
    <x v="0"/>
  </r>
  <r>
    <s v="00362"/>
    <x v="7"/>
    <x v="34"/>
    <s v="05/2025"/>
    <d v="2025-05-26T00:00:00"/>
    <x v="102"/>
    <n v="1056.49"/>
    <n v="0"/>
    <n v="0"/>
    <n v="0"/>
    <n v="1056.49"/>
    <s v="Dinheiro"/>
    <x v="0"/>
  </r>
  <r>
    <s v="00362"/>
    <x v="7"/>
    <x v="48"/>
    <s v="05/2025"/>
    <d v="2025-05-26T00:00:00"/>
    <x v="102"/>
    <n v="9558.2100000000009"/>
    <n v="0"/>
    <n v="0"/>
    <n v="0"/>
    <n v="9558.2100000000009"/>
    <s v="Dinheiro"/>
    <x v="0"/>
  </r>
  <r>
    <s v="00362"/>
    <x v="7"/>
    <x v="48"/>
    <s v="05/2025"/>
    <d v="2025-05-26T00:00:00"/>
    <x v="102"/>
    <n v="12349.69"/>
    <n v="0"/>
    <n v="0"/>
    <n v="0"/>
    <n v="12349.69"/>
    <s v="Banco Investimentos"/>
    <x v="0"/>
  </r>
  <r>
    <s v="00416"/>
    <x v="184"/>
    <x v="8"/>
    <s v="05/2025"/>
    <d v="2025-05-26T00:00:00"/>
    <x v="102"/>
    <n v="40"/>
    <n v="0"/>
    <n v="0"/>
    <n v="0"/>
    <n v="40"/>
    <s v="Dinheiro"/>
    <x v="0"/>
  </r>
  <r>
    <s v="00292"/>
    <x v="278"/>
    <x v="5"/>
    <s v="05/2025"/>
    <d v="2025-05-26T00:00:00"/>
    <x v="102"/>
    <n v="35"/>
    <n v="0"/>
    <n v="0"/>
    <n v="0"/>
    <n v="35"/>
    <s v="Dinheiro"/>
    <x v="0"/>
  </r>
  <r>
    <s v="00078"/>
    <x v="13"/>
    <x v="12"/>
    <s v="05/2025"/>
    <d v="2025-05-26T00:00:00"/>
    <x v="102"/>
    <n v="27"/>
    <n v="0"/>
    <n v="0"/>
    <n v="0"/>
    <n v="27"/>
    <s v="Dinheiro"/>
    <x v="0"/>
  </r>
  <r>
    <s v="00474"/>
    <x v="298"/>
    <x v="32"/>
    <s v="05/2025"/>
    <d v="2025-05-26T00:00:00"/>
    <x v="102"/>
    <n v="39.36"/>
    <n v="0"/>
    <n v="0"/>
    <n v="0"/>
    <n v="39.36"/>
    <s v="Dinheiro"/>
    <x v="0"/>
  </r>
  <r>
    <s v="00134"/>
    <x v="18"/>
    <x v="8"/>
    <s v="05/2025"/>
    <d v="2025-05-26T00:00:00"/>
    <x v="102"/>
    <n v="66"/>
    <n v="0"/>
    <n v="0"/>
    <n v="0"/>
    <n v="66"/>
    <s v="Dinheiro"/>
    <x v="0"/>
  </r>
  <r>
    <s v="00471"/>
    <x v="295"/>
    <x v="8"/>
    <s v="05/2025"/>
    <d v="2025-05-26T00:00:00"/>
    <x v="102"/>
    <n v="234"/>
    <n v="0"/>
    <n v="0"/>
    <n v="0"/>
    <n v="234"/>
    <s v="Dinheiro"/>
    <x v="0"/>
  </r>
  <r>
    <s v="00362"/>
    <x v="7"/>
    <x v="3"/>
    <s v="05/2025"/>
    <d v="2025-05-26T00:00:00"/>
    <x v="102"/>
    <n v="2.04"/>
    <n v="0"/>
    <n v="0"/>
    <n v="0"/>
    <n v="2.04"/>
    <s v="Dinheiro"/>
    <x v="0"/>
  </r>
  <r>
    <s v="00362"/>
    <x v="7"/>
    <x v="34"/>
    <s v="05/2025"/>
    <d v="2025-05-26T00:00:00"/>
    <x v="102"/>
    <n v="1367.95"/>
    <n v="0"/>
    <n v="0"/>
    <n v="0"/>
    <n v="1367.95"/>
    <s v="Dinheiro"/>
    <x v="0"/>
  </r>
  <r>
    <s v="00362"/>
    <x v="7"/>
    <x v="3"/>
    <s v="05/2025"/>
    <d v="2025-05-27T00:00:00"/>
    <x v="103"/>
    <n v="2.04"/>
    <n v="0"/>
    <n v="0"/>
    <n v="0"/>
    <n v="2.04"/>
    <s v="Dinheiro"/>
    <x v="0"/>
  </r>
  <r>
    <s v="00362"/>
    <x v="7"/>
    <x v="3"/>
    <s v="05/2025"/>
    <d v="2025-05-28T00:00:00"/>
    <x v="104"/>
    <n v="4.08"/>
    <n v="0"/>
    <n v="0"/>
    <n v="0"/>
    <n v="4.08"/>
    <s v="Dinheiro"/>
    <x v="0"/>
  </r>
  <r>
    <s v="00289"/>
    <x v="141"/>
    <x v="8"/>
    <s v="05/2025"/>
    <d v="2025-05-29T00:00:00"/>
    <x v="105"/>
    <n v="75"/>
    <n v="0"/>
    <n v="0"/>
    <n v="0"/>
    <n v="75"/>
    <s v="Dinheiro"/>
    <x v="0"/>
  </r>
  <r>
    <s v="00474"/>
    <x v="298"/>
    <x v="32"/>
    <s v="05/2025"/>
    <d v="2025-05-29T00:00:00"/>
    <x v="105"/>
    <n v="16.16"/>
    <n v="0"/>
    <n v="0"/>
    <n v="0"/>
    <n v="16.16"/>
    <s v="Dinheiro"/>
    <x v="0"/>
  </r>
  <r>
    <s v="00474"/>
    <x v="298"/>
    <x v="1"/>
    <s v="05/2025"/>
    <d v="2025-05-29T00:00:00"/>
    <x v="105"/>
    <n v="23.2"/>
    <n v="0"/>
    <n v="0"/>
    <n v="0"/>
    <n v="23.2"/>
    <s v="Dinheiro"/>
    <x v="0"/>
  </r>
  <r>
    <s v="00362"/>
    <x v="7"/>
    <x v="3"/>
    <s v="05/2025"/>
    <d v="2025-05-29T00:00:00"/>
    <x v="105"/>
    <n v="4.08"/>
    <n v="0"/>
    <n v="0"/>
    <n v="0"/>
    <n v="4.08"/>
    <s v="Dinheiro"/>
    <x v="0"/>
  </r>
  <r>
    <s v="00277"/>
    <x v="47"/>
    <x v="16"/>
    <s v="06/2025"/>
    <d v="2025-05-30T00:00:00"/>
    <x v="106"/>
    <n v="380.89"/>
    <n v="0"/>
    <n v="0"/>
    <n v="0"/>
    <n v="380.89"/>
    <s v="Dinheiro"/>
    <x v="0"/>
  </r>
  <r>
    <s v="00484"/>
    <x v="296"/>
    <x v="16"/>
    <s v="06/2025"/>
    <d v="2025-05-30T00:00:00"/>
    <x v="106"/>
    <n v="798.02"/>
    <n v="0"/>
    <n v="0"/>
    <n v="0"/>
    <n v="798.02"/>
    <s v="Dinheiro"/>
    <x v="0"/>
  </r>
  <r>
    <s v="00221"/>
    <x v="199"/>
    <x v="61"/>
    <s v="05/2025"/>
    <d v="2025-05-30T00:00:00"/>
    <x v="106"/>
    <n v="860"/>
    <n v="0"/>
    <n v="0"/>
    <n v="0"/>
    <n v="860"/>
    <s v="Dinheiro"/>
    <x v="0"/>
  </r>
  <r>
    <s v="00067"/>
    <x v="132"/>
    <x v="51"/>
    <s v="06/2025"/>
    <d v="2025-05-30T00:00:00"/>
    <x v="106"/>
    <n v="377.64"/>
    <n v="0"/>
    <n v="0"/>
    <n v="0"/>
    <n v="377.64"/>
    <s v="Dinheiro"/>
    <x v="0"/>
  </r>
  <r>
    <s v="00121"/>
    <x v="56"/>
    <x v="26"/>
    <s v="06/2025"/>
    <d v="2025-05-30T00:00:00"/>
    <x v="106"/>
    <n v="1592.75"/>
    <n v="0"/>
    <n v="0"/>
    <n v="0"/>
    <n v="1592.75"/>
    <s v="Dinheiro"/>
    <x v="0"/>
  </r>
  <r>
    <s v="00041"/>
    <x v="299"/>
    <x v="25"/>
    <s v="06/2025"/>
    <d v="2025-05-30T00:00:00"/>
    <x v="106"/>
    <n v="1443.24"/>
    <n v="0"/>
    <n v="0"/>
    <n v="0"/>
    <n v="1443.24"/>
    <s v="Dinheiro"/>
    <x v="0"/>
  </r>
  <r>
    <s v="00011"/>
    <x v="131"/>
    <x v="32"/>
    <s v="06/2025"/>
    <d v="2025-05-30T00:00:00"/>
    <x v="106"/>
    <n v="4848"/>
    <n v="0"/>
    <n v="0"/>
    <n v="0"/>
    <n v="4848"/>
    <s v="Dinheiro"/>
    <x v="0"/>
  </r>
  <r>
    <s v="00351"/>
    <x v="280"/>
    <x v="32"/>
    <s v="06/2025"/>
    <d v="2025-05-30T00:00:00"/>
    <x v="106"/>
    <n v="242.4"/>
    <n v="0"/>
    <n v="0"/>
    <n v="0"/>
    <n v="242.4"/>
    <s v="Dinheiro"/>
    <x v="0"/>
  </r>
  <r>
    <s v="00365"/>
    <x v="300"/>
    <x v="32"/>
    <s v="06/2025"/>
    <d v="2025-05-30T00:00:00"/>
    <x v="106"/>
    <n v="242.4"/>
    <n v="0"/>
    <n v="0"/>
    <n v="0"/>
    <n v="242.4"/>
    <s v="Dinheiro"/>
    <x v="0"/>
  </r>
  <r>
    <s v="00289"/>
    <x v="141"/>
    <x v="32"/>
    <s v="06/2025"/>
    <d v="2025-05-30T00:00:00"/>
    <x v="106"/>
    <n v="242.4"/>
    <n v="0"/>
    <n v="0"/>
    <n v="0"/>
    <n v="242.4"/>
    <s v="Dinheiro"/>
    <x v="0"/>
  </r>
  <r>
    <s v="00366"/>
    <x v="301"/>
    <x v="28"/>
    <s v="06/2025"/>
    <d v="2025-05-30T00:00:00"/>
    <x v="106"/>
    <n v="79"/>
    <n v="0"/>
    <n v="0"/>
    <n v="0"/>
    <n v="79"/>
    <s v="Dinheiro"/>
    <x v="0"/>
  </r>
  <r>
    <s v="00388"/>
    <x v="122"/>
    <x v="1"/>
    <s v="06/2025"/>
    <d v="2025-05-30T00:00:00"/>
    <x v="106"/>
    <n v="387.6"/>
    <n v="0"/>
    <n v="0"/>
    <n v="0"/>
    <n v="387.6"/>
    <s v="Dinheiro"/>
    <x v="0"/>
  </r>
  <r>
    <s v="00068"/>
    <x v="98"/>
    <x v="39"/>
    <s v="06/2025"/>
    <d v="2025-05-30T00:00:00"/>
    <x v="106"/>
    <n v="500"/>
    <n v="0"/>
    <n v="0"/>
    <n v="0"/>
    <n v="500"/>
    <s v="Dinheiro"/>
    <x v="0"/>
  </r>
  <r>
    <s v="00362"/>
    <x v="7"/>
    <x v="3"/>
    <s v="05/2025"/>
    <d v="2025-05-30T00:00:00"/>
    <x v="106"/>
    <n v="2.04"/>
    <n v="0"/>
    <n v="0"/>
    <n v="0"/>
    <n v="2.04"/>
    <s v="Dinheiro"/>
    <x v="0"/>
  </r>
  <r>
    <s v="00362"/>
    <x v="273"/>
    <x v="1"/>
    <s v="05/2025"/>
    <d v="2025-05-30T00:00:00"/>
    <x v="106"/>
    <n v="271.39999999999998"/>
    <n v="0"/>
    <n v="0"/>
    <n v="0"/>
    <n v="271.39999999999998"/>
    <s v="Dinheiro"/>
    <x v="0"/>
  </r>
  <r>
    <s v="00091"/>
    <x v="31"/>
    <x v="1"/>
    <s v="05/2025"/>
    <d v="2025-05-30T00:00:00"/>
    <x v="106"/>
    <n v="255.20000000000002"/>
    <n v="0"/>
    <n v="0"/>
    <n v="0"/>
    <n v="255.20000000000002"/>
    <s v="Dinheiro"/>
    <x v="0"/>
  </r>
  <r>
    <s v="00309"/>
    <x v="25"/>
    <x v="1"/>
    <s v="05/2025"/>
    <d v="2025-05-30T00:00:00"/>
    <x v="106"/>
    <n v="387.8"/>
    <n v="0"/>
    <n v="0"/>
    <n v="0"/>
    <n v="387.8"/>
    <s v="Dinheiro"/>
    <x v="0"/>
  </r>
  <r>
    <s v="00333"/>
    <x v="245"/>
    <x v="1"/>
    <s v="05/2025"/>
    <d v="2025-05-30T00:00:00"/>
    <x v="106"/>
    <n v="224.20000000000002"/>
    <n v="0"/>
    <n v="0"/>
    <n v="0"/>
    <n v="224.20000000000002"/>
    <s v="Dinheiro"/>
    <x v="0"/>
  </r>
  <r>
    <s v="00275"/>
    <x v="42"/>
    <x v="1"/>
    <s v="05/2025"/>
    <d v="2025-05-30T00:00:00"/>
    <x v="106"/>
    <n v="444.6"/>
    <n v="0"/>
    <n v="0"/>
    <n v="0"/>
    <n v="444.6"/>
    <s v="Dinheiro"/>
    <x v="0"/>
  </r>
  <r>
    <s v="00363"/>
    <x v="290"/>
    <x v="1"/>
    <s v="05/2025"/>
    <d v="2025-05-30T00:00:00"/>
    <x v="106"/>
    <n v="265.2"/>
    <n v="0"/>
    <n v="0"/>
    <n v="0"/>
    <n v="265.2"/>
    <s v="Dinheiro"/>
    <x v="0"/>
  </r>
  <r>
    <s v="00351"/>
    <x v="280"/>
    <x v="1"/>
    <s v="05/2025"/>
    <d v="2025-05-30T00:00:00"/>
    <x v="106"/>
    <n v="309.75"/>
    <n v="0"/>
    <n v="0"/>
    <n v="0"/>
    <n v="309.75"/>
    <s v="Dinheiro"/>
    <x v="0"/>
  </r>
  <r>
    <s v="00011"/>
    <x v="131"/>
    <x v="1"/>
    <s v="05/2025"/>
    <d v="2025-05-30T00:00:00"/>
    <x v="106"/>
    <n v="6734.6"/>
    <n v="0"/>
    <n v="0"/>
    <n v="0"/>
    <n v="6734.6"/>
    <s v="Dinheiro"/>
    <x v="0"/>
  </r>
  <r>
    <s v="00335"/>
    <x v="249"/>
    <x v="1"/>
    <s v="05/2025"/>
    <d v="2025-05-30T00:00:00"/>
    <x v="106"/>
    <n v="232"/>
    <n v="0"/>
    <n v="0"/>
    <n v="0"/>
    <n v="232"/>
    <s v="Dinheiro"/>
    <x v="0"/>
  </r>
  <r>
    <s v="00362"/>
    <x v="7"/>
    <x v="3"/>
    <s v="05/2025"/>
    <d v="2025-05-30T00:00:00"/>
    <x v="106"/>
    <n v="4.08"/>
    <n v="0"/>
    <n v="0"/>
    <n v="0"/>
    <n v="4.08"/>
    <s v="Dinheiro"/>
    <x v="0"/>
  </r>
  <r>
    <s v="00389"/>
    <x v="123"/>
    <x v="52"/>
    <s v="05/2025"/>
    <d v="2025-05-23T00:00:00"/>
    <x v="107"/>
    <n v="250"/>
    <n v="0"/>
    <n v="0"/>
    <n v="0"/>
    <n v="250"/>
    <s v="Dinheiro"/>
    <x v="0"/>
  </r>
  <r>
    <s v="00397"/>
    <x v="152"/>
    <x v="1"/>
    <s v="05/2025"/>
    <d v="2025-05-23T00:00:00"/>
    <x v="107"/>
    <n v="35.800000000000004"/>
    <n v="0"/>
    <n v="0"/>
    <n v="0"/>
    <n v="35.800000000000004"/>
    <s v="Dinheiro"/>
    <x v="0"/>
  </r>
  <r>
    <s v="00413"/>
    <x v="183"/>
    <x v="14"/>
    <s v="05/2025"/>
    <d v="2025-05-31T00:00:00"/>
    <x v="107"/>
    <n v="30"/>
    <n v="0"/>
    <n v="0"/>
    <n v="0"/>
    <n v="30"/>
    <s v="Dinheiro"/>
    <x v="0"/>
  </r>
  <r>
    <s v="00316"/>
    <x v="17"/>
    <x v="8"/>
    <s v="05/2025"/>
    <d v="2025-05-26T00:00:00"/>
    <x v="107"/>
    <n v="36"/>
    <n v="0"/>
    <n v="0"/>
    <n v="0"/>
    <n v="36"/>
    <s v="Dinheiro"/>
    <x v="0"/>
  </r>
  <r>
    <s v="00472"/>
    <x v="235"/>
    <x v="8"/>
    <s v="05/2025"/>
    <d v="2025-05-21T00:00:00"/>
    <x v="107"/>
    <n v="75"/>
    <n v="0"/>
    <n v="0"/>
    <n v="0"/>
    <n v="75"/>
    <s v="Dinheiro"/>
    <x v="0"/>
  </r>
  <r>
    <s v="00032"/>
    <x v="120"/>
    <x v="45"/>
    <s v="05/2025"/>
    <d v="2025-05-26T00:00:00"/>
    <x v="107"/>
    <n v="91.960000000000008"/>
    <n v="0"/>
    <n v="0"/>
    <n v="0"/>
    <n v="91.960000000000008"/>
    <s v="Dinheiro"/>
    <x v="0"/>
  </r>
  <r>
    <s v="00403"/>
    <x v="160"/>
    <x v="9"/>
    <s v="05/2025"/>
    <d v="2025-05-29T00:00:00"/>
    <x v="107"/>
    <n v="185"/>
    <n v="0"/>
    <n v="0"/>
    <n v="0"/>
    <n v="185"/>
    <s v="Dinheiro"/>
    <x v="0"/>
  </r>
  <r>
    <s v="00480"/>
    <x v="302"/>
    <x v="20"/>
    <s v="05/2025"/>
    <d v="2025-05-27T00:00:00"/>
    <x v="107"/>
    <n v="122"/>
    <n v="0"/>
    <n v="0"/>
    <n v="0"/>
    <n v="122"/>
    <s v="Dinheiro"/>
    <x v="0"/>
  </r>
  <r>
    <s v="00036"/>
    <x v="109"/>
    <x v="45"/>
    <s v="05/2025"/>
    <d v="2025-05-30T00:00:00"/>
    <x v="107"/>
    <n v="6.78"/>
    <n v="0"/>
    <n v="0"/>
    <n v="0"/>
    <n v="6.78"/>
    <s v="Dinheiro"/>
    <x v="0"/>
  </r>
  <r>
    <s v="00032"/>
    <x v="120"/>
    <x v="45"/>
    <s v="05/2025"/>
    <d v="2025-05-23T00:00:00"/>
    <x v="107"/>
    <n v="23.59"/>
    <n v="0"/>
    <n v="0"/>
    <n v="0"/>
    <n v="23.59"/>
    <s v="Dinheiro"/>
    <x v="0"/>
  </r>
  <r>
    <s v="00358"/>
    <x v="6"/>
    <x v="61"/>
    <s v="06/2025"/>
    <d v="2025-06-02T00:00:00"/>
    <x v="108"/>
    <n v="860"/>
    <n v="0"/>
    <n v="0"/>
    <n v="0"/>
    <n v="860"/>
    <s v="Dinheiro"/>
    <x v="0"/>
  </r>
  <r>
    <s v="00338"/>
    <x v="252"/>
    <x v="19"/>
    <s v="06/2025"/>
    <d v="2025-06-02T00:00:00"/>
    <x v="108"/>
    <n v="539.29"/>
    <n v="0"/>
    <n v="0"/>
    <n v="0"/>
    <n v="539.29"/>
    <s v="Dinheiro"/>
    <x v="0"/>
  </r>
  <r>
    <s v="00078"/>
    <x v="13"/>
    <x v="12"/>
    <s v="06/2025"/>
    <d v="2025-06-02T00:00:00"/>
    <x v="108"/>
    <n v="27"/>
    <n v="0"/>
    <n v="0"/>
    <n v="0"/>
    <n v="27"/>
    <s v="Dinheiro"/>
    <x v="0"/>
  </r>
  <r>
    <s v="00362"/>
    <x v="7"/>
    <x v="3"/>
    <s v="06/2025"/>
    <d v="2025-06-02T00:00:00"/>
    <x v="108"/>
    <n v="4.08"/>
    <n v="0"/>
    <n v="0"/>
    <n v="0"/>
    <n v="4.08"/>
    <s v="Dinheiro"/>
    <x v="0"/>
  </r>
  <r>
    <s v="00362"/>
    <x v="7"/>
    <x v="34"/>
    <s v="06/2025"/>
    <d v="2025-06-02T00:00:00"/>
    <x v="108"/>
    <n v="19.64"/>
    <n v="0"/>
    <n v="0"/>
    <n v="0"/>
    <n v="19.64"/>
    <s v="Dinheiro"/>
    <x v="0"/>
  </r>
  <r>
    <s v="00053"/>
    <x v="138"/>
    <x v="0"/>
    <s v="06/2025"/>
    <d v="2025-06-03T00:00:00"/>
    <x v="109"/>
    <n v="1299.32"/>
    <n v="0"/>
    <n v="0"/>
    <n v="0"/>
    <n v="1299.32"/>
    <s v="Dinheiro"/>
    <x v="0"/>
  </r>
  <r>
    <s v="00053"/>
    <x v="138"/>
    <x v="0"/>
    <s v="06/2025"/>
    <d v="2025-06-03T00:00:00"/>
    <x v="109"/>
    <n v="900.68000000000006"/>
    <n v="0"/>
    <n v="0"/>
    <n v="0"/>
    <n v="900.68000000000006"/>
    <s v="Dinheiro"/>
    <x v="0"/>
  </r>
  <r>
    <s v="00053"/>
    <x v="138"/>
    <x v="0"/>
    <s v="06/2025"/>
    <d v="2025-06-03T00:00:00"/>
    <x v="109"/>
    <n v="1137.6000000000001"/>
    <n v="0"/>
    <n v="0"/>
    <n v="0"/>
    <n v="1137.6000000000001"/>
    <s v="Dinheiro"/>
    <x v="0"/>
  </r>
  <r>
    <s v="00053"/>
    <x v="138"/>
    <x v="0"/>
    <s v="06/2025"/>
    <d v="2025-06-03T00:00:00"/>
    <x v="109"/>
    <n v="1862.4"/>
    <n v="0"/>
    <n v="0"/>
    <n v="0"/>
    <n v="1862.4"/>
    <s v="Dinheiro"/>
    <x v="0"/>
  </r>
  <r>
    <s v="00362"/>
    <x v="7"/>
    <x v="6"/>
    <s v="06/2025"/>
    <d v="2025-06-03T00:00:00"/>
    <x v="109"/>
    <n v="1.83"/>
    <n v="0"/>
    <n v="0"/>
    <n v="0"/>
    <n v="1.83"/>
    <s v="Dinheiro"/>
    <x v="0"/>
  </r>
  <r>
    <s v="00362"/>
    <x v="7"/>
    <x v="34"/>
    <s v="06/2025"/>
    <d v="2025-06-03T00:00:00"/>
    <x v="109"/>
    <n v="4154.13"/>
    <n v="0"/>
    <n v="0"/>
    <n v="0"/>
    <n v="4154.13"/>
    <s v="Dinheiro"/>
    <x v="0"/>
  </r>
  <r>
    <s v="00362"/>
    <x v="7"/>
    <x v="3"/>
    <s v="06/2025"/>
    <d v="2025-06-03T00:00:00"/>
    <x v="109"/>
    <n v="156.75"/>
    <n v="0"/>
    <n v="0"/>
    <n v="0"/>
    <n v="156.75"/>
    <s v="Dinheiro"/>
    <x v="0"/>
  </r>
  <r>
    <s v="00362"/>
    <x v="7"/>
    <x v="3"/>
    <s v="06/2025"/>
    <d v="2025-06-03T00:00:00"/>
    <x v="109"/>
    <n v="2.04"/>
    <n v="0"/>
    <n v="0"/>
    <n v="0"/>
    <n v="2.04"/>
    <s v="Dinheiro"/>
    <x v="0"/>
  </r>
  <r>
    <s v="00362"/>
    <x v="7"/>
    <x v="4"/>
    <s v="06/2025"/>
    <d v="2025-06-03T00:00:00"/>
    <x v="109"/>
    <n v="126.38000000000001"/>
    <n v="0"/>
    <n v="0"/>
    <n v="0"/>
    <n v="126.38000000000001"/>
    <s v="Dinheiro"/>
    <x v="0"/>
  </r>
  <r>
    <s v="00362"/>
    <x v="7"/>
    <x v="6"/>
    <s v="06/2025"/>
    <d v="2025-06-03T00:00:00"/>
    <x v="109"/>
    <n v="504"/>
    <n v="0"/>
    <n v="0"/>
    <n v="0"/>
    <n v="504"/>
    <s v="Dinheiro"/>
    <x v="0"/>
  </r>
  <r>
    <s v="00302"/>
    <x v="96"/>
    <x v="38"/>
    <s v="06/2025"/>
    <d v="2025-06-03T00:00:00"/>
    <x v="109"/>
    <n v="955"/>
    <n v="0"/>
    <n v="0"/>
    <n v="0"/>
    <n v="955"/>
    <s v="Dinheiro"/>
    <x v="0"/>
  </r>
  <r>
    <s v="00362"/>
    <x v="7"/>
    <x v="4"/>
    <s v="06/2025"/>
    <d v="2025-06-03T00:00:00"/>
    <x v="109"/>
    <n v="131.19999999999999"/>
    <n v="0"/>
    <n v="0"/>
    <n v="0"/>
    <n v="131.19999999999999"/>
    <s v="Dinheiro"/>
    <x v="0"/>
  </r>
  <r>
    <s v="00362"/>
    <x v="7"/>
    <x v="4"/>
    <s v="06/2025"/>
    <d v="2025-06-03T00:00:00"/>
    <x v="109"/>
    <n v="150.80000000000001"/>
    <n v="0"/>
    <n v="0"/>
    <n v="0"/>
    <n v="150.80000000000001"/>
    <s v="Dinheiro"/>
    <x v="0"/>
  </r>
  <r>
    <s v="00362"/>
    <x v="7"/>
    <x v="3"/>
    <s v="06/2025"/>
    <d v="2025-06-03T00:00:00"/>
    <x v="109"/>
    <n v="24.48"/>
    <n v="0"/>
    <n v="0"/>
    <n v="0"/>
    <n v="24.48"/>
    <s v="Dinheiro"/>
    <x v="0"/>
  </r>
  <r>
    <s v="00362"/>
    <x v="7"/>
    <x v="6"/>
    <s v="06/2025"/>
    <d v="2025-06-03T00:00:00"/>
    <x v="109"/>
    <n v="95.5"/>
    <n v="0"/>
    <n v="0"/>
    <n v="0"/>
    <n v="95.5"/>
    <s v="Dinheiro"/>
    <x v="0"/>
  </r>
  <r>
    <s v="00362"/>
    <x v="7"/>
    <x v="3"/>
    <s v="06/2025"/>
    <d v="2025-06-04T00:00:00"/>
    <x v="110"/>
    <n v="2.04"/>
    <n v="0"/>
    <n v="0"/>
    <n v="0"/>
    <n v="2.04"/>
    <s v="Dinheiro"/>
    <x v="0"/>
  </r>
  <r>
    <s v="00362"/>
    <x v="7"/>
    <x v="3"/>
    <s v="06/2025"/>
    <d v="2025-06-04T00:00:00"/>
    <x v="110"/>
    <n v="20.400000000000002"/>
    <n v="0"/>
    <n v="0"/>
    <n v="0"/>
    <n v="20.400000000000002"/>
    <s v="Dinheiro"/>
    <x v="0"/>
  </r>
  <r>
    <s v="00053"/>
    <x v="138"/>
    <x v="0"/>
    <s v="06/2025"/>
    <d v="2025-06-05T00:00:00"/>
    <x v="111"/>
    <n v="1877.16"/>
    <n v="0"/>
    <n v="0"/>
    <n v="0"/>
    <n v="1877.16"/>
    <s v="Dinheiro"/>
    <x v="0"/>
  </r>
  <r>
    <s v="00294"/>
    <x v="27"/>
    <x v="16"/>
    <s v="06/2025"/>
    <d v="2025-06-05T00:00:00"/>
    <x v="111"/>
    <n v="1409.45"/>
    <n v="0"/>
    <n v="0"/>
    <n v="0"/>
    <n v="1409.45"/>
    <s v="Dinheiro"/>
    <x v="0"/>
  </r>
  <r>
    <s v="00053"/>
    <x v="136"/>
    <x v="62"/>
    <s v="06/2025"/>
    <d v="2025-06-05T00:00:00"/>
    <x v="111"/>
    <n v="756.84"/>
    <n v="0"/>
    <n v="0"/>
    <n v="0"/>
    <n v="756.84"/>
    <s v="Dinheiro"/>
    <x v="0"/>
  </r>
  <r>
    <s v="00085"/>
    <x v="104"/>
    <x v="66"/>
    <s v="06/2025"/>
    <d v="2025-06-05T00:00:00"/>
    <x v="111"/>
    <n v="367.68"/>
    <n v="0"/>
    <n v="0"/>
    <n v="0"/>
    <n v="367.68"/>
    <s v="Dinheiro"/>
    <x v="0"/>
  </r>
  <r>
    <s v="00085"/>
    <x v="104"/>
    <x v="66"/>
    <s v="06/2025"/>
    <d v="2025-06-05T00:00:00"/>
    <x v="111"/>
    <n v="394"/>
    <n v="0"/>
    <n v="0"/>
    <n v="0"/>
    <n v="394"/>
    <s v="Dinheiro"/>
    <x v="0"/>
  </r>
  <r>
    <s v="00367"/>
    <x v="303"/>
    <x v="17"/>
    <s v="06/2025"/>
    <d v="2025-06-05T00:00:00"/>
    <x v="111"/>
    <n v="850"/>
    <n v="0"/>
    <n v="0"/>
    <n v="0"/>
    <n v="850"/>
    <s v="Dinheiro"/>
    <x v="0"/>
  </r>
  <r>
    <s v="00362"/>
    <x v="7"/>
    <x v="54"/>
    <s v="06/2025"/>
    <d v="2025-06-05T00:00:00"/>
    <x v="111"/>
    <n v="135.52000000000001"/>
    <n v="0"/>
    <n v="0"/>
    <n v="0"/>
    <n v="135.52000000000001"/>
    <s v="Dinheiro"/>
    <x v="0"/>
  </r>
  <r>
    <s v="00362"/>
    <x v="7"/>
    <x v="3"/>
    <s v="06/2025"/>
    <d v="2025-06-05T00:00:00"/>
    <x v="111"/>
    <n v="2.04"/>
    <n v="0"/>
    <n v="0"/>
    <n v="0"/>
    <n v="2.04"/>
    <s v="Dinheiro"/>
    <x v="0"/>
  </r>
  <r>
    <s v="00362"/>
    <x v="7"/>
    <x v="3"/>
    <s v="06/2025"/>
    <d v="2025-06-05T00:00:00"/>
    <x v="111"/>
    <n v="20.400000000000002"/>
    <n v="0"/>
    <n v="0"/>
    <n v="0"/>
    <n v="20.400000000000002"/>
    <s v="Dinheiro"/>
    <x v="0"/>
  </r>
  <r>
    <s v="00285"/>
    <x v="23"/>
    <x v="75"/>
    <s v="06/2025"/>
    <d v="2025-06-06T00:00:00"/>
    <x v="112"/>
    <n v="1911.63"/>
    <n v="0"/>
    <n v="0"/>
    <n v="0"/>
    <n v="1911.63"/>
    <s v="Dinheiro"/>
    <x v="0"/>
  </r>
  <r>
    <s v="00362"/>
    <x v="7"/>
    <x v="3"/>
    <s v="06/2025"/>
    <d v="2025-06-06T00:00:00"/>
    <x v="112"/>
    <n v="2.04"/>
    <n v="0"/>
    <n v="0"/>
    <n v="0"/>
    <n v="2.04"/>
    <s v="Dinheiro"/>
    <x v="0"/>
  </r>
  <r>
    <s v="00353"/>
    <x v="61"/>
    <x v="41"/>
    <s v="06/2025"/>
    <d v="2025-06-06T00:00:00"/>
    <x v="112"/>
    <n v="3000"/>
    <n v="0"/>
    <n v="0"/>
    <n v="0"/>
    <n v="3000"/>
    <s v="Dinheiro"/>
    <x v="0"/>
  </r>
  <r>
    <s v="00353"/>
    <x v="61"/>
    <x v="29"/>
    <s v="06/2025"/>
    <d v="2025-06-06T00:00:00"/>
    <x v="112"/>
    <n v="2520"/>
    <n v="0"/>
    <n v="0"/>
    <n v="0"/>
    <n v="2520"/>
    <s v="Dinheiro"/>
    <x v="0"/>
  </r>
  <r>
    <s v="00388"/>
    <x v="122"/>
    <x v="15"/>
    <s v="06/2025"/>
    <d v="2025-06-06T00:00:00"/>
    <x v="112"/>
    <n v="690"/>
    <n v="0"/>
    <n v="0"/>
    <n v="0"/>
    <n v="690"/>
    <s v="Dinheiro"/>
    <x v="0"/>
  </r>
  <r>
    <s v="00368"/>
    <x v="304"/>
    <x v="28"/>
    <s v="06/2025"/>
    <d v="2025-06-06T00:00:00"/>
    <x v="112"/>
    <n v="69"/>
    <n v="0"/>
    <n v="0"/>
    <n v="0"/>
    <n v="69"/>
    <s v="Dinheiro"/>
    <x v="0"/>
  </r>
  <r>
    <s v="00324"/>
    <x v="235"/>
    <x v="15"/>
    <s v="06/2025"/>
    <d v="2025-06-06T00:00:00"/>
    <x v="112"/>
    <n v="1241.72"/>
    <n v="0"/>
    <n v="0"/>
    <n v="0"/>
    <n v="1241.72"/>
    <s v="Dinheiro"/>
    <x v="0"/>
  </r>
  <r>
    <s v="00304"/>
    <x v="17"/>
    <x v="8"/>
    <s v="06/2025"/>
    <d v="2025-06-06T00:00:00"/>
    <x v="112"/>
    <n v="36"/>
    <n v="0"/>
    <n v="0"/>
    <n v="0"/>
    <n v="36"/>
    <s v="Dinheiro"/>
    <x v="0"/>
  </r>
  <r>
    <s v="00364"/>
    <x v="16"/>
    <x v="8"/>
    <s v="06/2025"/>
    <d v="2025-06-06T00:00:00"/>
    <x v="112"/>
    <n v="110"/>
    <n v="0"/>
    <n v="0"/>
    <n v="0"/>
    <n v="110"/>
    <s v="Dinheiro"/>
    <x v="0"/>
  </r>
  <r>
    <s v="00134"/>
    <x v="18"/>
    <x v="8"/>
    <s v="06/2025"/>
    <d v="2025-06-06T00:00:00"/>
    <x v="112"/>
    <n v="40"/>
    <n v="0"/>
    <n v="0"/>
    <n v="0"/>
    <n v="40"/>
    <s v="Dinheiro"/>
    <x v="0"/>
  </r>
  <r>
    <s v="00133"/>
    <x v="24"/>
    <x v="8"/>
    <s v="06/2025"/>
    <d v="2025-06-06T00:00:00"/>
    <x v="112"/>
    <n v="40"/>
    <n v="0"/>
    <n v="0"/>
    <n v="0"/>
    <n v="40"/>
    <s v="Dinheiro"/>
    <x v="0"/>
  </r>
  <r>
    <s v="00413"/>
    <x v="183"/>
    <x v="15"/>
    <s v="06/2025"/>
    <d v="2025-06-06T00:00:00"/>
    <x v="112"/>
    <n v="529"/>
    <n v="0"/>
    <n v="0"/>
    <n v="0"/>
    <n v="529"/>
    <s v="Dinheiro"/>
    <x v="0"/>
  </r>
  <r>
    <s v="ENF230494"/>
    <x v="305"/>
    <x v="8"/>
    <s v="06/2025"/>
    <d v="2025-06-06T00:00:00"/>
    <x v="112"/>
    <n v="50"/>
    <n v="0"/>
    <n v="0"/>
    <n v="0"/>
    <n v="50"/>
    <s v="Dinheiro"/>
    <x v="0"/>
  </r>
  <r>
    <s v="00039"/>
    <x v="231"/>
    <x v="27"/>
    <s v="06/2025"/>
    <d v="2025-06-06T00:00:00"/>
    <x v="112"/>
    <n v="6.29"/>
    <n v="0"/>
    <n v="0"/>
    <n v="0"/>
    <n v="6.29"/>
    <s v="Dinheiro"/>
    <x v="0"/>
  </r>
  <r>
    <s v="00032"/>
    <x v="120"/>
    <x v="45"/>
    <s v="06/2025"/>
    <d v="2025-06-06T00:00:00"/>
    <x v="112"/>
    <n v="20.990000000000002"/>
    <n v="0"/>
    <n v="0"/>
    <n v="0"/>
    <n v="20.990000000000002"/>
    <s v="Dinheiro"/>
    <x v="0"/>
  </r>
  <r>
    <s v="00032"/>
    <x v="120"/>
    <x v="45"/>
    <s v="06/2025"/>
    <d v="2025-06-06T00:00:00"/>
    <x v="112"/>
    <n v="41.980000000000004"/>
    <n v="0"/>
    <n v="0"/>
    <n v="0"/>
    <n v="41.980000000000004"/>
    <s v="Dinheiro"/>
    <x v="0"/>
  </r>
  <r>
    <s v="00032"/>
    <x v="120"/>
    <x v="45"/>
    <s v="06/2025"/>
    <d v="2025-06-06T00:00:00"/>
    <x v="112"/>
    <n v="29.900000000000002"/>
    <n v="0"/>
    <n v="0"/>
    <n v="0"/>
    <n v="29.900000000000002"/>
    <s v="Dinheiro"/>
    <x v="0"/>
  </r>
  <r>
    <s v="00032"/>
    <x v="120"/>
    <x v="76"/>
    <s v="06/2025"/>
    <d v="2025-06-06T00:00:00"/>
    <x v="112"/>
    <n v="47.9"/>
    <n v="0"/>
    <n v="0"/>
    <n v="0"/>
    <n v="47.9"/>
    <s v="Dinheiro"/>
    <x v="0"/>
  </r>
  <r>
    <s v="00032"/>
    <x v="120"/>
    <x v="74"/>
    <s v="06/2025"/>
    <d v="2025-06-06T00:00:00"/>
    <x v="112"/>
    <n v="16.990000000000002"/>
    <n v="0"/>
    <n v="0"/>
    <n v="0"/>
    <n v="16.990000000000002"/>
    <s v="Dinheiro"/>
    <x v="0"/>
  </r>
  <r>
    <s v="00082"/>
    <x v="100"/>
    <x v="57"/>
    <s v="06/2025"/>
    <d v="2025-06-06T00:00:00"/>
    <x v="112"/>
    <n v="63.800000000000004"/>
    <n v="0"/>
    <n v="0"/>
    <n v="0"/>
    <n v="63.800000000000004"/>
    <s v="Dinheiro"/>
    <x v="0"/>
  </r>
  <r>
    <s v="00328"/>
    <x v="270"/>
    <x v="45"/>
    <s v="06/2025"/>
    <d v="2025-06-06T00:00:00"/>
    <x v="112"/>
    <n v="13.98"/>
    <n v="0"/>
    <n v="0"/>
    <n v="0"/>
    <n v="13.98"/>
    <s v="Dinheiro"/>
    <x v="0"/>
  </r>
  <r>
    <s v="00328"/>
    <x v="270"/>
    <x v="45"/>
    <s v="06/2025"/>
    <d v="2025-06-06T00:00:00"/>
    <x v="112"/>
    <n v="12.99"/>
    <n v="0"/>
    <n v="0"/>
    <n v="0"/>
    <n v="12.99"/>
    <s v="Dinheiro"/>
    <x v="0"/>
  </r>
  <r>
    <s v="00028"/>
    <x v="108"/>
    <x v="45"/>
    <s v="06/2025"/>
    <d v="2025-06-06T00:00:00"/>
    <x v="112"/>
    <n v="26"/>
    <n v="0"/>
    <n v="0"/>
    <n v="0"/>
    <n v="26"/>
    <s v="Dinheiro"/>
    <x v="0"/>
  </r>
  <r>
    <s v="00416"/>
    <x v="184"/>
    <x v="15"/>
    <s v="06/2025"/>
    <d v="2025-06-06T00:00:00"/>
    <x v="112"/>
    <n v="1491"/>
    <n v="0"/>
    <n v="0"/>
    <n v="0"/>
    <n v="1491"/>
    <s v="Dinheiro"/>
    <x v="0"/>
  </r>
  <r>
    <s v="00475"/>
    <x v="245"/>
    <x v="15"/>
    <s v="06/2025"/>
    <d v="2025-06-06T00:00:00"/>
    <x v="112"/>
    <n v="900"/>
    <n v="0"/>
    <n v="0"/>
    <n v="0"/>
    <n v="900"/>
    <s v="Dinheiro"/>
    <x v="0"/>
  </r>
  <r>
    <s v="00474"/>
    <x v="298"/>
    <x v="15"/>
    <s v="06/2025"/>
    <d v="2025-06-06T00:00:00"/>
    <x v="112"/>
    <n v="656.66"/>
    <n v="0"/>
    <n v="0"/>
    <n v="0"/>
    <n v="656.66"/>
    <s v="Dinheiro"/>
    <x v="0"/>
  </r>
  <r>
    <s v="00464"/>
    <x v="273"/>
    <x v="15"/>
    <s v="06/2025"/>
    <d v="2025-06-06T00:00:00"/>
    <x v="112"/>
    <n v="900"/>
    <n v="0"/>
    <n v="0"/>
    <n v="0"/>
    <n v="900"/>
    <s v="Dinheiro"/>
    <x v="0"/>
  </r>
  <r>
    <s v="00160"/>
    <x v="31"/>
    <x v="15"/>
    <s v="06/2025"/>
    <d v="2025-06-06T00:00:00"/>
    <x v="112"/>
    <n v="1492"/>
    <n v="0"/>
    <n v="0"/>
    <n v="0"/>
    <n v="1492"/>
    <s v="Dinheiro"/>
    <x v="0"/>
  </r>
  <r>
    <s v="00351"/>
    <x v="42"/>
    <x v="15"/>
    <s v="06/2025"/>
    <d v="2025-06-06T00:00:00"/>
    <x v="112"/>
    <n v="1492"/>
    <n v="0"/>
    <n v="0"/>
    <n v="0"/>
    <n v="1492"/>
    <s v="Dinheiro"/>
    <x v="0"/>
  </r>
  <r>
    <s v="00463"/>
    <x v="272"/>
    <x v="15"/>
    <s v="06/2025"/>
    <d v="2025-06-06T00:00:00"/>
    <x v="112"/>
    <n v="1703.01"/>
    <n v="0"/>
    <n v="0"/>
    <n v="0"/>
    <n v="1703.01"/>
    <s v="Dinheiro"/>
    <x v="0"/>
  </r>
  <r>
    <s v="00394"/>
    <x v="141"/>
    <x v="15"/>
    <s v="06/2025"/>
    <d v="2025-06-06T00:00:00"/>
    <x v="112"/>
    <n v="1207"/>
    <n v="0"/>
    <n v="0"/>
    <n v="0"/>
    <n v="1207"/>
    <s v="Dinheiro"/>
    <x v="0"/>
  </r>
  <r>
    <s v="00471"/>
    <x v="295"/>
    <x v="15"/>
    <s v="06/2025"/>
    <d v="2025-06-06T00:00:00"/>
    <x v="112"/>
    <n v="1559.6200000000001"/>
    <n v="0"/>
    <n v="0"/>
    <n v="0"/>
    <n v="1559.6200000000001"/>
    <s v="Dinheiro"/>
    <x v="0"/>
  </r>
  <r>
    <s v="00478"/>
    <x v="290"/>
    <x v="32"/>
    <s v="06/2025"/>
    <d v="2025-06-06T00:00:00"/>
    <x v="112"/>
    <n v="242.4"/>
    <n v="0"/>
    <n v="0"/>
    <n v="0"/>
    <n v="242.4"/>
    <s v="Dinheiro"/>
    <x v="0"/>
  </r>
  <r>
    <s v="00448"/>
    <x v="269"/>
    <x v="15"/>
    <s v="06/2025"/>
    <d v="2025-06-06T00:00:00"/>
    <x v="112"/>
    <n v="1703.01"/>
    <n v="0"/>
    <n v="0"/>
    <n v="0"/>
    <n v="1703.01"/>
    <s v="Dinheiro"/>
    <x v="0"/>
  </r>
  <r>
    <s v="00478"/>
    <x v="290"/>
    <x v="15"/>
    <s v="06/2025"/>
    <d v="2025-06-06T00:00:00"/>
    <x v="112"/>
    <n v="1750"/>
    <n v="0"/>
    <n v="0"/>
    <n v="0"/>
    <n v="1750"/>
    <s v="Dinheiro"/>
    <x v="0"/>
  </r>
  <r>
    <s v="00349"/>
    <x v="25"/>
    <x v="15"/>
    <s v="06/2025"/>
    <d v="2025-06-06T00:00:00"/>
    <x v="112"/>
    <n v="1584"/>
    <n v="0"/>
    <n v="0"/>
    <n v="0"/>
    <n v="1584"/>
    <s v="Dinheiro"/>
    <x v="0"/>
  </r>
  <r>
    <s v="00471"/>
    <x v="295"/>
    <x v="15"/>
    <s v="06/2025"/>
    <d v="2025-06-06T00:00:00"/>
    <x v="112"/>
    <n v="195.43"/>
    <n v="0"/>
    <n v="0"/>
    <n v="0"/>
    <n v="195.43"/>
    <s v="Dinheiro"/>
    <x v="0"/>
  </r>
  <r>
    <s v="00362"/>
    <x v="7"/>
    <x v="3"/>
    <s v="06/2025"/>
    <d v="2025-06-06T00:00:00"/>
    <x v="112"/>
    <n v="51"/>
    <n v="0"/>
    <n v="0"/>
    <n v="0"/>
    <n v="51"/>
    <s v="Dinheiro"/>
    <x v="0"/>
  </r>
  <r>
    <s v="00036"/>
    <x v="109"/>
    <x v="45"/>
    <s v="06/2025"/>
    <d v="2025-06-07T00:00:00"/>
    <x v="113"/>
    <n v="6.3900000000000006"/>
    <n v="0"/>
    <n v="0"/>
    <n v="0"/>
    <n v="6.3900000000000006"/>
    <s v="Dinheiro"/>
    <x v="0"/>
  </r>
  <r>
    <s v="00481"/>
    <x v="306"/>
    <x v="37"/>
    <s v="06/2025"/>
    <d v="2025-06-07T00:00:00"/>
    <x v="113"/>
    <n v="160"/>
    <n v="0"/>
    <n v="0"/>
    <n v="0"/>
    <n v="160"/>
    <s v="Dinheiro"/>
    <x v="0"/>
  </r>
  <r>
    <s v="00482"/>
    <x v="307"/>
    <x v="9"/>
    <s v="06/2025"/>
    <d v="2025-06-07T00:00:00"/>
    <x v="113"/>
    <n v="79"/>
    <n v="0"/>
    <n v="0"/>
    <n v="0"/>
    <n v="79"/>
    <s v="Dinheiro"/>
    <x v="0"/>
  </r>
  <r>
    <s v="00025"/>
    <x v="51"/>
    <x v="2"/>
    <s v="06/2025"/>
    <d v="2025-06-09T00:00:00"/>
    <x v="114"/>
    <n v="363.76"/>
    <n v="0"/>
    <n v="0"/>
    <n v="0"/>
    <n v="363.76"/>
    <s v="Dinheiro"/>
    <x v="0"/>
  </r>
  <r>
    <s v="00085"/>
    <x v="49"/>
    <x v="22"/>
    <s v="06/2025"/>
    <d v="2025-06-09T00:00:00"/>
    <x v="114"/>
    <n v="11176.81"/>
    <n v="0"/>
    <n v="0"/>
    <n v="0"/>
    <n v="11176.81"/>
    <s v="Dinheiro"/>
    <x v="0"/>
  </r>
  <r>
    <s v="00035"/>
    <x v="228"/>
    <x v="22"/>
    <s v="06/2025"/>
    <d v="2025-06-09T00:00:00"/>
    <x v="114"/>
    <n v="1100.96"/>
    <n v="0"/>
    <n v="0"/>
    <n v="0"/>
    <n v="1100.96"/>
    <s v="Dinheiro"/>
    <x v="0"/>
  </r>
  <r>
    <s v="00607"/>
    <x v="52"/>
    <x v="16"/>
    <s v="06/2025"/>
    <d v="2025-06-09T00:00:00"/>
    <x v="114"/>
    <n v="221.3"/>
    <n v="0"/>
    <n v="0"/>
    <n v="0"/>
    <n v="221.3"/>
    <s v="Dinheiro"/>
    <x v="0"/>
  </r>
  <r>
    <s v="00009"/>
    <x v="53"/>
    <x v="24"/>
    <s v="06/2025"/>
    <d v="2025-06-09T00:00:00"/>
    <x v="114"/>
    <n v="29955.31"/>
    <n v="0"/>
    <n v="0"/>
    <n v="0"/>
    <n v="29955.31"/>
    <s v="Dinheiro"/>
    <x v="0"/>
  </r>
  <r>
    <s v="00101"/>
    <x v="171"/>
    <x v="58"/>
    <s v="06/2025"/>
    <d v="2025-06-09T00:00:00"/>
    <x v="114"/>
    <n v="605"/>
    <n v="0"/>
    <n v="0"/>
    <n v="0"/>
    <n v="605"/>
    <s v="Dinheiro"/>
    <x v="0"/>
  </r>
  <r>
    <s v="00369"/>
    <x v="308"/>
    <x v="17"/>
    <s v="06/2025"/>
    <d v="2025-06-09T00:00:00"/>
    <x v="114"/>
    <n v="487.41"/>
    <n v="0"/>
    <n v="0"/>
    <n v="0"/>
    <n v="487.41"/>
    <s v="Dinheiro"/>
    <x v="0"/>
  </r>
  <r>
    <s v="00362"/>
    <x v="7"/>
    <x v="3"/>
    <s v="06/2025"/>
    <d v="2025-06-09T00:00:00"/>
    <x v="114"/>
    <n v="4.08"/>
    <n v="0"/>
    <n v="0"/>
    <n v="0"/>
    <n v="4.08"/>
    <s v="Dinheiro"/>
    <x v="0"/>
  </r>
  <r>
    <s v="00409"/>
    <x v="168"/>
    <x v="25"/>
    <s v="06/2025"/>
    <d v="2025-06-09T00:00:00"/>
    <x v="114"/>
    <n v="97.97"/>
    <n v="0"/>
    <n v="0"/>
    <n v="0"/>
    <n v="97.97"/>
    <s v="Dinheiro"/>
    <x v="0"/>
  </r>
  <r>
    <s v="00486"/>
    <x v="309"/>
    <x v="28"/>
    <s v="06/2025"/>
    <d v="2025-06-09T00:00:00"/>
    <x v="114"/>
    <n v="100"/>
    <n v="0"/>
    <n v="0"/>
    <n v="0"/>
    <n v="100"/>
    <s v="Dinheiro"/>
    <x v="0"/>
  </r>
  <r>
    <s v="00487"/>
    <x v="310"/>
    <x v="28"/>
    <s v="06/2025"/>
    <d v="2025-06-09T00:00:00"/>
    <x v="114"/>
    <n v="79"/>
    <n v="0"/>
    <n v="0"/>
    <n v="0"/>
    <n v="79"/>
    <s v="Dinheiro"/>
    <x v="0"/>
  </r>
  <r>
    <s v="00362"/>
    <x v="7"/>
    <x v="34"/>
    <s v="06/2025"/>
    <d v="2025-06-09T00:00:00"/>
    <x v="114"/>
    <n v="895.56000000000006"/>
    <n v="0"/>
    <n v="0"/>
    <n v="0"/>
    <n v="895.56000000000006"/>
    <s v="Dinheiro"/>
    <x v="0"/>
  </r>
  <r>
    <s v="00343"/>
    <x v="256"/>
    <x v="29"/>
    <s v="06/2025"/>
    <d v="2025-06-10T00:00:00"/>
    <x v="115"/>
    <n v="2080"/>
    <n v="0"/>
    <n v="0"/>
    <n v="0"/>
    <n v="2080"/>
    <s v="Dinheiro"/>
    <x v="0"/>
  </r>
  <r>
    <s v="00300"/>
    <x v="72"/>
    <x v="29"/>
    <s v="06/2025"/>
    <d v="2025-06-10T00:00:00"/>
    <x v="115"/>
    <n v="2492"/>
    <n v="0"/>
    <n v="0"/>
    <n v="0"/>
    <n v="2492"/>
    <s v="Dinheiro"/>
    <x v="0"/>
  </r>
  <r>
    <s v="00132"/>
    <x v="209"/>
    <x v="29"/>
    <s v="06/2025"/>
    <d v="2025-06-10T00:00:00"/>
    <x v="115"/>
    <n v="3760"/>
    <n v="0"/>
    <n v="0"/>
    <n v="0"/>
    <n v="3760"/>
    <s v="Dinheiro"/>
    <x v="0"/>
  </r>
  <r>
    <s v="00313"/>
    <x v="210"/>
    <x v="29"/>
    <s v="06/2025"/>
    <d v="2025-06-10T00:00:00"/>
    <x v="115"/>
    <n v="400"/>
    <n v="0"/>
    <n v="0"/>
    <n v="0"/>
    <n v="400"/>
    <s v="Dinheiro"/>
    <x v="0"/>
  </r>
  <r>
    <s v="00241"/>
    <x v="62"/>
    <x v="29"/>
    <s v="06/2025"/>
    <d v="2025-06-10T00:00:00"/>
    <x v="115"/>
    <n v="1040"/>
    <n v="0"/>
    <n v="0"/>
    <n v="0"/>
    <n v="1040"/>
    <s v="Dinheiro"/>
    <x v="0"/>
  </r>
  <r>
    <s v="00206"/>
    <x v="311"/>
    <x v="29"/>
    <s v="06/2025"/>
    <d v="2025-06-10T00:00:00"/>
    <x v="115"/>
    <n v="640"/>
    <n v="0"/>
    <n v="0"/>
    <n v="0"/>
    <n v="640"/>
    <s v="Dinheiro"/>
    <x v="0"/>
  </r>
  <r>
    <s v="00355"/>
    <x v="83"/>
    <x v="29"/>
    <s v="06/2025"/>
    <d v="2025-06-10T00:00:00"/>
    <x v="115"/>
    <n v="1040"/>
    <n v="0"/>
    <n v="0"/>
    <n v="0"/>
    <n v="1040"/>
    <s v="Dinheiro"/>
    <x v="0"/>
  </r>
  <r>
    <s v="00127"/>
    <x v="207"/>
    <x v="29"/>
    <s v="06/2025"/>
    <d v="2025-06-10T00:00:00"/>
    <x v="115"/>
    <n v="2960"/>
    <n v="0"/>
    <n v="0"/>
    <n v="0"/>
    <n v="2960"/>
    <s v="Dinheiro"/>
    <x v="0"/>
  </r>
  <r>
    <s v="00312"/>
    <x v="87"/>
    <x v="29"/>
    <s v="06/2025"/>
    <d v="2025-06-10T00:00:00"/>
    <x v="115"/>
    <n v="2600"/>
    <n v="0"/>
    <n v="0"/>
    <n v="0"/>
    <n v="2600"/>
    <s v="Dinheiro"/>
    <x v="0"/>
  </r>
  <r>
    <s v="00344"/>
    <x v="217"/>
    <x v="29"/>
    <s v="06/2025"/>
    <d v="2025-06-10T00:00:00"/>
    <x v="115"/>
    <n v="1120"/>
    <n v="0"/>
    <n v="0"/>
    <n v="0"/>
    <n v="1120"/>
    <s v="Dinheiro"/>
    <x v="0"/>
  </r>
  <r>
    <s v="00311"/>
    <x v="202"/>
    <x v="29"/>
    <s v="06/2025"/>
    <d v="2025-06-10T00:00:00"/>
    <x v="115"/>
    <n v="1440"/>
    <n v="0"/>
    <n v="0"/>
    <n v="0"/>
    <n v="1440"/>
    <s v="Dinheiro"/>
    <x v="0"/>
  </r>
  <r>
    <s v="00190"/>
    <x v="32"/>
    <x v="8"/>
    <s v="06/2025"/>
    <d v="2025-06-10T00:00:00"/>
    <x v="115"/>
    <n v="2730"/>
    <n v="0"/>
    <n v="0"/>
    <n v="0"/>
    <n v="2730"/>
    <s v="Dinheiro"/>
    <x v="0"/>
  </r>
  <r>
    <s v="00145"/>
    <x v="71"/>
    <x v="29"/>
    <s v="06/2025"/>
    <d v="2025-06-10T00:00:00"/>
    <x v="115"/>
    <n v="1120"/>
    <n v="0"/>
    <n v="0"/>
    <n v="0"/>
    <n v="1120"/>
    <s v="Dinheiro"/>
    <x v="0"/>
  </r>
  <r>
    <s v="00129"/>
    <x v="211"/>
    <x v="29"/>
    <s v="06/2025"/>
    <d v="2025-06-10T00:00:00"/>
    <x v="115"/>
    <n v="880"/>
    <n v="0"/>
    <n v="0"/>
    <n v="0"/>
    <n v="880"/>
    <s v="Dinheiro"/>
    <x v="0"/>
  </r>
  <r>
    <s v="00195"/>
    <x v="218"/>
    <x v="29"/>
    <s v="06/2025"/>
    <d v="2025-06-10T00:00:00"/>
    <x v="115"/>
    <n v="880"/>
    <n v="0"/>
    <n v="0"/>
    <n v="0"/>
    <n v="880"/>
    <s v="Dinheiro"/>
    <x v="0"/>
  </r>
  <r>
    <s v="00356"/>
    <x v="286"/>
    <x v="29"/>
    <s v="06/2025"/>
    <d v="2025-06-10T00:00:00"/>
    <x v="115"/>
    <n v="3200"/>
    <n v="0"/>
    <n v="0"/>
    <n v="0"/>
    <n v="3200"/>
    <s v="Dinheiro"/>
    <x v="0"/>
  </r>
  <r>
    <s v="00362"/>
    <x v="7"/>
    <x v="3"/>
    <s v="06/2025"/>
    <d v="2025-06-10T00:00:00"/>
    <x v="115"/>
    <n v="83.64"/>
    <n v="0"/>
    <n v="0"/>
    <n v="0"/>
    <n v="83.64"/>
    <s v="Dinheiro"/>
    <x v="0"/>
  </r>
  <r>
    <s v="00332"/>
    <x v="28"/>
    <x v="30"/>
    <s v="06/2025"/>
    <d v="2025-06-10T00:00:00"/>
    <x v="115"/>
    <n v="1120"/>
    <n v="0"/>
    <n v="0"/>
    <n v="0"/>
    <n v="1120"/>
    <s v="Dinheiro"/>
    <x v="0"/>
  </r>
  <r>
    <s v="00488"/>
    <x v="312"/>
    <x v="30"/>
    <s v="06/2025"/>
    <d v="2025-06-10T00:00:00"/>
    <x v="115"/>
    <n v="1260"/>
    <n v="0"/>
    <n v="0"/>
    <n v="0"/>
    <n v="1260"/>
    <s v="Dinheiro"/>
    <x v="0"/>
  </r>
  <r>
    <s v="00489"/>
    <x v="313"/>
    <x v="30"/>
    <s v="06/2025"/>
    <d v="2025-06-10T00:00:00"/>
    <x v="115"/>
    <n v="320"/>
    <n v="0"/>
    <n v="0"/>
    <n v="0"/>
    <n v="320"/>
    <s v="Dinheiro"/>
    <x v="0"/>
  </r>
  <r>
    <s v="00180"/>
    <x v="60"/>
    <x v="30"/>
    <s v="06/2025"/>
    <d v="2025-06-10T00:00:00"/>
    <x v="115"/>
    <n v="1280"/>
    <n v="0"/>
    <n v="0"/>
    <n v="0"/>
    <n v="1280"/>
    <s v="Dinheiro"/>
    <x v="0"/>
  </r>
  <r>
    <s v="00490"/>
    <x v="314"/>
    <x v="30"/>
    <s v="06/2025"/>
    <d v="2025-06-10T00:00:00"/>
    <x v="115"/>
    <n v="640"/>
    <n v="0"/>
    <n v="0"/>
    <n v="0"/>
    <n v="640"/>
    <s v="Dinheiro"/>
    <x v="0"/>
  </r>
  <r>
    <s v="00190"/>
    <x v="70"/>
    <x v="30"/>
    <s v="06/2025"/>
    <d v="2025-06-10T00:00:00"/>
    <x v="115"/>
    <n v="1060"/>
    <n v="0"/>
    <n v="0"/>
    <n v="0"/>
    <n v="1060"/>
    <s v="Dinheiro"/>
    <x v="0"/>
  </r>
  <r>
    <s v="00380"/>
    <x v="91"/>
    <x v="30"/>
    <s v="06/2025"/>
    <d v="2025-06-10T00:00:00"/>
    <x v="115"/>
    <n v="720"/>
    <n v="0"/>
    <n v="0"/>
    <n v="0"/>
    <n v="720"/>
    <s v="Dinheiro"/>
    <x v="0"/>
  </r>
  <r>
    <s v="00491"/>
    <x v="315"/>
    <x v="30"/>
    <s v="06/2025"/>
    <d v="2025-06-10T00:00:00"/>
    <x v="115"/>
    <n v="1180"/>
    <n v="0"/>
    <n v="0"/>
    <n v="0"/>
    <n v="1180"/>
    <s v="Dinheiro"/>
    <x v="0"/>
  </r>
  <r>
    <s v="00278"/>
    <x v="316"/>
    <x v="30"/>
    <s v="06/2025"/>
    <d v="2025-06-10T00:00:00"/>
    <x v="115"/>
    <n v="720"/>
    <n v="0"/>
    <n v="0"/>
    <n v="0"/>
    <n v="720"/>
    <s v="Dinheiro"/>
    <x v="0"/>
  </r>
  <r>
    <s v="00492"/>
    <x v="317"/>
    <x v="30"/>
    <s v="06/2025"/>
    <d v="2025-06-10T00:00:00"/>
    <x v="115"/>
    <n v="720"/>
    <n v="0"/>
    <n v="0"/>
    <n v="0"/>
    <n v="720"/>
    <s v="Dinheiro"/>
    <x v="0"/>
  </r>
  <r>
    <s v="00493"/>
    <x v="318"/>
    <x v="30"/>
    <s v="06/2025"/>
    <d v="2025-06-10T00:00:00"/>
    <x v="115"/>
    <n v="1520"/>
    <n v="0"/>
    <n v="0"/>
    <n v="0"/>
    <n v="1520"/>
    <s v="Dinheiro"/>
    <x v="0"/>
  </r>
  <r>
    <s v="00431"/>
    <x v="212"/>
    <x v="30"/>
    <s v="06/2025"/>
    <d v="2025-06-10T00:00:00"/>
    <x v="115"/>
    <n v="1320"/>
    <n v="0"/>
    <n v="0"/>
    <n v="0"/>
    <n v="1320"/>
    <s v="Dinheiro"/>
    <x v="0"/>
  </r>
  <r>
    <s v="00494"/>
    <x v="319"/>
    <x v="28"/>
    <s v="06/2025"/>
    <d v="2025-06-10T00:00:00"/>
    <x v="115"/>
    <n v="99"/>
    <n v="0"/>
    <n v="0"/>
    <n v="0"/>
    <n v="99"/>
    <s v="Dinheiro"/>
    <x v="0"/>
  </r>
  <r>
    <s v="00432"/>
    <x v="213"/>
    <x v="30"/>
    <s v="06/2025"/>
    <d v="2025-06-10T00:00:00"/>
    <x v="115"/>
    <n v="800"/>
    <n v="0"/>
    <n v="0"/>
    <n v="0"/>
    <n v="800"/>
    <s v="Dinheiro"/>
    <x v="0"/>
  </r>
  <r>
    <s v="00457"/>
    <x v="219"/>
    <x v="30"/>
    <s v="06/2025"/>
    <d v="2025-06-10T00:00:00"/>
    <x v="115"/>
    <n v="2960"/>
    <n v="0"/>
    <n v="0"/>
    <n v="0"/>
    <n v="2960"/>
    <s v="Dinheiro"/>
    <x v="0"/>
  </r>
  <r>
    <s v="00495"/>
    <x v="320"/>
    <x v="13"/>
    <s v="06/2025"/>
    <d v="2025-06-10T00:00:00"/>
    <x v="115"/>
    <n v="18"/>
    <n v="0"/>
    <n v="0"/>
    <n v="0"/>
    <n v="18"/>
    <s v="Dinheiro"/>
    <x v="0"/>
  </r>
  <r>
    <s v="00237"/>
    <x v="80"/>
    <x v="30"/>
    <s v="06/2025"/>
    <d v="2025-06-10T00:00:00"/>
    <x v="115"/>
    <n v="740"/>
    <n v="0"/>
    <n v="0"/>
    <n v="0"/>
    <n v="740"/>
    <s v="Dinheiro"/>
    <x v="0"/>
  </r>
  <r>
    <s v="00362"/>
    <x v="7"/>
    <x v="3"/>
    <s v="06/2025"/>
    <d v="2025-06-10T00:00:00"/>
    <x v="115"/>
    <n v="106.68"/>
    <n v="0"/>
    <n v="0"/>
    <n v="0"/>
    <n v="106.68"/>
    <s v="Dinheiro"/>
    <x v="0"/>
  </r>
  <r>
    <s v="00131"/>
    <x v="208"/>
    <x v="29"/>
    <s v="06/2025"/>
    <d v="2025-06-11T00:00:00"/>
    <x v="116"/>
    <n v="2520"/>
    <n v="0"/>
    <n v="0"/>
    <n v="0"/>
    <n v="2520"/>
    <s v="Dinheiro"/>
    <x v="0"/>
  </r>
  <r>
    <s v="00227"/>
    <x v="81"/>
    <x v="17"/>
    <s v="06/2025"/>
    <d v="2025-06-11T00:00:00"/>
    <x v="116"/>
    <n v="1236"/>
    <n v="0"/>
    <n v="0"/>
    <n v="0"/>
    <n v="1236"/>
    <s v="Dinheiro"/>
    <x v="0"/>
  </r>
  <r>
    <s v="00528"/>
    <x v="321"/>
    <x v="41"/>
    <s v="06/2025"/>
    <d v="2025-06-11T00:00:00"/>
    <x v="116"/>
    <n v="1800"/>
    <n v="0"/>
    <n v="0"/>
    <n v="0"/>
    <n v="1800"/>
    <s v="Dinheiro"/>
    <x v="0"/>
  </r>
  <r>
    <s v="00058"/>
    <x v="96"/>
    <x v="38"/>
    <s v="06/2025"/>
    <d v="2025-06-11T00:00:00"/>
    <x v="116"/>
    <n v="280"/>
    <n v="0"/>
    <n v="0"/>
    <n v="0"/>
    <n v="280"/>
    <s v="Dinheiro"/>
    <x v="0"/>
  </r>
  <r>
    <s v="00111"/>
    <x v="39"/>
    <x v="38"/>
    <s v="06/2025"/>
    <d v="2025-06-11T00:00:00"/>
    <x v="116"/>
    <n v="18.87"/>
    <n v="0"/>
    <n v="0"/>
    <n v="0"/>
    <n v="18.87"/>
    <s v="Dinheiro"/>
    <x v="0"/>
  </r>
  <r>
    <s v="00111"/>
    <x v="39"/>
    <x v="8"/>
    <s v="06/2025"/>
    <d v="2025-06-11T00:00:00"/>
    <x v="116"/>
    <n v="650"/>
    <n v="0"/>
    <n v="0"/>
    <n v="0"/>
    <n v="650"/>
    <s v="Dinheiro"/>
    <x v="0"/>
  </r>
  <r>
    <s v="00289"/>
    <x v="20"/>
    <x v="9"/>
    <s v="06/2025"/>
    <d v="2025-06-11T00:00:00"/>
    <x v="116"/>
    <n v="70"/>
    <n v="0"/>
    <n v="0"/>
    <n v="0"/>
    <n v="70"/>
    <s v="Dinheiro"/>
    <x v="0"/>
  </r>
  <r>
    <s v="00134"/>
    <x v="18"/>
    <x v="8"/>
    <s v="06/2025"/>
    <d v="2025-06-11T00:00:00"/>
    <x v="116"/>
    <n v="980"/>
    <n v="0"/>
    <n v="0"/>
    <n v="0"/>
    <n v="980"/>
    <s v="Dinheiro"/>
    <x v="0"/>
  </r>
  <r>
    <s v="00316"/>
    <x v="17"/>
    <x v="8"/>
    <s v="06/2025"/>
    <d v="2025-06-11T00:00:00"/>
    <x v="116"/>
    <n v="520"/>
    <n v="0"/>
    <n v="0"/>
    <n v="0"/>
    <n v="520"/>
    <s v="Dinheiro"/>
    <x v="0"/>
  </r>
  <r>
    <s v="00416"/>
    <x v="184"/>
    <x v="8"/>
    <s v="06/2025"/>
    <d v="2025-06-11T00:00:00"/>
    <x v="116"/>
    <n v="400"/>
    <n v="0"/>
    <n v="0"/>
    <n v="0"/>
    <n v="400"/>
    <s v="Dinheiro"/>
    <x v="0"/>
  </r>
  <r>
    <s v="00133"/>
    <x v="24"/>
    <x v="8"/>
    <s v="06/2025"/>
    <d v="2025-06-11T00:00:00"/>
    <x v="116"/>
    <n v="640"/>
    <n v="0"/>
    <n v="0"/>
    <n v="0"/>
    <n v="640"/>
    <s v="Dinheiro"/>
    <x v="0"/>
  </r>
  <r>
    <s v="00388"/>
    <x v="122"/>
    <x v="8"/>
    <s v="06/2025"/>
    <d v="2025-06-11T00:00:00"/>
    <x v="116"/>
    <n v="220"/>
    <n v="0"/>
    <n v="0"/>
    <n v="0"/>
    <n v="220"/>
    <s v="Dinheiro"/>
    <x v="0"/>
  </r>
  <r>
    <s v="00364"/>
    <x v="16"/>
    <x v="8"/>
    <s v="06/2025"/>
    <d v="2025-06-11T00:00:00"/>
    <x v="116"/>
    <n v="520"/>
    <n v="0"/>
    <n v="0"/>
    <n v="0"/>
    <n v="520"/>
    <s v="Dinheiro"/>
    <x v="0"/>
  </r>
  <r>
    <s v="00134"/>
    <x v="18"/>
    <x v="8"/>
    <s v="06/2025"/>
    <d v="2025-06-11T00:00:00"/>
    <x v="116"/>
    <n v="66"/>
    <n v="0"/>
    <n v="0"/>
    <n v="0"/>
    <n v="66"/>
    <s v="Dinheiro"/>
    <x v="0"/>
  </r>
  <r>
    <s v="00032"/>
    <x v="120"/>
    <x v="59"/>
    <s v="06/2025"/>
    <d v="2025-06-11T00:00:00"/>
    <x v="116"/>
    <n v="25.400000000000002"/>
    <n v="0"/>
    <n v="0"/>
    <n v="0"/>
    <n v="25.400000000000002"/>
    <s v="Dinheiro"/>
    <x v="0"/>
  </r>
  <r>
    <s v="00036"/>
    <x v="109"/>
    <x v="45"/>
    <s v="06/2025"/>
    <d v="2025-06-11T00:00:00"/>
    <x v="116"/>
    <n v="6.78"/>
    <n v="0"/>
    <n v="0"/>
    <n v="0"/>
    <n v="6.78"/>
    <s v="Dinheiro"/>
    <x v="0"/>
  </r>
  <r>
    <s v="00394"/>
    <x v="141"/>
    <x v="8"/>
    <s v="06/2025"/>
    <d v="2025-06-11T00:00:00"/>
    <x v="116"/>
    <n v="325"/>
    <n v="0"/>
    <n v="0"/>
    <n v="0"/>
    <n v="325"/>
    <s v="Dinheiro"/>
    <x v="0"/>
  </r>
  <r>
    <s v="00483"/>
    <x v="322"/>
    <x v="29"/>
    <s v="06/2025"/>
    <d v="2025-06-11T00:00:00"/>
    <x v="116"/>
    <n v="480"/>
    <n v="0"/>
    <n v="0"/>
    <n v="0"/>
    <n v="480"/>
    <s v="Dinheiro"/>
    <x v="0"/>
  </r>
  <r>
    <s v="00496"/>
    <x v="323"/>
    <x v="17"/>
    <s v="06/2025"/>
    <d v="2025-06-11T00:00:00"/>
    <x v="116"/>
    <n v="20"/>
    <n v="0"/>
    <n v="0"/>
    <n v="0"/>
    <n v="20"/>
    <s v="Dinheiro"/>
    <x v="0"/>
  </r>
  <r>
    <s v="00497"/>
    <x v="324"/>
    <x v="27"/>
    <s v="06/2025"/>
    <d v="2025-06-11T00:00:00"/>
    <x v="116"/>
    <n v="86.76"/>
    <n v="0"/>
    <n v="0"/>
    <n v="0"/>
    <n v="86.76"/>
    <s v="Dinheiro"/>
    <x v="0"/>
  </r>
  <r>
    <s v="00362"/>
    <x v="7"/>
    <x v="3"/>
    <s v="06/2025"/>
    <d v="2025-06-11T00:00:00"/>
    <x v="116"/>
    <n v="4.08"/>
    <n v="0"/>
    <n v="0"/>
    <n v="0"/>
    <n v="4.08"/>
    <s v="Dinheiro"/>
    <x v="0"/>
  </r>
  <r>
    <s v="00355"/>
    <x v="83"/>
    <x v="41"/>
    <s v="06/2025"/>
    <d v="2025-06-12T00:00:00"/>
    <x v="117"/>
    <n v="240"/>
    <n v="0"/>
    <n v="0"/>
    <n v="0"/>
    <n v="240"/>
    <s v="Dinheiro"/>
    <x v="0"/>
  </r>
  <r>
    <s v="00136"/>
    <x v="37"/>
    <x v="38"/>
    <s v="06/2025"/>
    <d v="2025-06-12T00:00:00"/>
    <x v="117"/>
    <n v="220"/>
    <n v="0"/>
    <n v="0"/>
    <n v="0"/>
    <n v="220"/>
    <s v="Dinheiro"/>
    <x v="0"/>
  </r>
  <r>
    <s v="00351"/>
    <x v="280"/>
    <x v="8"/>
    <s v="06/2025"/>
    <d v="2025-06-16T00:00:00"/>
    <x v="118"/>
    <n v="250"/>
    <n v="0"/>
    <n v="0"/>
    <n v="0"/>
    <n v="250"/>
    <s v="Dinheiro"/>
    <x v="0"/>
  </r>
  <r>
    <s v="00317"/>
    <x v="220"/>
    <x v="30"/>
    <s v="06/2025"/>
    <d v="2025-06-16T00:00:00"/>
    <x v="118"/>
    <n v="320"/>
    <n v="0"/>
    <n v="0"/>
    <n v="0"/>
    <n v="320"/>
    <s v="Dinheiro"/>
    <x v="0"/>
  </r>
  <r>
    <s v="00362"/>
    <x v="7"/>
    <x v="3"/>
    <s v="06/2025"/>
    <d v="2025-06-16T00:00:00"/>
    <x v="118"/>
    <n v="767.76"/>
    <n v="0"/>
    <n v="0"/>
    <n v="0"/>
    <n v="767.76"/>
    <s v="Dinheiro"/>
    <x v="0"/>
  </r>
  <r>
    <s v="00362"/>
    <x v="7"/>
    <x v="3"/>
    <s v="06/2025"/>
    <d v="2025-06-16T00:00:00"/>
    <x v="118"/>
    <n v="9.14"/>
    <n v="0"/>
    <n v="0"/>
    <n v="0"/>
    <n v="9.14"/>
    <s v="Dinheiro"/>
    <x v="0"/>
  </r>
  <r>
    <s v="00498"/>
    <x v="242"/>
    <x v="20"/>
    <s v="06/2025"/>
    <d v="2025-06-16T00:00:00"/>
    <x v="118"/>
    <n v="938.14"/>
    <n v="0"/>
    <n v="0"/>
    <n v="0"/>
    <n v="938.14"/>
    <s v="Dinheiro"/>
    <x v="0"/>
  </r>
  <r>
    <s v="00362"/>
    <x v="7"/>
    <x v="3"/>
    <s v="06/2025"/>
    <d v="2025-06-16T00:00:00"/>
    <x v="118"/>
    <n v="6.12"/>
    <n v="0"/>
    <n v="0"/>
    <n v="0"/>
    <n v="6.12"/>
    <s v="Dinheiro"/>
    <x v="0"/>
  </r>
  <r>
    <s v="00362"/>
    <x v="7"/>
    <x v="34"/>
    <s v="06/2025"/>
    <d v="2025-06-16T00:00:00"/>
    <x v="118"/>
    <n v="5737.06"/>
    <n v="0"/>
    <n v="0"/>
    <n v="0"/>
    <n v="5737.06"/>
    <s v="Dinheiro"/>
    <x v="0"/>
  </r>
  <r>
    <s v="00362"/>
    <x v="7"/>
    <x v="54"/>
    <s v="06/2025"/>
    <d v="2025-06-16T00:00:00"/>
    <x v="118"/>
    <n v="219.57"/>
    <n v="0"/>
    <n v="0"/>
    <n v="0"/>
    <n v="219.57"/>
    <s v="Dinheiro"/>
    <x v="0"/>
  </r>
  <r>
    <s v="00371"/>
    <x v="325"/>
    <x v="28"/>
    <s v="06/2025"/>
    <d v="2025-06-17T00:00:00"/>
    <x v="119"/>
    <n v="100"/>
    <n v="0"/>
    <n v="0"/>
    <n v="0"/>
    <n v="100"/>
    <s v="Dinheiro"/>
    <x v="0"/>
  </r>
  <r>
    <s v="00059"/>
    <x v="326"/>
    <x v="45"/>
    <s v="06/2025"/>
    <d v="2025-06-17T00:00:00"/>
    <x v="119"/>
    <n v="92.94"/>
    <n v="0"/>
    <n v="0"/>
    <n v="0"/>
    <n v="92.94"/>
    <s v="Dinheiro"/>
    <x v="0"/>
  </r>
  <r>
    <s v="00485"/>
    <x v="327"/>
    <x v="76"/>
    <s v="06/2025"/>
    <d v="2025-06-17T00:00:00"/>
    <x v="119"/>
    <n v="66"/>
    <n v="0"/>
    <n v="0"/>
    <n v="0"/>
    <n v="66"/>
    <s v="Dinheiro"/>
    <x v="0"/>
  </r>
  <r>
    <s v="00082"/>
    <x v="100"/>
    <x v="57"/>
    <s v="06/2025"/>
    <d v="2025-06-17T00:00:00"/>
    <x v="119"/>
    <n v="31.95"/>
    <n v="0"/>
    <n v="0"/>
    <n v="0"/>
    <n v="31.95"/>
    <s v="Dinheiro"/>
    <x v="0"/>
  </r>
  <r>
    <s v="00028"/>
    <x v="108"/>
    <x v="45"/>
    <s v="06/2025"/>
    <d v="2025-06-17T00:00:00"/>
    <x v="119"/>
    <n v="20"/>
    <n v="0"/>
    <n v="0"/>
    <n v="0"/>
    <n v="20"/>
    <s v="Dinheiro"/>
    <x v="0"/>
  </r>
  <r>
    <s v="00328"/>
    <x v="270"/>
    <x v="45"/>
    <s v="06/2025"/>
    <d v="2025-06-17T00:00:00"/>
    <x v="119"/>
    <n v="36.980000000000004"/>
    <n v="0"/>
    <n v="0"/>
    <n v="0"/>
    <n v="36.980000000000004"/>
    <s v="Dinheiro"/>
    <x v="0"/>
  </r>
  <r>
    <s v="00121"/>
    <x v="56"/>
    <x v="26"/>
    <s v="06/2025"/>
    <d v="2025-06-17T00:00:00"/>
    <x v="119"/>
    <n v="1439.8500000000001"/>
    <n v="0"/>
    <n v="0"/>
    <n v="0"/>
    <n v="1439.8500000000001"/>
    <s v="Dinheiro"/>
    <x v="0"/>
  </r>
  <r>
    <s v="00065"/>
    <x v="92"/>
    <x v="10"/>
    <s v="06/2025"/>
    <d v="2025-06-17T00:00:00"/>
    <x v="119"/>
    <n v="2461.12"/>
    <n v="0"/>
    <n v="0"/>
    <n v="0"/>
    <n v="2461.12"/>
    <s v="Dinheiro"/>
    <x v="0"/>
  </r>
  <r>
    <s v="00362"/>
    <x v="7"/>
    <x v="3"/>
    <s v="06/2025"/>
    <d v="2025-06-17T00:00:00"/>
    <x v="119"/>
    <n v="4.08"/>
    <n v="0"/>
    <n v="0"/>
    <n v="0"/>
    <n v="4.08"/>
    <s v="Dinheiro"/>
    <x v="0"/>
  </r>
  <r>
    <s v="00068"/>
    <x v="98"/>
    <x v="39"/>
    <s v="06/2025"/>
    <d v="2025-06-15T00:00:00"/>
    <x v="119"/>
    <n v="1518"/>
    <n v="0"/>
    <n v="0"/>
    <n v="0"/>
    <n v="1518"/>
    <s v="Dinheiro"/>
    <x v="0"/>
  </r>
  <r>
    <s v="00006"/>
    <x v="137"/>
    <x v="53"/>
    <s v="06/2025"/>
    <d v="2025-06-15T00:00:00"/>
    <x v="119"/>
    <n v="1518"/>
    <n v="0"/>
    <n v="0"/>
    <n v="0"/>
    <n v="1518"/>
    <s v="Dinheiro"/>
    <x v="0"/>
  </r>
  <r>
    <s v="00018"/>
    <x v="95"/>
    <x v="37"/>
    <s v="06/2025"/>
    <d v="2025-06-15T00:00:00"/>
    <x v="119"/>
    <n v="837"/>
    <n v="0"/>
    <n v="0"/>
    <n v="0"/>
    <n v="837"/>
    <s v="Dinheiro"/>
    <x v="0"/>
  </r>
  <r>
    <s v="00109"/>
    <x v="90"/>
    <x v="35"/>
    <s v="06/2025"/>
    <d v="2025-06-15T00:00:00"/>
    <x v="119"/>
    <n v="217.76"/>
    <n v="0"/>
    <n v="0"/>
    <n v="0"/>
    <n v="217.76"/>
    <s v="Dinheiro"/>
    <x v="0"/>
  </r>
  <r>
    <s v="00102"/>
    <x v="84"/>
    <x v="10"/>
    <s v="06/2025"/>
    <d v="2025-06-15T00:00:00"/>
    <x v="119"/>
    <n v="700"/>
    <n v="0"/>
    <n v="0"/>
    <n v="0"/>
    <n v="700"/>
    <s v="Dinheiro"/>
    <x v="0"/>
  </r>
  <r>
    <s v="00106"/>
    <x v="6"/>
    <x v="61"/>
    <s v="06/2025"/>
    <d v="2025-06-15T00:00:00"/>
    <x v="119"/>
    <n v="900"/>
    <n v="0"/>
    <n v="0"/>
    <n v="0"/>
    <n v="900"/>
    <s v="Dinheiro"/>
    <x v="0"/>
  </r>
  <r>
    <s v="00103"/>
    <x v="97"/>
    <x v="72"/>
    <s v="06/2025"/>
    <d v="2025-06-16T00:00:00"/>
    <x v="119"/>
    <n v="617.44000000000005"/>
    <n v="0"/>
    <n v="0"/>
    <n v="0"/>
    <n v="617.44000000000005"/>
    <s v="Dinheiro"/>
    <x v="0"/>
  </r>
  <r>
    <s v="00362"/>
    <x v="7"/>
    <x v="3"/>
    <s v="06/2025"/>
    <d v="2025-06-17T00:00:00"/>
    <x v="119"/>
    <n v="4.08"/>
    <n v="0"/>
    <n v="0"/>
    <n v="0"/>
    <n v="4.08"/>
    <s v="Dinheiro"/>
    <x v="0"/>
  </r>
  <r>
    <s v="00074"/>
    <x v="54"/>
    <x v="16"/>
    <s v="06/2025"/>
    <d v="2025-06-17T00:00:00"/>
    <x v="119"/>
    <n v="99"/>
    <n v="0"/>
    <n v="0"/>
    <n v="0"/>
    <n v="99"/>
    <s v="Dinheiro"/>
    <x v="0"/>
  </r>
  <r>
    <s v="00499"/>
    <x v="328"/>
    <x v="29"/>
    <s v="06/2025"/>
    <d v="2025-06-17T00:00:00"/>
    <x v="119"/>
    <n v="960"/>
    <n v="0"/>
    <n v="0"/>
    <n v="0"/>
    <n v="960"/>
    <s v="Dinheiro"/>
    <x v="0"/>
  </r>
  <r>
    <s v="00500"/>
    <x v="329"/>
    <x v="17"/>
    <s v="06/2025"/>
    <d v="2025-06-17T00:00:00"/>
    <x v="119"/>
    <n v="175"/>
    <n v="0"/>
    <n v="0"/>
    <n v="0"/>
    <n v="175"/>
    <s v="Dinheiro"/>
    <x v="0"/>
  </r>
  <r>
    <s v="00501"/>
    <x v="330"/>
    <x v="28"/>
    <s v="06/2025"/>
    <d v="2025-06-17T00:00:00"/>
    <x v="119"/>
    <n v="99"/>
    <n v="0"/>
    <n v="0"/>
    <n v="0"/>
    <n v="99"/>
    <s v="Dinheiro"/>
    <x v="0"/>
  </r>
  <r>
    <s v="00065"/>
    <x v="92"/>
    <x v="36"/>
    <s v="06/2025"/>
    <d v="2025-06-18T00:00:00"/>
    <x v="120"/>
    <n v="22353.32"/>
    <n v="0"/>
    <n v="0"/>
    <n v="0"/>
    <n v="22353.32"/>
    <s v="Dinheiro"/>
    <x v="0"/>
  </r>
  <r>
    <s v="00190"/>
    <x v="32"/>
    <x v="31"/>
    <s v="06/2025"/>
    <d v="2025-06-18T00:00:00"/>
    <x v="120"/>
    <n v="3166.6800000000003"/>
    <n v="0"/>
    <n v="0"/>
    <n v="0"/>
    <n v="3166.6800000000003"/>
    <s v="Dinheiro"/>
    <x v="0"/>
  </r>
  <r>
    <s v="00330"/>
    <x v="14"/>
    <x v="13"/>
    <s v="06/2025"/>
    <d v="2025-06-07T00:00:00"/>
    <x v="120"/>
    <n v="300"/>
    <n v="0"/>
    <n v="0"/>
    <n v="0"/>
    <n v="300"/>
    <s v="Dinheiro"/>
    <x v="0"/>
  </r>
  <r>
    <s v="00036"/>
    <x v="109"/>
    <x v="45"/>
    <s v="06/2025"/>
    <d v="2025-06-18T00:00:00"/>
    <x v="120"/>
    <n v="6.78"/>
    <n v="0"/>
    <n v="0"/>
    <n v="0"/>
    <n v="6.78"/>
    <s v="Dinheiro"/>
    <x v="0"/>
  </r>
  <r>
    <s v="00292"/>
    <x v="278"/>
    <x v="5"/>
    <s v="06/2025"/>
    <d v="2025-06-18T00:00:00"/>
    <x v="120"/>
    <n v="35"/>
    <n v="0"/>
    <n v="0"/>
    <n v="0"/>
    <n v="35"/>
    <s v="Dinheiro"/>
    <x v="0"/>
  </r>
  <r>
    <s v="00471"/>
    <x v="295"/>
    <x v="8"/>
    <s v="06/2025"/>
    <d v="2025-06-18T00:00:00"/>
    <x v="120"/>
    <n v="250"/>
    <n v="0"/>
    <n v="0"/>
    <n v="0"/>
    <n v="250"/>
    <s v="Dinheiro"/>
    <x v="0"/>
  </r>
  <r>
    <s v="00364"/>
    <x v="16"/>
    <x v="8"/>
    <s v="06/2025"/>
    <d v="2025-06-18T00:00:00"/>
    <x v="120"/>
    <n v="98"/>
    <n v="0"/>
    <n v="0"/>
    <n v="0"/>
    <n v="98"/>
    <s v="Dinheiro"/>
    <x v="0"/>
  </r>
  <r>
    <s v="00133"/>
    <x v="24"/>
    <x v="8"/>
    <s v="06/2025"/>
    <d v="2025-06-18T00:00:00"/>
    <x v="120"/>
    <n v="40"/>
    <n v="0"/>
    <n v="0"/>
    <n v="0"/>
    <n v="40"/>
    <s v="Dinheiro"/>
    <x v="0"/>
  </r>
  <r>
    <s v="00502"/>
    <x v="331"/>
    <x v="1"/>
    <s v="06/2025"/>
    <d v="2025-06-18T00:00:00"/>
    <x v="120"/>
    <n v="124.60000000000001"/>
    <n v="0"/>
    <n v="0"/>
    <n v="0"/>
    <n v="124.60000000000001"/>
    <s v="Dinheiro"/>
    <x v="0"/>
  </r>
  <r>
    <s v="00160"/>
    <x v="31"/>
    <x v="8"/>
    <s v="06/2025"/>
    <d v="2025-06-18T00:00:00"/>
    <x v="120"/>
    <n v="100"/>
    <n v="0"/>
    <n v="0"/>
    <n v="0"/>
    <n v="100"/>
    <s v="Dinheiro"/>
    <x v="0"/>
  </r>
  <r>
    <s v="00349"/>
    <x v="25"/>
    <x v="8"/>
    <s v="06/2025"/>
    <d v="2025-06-18T00:00:00"/>
    <x v="120"/>
    <n v="100"/>
    <n v="0"/>
    <n v="0"/>
    <n v="0"/>
    <n v="100"/>
    <s v="Dinheiro"/>
    <x v="0"/>
  </r>
  <r>
    <s v="00463"/>
    <x v="272"/>
    <x v="8"/>
    <s v="06/2025"/>
    <d v="2025-06-18T00:00:00"/>
    <x v="120"/>
    <n v="100"/>
    <n v="0"/>
    <n v="0"/>
    <n v="0"/>
    <n v="100"/>
    <s v="Dinheiro"/>
    <x v="0"/>
  </r>
  <r>
    <s v="00355"/>
    <x v="83"/>
    <x v="41"/>
    <s v="06/2025"/>
    <d v="2025-06-18T00:00:00"/>
    <x v="120"/>
    <n v="250"/>
    <n v="0"/>
    <n v="0"/>
    <n v="0"/>
    <n v="250"/>
    <s v="Dinheiro"/>
    <x v="0"/>
  </r>
  <r>
    <s v="00403"/>
    <x v="160"/>
    <x v="9"/>
    <s v="06/2025"/>
    <d v="2025-06-18T00:00:00"/>
    <x v="120"/>
    <n v="500"/>
    <n v="0"/>
    <n v="0"/>
    <n v="0"/>
    <n v="500"/>
    <s v="Dinheiro"/>
    <x v="0"/>
  </r>
  <r>
    <s v="00032"/>
    <x v="120"/>
    <x v="45"/>
    <s v="06/2025"/>
    <d v="2025-06-18T00:00:00"/>
    <x v="120"/>
    <n v="10.99"/>
    <n v="0"/>
    <n v="0"/>
    <n v="0"/>
    <n v="10.99"/>
    <s v="Dinheiro"/>
    <x v="0"/>
  </r>
  <r>
    <s v="00474"/>
    <x v="298"/>
    <x v="8"/>
    <s v="06/2025"/>
    <d v="2025-06-18T00:00:00"/>
    <x v="120"/>
    <n v="50"/>
    <n v="0"/>
    <n v="0"/>
    <n v="0"/>
    <n v="50"/>
    <s v="Dinheiro"/>
    <x v="0"/>
  </r>
  <r>
    <s v="00411"/>
    <x v="181"/>
    <x v="8"/>
    <s v="06/2025"/>
    <d v="2025-06-18T00:00:00"/>
    <x v="120"/>
    <n v="50"/>
    <n v="0"/>
    <n v="0"/>
    <n v="0"/>
    <n v="50"/>
    <s v="Dinheiro"/>
    <x v="0"/>
  </r>
  <r>
    <s v="00168"/>
    <x v="39"/>
    <x v="45"/>
    <s v="06/2025"/>
    <d v="2025-06-18T00:00:00"/>
    <x v="120"/>
    <n v="50"/>
    <n v="0"/>
    <n v="0"/>
    <n v="0"/>
    <n v="50"/>
    <s v="Dinheiro"/>
    <x v="0"/>
  </r>
  <r>
    <s v="00072"/>
    <x v="105"/>
    <x v="40"/>
    <s v="06/2025"/>
    <d v="2025-06-20T00:00:00"/>
    <x v="121"/>
    <n v="678.64"/>
    <n v="0"/>
    <n v="0"/>
    <n v="0"/>
    <n v="678.64"/>
    <s v="Dinheiro"/>
    <x v="0"/>
  </r>
  <r>
    <s v="00011"/>
    <x v="45"/>
    <x v="16"/>
    <s v="06/2025"/>
    <d v="2025-06-20T00:00:00"/>
    <x v="121"/>
    <n v="791.23"/>
    <n v="0"/>
    <n v="0"/>
    <n v="0"/>
    <n v="791.23"/>
    <s v="Dinheiro"/>
    <x v="0"/>
  </r>
  <r>
    <s v="00011"/>
    <x v="45"/>
    <x v="16"/>
    <s v="06/2025"/>
    <d v="2025-06-20T00:00:00"/>
    <x v="121"/>
    <n v="941.56000000000006"/>
    <n v="0"/>
    <n v="0"/>
    <n v="0"/>
    <n v="941.56000000000006"/>
    <s v="Dinheiro"/>
    <x v="0"/>
  </r>
  <r>
    <s v="00077"/>
    <x v="237"/>
    <x v="66"/>
    <s v="06/2025"/>
    <d v="2025-06-20T00:00:00"/>
    <x v="121"/>
    <n v="350"/>
    <n v="0"/>
    <n v="0"/>
    <n v="0"/>
    <n v="350"/>
    <s v="Dinheiro"/>
    <x v="0"/>
  </r>
  <r>
    <s v="00053"/>
    <x v="138"/>
    <x v="0"/>
    <s v="06/2025"/>
    <d v="2025-06-20T00:00:00"/>
    <x v="121"/>
    <n v="1802.1000000000001"/>
    <n v="0"/>
    <n v="0"/>
    <n v="0"/>
    <n v="1802.1000000000001"/>
    <s v="Dinheiro"/>
    <x v="0"/>
  </r>
  <r>
    <s v="00053"/>
    <x v="138"/>
    <x v="0"/>
    <s v="06/2025"/>
    <d v="2025-06-20T00:00:00"/>
    <x v="121"/>
    <n v="1336.28"/>
    <n v="0"/>
    <n v="0"/>
    <n v="0"/>
    <n v="1336.28"/>
    <s v="Dinheiro"/>
    <x v="0"/>
  </r>
  <r>
    <s v="00362"/>
    <x v="7"/>
    <x v="3"/>
    <s v="06/2025"/>
    <d v="2025-06-20T00:00:00"/>
    <x v="121"/>
    <n v="4.08"/>
    <n v="0"/>
    <n v="0"/>
    <n v="0"/>
    <n v="4.08"/>
    <s v="Dinheiro"/>
    <x v="0"/>
  </r>
  <r>
    <s v="00215"/>
    <x v="120"/>
    <x v="45"/>
    <s v="06/2025"/>
    <d v="2025-06-23T00:00:00"/>
    <x v="122"/>
    <n v="219.91"/>
    <n v="0"/>
    <n v="0"/>
    <n v="0"/>
    <n v="219.91"/>
    <s v="Dinheiro"/>
    <x v="0"/>
  </r>
  <r>
    <s v="00020"/>
    <x v="114"/>
    <x v="68"/>
    <s v="06/2025"/>
    <d v="2025-06-23T00:00:00"/>
    <x v="122"/>
    <n v="3642.73"/>
    <n v="0"/>
    <n v="0"/>
    <n v="0"/>
    <n v="3642.73"/>
    <s v="Dinheiro"/>
    <x v="0"/>
  </r>
  <r>
    <s v="00362"/>
    <x v="7"/>
    <x v="3"/>
    <s v="06/2025"/>
    <d v="2025-06-23T00:00:00"/>
    <x v="122"/>
    <n v="2.04"/>
    <n v="0"/>
    <n v="0"/>
    <n v="0"/>
    <n v="2.04"/>
    <s v="Dinheiro"/>
    <x v="0"/>
  </r>
  <r>
    <s v="00134"/>
    <x v="18"/>
    <x v="8"/>
    <s v="06/2025"/>
    <d v="2025-06-24T00:00:00"/>
    <x v="123"/>
    <n v="380"/>
    <n v="0"/>
    <n v="0"/>
    <n v="0"/>
    <n v="380"/>
    <s v="Dinheiro"/>
    <x v="0"/>
  </r>
  <r>
    <s v="00304"/>
    <x v="17"/>
    <x v="8"/>
    <s v="06/2025"/>
    <d v="2025-06-24T00:00:00"/>
    <x v="123"/>
    <n v="436"/>
    <n v="0"/>
    <n v="0"/>
    <n v="0"/>
    <n v="436"/>
    <s v="Dinheiro"/>
    <x v="0"/>
  </r>
  <r>
    <s v="00133"/>
    <x v="24"/>
    <x v="8"/>
    <s v="06/2025"/>
    <d v="2025-06-24T00:00:00"/>
    <x v="123"/>
    <n v="218"/>
    <n v="0"/>
    <n v="0"/>
    <n v="0"/>
    <n v="218"/>
    <s v="Dinheiro"/>
    <x v="0"/>
  </r>
  <r>
    <s v="00416"/>
    <x v="184"/>
    <x v="8"/>
    <s v="06/2025"/>
    <d v="2025-06-24T00:00:00"/>
    <x v="123"/>
    <n v="80"/>
    <n v="0"/>
    <n v="0"/>
    <n v="0"/>
    <n v="80"/>
    <s v="Dinheiro"/>
    <x v="0"/>
  </r>
  <r>
    <s v="00471"/>
    <x v="295"/>
    <x v="8"/>
    <s v="06/2025"/>
    <d v="2025-06-24T00:00:00"/>
    <x v="123"/>
    <n v="36"/>
    <n v="0"/>
    <n v="0"/>
    <n v="0"/>
    <n v="36"/>
    <s v="Dinheiro"/>
    <x v="0"/>
  </r>
  <r>
    <s v="00078"/>
    <x v="13"/>
    <x v="12"/>
    <s v="06/2025"/>
    <d v="2025-06-24T00:00:00"/>
    <x v="123"/>
    <n v="30"/>
    <n v="0"/>
    <n v="0"/>
    <n v="0"/>
    <n v="30"/>
    <s v="Dinheiro"/>
    <x v="0"/>
  </r>
  <r>
    <s v="00261"/>
    <x v="175"/>
    <x v="38"/>
    <s v="06/2025"/>
    <d v="2025-06-24T00:00:00"/>
    <x v="123"/>
    <n v="45"/>
    <n v="0"/>
    <n v="0"/>
    <n v="0"/>
    <n v="45"/>
    <s v="Dinheiro"/>
    <x v="0"/>
  </r>
  <r>
    <s v="00504"/>
    <x v="332"/>
    <x v="28"/>
    <s v="06/2025"/>
    <d v="2025-06-24T00:00:00"/>
    <x v="123"/>
    <n v="100"/>
    <n v="0"/>
    <n v="0"/>
    <n v="0"/>
    <n v="100"/>
    <s v="Dinheiro"/>
    <x v="0"/>
  </r>
  <r>
    <s v="00389"/>
    <x v="123"/>
    <x v="52"/>
    <s v="06/2025"/>
    <d v="2025-06-25T00:00:00"/>
    <x v="124"/>
    <n v="250"/>
    <n v="0"/>
    <n v="0"/>
    <n v="0"/>
    <n v="250"/>
    <s v="Dinheiro"/>
    <x v="0"/>
  </r>
  <r>
    <s v="00039"/>
    <x v="231"/>
    <x v="9"/>
    <s v="06/2025"/>
    <d v="2025-06-25T00:00:00"/>
    <x v="124"/>
    <n v="55.7"/>
    <n v="0"/>
    <n v="0"/>
    <n v="0"/>
    <n v="55.7"/>
    <s v="Dinheiro"/>
    <x v="0"/>
  </r>
  <r>
    <s v="00072"/>
    <x v="105"/>
    <x v="40"/>
    <s v="06/2025"/>
    <d v="2025-06-25T00:00:00"/>
    <x v="124"/>
    <n v="20020.98"/>
    <n v="0"/>
    <n v="0"/>
    <n v="0"/>
    <n v="20020.98"/>
    <s v="Dinheiro"/>
    <x v="0"/>
  </r>
  <r>
    <s v="00505"/>
    <x v="333"/>
    <x v="17"/>
    <s v="06/2025"/>
    <d v="2025-06-25T00:00:00"/>
    <x v="124"/>
    <n v="783.34"/>
    <n v="0"/>
    <n v="0"/>
    <n v="0"/>
    <n v="783.34"/>
    <s v="Dinheiro"/>
    <x v="0"/>
  </r>
  <r>
    <s v="00505"/>
    <x v="333"/>
    <x v="17"/>
    <s v="06/2025"/>
    <d v="2025-06-25T00:00:00"/>
    <x v="124"/>
    <n v="1217.32"/>
    <n v="0"/>
    <n v="0"/>
    <n v="0"/>
    <n v="1217.32"/>
    <s v="Dinheiro"/>
    <x v="0"/>
  </r>
  <r>
    <s v="00372"/>
    <x v="334"/>
    <x v="28"/>
    <s v="06/2025"/>
    <d v="2025-06-26T00:00:00"/>
    <x v="125"/>
    <n v="99"/>
    <n v="0"/>
    <n v="0"/>
    <n v="0"/>
    <n v="99"/>
    <s v="Dinheiro"/>
    <x v="0"/>
  </r>
  <r>
    <s v="00373"/>
    <x v="335"/>
    <x v="28"/>
    <s v="06/2025"/>
    <d v="2025-06-26T00:00:00"/>
    <x v="125"/>
    <n v="100"/>
    <n v="0"/>
    <n v="0"/>
    <n v="0"/>
    <n v="100"/>
    <s v="Dinheiro"/>
    <x v="0"/>
  </r>
  <r>
    <s v="00362"/>
    <x v="7"/>
    <x v="3"/>
    <s v="06/2025"/>
    <d v="2025-06-26T00:00:00"/>
    <x v="125"/>
    <n v="1234.71"/>
    <n v="0"/>
    <n v="0"/>
    <n v="0"/>
    <n v="1234.71"/>
    <s v="Dinheiro"/>
    <x v="0"/>
  </r>
  <r>
    <s v="00362"/>
    <x v="7"/>
    <x v="48"/>
    <s v="06/2025"/>
    <d v="2025-06-26T00:00:00"/>
    <x v="125"/>
    <n v="10545.5"/>
    <n v="0"/>
    <n v="0"/>
    <n v="0"/>
    <n v="10545.5"/>
    <s v="Dinheiro"/>
    <x v="0"/>
  </r>
  <r>
    <s v="00362"/>
    <x v="7"/>
    <x v="48"/>
    <s v="06/2025"/>
    <d v="2025-06-26T00:00:00"/>
    <x v="125"/>
    <n v="9639.85"/>
    <n v="0"/>
    <n v="0"/>
    <n v="0"/>
    <n v="9639.85"/>
    <s v="Banco Investimentos"/>
    <x v="0"/>
  </r>
  <r>
    <s v="00326"/>
    <x v="236"/>
    <x v="34"/>
    <s v="06/2025"/>
    <d v="2025-06-26T00:00:00"/>
    <x v="125"/>
    <n v="2890"/>
    <n v="0"/>
    <n v="0"/>
    <n v="0"/>
    <n v="2890"/>
    <s v="Dinheiro"/>
    <x v="0"/>
  </r>
  <r>
    <s v="00362"/>
    <x v="7"/>
    <x v="34"/>
    <s v="06/2025"/>
    <d v="2025-06-26T00:00:00"/>
    <x v="125"/>
    <n v="1660.8500000000001"/>
    <n v="0"/>
    <n v="0"/>
    <n v="0"/>
    <n v="1660.8500000000001"/>
    <s v="Dinheiro"/>
    <x v="0"/>
  </r>
  <r>
    <s v="00362"/>
    <x v="7"/>
    <x v="3"/>
    <s v="06/2025"/>
    <d v="2025-06-26T00:00:00"/>
    <x v="125"/>
    <n v="2.04"/>
    <n v="0"/>
    <n v="0"/>
    <n v="0"/>
    <n v="2.04"/>
    <s v="Dinheiro"/>
    <x v="0"/>
  </r>
  <r>
    <s v="00374"/>
    <x v="336"/>
    <x v="17"/>
    <s v="06/2025"/>
    <d v="2025-06-27T00:00:00"/>
    <x v="126"/>
    <n v="966"/>
    <n v="0"/>
    <n v="0"/>
    <n v="0"/>
    <n v="966"/>
    <s v="Dinheiro"/>
    <x v="0"/>
  </r>
  <r>
    <s v="00072"/>
    <x v="105"/>
    <x v="17"/>
    <s v="06/2025"/>
    <d v="2025-06-27T00:00:00"/>
    <x v="126"/>
    <n v="80.540000000000006"/>
    <n v="0"/>
    <n v="0"/>
    <n v="0"/>
    <n v="80.540000000000006"/>
    <s v="Dinheiro"/>
    <x v="0"/>
  </r>
  <r>
    <s v="00502"/>
    <x v="331"/>
    <x v="1"/>
    <s v="06/2025"/>
    <d v="2025-06-27T00:00:00"/>
    <x v="126"/>
    <n v="35.6"/>
    <n v="0"/>
    <n v="0"/>
    <n v="0"/>
    <n v="35.6"/>
    <s v="Dinheiro"/>
    <x v="0"/>
  </r>
  <r>
    <s v="00136"/>
    <x v="37"/>
    <x v="8"/>
    <s v="06/2025"/>
    <d v="2025-06-27T00:00:00"/>
    <x v="126"/>
    <n v="200"/>
    <n v="0"/>
    <n v="0"/>
    <n v="0"/>
    <n v="200"/>
    <s v="Dinheiro"/>
    <x v="0"/>
  </r>
  <r>
    <s v="00362"/>
    <x v="7"/>
    <x v="3"/>
    <s v="06/2025"/>
    <d v="2025-06-27T00:00:00"/>
    <x v="126"/>
    <n v="2.04"/>
    <n v="0"/>
    <n v="0"/>
    <n v="0"/>
    <n v="2.04"/>
    <s v="Dinheiro"/>
    <x v="0"/>
  </r>
  <r>
    <s v="00351"/>
    <x v="280"/>
    <x v="8"/>
    <s v="06/2025"/>
    <d v="2025-06-30T00:00:00"/>
    <x v="127"/>
    <n v="204"/>
    <n v="0"/>
    <n v="0"/>
    <n v="0"/>
    <n v="204"/>
    <s v="Dinheiro"/>
    <x v="0"/>
  </r>
  <r>
    <s v="00308"/>
    <x v="200"/>
    <x v="8"/>
    <s v="06/2025"/>
    <d v="2025-06-30T00:00:00"/>
    <x v="127"/>
    <n v="185.5"/>
    <n v="0"/>
    <n v="0"/>
    <n v="0"/>
    <n v="185.5"/>
    <s v="Dinheiro"/>
    <x v="0"/>
  </r>
  <r>
    <s v="00367"/>
    <x v="303"/>
    <x v="17"/>
    <s v="06/2025"/>
    <d v="2025-06-30T00:00:00"/>
    <x v="127"/>
    <n v="570"/>
    <n v="0"/>
    <n v="0"/>
    <n v="0"/>
    <n v="570"/>
    <s v="Dinheiro"/>
    <x v="0"/>
  </r>
  <r>
    <s v="00365"/>
    <x v="300"/>
    <x v="1"/>
    <s v="06/2025"/>
    <d v="2025-06-30T00:00:00"/>
    <x v="127"/>
    <n v="232"/>
    <n v="0"/>
    <n v="0"/>
    <n v="0"/>
    <n v="232"/>
    <s v="Dinheiro"/>
    <x v="0"/>
  </r>
  <r>
    <s v="00362"/>
    <x v="273"/>
    <x v="1"/>
    <s v="06/2025"/>
    <d v="2025-06-30T00:00:00"/>
    <x v="127"/>
    <n v="306.8"/>
    <n v="0"/>
    <n v="0"/>
    <n v="0"/>
    <n v="306.8"/>
    <s v="Dinheiro"/>
    <x v="0"/>
  </r>
  <r>
    <s v="00351"/>
    <x v="280"/>
    <x v="1"/>
    <s v="06/2025"/>
    <d v="2025-06-30T00:00:00"/>
    <x v="127"/>
    <n v="339.25"/>
    <n v="0"/>
    <n v="0"/>
    <n v="0"/>
    <n v="339.25"/>
    <s v="Dinheiro"/>
    <x v="0"/>
  </r>
  <r>
    <s v="00335"/>
    <x v="249"/>
    <x v="1"/>
    <s v="06/2025"/>
    <d v="2025-06-30T00:00:00"/>
    <x v="127"/>
    <n v="278.40000000000003"/>
    <n v="0"/>
    <n v="0"/>
    <n v="0"/>
    <n v="278.40000000000003"/>
    <s v="Dinheiro"/>
    <x v="0"/>
  </r>
  <r>
    <s v="00309"/>
    <x v="25"/>
    <x v="1"/>
    <s v="06/2025"/>
    <d v="2025-06-30T00:00:00"/>
    <x v="127"/>
    <n v="469.2"/>
    <n v="0"/>
    <n v="0"/>
    <n v="0"/>
    <n v="469.2"/>
    <s v="Dinheiro"/>
    <x v="0"/>
  </r>
  <r>
    <s v="00275"/>
    <x v="42"/>
    <x v="1"/>
    <s v="06/2025"/>
    <d v="2025-06-30T00:00:00"/>
    <x v="127"/>
    <n v="543.4"/>
    <n v="0"/>
    <n v="0"/>
    <n v="0"/>
    <n v="543.4"/>
    <s v="Dinheiro"/>
    <x v="0"/>
  </r>
  <r>
    <s v="00072"/>
    <x v="105"/>
    <x v="40"/>
    <s v="06/2025"/>
    <d v="2025-06-30T00:00:00"/>
    <x v="127"/>
    <n v="678.64"/>
    <n v="0"/>
    <n v="0"/>
    <n v="0"/>
    <n v="678.64"/>
    <s v="Dinheiro"/>
    <x v="0"/>
  </r>
  <r>
    <s v="00020"/>
    <x v="114"/>
    <x v="46"/>
    <s v="06/2025"/>
    <d v="2025-06-30T00:00:00"/>
    <x v="127"/>
    <n v="3136.14"/>
    <n v="0"/>
    <n v="0"/>
    <n v="0"/>
    <n v="3136.14"/>
    <s v="Dinheiro"/>
    <x v="0"/>
  </r>
  <r>
    <s v="00015"/>
    <x v="50"/>
    <x v="23"/>
    <s v="06/2025"/>
    <d v="2025-06-30T00:00:00"/>
    <x v="127"/>
    <n v="1955.45"/>
    <n v="0"/>
    <n v="0"/>
    <n v="0"/>
    <n v="1955.45"/>
    <s v="Dinheiro"/>
    <x v="0"/>
  </r>
  <r>
    <s v="00011"/>
    <x v="131"/>
    <x v="1"/>
    <s v="06/2025"/>
    <d v="2025-06-30T00:00:00"/>
    <x v="127"/>
    <n v="5929.8"/>
    <n v="0"/>
    <n v="0"/>
    <n v="0"/>
    <n v="5929.8"/>
    <s v="Dinheiro"/>
    <x v="0"/>
  </r>
  <r>
    <s v="00013"/>
    <x v="128"/>
    <x v="12"/>
    <s v="06/2025"/>
    <d v="2025-06-30T00:00:00"/>
    <x v="127"/>
    <n v="43.47"/>
    <n v="0"/>
    <n v="0"/>
    <n v="0"/>
    <n v="43.47"/>
    <s v="Dinheiro"/>
    <x v="0"/>
  </r>
  <r>
    <s v="00091"/>
    <x v="31"/>
    <x v="1"/>
    <s v="06/2025"/>
    <d v="2025-06-30T00:00:00"/>
    <x v="127"/>
    <n v="290"/>
    <n v="0"/>
    <n v="0"/>
    <n v="0"/>
    <n v="290"/>
    <s v="Dinheiro"/>
    <x v="0"/>
  </r>
  <r>
    <s v="00375"/>
    <x v="337"/>
    <x v="77"/>
    <s v="06/2025"/>
    <d v="2025-06-30T00:00:00"/>
    <x v="127"/>
    <n v="268.61"/>
    <n v="0"/>
    <n v="0"/>
    <n v="0"/>
    <n v="268.61"/>
    <s v="Dinheiro"/>
    <x v="0"/>
  </r>
  <r>
    <s v="00471"/>
    <x v="295"/>
    <x v="8"/>
    <s v="06/2025"/>
    <d v="2025-06-30T00:00:00"/>
    <x v="127"/>
    <n v="1100"/>
    <n v="0"/>
    <n v="0"/>
    <n v="0"/>
    <n v="1100"/>
    <s v="Dinheiro"/>
    <x v="0"/>
  </r>
  <r>
    <s v="00036"/>
    <x v="109"/>
    <x v="76"/>
    <s v="06/2025"/>
    <d v="2025-06-18T00:00:00"/>
    <x v="127"/>
    <n v="26.69"/>
    <n v="0"/>
    <n v="0"/>
    <n v="0"/>
    <n v="26.69"/>
    <s v="Dinheiro"/>
    <x v="0"/>
  </r>
  <r>
    <s v="00503"/>
    <x v="338"/>
    <x v="29"/>
    <s v="06/2025"/>
    <d v="2025-06-18T00:00:00"/>
    <x v="127"/>
    <n v="320"/>
    <n v="0"/>
    <n v="0"/>
    <n v="0"/>
    <n v="320"/>
    <s v="Dinheiro"/>
    <x v="0"/>
  </r>
  <r>
    <s v="00507"/>
    <x v="339"/>
    <x v="78"/>
    <s v="06/2025"/>
    <d v="2025-06-05T00:00:00"/>
    <x v="127"/>
    <n v="8.61"/>
    <n v="0"/>
    <n v="0"/>
    <n v="0"/>
    <n v="8.61"/>
    <s v="Dinheiro"/>
    <x v="0"/>
  </r>
  <r>
    <s v="00072"/>
    <x v="105"/>
    <x v="43"/>
    <s v="06/2025"/>
    <d v="2025-06-27T00:00:00"/>
    <x v="127"/>
    <n v="3192.41"/>
    <n v="0"/>
    <n v="0"/>
    <n v="0"/>
    <n v="3192.41"/>
    <s v="Dinheiro"/>
    <x v="0"/>
  </r>
  <r>
    <s v="00447"/>
    <x v="247"/>
    <x v="59"/>
    <s v="06/2025"/>
    <d v="2025-06-30T00:00:00"/>
    <x v="127"/>
    <n v="61.25"/>
    <n v="0"/>
    <n v="0"/>
    <n v="0"/>
    <n v="61.25"/>
    <s v="Dinheiro"/>
    <x v="0"/>
  </r>
  <r>
    <s v="00032"/>
    <x v="120"/>
    <x v="45"/>
    <s v="06/2025"/>
    <d v="2025-06-30T00:00:00"/>
    <x v="127"/>
    <n v="4.5"/>
    <n v="0"/>
    <n v="0"/>
    <n v="0"/>
    <n v="4.5"/>
    <s v="Dinheiro"/>
    <x v="0"/>
  </r>
  <r>
    <s v="00471"/>
    <x v="295"/>
    <x v="8"/>
    <s v="06/2025"/>
    <d v="2025-06-30T00:00:00"/>
    <x v="127"/>
    <n v="236"/>
    <n v="0"/>
    <n v="0"/>
    <n v="0"/>
    <n v="236"/>
    <s v="Dinheiro"/>
    <x v="0"/>
  </r>
  <r>
    <s v="00328"/>
    <x v="270"/>
    <x v="76"/>
    <s v="06/2025"/>
    <d v="2025-06-30T00:00:00"/>
    <x v="127"/>
    <n v="99.7"/>
    <n v="0"/>
    <n v="0"/>
    <n v="0"/>
    <n v="99.7"/>
    <s v="Dinheiro"/>
    <x v="0"/>
  </r>
  <r>
    <s v="00036"/>
    <x v="109"/>
    <x v="45"/>
    <s v="06/2025"/>
    <d v="2025-06-30T00:00:00"/>
    <x v="127"/>
    <n v="6.78"/>
    <n v="0"/>
    <n v="0"/>
    <n v="0"/>
    <n v="6.78"/>
    <s v="Dinheiro"/>
    <x v="0"/>
  </r>
  <r>
    <s v="00133"/>
    <x v="24"/>
    <x v="8"/>
    <s v="06/2025"/>
    <d v="2025-06-30T00:00:00"/>
    <x v="127"/>
    <n v="394"/>
    <n v="0"/>
    <n v="0"/>
    <n v="0"/>
    <n v="394"/>
    <s v="Dinheiro"/>
    <x v="0"/>
  </r>
  <r>
    <s v="00364"/>
    <x v="16"/>
    <x v="8"/>
    <s v="06/2025"/>
    <d v="2025-06-30T00:00:00"/>
    <x v="127"/>
    <n v="66"/>
    <n v="0"/>
    <n v="0"/>
    <n v="0"/>
    <n v="66"/>
    <s v="Dinheiro"/>
    <x v="0"/>
  </r>
  <r>
    <s v="00316"/>
    <x v="17"/>
    <x v="8"/>
    <s v="06/2025"/>
    <d v="2025-06-30T00:00:00"/>
    <x v="127"/>
    <n v="36"/>
    <n v="0"/>
    <n v="0"/>
    <n v="0"/>
    <n v="36"/>
    <s v="Dinheiro"/>
    <x v="0"/>
  </r>
  <r>
    <s v="00134"/>
    <x v="18"/>
    <x v="8"/>
    <s v="06/2025"/>
    <d v="2025-06-30T00:00:00"/>
    <x v="127"/>
    <n v="40"/>
    <n v="0"/>
    <n v="0"/>
    <n v="0"/>
    <n v="40"/>
    <s v="Dinheiro"/>
    <x v="0"/>
  </r>
  <r>
    <s v="00037"/>
    <x v="177"/>
    <x v="38"/>
    <s v="07/2025"/>
    <d v="2025-07-03T00:00:00"/>
    <x v="128"/>
    <n v="61.660000000000004"/>
    <n v="0"/>
    <n v="0"/>
    <n v="0"/>
    <n v="61.660000000000004"/>
    <s v="Dinheiro"/>
    <x v="0"/>
  </r>
  <r>
    <s v="00330"/>
    <x v="14"/>
    <x v="13"/>
    <s v="07/2025"/>
    <d v="2025-07-04T00:00:00"/>
    <x v="129"/>
    <n v="300"/>
    <n v="0"/>
    <n v="0"/>
    <n v="0"/>
    <n v="300"/>
    <s v="Dinheiro"/>
    <x v="0"/>
  </r>
  <r>
    <s v="00039"/>
    <x v="231"/>
    <x v="27"/>
    <s v="07/2025"/>
    <d v="2025-07-05T00:00:00"/>
    <x v="130"/>
    <n v="17.900000000000002"/>
    <n v="0"/>
    <n v="0"/>
    <n v="0"/>
    <n v="17.900000000000002"/>
    <s v="Dinheiro"/>
    <x v="0"/>
  </r>
  <r>
    <s v="00316"/>
    <x v="17"/>
    <x v="17"/>
    <s v="07/2025"/>
    <d v="2025-07-05T00:00:00"/>
    <x v="130"/>
    <n v="600"/>
    <n v="0"/>
    <n v="0"/>
    <n v="0"/>
    <n v="600"/>
    <s v="Dinheiro"/>
    <x v="0"/>
  </r>
  <r>
    <s v="00134"/>
    <x v="18"/>
    <x v="8"/>
    <s v="07/2025"/>
    <d v="2025-07-07T00:00:00"/>
    <x v="131"/>
    <n v="120"/>
    <n v="0"/>
    <n v="0"/>
    <n v="0"/>
    <n v="120"/>
    <s v="Dinheiro"/>
    <x v="0"/>
  </r>
  <r>
    <s v="00316"/>
    <x v="17"/>
    <x v="8"/>
    <s v="07/2025"/>
    <d v="2025-07-07T00:00:00"/>
    <x v="131"/>
    <n v="36"/>
    <n v="0"/>
    <n v="0"/>
    <n v="0"/>
    <n v="36"/>
    <s v="Dinheiro"/>
    <x v="0"/>
  </r>
  <r>
    <s v="00364"/>
    <x v="16"/>
    <x v="8"/>
    <s v="07/2025"/>
    <d v="2025-07-07T00:00:00"/>
    <x v="131"/>
    <n v="80"/>
    <n v="0"/>
    <n v="0"/>
    <n v="0"/>
    <n v="80"/>
    <s v="Dinheiro"/>
    <x v="0"/>
  </r>
  <r>
    <s v="00416"/>
    <x v="184"/>
    <x v="8"/>
    <s v="07/2025"/>
    <d v="2025-07-07T00:00:00"/>
    <x v="131"/>
    <n v="40"/>
    <n v="0"/>
    <n v="0"/>
    <n v="0"/>
    <n v="40"/>
    <s v="Dinheiro"/>
    <x v="0"/>
  </r>
  <r>
    <s v="00471"/>
    <x v="295"/>
    <x v="8"/>
    <s v="07/2025"/>
    <d v="2025-07-07T00:00:00"/>
    <x v="131"/>
    <n v="110"/>
    <n v="0"/>
    <n v="0"/>
    <n v="0"/>
    <n v="110"/>
    <s v="Dinheiro"/>
    <x v="0"/>
  </r>
  <r>
    <s v="00040"/>
    <x v="147"/>
    <x v="47"/>
    <s v="07/2025"/>
    <d v="2025-07-07T00:00:00"/>
    <x v="131"/>
    <n v="24.990000000000002"/>
    <n v="0"/>
    <n v="0"/>
    <n v="0"/>
    <n v="24.990000000000002"/>
    <s v="Dinheiro"/>
    <x v="0"/>
  </r>
  <r>
    <s v="00403"/>
    <x v="160"/>
    <x v="9"/>
    <s v="07/2025"/>
    <d v="2025-07-08T00:00:00"/>
    <x v="132"/>
    <n v="500"/>
    <n v="0"/>
    <n v="0"/>
    <n v="0"/>
    <n v="500"/>
    <s v="Dinheiro"/>
    <x v="0"/>
  </r>
  <r>
    <s v="00036"/>
    <x v="109"/>
    <x v="45"/>
    <s v="07/2025"/>
    <d v="2025-07-08T00:00:00"/>
    <x v="132"/>
    <n v="6.78"/>
    <n v="0"/>
    <n v="0"/>
    <n v="0"/>
    <n v="6.78"/>
    <s v="Dinheiro"/>
    <x v="0"/>
  </r>
  <r>
    <s v="00514"/>
    <x v="340"/>
    <x v="14"/>
    <s v="07/2025"/>
    <d v="2025-07-08T00:00:00"/>
    <x v="132"/>
    <n v="60"/>
    <n v="0"/>
    <n v="0"/>
    <n v="0"/>
    <n v="60"/>
    <s v="Dinheiro"/>
    <x v="0"/>
  </r>
  <r>
    <s v="00512"/>
    <x v="341"/>
    <x v="14"/>
    <s v="07/2025"/>
    <d v="2025-07-08T00:00:00"/>
    <x v="132"/>
    <n v="60"/>
    <n v="0"/>
    <n v="0"/>
    <n v="0"/>
    <n v="60"/>
    <s v="Dinheiro"/>
    <x v="0"/>
  </r>
  <r>
    <s v="00513"/>
    <x v="342"/>
    <x v="14"/>
    <s v="07/2025"/>
    <d v="2025-07-08T00:00:00"/>
    <x v="132"/>
    <n v="60"/>
    <n v="0"/>
    <n v="0"/>
    <n v="0"/>
    <n v="60"/>
    <s v="Dinheiro"/>
    <x v="0"/>
  </r>
  <r>
    <s v="00515"/>
    <x v="343"/>
    <x v="1"/>
    <s v="07/2025"/>
    <d v="2025-07-08T00:00:00"/>
    <x v="132"/>
    <n v="270.60000000000002"/>
    <n v="0"/>
    <n v="0"/>
    <n v="0"/>
    <n v="270.60000000000002"/>
    <s v="Dinheiro"/>
    <x v="0"/>
  </r>
  <r>
    <s v="00516"/>
    <x v="344"/>
    <x v="59"/>
    <s v="07/2025"/>
    <d v="2025-07-08T00:00:00"/>
    <x v="132"/>
    <n v="13.200000000000001"/>
    <n v="0"/>
    <n v="0"/>
    <n v="0"/>
    <n v="13.200000000000001"/>
    <s v="Dinheiro"/>
    <x v="0"/>
  </r>
  <r>
    <s v="00514"/>
    <x v="340"/>
    <x v="14"/>
    <s v="07/2025"/>
    <d v="2025-07-10T00:00:00"/>
    <x v="133"/>
    <n v="60"/>
    <n v="0"/>
    <n v="0"/>
    <n v="0"/>
    <n v="60"/>
    <s v="Dinheiro"/>
    <x v="0"/>
  </r>
  <r>
    <s v="00512"/>
    <x v="341"/>
    <x v="14"/>
    <s v="07/2025"/>
    <d v="2025-07-10T00:00:00"/>
    <x v="133"/>
    <n v="60"/>
    <n v="0"/>
    <n v="0"/>
    <n v="0"/>
    <n v="60"/>
    <s v="Dinheiro"/>
    <x v="0"/>
  </r>
  <r>
    <s v="00234"/>
    <x v="211"/>
    <x v="29"/>
    <s v="07/2025"/>
    <d v="2025-07-10T00:00:00"/>
    <x v="133"/>
    <n v="880"/>
    <n v="0"/>
    <n v="0"/>
    <n v="0"/>
    <n v="880"/>
    <s v="Dinheiro"/>
    <x v="0"/>
  </r>
  <r>
    <s v="00101"/>
    <x v="171"/>
    <x v="58"/>
    <s v="07/2025"/>
    <d v="2025-07-10T00:00:00"/>
    <x v="133"/>
    <n v="605"/>
    <n v="0"/>
    <n v="0"/>
    <n v="0"/>
    <n v="605"/>
    <s v="Dinheiro"/>
    <x v="0"/>
  </r>
  <r>
    <s v="00102"/>
    <x v="84"/>
    <x v="36"/>
    <s v="07/2025"/>
    <d v="2025-07-10T00:00:00"/>
    <x v="133"/>
    <n v="952.25"/>
    <n v="0"/>
    <n v="0"/>
    <n v="0"/>
    <n v="952.25"/>
    <s v="Dinheiro"/>
    <x v="0"/>
  </r>
  <r>
    <s v="00019"/>
    <x v="159"/>
    <x v="2"/>
    <s v="07/2025"/>
    <d v="2025-07-10T00:00:00"/>
    <x v="133"/>
    <n v="363.76"/>
    <n v="0"/>
    <n v="0"/>
    <n v="0"/>
    <n v="363.76"/>
    <s v="Dinheiro"/>
    <x v="0"/>
  </r>
  <r>
    <s v="00607"/>
    <x v="52"/>
    <x v="16"/>
    <s v="07/2025"/>
    <d v="2025-07-10T00:00:00"/>
    <x v="133"/>
    <n v="221.3"/>
    <n v="0"/>
    <n v="0"/>
    <n v="0"/>
    <n v="221.3"/>
    <s v="Dinheiro"/>
    <x v="0"/>
  </r>
  <r>
    <s v="00364"/>
    <x v="16"/>
    <x v="8"/>
    <s v="07/2025"/>
    <d v="2025-07-10T00:00:00"/>
    <x v="133"/>
    <n v="440"/>
    <n v="0"/>
    <n v="0"/>
    <n v="0"/>
    <n v="440"/>
    <s v="Dinheiro"/>
    <x v="0"/>
  </r>
  <r>
    <s v="00471"/>
    <x v="295"/>
    <x v="8"/>
    <s v="07/2025"/>
    <d v="2025-07-10T00:00:00"/>
    <x v="133"/>
    <n v="1200"/>
    <n v="0"/>
    <n v="0"/>
    <n v="0"/>
    <n v="1200"/>
    <s v="Dinheiro"/>
    <x v="0"/>
  </r>
  <r>
    <s v="00416"/>
    <x v="184"/>
    <x v="8"/>
    <s v="07/2025"/>
    <d v="2025-07-10T00:00:00"/>
    <x v="133"/>
    <n v="240"/>
    <n v="0"/>
    <n v="0"/>
    <n v="0"/>
    <n v="240"/>
    <s v="Dinheiro"/>
    <x v="0"/>
  </r>
  <r>
    <s v="00503"/>
    <x v="338"/>
    <x v="29"/>
    <s v="07/2025"/>
    <d v="2025-07-10T00:00:00"/>
    <x v="133"/>
    <n v="960"/>
    <n v="0"/>
    <n v="0"/>
    <n v="0"/>
    <n v="960"/>
    <s v="Dinheiro"/>
    <x v="0"/>
  </r>
  <r>
    <s v="00304"/>
    <x v="17"/>
    <x v="8"/>
    <s v="07/2025"/>
    <d v="2025-07-10T00:00:00"/>
    <x v="133"/>
    <n v="1100"/>
    <n v="0"/>
    <n v="0"/>
    <n v="0"/>
    <n v="1100"/>
    <s v="Dinheiro"/>
    <x v="0"/>
  </r>
  <r>
    <s v="00292"/>
    <x v="278"/>
    <x v="5"/>
    <s v="07/2025"/>
    <d v="2025-07-11T00:00:00"/>
    <x v="134"/>
    <n v="35"/>
    <n v="0"/>
    <n v="0"/>
    <n v="0"/>
    <n v="35"/>
    <s v="Dinheiro"/>
    <x v="0"/>
  </r>
  <r>
    <s v="00467"/>
    <x v="275"/>
    <x v="37"/>
    <s v="07/2025"/>
    <d v="2025-07-11T00:00:00"/>
    <x v="134"/>
    <n v="36"/>
    <n v="0"/>
    <n v="0"/>
    <n v="0"/>
    <n v="36"/>
    <s v="Dinheiro"/>
    <x v="0"/>
  </r>
  <r>
    <s v="00388"/>
    <x v="122"/>
    <x v="8"/>
    <s v="07/2025"/>
    <d v="2025-07-10T00:00:00"/>
    <x v="134"/>
    <n v="320"/>
    <n v="0"/>
    <n v="0"/>
    <n v="0"/>
    <n v="320"/>
    <s v="Dinheiro"/>
    <x v="0"/>
  </r>
  <r>
    <s v="00032"/>
    <x v="120"/>
    <x v="76"/>
    <s v="07/2025"/>
    <d v="2025-07-11T00:00:00"/>
    <x v="134"/>
    <n v="23"/>
    <n v="0"/>
    <n v="0"/>
    <n v="0"/>
    <n v="23"/>
    <s v="Dinheiro"/>
    <x v="0"/>
  </r>
  <r>
    <s v="00328"/>
    <x v="270"/>
    <x v="45"/>
    <s v="07/2025"/>
    <d v="2025-07-11T00:00:00"/>
    <x v="134"/>
    <n v="5.99"/>
    <n v="0"/>
    <n v="0"/>
    <n v="0"/>
    <n v="5.99"/>
    <s v="Dinheiro"/>
    <x v="0"/>
  </r>
  <r>
    <s v="00482"/>
    <x v="307"/>
    <x v="9"/>
    <s v="07/2025"/>
    <d v="2025-07-11T00:00:00"/>
    <x v="134"/>
    <n v="79"/>
    <n v="0"/>
    <n v="0"/>
    <n v="0"/>
    <n v="79"/>
    <s v="Dinheiro"/>
    <x v="0"/>
  </r>
  <r>
    <s v="00328"/>
    <x v="270"/>
    <x v="76"/>
    <s v="07/2025"/>
    <d v="2025-07-11T00:00:00"/>
    <x v="134"/>
    <n v="96.41"/>
    <n v="0"/>
    <n v="0"/>
    <n v="0"/>
    <n v="96.41"/>
    <s v="Dinheiro"/>
    <x v="0"/>
  </r>
  <r>
    <s v="00028"/>
    <x v="108"/>
    <x v="76"/>
    <s v="07/2025"/>
    <d v="2025-07-11T00:00:00"/>
    <x v="134"/>
    <n v="76"/>
    <n v="0"/>
    <n v="0"/>
    <n v="0"/>
    <n v="76"/>
    <s v="Dinheiro"/>
    <x v="0"/>
  </r>
  <r>
    <s v="00512"/>
    <x v="341"/>
    <x v="14"/>
    <s v="07/2025"/>
    <d v="2025-07-14T00:00:00"/>
    <x v="135"/>
    <n v="30"/>
    <n v="0"/>
    <n v="0"/>
    <n v="0"/>
    <n v="30"/>
    <s v="Dinheiro"/>
    <x v="0"/>
  </r>
  <r>
    <s v="00513"/>
    <x v="342"/>
    <x v="14"/>
    <s v="07/2025"/>
    <d v="2025-07-14T00:00:00"/>
    <x v="135"/>
    <n v="30"/>
    <n v="0"/>
    <n v="0"/>
    <n v="0"/>
    <n v="30"/>
    <s v="Dinheiro"/>
    <x v="0"/>
  </r>
  <r>
    <s v="00471"/>
    <x v="295"/>
    <x v="8"/>
    <s v="07/2025"/>
    <d v="2025-07-14T00:00:00"/>
    <x v="135"/>
    <n v="36"/>
    <n v="0"/>
    <n v="0"/>
    <n v="0"/>
    <n v="36"/>
    <s v="Dinheiro"/>
    <x v="0"/>
  </r>
  <r>
    <s v="00353"/>
    <x v="61"/>
    <x v="17"/>
    <s v="07/2025"/>
    <d v="2025-07-15T00:00:00"/>
    <x v="136"/>
    <n v="47"/>
    <n v="0"/>
    <n v="0"/>
    <n v="0"/>
    <n v="47"/>
    <s v="Dinheiro"/>
    <x v="0"/>
  </r>
  <r>
    <s v="00078"/>
    <x v="13"/>
    <x v="12"/>
    <s v="07/2025"/>
    <d v="2025-07-16T00:00:00"/>
    <x v="137"/>
    <n v="36"/>
    <n v="0"/>
    <n v="0"/>
    <n v="0"/>
    <n v="36"/>
    <s v="Dinheiro"/>
    <x v="0"/>
  </r>
  <r>
    <s v="00036"/>
    <x v="109"/>
    <x v="76"/>
    <s v="07/2025"/>
    <d v="2025-07-16T00:00:00"/>
    <x v="137"/>
    <n v="57.78"/>
    <n v="0"/>
    <n v="0"/>
    <n v="0"/>
    <n v="57.78"/>
    <s v="Dinheiro"/>
    <x v="0"/>
  </r>
  <r>
    <s v="00533"/>
    <x v="345"/>
    <x v="17"/>
    <s v="07/2025"/>
    <d v="2025-07-16T00:00:00"/>
    <x v="137"/>
    <n v="20"/>
    <n v="0"/>
    <n v="0"/>
    <n v="0"/>
    <n v="20"/>
    <s v="Dinheiro"/>
    <x v="0"/>
  </r>
  <r>
    <s v="00082"/>
    <x v="100"/>
    <x v="57"/>
    <s v="07/2025"/>
    <d v="2025-07-16T00:00:00"/>
    <x v="137"/>
    <n v="29.7"/>
    <n v="0"/>
    <n v="0"/>
    <n v="0"/>
    <n v="29.7"/>
    <s v="Dinheiro"/>
    <x v="0"/>
  </r>
  <r>
    <s v="00534"/>
    <x v="346"/>
    <x v="37"/>
    <s v="07/2025"/>
    <d v="2025-07-16T00:00:00"/>
    <x v="137"/>
    <n v="38"/>
    <n v="0"/>
    <n v="0"/>
    <n v="0"/>
    <n v="38"/>
    <s v="Dinheiro"/>
    <x v="0"/>
  </r>
  <r>
    <s v="00512"/>
    <x v="341"/>
    <x v="1"/>
    <s v="07/2025"/>
    <d v="2025-07-17T00:00:00"/>
    <x v="138"/>
    <n v="265.2"/>
    <n v="0"/>
    <n v="0"/>
    <n v="0"/>
    <n v="265.2"/>
    <s v="Dinheiro"/>
    <x v="0"/>
  </r>
  <r>
    <s v="00464"/>
    <x v="273"/>
    <x v="8"/>
    <s v="07/2025"/>
    <d v="2025-07-17T00:00:00"/>
    <x v="138"/>
    <n v="50"/>
    <n v="0"/>
    <n v="0"/>
    <n v="0"/>
    <n v="50"/>
    <s v="Dinheiro"/>
    <x v="0"/>
  </r>
  <r>
    <s v="00463"/>
    <x v="272"/>
    <x v="8"/>
    <s v="07/2025"/>
    <d v="2025-07-17T00:00:00"/>
    <x v="138"/>
    <n v="100"/>
    <n v="0"/>
    <n v="0"/>
    <n v="0"/>
    <n v="100"/>
    <s v="Dinheiro"/>
    <x v="0"/>
  </r>
  <r>
    <s v="00349"/>
    <x v="25"/>
    <x v="8"/>
    <s v="07/2025"/>
    <d v="2025-07-17T00:00:00"/>
    <x v="138"/>
    <n v="100"/>
    <n v="0"/>
    <n v="0"/>
    <n v="0"/>
    <n v="100"/>
    <s v="Dinheiro"/>
    <x v="0"/>
  </r>
  <r>
    <s v="00535"/>
    <x v="347"/>
    <x v="9"/>
    <s v="07/2025"/>
    <d v="2025-07-17T00:00:00"/>
    <x v="138"/>
    <n v="500"/>
    <n v="0"/>
    <n v="0"/>
    <n v="0"/>
    <n v="500"/>
    <s v="Dinheiro"/>
    <x v="0"/>
  </r>
  <r>
    <s v="00289"/>
    <x v="20"/>
    <x v="20"/>
    <s v="07/2025"/>
    <d v="2025-07-17T00:00:00"/>
    <x v="138"/>
    <n v="17"/>
    <n v="0"/>
    <n v="0"/>
    <n v="0"/>
    <n v="17"/>
    <s v="Dinheiro"/>
    <x v="0"/>
  </r>
  <r>
    <s v="00078"/>
    <x v="13"/>
    <x v="12"/>
    <s v="07/2025"/>
    <d v="2025-07-18T00:00:00"/>
    <x v="139"/>
    <n v="30"/>
    <n v="0"/>
    <n v="0"/>
    <n v="0"/>
    <n v="30"/>
    <s v="Dinheiro"/>
    <x v="0"/>
  </r>
  <r>
    <s v="00054"/>
    <x v="348"/>
    <x v="25"/>
    <s v="07/2025"/>
    <d v="2025-07-18T00:00:00"/>
    <x v="139"/>
    <n v="52.5"/>
    <n v="0"/>
    <n v="0"/>
    <n v="0"/>
    <n v="52.5"/>
    <s v="Dinheiro"/>
    <x v="0"/>
  </r>
  <r>
    <s v="00054"/>
    <x v="348"/>
    <x v="25"/>
    <s v="07/2025"/>
    <d v="2025-07-18T00:00:00"/>
    <x v="139"/>
    <n v="21.2"/>
    <n v="0"/>
    <n v="0"/>
    <n v="0"/>
    <n v="21.2"/>
    <s v="Dinheiro"/>
    <x v="0"/>
  </r>
  <r>
    <s v="00054"/>
    <x v="348"/>
    <x v="25"/>
    <s v="07/2025"/>
    <d v="2025-07-18T00:00:00"/>
    <x v="139"/>
    <n v="36"/>
    <n v="0"/>
    <n v="0"/>
    <n v="0"/>
    <n v="36"/>
    <s v="Dinheiro"/>
    <x v="0"/>
  </r>
  <r>
    <s v="00036"/>
    <x v="109"/>
    <x v="45"/>
    <s v="07/2025"/>
    <d v="2025-07-18T00:00:00"/>
    <x v="139"/>
    <n v="90.56"/>
    <n v="0"/>
    <n v="0"/>
    <n v="0"/>
    <n v="90.56"/>
    <s v="Dinheiro"/>
    <x v="0"/>
  </r>
  <r>
    <s v="00292"/>
    <x v="278"/>
    <x v="5"/>
    <s v="07/2025"/>
    <d v="2025-07-18T00:00:00"/>
    <x v="139"/>
    <n v="35"/>
    <n v="0"/>
    <n v="0"/>
    <n v="0"/>
    <n v="35"/>
    <s v="Dinheiro"/>
    <x v="0"/>
  </r>
  <r>
    <s v="00537"/>
    <x v="349"/>
    <x v="13"/>
    <s v="07/2025"/>
    <d v="2025-07-18T00:00:00"/>
    <x v="139"/>
    <n v="15"/>
    <n v="0"/>
    <n v="0"/>
    <n v="0"/>
    <n v="15"/>
    <s v="Dinheiro"/>
    <x v="0"/>
  </r>
  <r>
    <s v="00316"/>
    <x v="17"/>
    <x v="8"/>
    <s v="07/2025"/>
    <d v="2025-07-21T00:00:00"/>
    <x v="140"/>
    <n v="36"/>
    <n v="0"/>
    <n v="0"/>
    <n v="0"/>
    <n v="36"/>
    <s v="Dinheiro"/>
    <x v="0"/>
  </r>
  <r>
    <s v="00328"/>
    <x v="270"/>
    <x v="45"/>
    <s v="07/2025"/>
    <d v="2025-07-21T00:00:00"/>
    <x v="140"/>
    <n v="5.19"/>
    <n v="0"/>
    <n v="0"/>
    <n v="0"/>
    <n v="5.19"/>
    <s v="Dinheiro"/>
    <x v="0"/>
  </r>
  <r>
    <s v="00134"/>
    <x v="18"/>
    <x v="8"/>
    <s v="07/2025"/>
    <d v="2025-07-21T00:00:00"/>
    <x v="140"/>
    <n v="40"/>
    <n v="0"/>
    <n v="0"/>
    <n v="0"/>
    <n v="40"/>
    <s v="Dinheiro"/>
    <x v="0"/>
  </r>
  <r>
    <s v="00471"/>
    <x v="295"/>
    <x v="8"/>
    <s v="07/2025"/>
    <d v="2025-07-21T00:00:00"/>
    <x v="140"/>
    <n v="72"/>
    <n v="0"/>
    <n v="0"/>
    <n v="0"/>
    <n v="72"/>
    <s v="Dinheiro"/>
    <x v="0"/>
  </r>
  <r>
    <s v="00525"/>
    <x v="350"/>
    <x v="14"/>
    <s v="07/2025"/>
    <d v="2025-07-21T00:00:00"/>
    <x v="140"/>
    <n v="60"/>
    <n v="0"/>
    <n v="0"/>
    <n v="0"/>
    <n v="60"/>
    <s v="Dinheiro"/>
    <x v="0"/>
  </r>
  <r>
    <s v="00513"/>
    <x v="342"/>
    <x v="1"/>
    <s v="07/2025"/>
    <d v="2025-07-21T00:00:00"/>
    <x v="140"/>
    <n v="69.600000000000009"/>
    <n v="0"/>
    <n v="0"/>
    <n v="0"/>
    <n v="69.600000000000009"/>
    <s v="Dinheiro"/>
    <x v="0"/>
  </r>
  <r>
    <s v="00539"/>
    <x v="351"/>
    <x v="9"/>
    <s v="07/2025"/>
    <d v="2025-07-22T00:00:00"/>
    <x v="141"/>
    <n v="50"/>
    <n v="0"/>
    <n v="0"/>
    <n v="0"/>
    <n v="50"/>
    <s v="Dinheiro"/>
    <x v="0"/>
  </r>
  <r>
    <s v="00292"/>
    <x v="278"/>
    <x v="5"/>
    <s v="07/2025"/>
    <d v="2025-07-22T00:00:00"/>
    <x v="141"/>
    <n v="35"/>
    <n v="0"/>
    <n v="0"/>
    <n v="0"/>
    <n v="35"/>
    <s v="Dinheiro"/>
    <x v="0"/>
  </r>
  <r>
    <s v="00540"/>
    <x v="352"/>
    <x v="37"/>
    <s v="07/2025"/>
    <d v="2025-07-22T00:00:00"/>
    <x v="141"/>
    <n v="38"/>
    <n v="0"/>
    <n v="0"/>
    <n v="0"/>
    <n v="38"/>
    <s v="Dinheiro"/>
    <x v="0"/>
  </r>
  <r>
    <s v="00525"/>
    <x v="350"/>
    <x v="14"/>
    <s v="07/2025"/>
    <d v="2025-07-22T00:00:00"/>
    <x v="141"/>
    <n v="20.400000000000002"/>
    <n v="0"/>
    <n v="0"/>
    <n v="0"/>
    <n v="20.400000000000002"/>
    <s v="Dinheiro"/>
    <x v="0"/>
  </r>
  <r>
    <s v="00541"/>
    <x v="353"/>
    <x v="14"/>
    <s v="07/2025"/>
    <d v="2025-07-22T00:00:00"/>
    <x v="141"/>
    <n v="30"/>
    <n v="0"/>
    <n v="0"/>
    <n v="0"/>
    <n v="30"/>
    <s v="Dinheiro"/>
    <x v="0"/>
  </r>
  <r>
    <s v="00041"/>
    <x v="354"/>
    <x v="12"/>
    <s v="07/2025"/>
    <d v="2025-07-23T00:00:00"/>
    <x v="142"/>
    <n v="20"/>
    <n v="0"/>
    <n v="0"/>
    <n v="0"/>
    <n v="20"/>
    <s v="Dinheiro"/>
    <x v="0"/>
  </r>
  <r>
    <s v="00542"/>
    <x v="353"/>
    <x v="14"/>
    <s v="07/2025"/>
    <d v="2025-07-23T00:00:00"/>
    <x v="142"/>
    <n v="30"/>
    <n v="0"/>
    <n v="0"/>
    <n v="0"/>
    <n v="30"/>
    <s v="Dinheiro"/>
    <x v="0"/>
  </r>
  <r>
    <s v="00416"/>
    <x v="184"/>
    <x v="8"/>
    <s v="07/2025"/>
    <d v="2025-07-23T00:00:00"/>
    <x v="142"/>
    <n v="40"/>
    <n v="0"/>
    <n v="0"/>
    <n v="0"/>
    <n v="40"/>
    <s v="Dinheiro"/>
    <x v="0"/>
  </r>
  <r>
    <s v="00467"/>
    <x v="275"/>
    <x v="37"/>
    <s v="07/2025"/>
    <d v="2025-07-23T00:00:00"/>
    <x v="142"/>
    <n v="12"/>
    <n v="0"/>
    <n v="0"/>
    <n v="0"/>
    <n v="12"/>
    <s v="Dinheiro"/>
    <x v="0"/>
  </r>
  <r>
    <s v="00541"/>
    <x v="353"/>
    <x v="14"/>
    <s v="07/2025"/>
    <d v="2025-07-24T00:00:00"/>
    <x v="143"/>
    <n v="30"/>
    <n v="0"/>
    <n v="0"/>
    <n v="0"/>
    <n v="30"/>
    <s v="Dinheiro"/>
    <x v="0"/>
  </r>
  <r>
    <s v="00051"/>
    <x v="101"/>
    <x v="37"/>
    <s v="07/2025"/>
    <d v="2025-07-25T00:00:00"/>
    <x v="144"/>
    <n v="10"/>
    <n v="0"/>
    <n v="0"/>
    <n v="0"/>
    <n v="10"/>
    <s v="Dinheiro"/>
    <x v="0"/>
  </r>
  <r>
    <s v="00082"/>
    <x v="100"/>
    <x v="57"/>
    <s v="07/2025"/>
    <d v="2025-07-25T00:00:00"/>
    <x v="144"/>
    <n v="63.800000000000004"/>
    <n v="0"/>
    <n v="0"/>
    <n v="0"/>
    <n v="63.800000000000004"/>
    <s v="Dinheiro"/>
    <x v="0"/>
  </r>
  <r>
    <s v="00126"/>
    <x v="38"/>
    <x v="1"/>
    <s v="07/2025"/>
    <d v="2025-07-26T00:00:00"/>
    <x v="145"/>
    <n v="100"/>
    <n v="0"/>
    <n v="0"/>
    <n v="0"/>
    <n v="100"/>
    <s v="Dinheiro"/>
    <x v="0"/>
  </r>
  <r>
    <s v="00316"/>
    <x v="17"/>
    <x v="8"/>
    <s v="07/2025"/>
    <d v="2025-07-28T00:00:00"/>
    <x v="146"/>
    <n v="60"/>
    <n v="0"/>
    <n v="0"/>
    <n v="0"/>
    <n v="60"/>
    <s v="Dinheiro"/>
    <x v="0"/>
  </r>
  <r>
    <s v="00512"/>
    <x v="341"/>
    <x v="8"/>
    <s v="07/2025"/>
    <d v="2025-07-28T00:00:00"/>
    <x v="146"/>
    <n v="200"/>
    <n v="0"/>
    <n v="0"/>
    <n v="0"/>
    <n v="200"/>
    <s v="Dinheiro"/>
    <x v="0"/>
  </r>
  <r>
    <s v="00471"/>
    <x v="295"/>
    <x v="8"/>
    <s v="07/2025"/>
    <d v="2025-07-28T00:00:00"/>
    <x v="146"/>
    <n v="72"/>
    <n v="0"/>
    <n v="0"/>
    <n v="0"/>
    <n v="72"/>
    <s v="Dinheiro"/>
    <x v="0"/>
  </r>
  <r>
    <s v="00513"/>
    <x v="342"/>
    <x v="12"/>
    <s v="07/2025"/>
    <d v="2025-07-29T00:00:00"/>
    <x v="147"/>
    <n v="27"/>
    <n v="0"/>
    <n v="0"/>
    <n v="0"/>
    <n v="27"/>
    <s v="Dinheiro"/>
    <x v="0"/>
  </r>
  <r>
    <s v="00032"/>
    <x v="120"/>
    <x v="45"/>
    <s v="07/2025"/>
    <d v="2025-07-29T00:00:00"/>
    <x v="147"/>
    <n v="25.8"/>
    <n v="0"/>
    <n v="0"/>
    <n v="0"/>
    <n v="25.8"/>
    <s v="Dinheiro"/>
    <x v="0"/>
  </r>
  <r>
    <s v="00032"/>
    <x v="120"/>
    <x v="45"/>
    <s v="07/2025"/>
    <d v="2025-07-30T00:00:00"/>
    <x v="148"/>
    <n v="32"/>
    <n v="0"/>
    <n v="0"/>
    <n v="0"/>
    <n v="32"/>
    <s v="Dinheiro"/>
    <x v="0"/>
  </r>
  <r>
    <s v="00482"/>
    <x v="307"/>
    <x v="73"/>
    <s v="07/2025"/>
    <d v="2025-07-30T00:00:00"/>
    <x v="148"/>
    <n v="79"/>
    <n v="0"/>
    <n v="0"/>
    <n v="0"/>
    <n v="79"/>
    <s v="Dinheiro"/>
    <x v="0"/>
  </r>
  <r>
    <s v="00463"/>
    <x v="272"/>
    <x v="1"/>
    <s v="07/2025"/>
    <d v="2025-07-31T00:00:00"/>
    <x v="149"/>
    <n v="60"/>
    <n v="0"/>
    <n v="0"/>
    <n v="0"/>
    <n v="60"/>
    <s v="Dinheiro"/>
    <x v="0"/>
  </r>
  <r>
    <s v="00411"/>
    <x v="181"/>
    <x v="1"/>
    <s v="07/2025"/>
    <d v="2025-07-31T00:00:00"/>
    <x v="149"/>
    <n v="290"/>
    <n v="0"/>
    <n v="0"/>
    <n v="0"/>
    <n v="290"/>
    <s v="Dinheiro"/>
    <x v="0"/>
  </r>
  <r>
    <s v="00534"/>
    <x v="346"/>
    <x v="37"/>
    <s v="07/2025"/>
    <d v="2025-07-31T00:00:00"/>
    <x v="149"/>
    <n v="38"/>
    <n v="0"/>
    <n v="0"/>
    <n v="0"/>
    <n v="38"/>
    <s v="Dinheiro"/>
    <x v="0"/>
  </r>
  <r>
    <s v="00351"/>
    <x v="42"/>
    <x v="15"/>
    <s v="07/2025"/>
    <d v="2025-07-04T00:00:00"/>
    <x v="129"/>
    <n v="1606"/>
    <n v="0"/>
    <n v="0"/>
    <n v="0"/>
    <n v="1606"/>
    <s v="Dinheiro"/>
    <x v="0"/>
  </r>
  <r>
    <s v="00316"/>
    <x v="17"/>
    <x v="15"/>
    <s v="07/2025"/>
    <d v="2025-07-04T00:00:00"/>
    <x v="129"/>
    <n v="1462"/>
    <n v="0"/>
    <n v="0"/>
    <n v="0"/>
    <n v="1462"/>
    <s v="Dinheiro"/>
    <x v="0"/>
  </r>
  <r>
    <s v="00416"/>
    <x v="184"/>
    <x v="15"/>
    <s v="07/2025"/>
    <d v="2025-07-04T00:00:00"/>
    <x v="129"/>
    <n v="1620"/>
    <n v="0"/>
    <n v="0"/>
    <n v="0"/>
    <n v="1620"/>
    <s v="Dinheiro"/>
    <x v="0"/>
  </r>
  <r>
    <s v="00223"/>
    <x v="32"/>
    <x v="15"/>
    <s v="07/2025"/>
    <d v="2025-07-04T00:00:00"/>
    <x v="129"/>
    <n v="2353"/>
    <n v="0"/>
    <n v="0"/>
    <n v="0"/>
    <n v="2353"/>
    <s v="Dinheiro"/>
    <x v="0"/>
  </r>
  <r>
    <s v="00463"/>
    <x v="272"/>
    <x v="15"/>
    <s v="07/2025"/>
    <d v="2025-07-04T00:00:00"/>
    <x v="129"/>
    <n v="1579"/>
    <n v="0"/>
    <n v="0"/>
    <n v="0"/>
    <n v="1579"/>
    <s v="Dinheiro"/>
    <x v="0"/>
  </r>
  <r>
    <s v="00478"/>
    <x v="290"/>
    <x v="15"/>
    <s v="07/2025"/>
    <d v="2025-07-04T00:00:00"/>
    <x v="129"/>
    <n v="1351.02"/>
    <n v="0"/>
    <n v="0"/>
    <n v="0"/>
    <n v="1351.02"/>
    <s v="Dinheiro"/>
    <x v="0"/>
  </r>
  <r>
    <s v="00478"/>
    <x v="290"/>
    <x v="15"/>
    <s v="07/2025"/>
    <d v="2025-07-04T00:00:00"/>
    <x v="129"/>
    <n v="450"/>
    <n v="0"/>
    <n v="0"/>
    <n v="0"/>
    <n v="450"/>
    <s v="Dinheiro"/>
    <x v="0"/>
  </r>
  <r>
    <s v="00160"/>
    <x v="31"/>
    <x v="15"/>
    <s v="07/2025"/>
    <d v="2025-07-04T00:00:00"/>
    <x v="129"/>
    <n v="1122"/>
    <n v="0"/>
    <n v="0"/>
    <n v="0"/>
    <n v="1122"/>
    <s v="Dinheiro"/>
    <x v="0"/>
  </r>
  <r>
    <s v="00471"/>
    <x v="295"/>
    <x v="15"/>
    <s v="07/2025"/>
    <d v="2025-07-04T00:00:00"/>
    <x v="129"/>
    <n v="1791"/>
    <n v="0"/>
    <n v="0"/>
    <n v="0"/>
    <n v="1791"/>
    <s v="Dinheiro"/>
    <x v="0"/>
  </r>
  <r>
    <s v="00146"/>
    <x v="18"/>
    <x v="15"/>
    <s v="07/2025"/>
    <d v="2025-07-04T00:00:00"/>
    <x v="129"/>
    <n v="1603"/>
    <n v="0"/>
    <n v="0"/>
    <n v="0"/>
    <n v="1603"/>
    <s v="Dinheiro"/>
    <x v="0"/>
  </r>
  <r>
    <s v="00447"/>
    <x v="247"/>
    <x v="15"/>
    <s v="07/2025"/>
    <d v="2025-07-04T00:00:00"/>
    <x v="129"/>
    <n v="1672"/>
    <n v="0"/>
    <n v="0"/>
    <n v="0"/>
    <n v="1672"/>
    <s v="Dinheiro"/>
    <x v="0"/>
  </r>
  <r>
    <s v="00448"/>
    <x v="269"/>
    <x v="15"/>
    <s v="07/2025"/>
    <d v="2025-07-04T00:00:00"/>
    <x v="130"/>
    <n v="1692"/>
    <n v="0"/>
    <n v="0"/>
    <n v="0"/>
    <n v="1692"/>
    <s v="Dinheiro"/>
    <x v="0"/>
  </r>
  <r>
    <s v="00474"/>
    <x v="298"/>
    <x v="15"/>
    <s v="07/2025"/>
    <d v="2025-07-04T00:00:00"/>
    <x v="130"/>
    <n v="1683"/>
    <n v="0"/>
    <n v="0"/>
    <n v="0"/>
    <n v="1683"/>
    <s v="Dinheiro"/>
    <x v="0"/>
  </r>
  <r>
    <s v="00289"/>
    <x v="20"/>
    <x v="15"/>
    <s v="07/2025"/>
    <d v="2025-07-04T00:00:00"/>
    <x v="130"/>
    <n v="1763"/>
    <n v="0"/>
    <n v="0"/>
    <n v="0"/>
    <n v="1763"/>
    <s v="Dinheiro"/>
    <x v="0"/>
  </r>
  <r>
    <s v="00397"/>
    <x v="152"/>
    <x v="15"/>
    <s v="07/2025"/>
    <d v="2025-07-04T00:00:00"/>
    <x v="130"/>
    <n v="1635"/>
    <n v="0"/>
    <n v="0"/>
    <n v="0"/>
    <n v="1635"/>
    <s v="Dinheiro"/>
    <x v="0"/>
  </r>
  <r>
    <s v="00498"/>
    <x v="242"/>
    <x v="15"/>
    <s v="07/2025"/>
    <d v="2025-07-04T00:00:00"/>
    <x v="130"/>
    <n v="1884"/>
    <n v="0"/>
    <n v="0"/>
    <n v="0"/>
    <n v="1884"/>
    <s v="Dinheiro"/>
    <x v="0"/>
  </r>
  <r>
    <s v="00252"/>
    <x v="40"/>
    <x v="15"/>
    <s v="07/2025"/>
    <d v="2025-07-04T00:00:00"/>
    <x v="130"/>
    <n v="1634"/>
    <n v="0"/>
    <n v="0"/>
    <n v="0"/>
    <n v="1634"/>
    <s v="Dinheiro"/>
    <x v="0"/>
  </r>
  <r>
    <s v="00349"/>
    <x v="25"/>
    <x v="15"/>
    <s v="07/2025"/>
    <d v="2025-07-04T00:00:00"/>
    <x v="130"/>
    <n v="1656"/>
    <n v="0"/>
    <n v="0"/>
    <n v="0"/>
    <n v="1656"/>
    <s v="Dinheiro"/>
    <x v="0"/>
  </r>
  <r>
    <s v="00411"/>
    <x v="181"/>
    <x v="15"/>
    <s v="07/2025"/>
    <d v="2025-07-04T00:00:00"/>
    <x v="130"/>
    <n v="1749"/>
    <n v="0"/>
    <n v="0"/>
    <n v="0"/>
    <n v="1749"/>
    <s v="Dinheiro"/>
    <x v="0"/>
  </r>
  <r>
    <s v="00364"/>
    <x v="16"/>
    <x v="15"/>
    <s v="07/2025"/>
    <d v="2025-07-04T00:00:00"/>
    <x v="130"/>
    <n v="1044"/>
    <n v="0"/>
    <n v="0"/>
    <n v="0"/>
    <n v="1044"/>
    <s v="Dinheiro"/>
    <x v="0"/>
  </r>
  <r>
    <s v="00511"/>
    <x v="241"/>
    <x v="15"/>
    <s v="07/2025"/>
    <d v="2025-07-04T00:00:00"/>
    <x v="130"/>
    <n v="1606"/>
    <n v="0"/>
    <n v="0"/>
    <n v="0"/>
    <n v="1606"/>
    <s v="Dinheiro"/>
    <x v="0"/>
  </r>
  <r>
    <s v="00168"/>
    <x v="39"/>
    <x v="15"/>
    <s v="07/2025"/>
    <d v="2025-07-04T00:00:00"/>
    <x v="130"/>
    <n v="1896"/>
    <n v="0"/>
    <n v="0"/>
    <n v="0"/>
    <n v="1896"/>
    <s v="Dinheiro"/>
    <x v="0"/>
  </r>
  <r>
    <s v="00133"/>
    <x v="24"/>
    <x v="15"/>
    <s v="07/2025"/>
    <d v="2025-07-04T00:00:00"/>
    <x v="130"/>
    <n v="1320"/>
    <n v="0"/>
    <n v="0"/>
    <n v="0"/>
    <n v="1320"/>
    <s v="Dinheiro"/>
    <x v="0"/>
  </r>
  <r>
    <s v="00464"/>
    <x v="273"/>
    <x v="15"/>
    <s v="07/2025"/>
    <d v="2025-07-04T00:00:00"/>
    <x v="130"/>
    <n v="900"/>
    <n v="0"/>
    <n v="0"/>
    <n v="0"/>
    <n v="900"/>
    <s v="Dinheiro"/>
    <x v="0"/>
  </r>
  <r>
    <s v="00475"/>
    <x v="245"/>
    <x v="15"/>
    <s v="07/2025"/>
    <d v="2025-07-04T00:00:00"/>
    <x v="130"/>
    <n v="900"/>
    <n v="0"/>
    <n v="0"/>
    <n v="0"/>
    <n v="900"/>
    <s v="Dinheiro"/>
    <x v="0"/>
  </r>
  <r>
    <s v="00388"/>
    <x v="122"/>
    <x v="15"/>
    <s v="07/2025"/>
    <d v="2025-07-04T00:00:00"/>
    <x v="130"/>
    <n v="690"/>
    <n v="0"/>
    <n v="0"/>
    <n v="0"/>
    <n v="690"/>
    <s v="Dinheiro"/>
    <x v="0"/>
  </r>
  <r>
    <s v="00502"/>
    <x v="331"/>
    <x v="15"/>
    <s v="07/2025"/>
    <d v="2025-07-04T00:00:00"/>
    <x v="130"/>
    <n v="1050"/>
    <n v="0"/>
    <n v="0"/>
    <n v="0"/>
    <n v="1050"/>
    <s v="Dinheiro"/>
    <x v="0"/>
  </r>
  <r>
    <s v="00134"/>
    <x v="18"/>
    <x v="8"/>
    <s v="07/2025"/>
    <d v="2025-07-10T00:00:00"/>
    <x v="133"/>
    <n v="4500"/>
    <n v="0"/>
    <n v="0"/>
    <n v="0"/>
    <n v="4500"/>
    <s v="Dinheiro"/>
    <x v="0"/>
  </r>
  <r>
    <s v="00397"/>
    <x v="152"/>
    <x v="29"/>
    <s v="07/2025"/>
    <d v="2025-07-10T00:00:00"/>
    <x v="133"/>
    <n v="960"/>
    <n v="0"/>
    <n v="0"/>
    <n v="0"/>
    <n v="960"/>
    <s v="Dinheiro"/>
    <x v="0"/>
  </r>
  <r>
    <s v="00237"/>
    <x v="80"/>
    <x v="29"/>
    <s v="07/2025"/>
    <d v="2025-07-10T00:00:00"/>
    <x v="133"/>
    <n v="320"/>
    <n v="0"/>
    <n v="0"/>
    <n v="0"/>
    <n v="320"/>
    <s v="Dinheiro"/>
    <x v="0"/>
  </r>
  <r>
    <s v="00235"/>
    <x v="86"/>
    <x v="29"/>
    <s v="07/2025"/>
    <d v="2025-07-10T00:00:00"/>
    <x v="133"/>
    <n v="1600"/>
    <n v="0"/>
    <n v="0"/>
    <n v="0"/>
    <n v="1600"/>
    <s v="Dinheiro"/>
    <x v="0"/>
  </r>
  <r>
    <s v="00189"/>
    <x v="76"/>
    <x v="29"/>
    <s v="07/2025"/>
    <d v="2025-07-10T00:00:00"/>
    <x v="133"/>
    <n v="800"/>
    <n v="0"/>
    <n v="0"/>
    <n v="0"/>
    <n v="800"/>
    <s v="Dinheiro"/>
    <x v="0"/>
  </r>
  <r>
    <s v="00476"/>
    <x v="256"/>
    <x v="29"/>
    <s v="07/2025"/>
    <d v="2025-07-10T00:00:00"/>
    <x v="133"/>
    <n v="1760"/>
    <n v="0"/>
    <n v="0"/>
    <n v="0"/>
    <n v="1760"/>
    <s v="Dinheiro"/>
    <x v="0"/>
  </r>
  <r>
    <s v="00355"/>
    <x v="83"/>
    <x v="29"/>
    <s v="07/2025"/>
    <d v="2025-07-10T00:00:00"/>
    <x v="133"/>
    <n v="2080"/>
    <n v="0"/>
    <n v="0"/>
    <n v="0"/>
    <n v="2080"/>
    <s v="Dinheiro"/>
    <x v="0"/>
  </r>
  <r>
    <s v="00518"/>
    <x v="355"/>
    <x v="29"/>
    <s v="07/2025"/>
    <d v="2025-07-10T00:00:00"/>
    <x v="133"/>
    <n v="640"/>
    <n v="0"/>
    <n v="0"/>
    <n v="0"/>
    <n v="640"/>
    <s v="Dinheiro"/>
    <x v="0"/>
  </r>
  <r>
    <s v="00478"/>
    <x v="290"/>
    <x v="30"/>
    <s v="07/2025"/>
    <d v="2025-07-10T00:00:00"/>
    <x v="133"/>
    <n v="1680"/>
    <n v="0"/>
    <n v="0"/>
    <n v="0"/>
    <n v="1680"/>
    <s v="Dinheiro"/>
    <x v="0"/>
  </r>
  <r>
    <s v="00378"/>
    <x v="87"/>
    <x v="29"/>
    <s v="07/2025"/>
    <d v="2025-07-10T00:00:00"/>
    <x v="133"/>
    <n v="3120"/>
    <n v="0"/>
    <n v="0"/>
    <n v="0"/>
    <n v="3120"/>
    <s v="Dinheiro"/>
    <x v="0"/>
  </r>
  <r>
    <s v="00353"/>
    <x v="61"/>
    <x v="29"/>
    <s v="07/2025"/>
    <d v="2025-07-10T00:00:00"/>
    <x v="133"/>
    <n v="1520"/>
    <n v="0"/>
    <n v="0"/>
    <n v="0"/>
    <n v="1520"/>
    <s v="Dinheiro"/>
    <x v="0"/>
  </r>
  <r>
    <s v="00522"/>
    <x v="356"/>
    <x v="30"/>
    <s v="07/2025"/>
    <d v="2025-07-10T00:00:00"/>
    <x v="133"/>
    <n v="320"/>
    <n v="0"/>
    <n v="0"/>
    <n v="0"/>
    <n v="320"/>
    <s v="Dinheiro"/>
    <x v="0"/>
  </r>
  <r>
    <s v="00431"/>
    <x v="212"/>
    <x v="30"/>
    <s v="07/2025"/>
    <d v="2025-07-10T00:00:00"/>
    <x v="133"/>
    <n v="480"/>
    <n v="0"/>
    <n v="0"/>
    <n v="0"/>
    <n v="480"/>
    <s v="Dinheiro"/>
    <x v="0"/>
  </r>
  <r>
    <s v="00190"/>
    <x v="70"/>
    <x v="30"/>
    <s v="07/2025"/>
    <d v="2025-07-10T00:00:00"/>
    <x v="133"/>
    <n v="2420"/>
    <n v="0"/>
    <n v="0"/>
    <n v="0"/>
    <n v="2420"/>
    <s v="Dinheiro"/>
    <x v="0"/>
  </r>
  <r>
    <s v="00432"/>
    <x v="213"/>
    <x v="30"/>
    <s v="07/2025"/>
    <d v="2025-07-10T00:00:00"/>
    <x v="133"/>
    <n v="1520"/>
    <n v="0"/>
    <n v="0"/>
    <n v="0"/>
    <n v="1520"/>
    <s v="Dinheiro"/>
    <x v="0"/>
  </r>
  <r>
    <s v="00180"/>
    <x v="60"/>
    <x v="29"/>
    <s v="07/2025"/>
    <d v="2025-07-10T00:00:00"/>
    <x v="133"/>
    <n v="2620"/>
    <n v="0"/>
    <n v="0"/>
    <n v="0"/>
    <n v="2620"/>
    <s v="Dinheiro"/>
    <x v="0"/>
  </r>
  <r>
    <s v="00332"/>
    <x v="28"/>
    <x v="30"/>
    <s v="07/2025"/>
    <d v="2025-07-10T00:00:00"/>
    <x v="133"/>
    <n v="1640"/>
    <n v="0"/>
    <n v="0"/>
    <n v="0"/>
    <n v="1640"/>
    <s v="Dinheiro"/>
    <x v="0"/>
  </r>
  <r>
    <s v="00517"/>
    <x v="357"/>
    <x v="10"/>
    <s v="07/2025"/>
    <d v="2025-07-10T00:00:00"/>
    <x v="133"/>
    <n v="1040"/>
    <n v="0"/>
    <n v="0"/>
    <n v="0"/>
    <n v="1040"/>
    <s v="Dinheiro"/>
    <x v="0"/>
  </r>
  <r>
    <s v="00488"/>
    <x v="312"/>
    <x v="29"/>
    <s v="07/2025"/>
    <d v="2025-07-10T00:00:00"/>
    <x v="133"/>
    <n v="1820"/>
    <n v="0"/>
    <n v="0"/>
    <n v="0"/>
    <n v="1820"/>
    <s v="Dinheiro"/>
    <x v="0"/>
  </r>
  <r>
    <s v="00491"/>
    <x v="315"/>
    <x v="30"/>
    <s v="07/2025"/>
    <d v="2025-07-10T00:00:00"/>
    <x v="133"/>
    <n v="1482"/>
    <n v="0"/>
    <n v="0"/>
    <n v="0"/>
    <n v="1482"/>
    <s v="Dinheiro"/>
    <x v="0"/>
  </r>
  <r>
    <s v="00229"/>
    <x v="358"/>
    <x v="30"/>
    <s v="07/2025"/>
    <d v="2025-07-10T00:00:00"/>
    <x v="133"/>
    <n v="480"/>
    <n v="0"/>
    <n v="0"/>
    <n v="0"/>
    <n v="480"/>
    <s v="Dinheiro"/>
    <x v="0"/>
  </r>
  <r>
    <s v="00489"/>
    <x v="313"/>
    <x v="30"/>
    <s v="07/2025"/>
    <d v="2025-07-10T00:00:00"/>
    <x v="133"/>
    <n v="560"/>
    <n v="0"/>
    <n v="0"/>
    <n v="0"/>
    <n v="560"/>
    <s v="Dinheiro"/>
    <x v="0"/>
  </r>
  <r>
    <s v="00459"/>
    <x v="262"/>
    <x v="30"/>
    <s v="07/2025"/>
    <d v="2025-07-10T00:00:00"/>
    <x v="133"/>
    <n v="1040"/>
    <n v="0"/>
    <n v="0"/>
    <n v="0"/>
    <n v="1040"/>
    <s v="Dinheiro"/>
    <x v="0"/>
  </r>
  <r>
    <s v="00521"/>
    <x v="359"/>
    <x v="30"/>
    <s v="07/2025"/>
    <d v="2025-07-10T00:00:00"/>
    <x v="133"/>
    <n v="1280"/>
    <n v="0"/>
    <n v="0"/>
    <n v="0"/>
    <n v="1280"/>
    <s v="Dinheiro"/>
    <x v="0"/>
  </r>
  <r>
    <s v="00457"/>
    <x v="219"/>
    <x v="30"/>
    <s v="07/2025"/>
    <d v="2025-07-10T00:00:00"/>
    <x v="133"/>
    <n v="2800"/>
    <n v="0"/>
    <n v="0"/>
    <n v="0"/>
    <n v="2800"/>
    <s v="Dinheiro"/>
    <x v="0"/>
  </r>
  <r>
    <s v="00278"/>
    <x v="316"/>
    <x v="30"/>
    <s v="07/2025"/>
    <d v="2025-07-10T00:00:00"/>
    <x v="133"/>
    <n v="2680"/>
    <n v="0"/>
    <n v="0"/>
    <n v="0"/>
    <n v="2680"/>
    <s v="Dinheiro"/>
    <x v="0"/>
  </r>
  <r>
    <s v="00265"/>
    <x v="72"/>
    <x v="29"/>
    <s v="07/2025"/>
    <d v="2025-07-10T00:00:00"/>
    <x v="133"/>
    <n v="996.80000000000007"/>
    <n v="0"/>
    <n v="0"/>
    <n v="0"/>
    <n v="996.80000000000007"/>
    <s v="Dinheiro"/>
    <x v="0"/>
  </r>
  <r>
    <s v="00188"/>
    <x v="75"/>
    <x v="29"/>
    <s v="07/2025"/>
    <d v="2025-07-10T00:00:00"/>
    <x v="133"/>
    <n v="800"/>
    <n v="0"/>
    <n v="0"/>
    <n v="0"/>
    <n v="800"/>
    <s v="Dinheiro"/>
    <x v="0"/>
  </r>
  <r>
    <s v="00520"/>
    <x v="360"/>
    <x v="30"/>
    <s v="07/2025"/>
    <d v="2025-07-10T00:00:00"/>
    <x v="133"/>
    <n v="1040"/>
    <n v="0"/>
    <n v="0"/>
    <n v="0"/>
    <n v="1040"/>
    <s v="Dinheiro"/>
    <x v="0"/>
  </r>
  <r>
    <s v="00179"/>
    <x v="78"/>
    <x v="29"/>
    <s v="07/2025"/>
    <d v="2025-07-10T00:00:00"/>
    <x v="133"/>
    <n v="1280"/>
    <n v="0"/>
    <n v="0"/>
    <n v="0"/>
    <n v="1280"/>
    <s v="Dinheiro"/>
    <x v="0"/>
  </r>
  <r>
    <s v="00519"/>
    <x v="361"/>
    <x v="29"/>
    <s v="07/2025"/>
    <d v="2025-07-10T00:00:00"/>
    <x v="133"/>
    <n v="1200"/>
    <n v="0"/>
    <n v="0"/>
    <n v="0"/>
    <n v="1200"/>
    <s v="Dinheiro"/>
    <x v="0"/>
  </r>
  <r>
    <s v="00523"/>
    <x v="362"/>
    <x v="29"/>
    <s v="07/2025"/>
    <d v="2025-07-10T00:00:00"/>
    <x v="133"/>
    <n v="660"/>
    <n v="0"/>
    <n v="0"/>
    <n v="0"/>
    <n v="660"/>
    <s v="Dinheiro"/>
    <x v="0"/>
  </r>
  <r>
    <s v="00187"/>
    <x v="71"/>
    <x v="29"/>
    <s v="07/2025"/>
    <d v="2025-07-10T00:00:00"/>
    <x v="133"/>
    <n v="720"/>
    <n v="0"/>
    <n v="0"/>
    <n v="0"/>
    <n v="720"/>
    <s v="Dinheiro"/>
    <x v="0"/>
  </r>
  <r>
    <s v="00015"/>
    <x v="363"/>
    <x v="23"/>
    <s v="07/2025"/>
    <d v="2025-07-10T00:00:00"/>
    <x v="133"/>
    <n v="2246.37"/>
    <n v="0"/>
    <n v="0"/>
    <n v="0"/>
    <n v="2246.37"/>
    <s v="Dinheiro"/>
    <x v="0"/>
  </r>
  <r>
    <s v="00524"/>
    <x v="364"/>
    <x v="29"/>
    <s v="07/2025"/>
    <d v="2025-07-11T00:00:00"/>
    <x v="134"/>
    <n v="2640"/>
    <n v="0"/>
    <n v="0"/>
    <n v="0"/>
    <n v="2640"/>
    <s v="Dinheiro"/>
    <x v="0"/>
  </r>
  <r>
    <s v="00133"/>
    <x v="24"/>
    <x v="31"/>
    <s v="07/2025"/>
    <d v="2025-07-11T00:00:00"/>
    <x v="134"/>
    <n v="1797.3500000000001"/>
    <n v="0"/>
    <n v="0"/>
    <n v="0"/>
    <n v="1797.3500000000001"/>
    <s v="Dinheiro"/>
    <x v="0"/>
  </r>
  <r>
    <s v="00223"/>
    <x v="32"/>
    <x v="8"/>
    <s v="07/2025"/>
    <d v="2025-07-10T00:00:00"/>
    <x v="135"/>
    <n v="2140"/>
    <n v="0"/>
    <n v="0"/>
    <n v="0"/>
    <n v="2140"/>
    <s v="Dinheiro"/>
    <x v="0"/>
  </r>
  <r>
    <s v="ENF250083"/>
    <x v="365"/>
    <x v="17"/>
    <s v="07/2025"/>
    <d v="2025-07-14T00:00:00"/>
    <x v="136"/>
    <n v="137.20000000000002"/>
    <n v="0"/>
    <n v="0"/>
    <n v="0"/>
    <n v="137.20000000000002"/>
    <s v="Dinheiro"/>
    <x v="0"/>
  </r>
  <r>
    <s v="00193"/>
    <x v="3"/>
    <x v="0"/>
    <s v="07/2025"/>
    <d v="2025-07-04T00:00:00"/>
    <x v="136"/>
    <n v="1973.1000000000001"/>
    <n v="0"/>
    <n v="0"/>
    <n v="0"/>
    <n v="1973.1000000000001"/>
    <s v="Dinheiro"/>
    <x v="0"/>
  </r>
  <r>
    <s v="00085"/>
    <x v="49"/>
    <x v="22"/>
    <s v="07/2025"/>
    <d v="2025-07-10T00:00:00"/>
    <x v="136"/>
    <n v="10094.52"/>
    <n v="0"/>
    <n v="0"/>
    <n v="0"/>
    <n v="10094.52"/>
    <s v="Dinheiro"/>
    <x v="0"/>
  </r>
  <r>
    <s v="00009"/>
    <x v="53"/>
    <x v="24"/>
    <s v="07/2025"/>
    <d v="2025-07-10T00:00:00"/>
    <x v="136"/>
    <n v="29955.31"/>
    <n v="0"/>
    <n v="0"/>
    <n v="0"/>
    <n v="29955.31"/>
    <s v="Dinheiro"/>
    <x v="0"/>
  </r>
  <r>
    <s v="00388"/>
    <x v="122"/>
    <x v="1"/>
    <s v="07/2025"/>
    <d v="2025-07-01T00:00:00"/>
    <x v="136"/>
    <n v="448.8"/>
    <n v="0"/>
    <n v="0"/>
    <n v="0"/>
    <n v="448.8"/>
    <s v="Dinheiro"/>
    <x v="0"/>
  </r>
  <r>
    <s v="00088"/>
    <x v="29"/>
    <x v="17"/>
    <s v="07/2025"/>
    <d v="2025-07-01T00:00:00"/>
    <x v="136"/>
    <n v="252.28"/>
    <n v="0"/>
    <n v="0"/>
    <n v="0"/>
    <n v="252.28"/>
    <s v="Dinheiro"/>
    <x v="0"/>
  </r>
  <r>
    <s v="00235"/>
    <x v="86"/>
    <x v="29"/>
    <s v="07/2025"/>
    <d v="2025-07-03T00:00:00"/>
    <x v="136"/>
    <n v="800"/>
    <n v="0"/>
    <n v="0"/>
    <n v="0"/>
    <n v="800"/>
    <s v="Dinheiro"/>
    <x v="0"/>
  </r>
  <r>
    <s v="00353"/>
    <x v="61"/>
    <x v="41"/>
    <s v="07/2025"/>
    <d v="2025-07-04T00:00:00"/>
    <x v="136"/>
    <n v="5000"/>
    <n v="0"/>
    <n v="0"/>
    <n v="0"/>
    <n v="5000"/>
    <s v="Dinheiro"/>
    <x v="0"/>
  </r>
  <r>
    <s v="ENF250289"/>
    <x v="366"/>
    <x v="17"/>
    <s v="07/2025"/>
    <d v="2025-07-04T00:00:00"/>
    <x v="136"/>
    <n v="49"/>
    <n v="0"/>
    <n v="0"/>
    <n v="0"/>
    <n v="49"/>
    <s v="Dinheiro"/>
    <x v="0"/>
  </r>
  <r>
    <s v="00349"/>
    <x v="25"/>
    <x v="32"/>
    <s v="07/2025"/>
    <d v="2025-07-01T00:00:00"/>
    <x v="136"/>
    <n v="255.42000000000002"/>
    <n v="0"/>
    <n v="0"/>
    <n v="0"/>
    <n v="255.42000000000002"/>
    <s v="Dinheiro"/>
    <x v="0"/>
  </r>
  <r>
    <s v="00474"/>
    <x v="298"/>
    <x v="32"/>
    <s v="07/2025"/>
    <d v="2025-07-01T00:00:00"/>
    <x v="136"/>
    <n v="255.42000000000002"/>
    <n v="0"/>
    <n v="0"/>
    <n v="0"/>
    <n v="255.42000000000002"/>
    <s v="Dinheiro"/>
    <x v="0"/>
  </r>
  <r>
    <s v="00475"/>
    <x v="245"/>
    <x v="1"/>
    <s v="07/2025"/>
    <d v="2025-07-01T00:00:00"/>
    <x v="136"/>
    <n v="283.2"/>
    <n v="0"/>
    <n v="0"/>
    <n v="0"/>
    <n v="283.2"/>
    <s v="Dinheiro"/>
    <x v="0"/>
  </r>
  <r>
    <s v="00083"/>
    <x v="5"/>
    <x v="32"/>
    <s v="07/2025"/>
    <d v="2025-07-01T00:00:00"/>
    <x v="136"/>
    <n v="5068.33"/>
    <n v="0"/>
    <n v="0"/>
    <n v="0"/>
    <n v="5068.33"/>
    <s v="Dinheiro"/>
    <x v="0"/>
  </r>
  <r>
    <s v="00502"/>
    <x v="331"/>
    <x v="32"/>
    <s v="07/2025"/>
    <d v="2025-07-02T00:00:00"/>
    <x v="136"/>
    <n v="436.8"/>
    <n v="0"/>
    <n v="0"/>
    <n v="0"/>
    <n v="436.8"/>
    <s v="Dinheiro"/>
    <x v="0"/>
  </r>
  <r>
    <s v="00508"/>
    <x v="367"/>
    <x v="25"/>
    <s v="07/2025"/>
    <d v="2025-07-04T00:00:00"/>
    <x v="136"/>
    <n v="1485.84"/>
    <n v="0"/>
    <n v="0"/>
    <n v="0"/>
    <n v="1485.84"/>
    <s v="Dinheiro"/>
    <x v="0"/>
  </r>
  <r>
    <s v="00319"/>
    <x v="27"/>
    <x v="16"/>
    <s v="07/2025"/>
    <d v="2025-07-04T00:00:00"/>
    <x v="136"/>
    <n v="1381.38"/>
    <n v="0"/>
    <n v="0"/>
    <n v="0"/>
    <n v="1381.38"/>
    <s v="Dinheiro"/>
    <x v="0"/>
  </r>
  <r>
    <s v="00394"/>
    <x v="141"/>
    <x v="19"/>
    <s v="07/2025"/>
    <d v="2025-07-04T00:00:00"/>
    <x v="136"/>
    <n v="682.1"/>
    <n v="0"/>
    <n v="0"/>
    <n v="0"/>
    <n v="682.1"/>
    <s v="Dinheiro"/>
    <x v="0"/>
  </r>
  <r>
    <s v="00228"/>
    <x v="79"/>
    <x v="29"/>
    <s v="07/2025"/>
    <d v="2025-07-10T00:00:00"/>
    <x v="136"/>
    <n v="2640"/>
    <n v="0"/>
    <n v="0"/>
    <n v="0"/>
    <n v="2640"/>
    <s v="Dinheiro"/>
    <x v="0"/>
  </r>
  <r>
    <s v="00355"/>
    <x v="83"/>
    <x v="79"/>
    <s v="07/2025"/>
    <d v="2025-07-10T00:00:00"/>
    <x v="136"/>
    <n v="350"/>
    <n v="0"/>
    <n v="0"/>
    <n v="0"/>
    <n v="350"/>
    <s v="Dinheiro"/>
    <x v="0"/>
  </r>
  <r>
    <s v="00355"/>
    <x v="83"/>
    <x v="41"/>
    <s v="07/2025"/>
    <d v="2025-07-10T00:00:00"/>
    <x v="136"/>
    <n v="1040"/>
    <n v="0"/>
    <n v="0"/>
    <n v="0"/>
    <n v="1040"/>
    <s v="Dinheiro"/>
    <x v="0"/>
  </r>
  <r>
    <s v="00213"/>
    <x v="110"/>
    <x v="34"/>
    <s v="07/2025"/>
    <d v="2025-07-20T00:00:00"/>
    <x v="136"/>
    <n v="2000"/>
    <n v="0"/>
    <n v="0"/>
    <n v="0"/>
    <n v="2000"/>
    <s v="Dinheiro"/>
    <x v="0"/>
  </r>
  <r>
    <s v="00498"/>
    <x v="242"/>
    <x v="20"/>
    <s v="07/2025"/>
    <d v="2025-07-15T00:00:00"/>
    <x v="136"/>
    <n v="938.14"/>
    <n v="0"/>
    <n v="0"/>
    <n v="0"/>
    <n v="938.14"/>
    <s v="Dinheiro"/>
    <x v="0"/>
  </r>
  <r>
    <s v="00468"/>
    <x v="236"/>
    <x v="34"/>
    <s v="07/2025"/>
    <d v="2025-07-20T00:00:00"/>
    <x v="136"/>
    <n v="890"/>
    <n v="0"/>
    <n v="0"/>
    <n v="0"/>
    <n v="890"/>
    <s v="Dinheiro"/>
    <x v="0"/>
  </r>
  <r>
    <s v="00526"/>
    <x v="368"/>
    <x v="41"/>
    <s v="07/2025"/>
    <d v="2025-07-10T00:00:00"/>
    <x v="136"/>
    <n v="1500"/>
    <n v="0"/>
    <n v="0"/>
    <n v="0"/>
    <n v="1500"/>
    <s v="Dinheiro"/>
    <x v="0"/>
  </r>
  <r>
    <s v="00103"/>
    <x v="97"/>
    <x v="72"/>
    <s v="07/2025"/>
    <d v="2025-07-15T00:00:00"/>
    <x v="137"/>
    <n v="132"/>
    <n v="0"/>
    <n v="0"/>
    <n v="0"/>
    <n v="132"/>
    <s v="Dinheiro"/>
    <x v="0"/>
  </r>
  <r>
    <s v="00102"/>
    <x v="84"/>
    <x v="10"/>
    <s v="07/2025"/>
    <d v="2025-07-15T00:00:00"/>
    <x v="137"/>
    <n v="700"/>
    <n v="0"/>
    <n v="0"/>
    <n v="0"/>
    <n v="700"/>
    <s v="Dinheiro"/>
    <x v="0"/>
  </r>
  <r>
    <s v="00109"/>
    <x v="90"/>
    <x v="35"/>
    <s v="07/2025"/>
    <d v="2025-07-15T00:00:00"/>
    <x v="137"/>
    <n v="217.76"/>
    <n v="0"/>
    <n v="0"/>
    <n v="0"/>
    <n v="217.76"/>
    <s v="Dinheiro"/>
    <x v="0"/>
  </r>
  <r>
    <s v="00018"/>
    <x v="95"/>
    <x v="37"/>
    <s v="07/2025"/>
    <d v="2025-07-15T00:00:00"/>
    <x v="137"/>
    <n v="500"/>
    <n v="0"/>
    <n v="0"/>
    <n v="0"/>
    <n v="500"/>
    <s v="Dinheiro"/>
    <x v="0"/>
  </r>
  <r>
    <s v="00068"/>
    <x v="98"/>
    <x v="39"/>
    <s v="07/2025"/>
    <d v="2025-07-15T00:00:00"/>
    <x v="137"/>
    <n v="1518"/>
    <n v="0"/>
    <n v="0"/>
    <n v="0"/>
    <n v="1518"/>
    <s v="Dinheiro"/>
    <x v="0"/>
  </r>
  <r>
    <s v="00006"/>
    <x v="137"/>
    <x v="53"/>
    <s v="07/2025"/>
    <d v="2025-07-15T00:00:00"/>
    <x v="137"/>
    <n v="1518"/>
    <n v="0"/>
    <n v="0"/>
    <n v="0"/>
    <n v="1518"/>
    <s v="Dinheiro"/>
    <x v="0"/>
  </r>
  <r>
    <s v="00102"/>
    <x v="84"/>
    <x v="36"/>
    <s v="07/2025"/>
    <d v="2025-07-15T00:00:00"/>
    <x v="137"/>
    <n v="1904.5"/>
    <n v="0"/>
    <n v="0"/>
    <n v="0"/>
    <n v="1904.5"/>
    <s v="Dinheiro"/>
    <x v="0"/>
  </r>
  <r>
    <s v="00068"/>
    <x v="98"/>
    <x v="39"/>
    <s v="07/2025"/>
    <d v="2025-07-10T00:00:00"/>
    <x v="137"/>
    <n v="500"/>
    <n v="0"/>
    <n v="0"/>
    <n v="0"/>
    <n v="500"/>
    <s v="Dinheiro"/>
    <x v="0"/>
  </r>
  <r>
    <s v="ENF250300"/>
    <x v="369"/>
    <x v="28"/>
    <s v="07/2025"/>
    <d v="2025-07-16T00:00:00"/>
    <x v="137"/>
    <n v="100"/>
    <n v="0"/>
    <n v="0"/>
    <n v="0"/>
    <n v="100"/>
    <s v="Dinheiro"/>
    <x v="0"/>
  </r>
  <r>
    <s v="00478"/>
    <x v="290"/>
    <x v="32"/>
    <s v="07/2025"/>
    <d v="2025-07-01T00:00:00"/>
    <x v="137"/>
    <n v="541.02"/>
    <n v="0"/>
    <n v="0"/>
    <n v="0"/>
    <n v="541.02"/>
    <s v="Dinheiro"/>
    <x v="0"/>
  </r>
  <r>
    <s v="00193"/>
    <x v="3"/>
    <x v="0"/>
    <s v="07/2025"/>
    <d v="2025-07-04T00:00:00"/>
    <x v="137"/>
    <n v="1302"/>
    <n v="0"/>
    <n v="0"/>
    <n v="0"/>
    <n v="1302"/>
    <s v="Dinheiro"/>
    <x v="0"/>
  </r>
  <r>
    <s v="00527"/>
    <x v="370"/>
    <x v="38"/>
    <s v="07/2025"/>
    <d v="2025-07-10T00:00:00"/>
    <x v="137"/>
    <n v="15.4"/>
    <n v="0"/>
    <n v="0"/>
    <n v="0"/>
    <n v="15.4"/>
    <s v="Dinheiro"/>
    <x v="0"/>
  </r>
  <r>
    <s v="00528"/>
    <x v="321"/>
    <x v="41"/>
    <s v="07/2025"/>
    <d v="2025-07-10T00:00:00"/>
    <x v="137"/>
    <n v="1800"/>
    <n v="0"/>
    <n v="0"/>
    <n v="0"/>
    <n v="1800"/>
    <s v="Dinheiro"/>
    <x v="0"/>
  </r>
  <r>
    <s v="00530"/>
    <x v="371"/>
    <x v="17"/>
    <s v="07/2025"/>
    <d v="2025-07-11T00:00:00"/>
    <x v="137"/>
    <n v="400"/>
    <n v="0"/>
    <n v="0"/>
    <n v="0"/>
    <n v="400"/>
    <s v="Dinheiro"/>
    <x v="0"/>
  </r>
  <r>
    <s v="00531"/>
    <x v="372"/>
    <x v="30"/>
    <s v="07/2025"/>
    <d v="2025-07-16T00:00:00"/>
    <x v="137"/>
    <n v="880"/>
    <n v="0"/>
    <n v="0"/>
    <n v="0"/>
    <n v="880"/>
    <s v="Dinheiro"/>
    <x v="0"/>
  </r>
  <r>
    <s v="00532"/>
    <x v="373"/>
    <x v="29"/>
    <s v="07/2025"/>
    <d v="2025-07-16T00:00:00"/>
    <x v="137"/>
    <n v="1600"/>
    <n v="0"/>
    <n v="0"/>
    <n v="0"/>
    <n v="1600"/>
    <s v="Dinheiro"/>
    <x v="0"/>
  </r>
  <r>
    <s v="00381"/>
    <x v="99"/>
    <x v="26"/>
    <s v="06/2025"/>
    <d v="2025-06-25T00:00:00"/>
    <x v="138"/>
    <n v="390"/>
    <n v="0"/>
    <n v="0"/>
    <n v="0"/>
    <n v="390"/>
    <s v="Dinheiro"/>
    <x v="0"/>
  </r>
  <r>
    <s v="00012"/>
    <x v="374"/>
    <x v="45"/>
    <s v="07/2025"/>
    <d v="2025-07-17T00:00:00"/>
    <x v="138"/>
    <n v="353.08"/>
    <n v="0"/>
    <n v="0"/>
    <n v="0"/>
    <n v="353.08"/>
    <s v="Dinheiro"/>
    <x v="0"/>
  </r>
  <r>
    <s v="00074"/>
    <x v="54"/>
    <x v="16"/>
    <s v="07/2025"/>
    <d v="2025-07-17T00:00:00"/>
    <x v="138"/>
    <n v="99"/>
    <n v="0"/>
    <n v="0"/>
    <n v="0"/>
    <n v="99"/>
    <s v="Dinheiro"/>
    <x v="0"/>
  </r>
  <r>
    <s v="00302"/>
    <x v="96"/>
    <x v="38"/>
    <s v="07/2025"/>
    <d v="2025-07-17T00:00:00"/>
    <x v="138"/>
    <n v="280"/>
    <n v="0"/>
    <n v="0"/>
    <n v="0"/>
    <n v="280"/>
    <s v="Dinheiro"/>
    <x v="0"/>
  </r>
  <r>
    <s v="00277"/>
    <x v="47"/>
    <x v="16"/>
    <s v="07/2025"/>
    <d v="2025-07-16T00:00:00"/>
    <x v="139"/>
    <n v="399.47"/>
    <n v="0"/>
    <n v="0"/>
    <n v="0"/>
    <n v="399.47"/>
    <s v="Dinheiro"/>
    <x v="0"/>
  </r>
  <r>
    <s v="00067"/>
    <x v="132"/>
    <x v="51"/>
    <s v="07/2025"/>
    <d v="2025-07-16T00:00:00"/>
    <x v="139"/>
    <n v="378.03000000000003"/>
    <n v="0"/>
    <n v="0"/>
    <n v="0"/>
    <n v="378.03000000000003"/>
    <s v="Dinheiro"/>
    <x v="0"/>
  </r>
  <r>
    <s v="00258"/>
    <x v="43"/>
    <x v="0"/>
    <s v="07/2025"/>
    <d v="2025-07-05T00:00:00"/>
    <x v="139"/>
    <n v="1922.76"/>
    <n v="0"/>
    <n v="0"/>
    <n v="0"/>
    <n v="1922.76"/>
    <s v="Dinheiro"/>
    <x v="0"/>
  </r>
  <r>
    <s v="00072"/>
    <x v="105"/>
    <x v="43"/>
    <s v="07/2025"/>
    <d v="2025-07-18T00:00:00"/>
    <x v="139"/>
    <n v="3579.76"/>
    <n v="0"/>
    <n v="0"/>
    <n v="0"/>
    <n v="3579.76"/>
    <s v="Dinheiro"/>
    <x v="0"/>
  </r>
  <r>
    <s v="00011"/>
    <x v="45"/>
    <x v="16"/>
    <s v="07/2025"/>
    <d v="2025-07-20T00:00:00"/>
    <x v="140"/>
    <n v="791.23"/>
    <n v="0"/>
    <n v="0"/>
    <n v="0"/>
    <n v="791.23"/>
    <s v="Dinheiro"/>
    <x v="0"/>
  </r>
  <r>
    <s v="00011"/>
    <x v="45"/>
    <x v="16"/>
    <s v="07/2025"/>
    <d v="2025-07-20T00:00:00"/>
    <x v="140"/>
    <n v="941.56000000000006"/>
    <n v="0"/>
    <n v="0"/>
    <n v="0"/>
    <n v="941.56000000000006"/>
    <s v="Dinheiro"/>
    <x v="0"/>
  </r>
  <r>
    <s v="00036"/>
    <x v="109"/>
    <x v="76"/>
    <s v="07/2025"/>
    <d v="2025-07-21T00:00:00"/>
    <x v="140"/>
    <n v="28.900000000000002"/>
    <n v="0"/>
    <n v="0"/>
    <n v="0"/>
    <n v="28.900000000000002"/>
    <s v="Dinheiro"/>
    <x v="0"/>
  </r>
  <r>
    <s v="00380"/>
    <x v="91"/>
    <x v="30"/>
    <s v="07/2025"/>
    <d v="2025-07-21T00:00:00"/>
    <x v="140"/>
    <n v="360"/>
    <n v="0"/>
    <n v="0"/>
    <n v="0"/>
    <n v="360"/>
    <s v="Dinheiro"/>
    <x v="0"/>
  </r>
  <r>
    <s v="00072"/>
    <x v="105"/>
    <x v="40"/>
    <s v="07/2025"/>
    <d v="2025-07-21T00:00:00"/>
    <x v="140"/>
    <n v="18586.52"/>
    <n v="0"/>
    <n v="0"/>
    <n v="0"/>
    <n v="18586.52"/>
    <s v="Dinheiro"/>
    <x v="0"/>
  </r>
  <r>
    <s v="ADM250003"/>
    <x v="375"/>
    <x v="20"/>
    <s v="07/2025"/>
    <d v="2025-07-21T00:00:00"/>
    <x v="140"/>
    <n v="199.9"/>
    <n v="0"/>
    <n v="0"/>
    <n v="0"/>
    <n v="199.9"/>
    <s v="Dinheiro"/>
    <x v="0"/>
  </r>
  <r>
    <s v="00362"/>
    <x v="7"/>
    <x v="3"/>
    <s v="07/2025"/>
    <d v="2025-07-21T00:00:00"/>
    <x v="140"/>
    <n v="6.12"/>
    <n v="0"/>
    <n v="0"/>
    <n v="0"/>
    <n v="6.12"/>
    <s v="Dinheiro"/>
    <x v="0"/>
  </r>
  <r>
    <s v="00106"/>
    <x v="6"/>
    <x v="61"/>
    <s v="07/2025"/>
    <d v="2025-07-15T00:00:00"/>
    <x v="140"/>
    <n v="900"/>
    <n v="0"/>
    <n v="0"/>
    <n v="0"/>
    <n v="900"/>
    <s v="Dinheiro"/>
    <x v="0"/>
  </r>
  <r>
    <s v="00362"/>
    <x v="7"/>
    <x v="3"/>
    <s v="07/2025"/>
    <d v="2025-07-01T00:00:00"/>
    <x v="141"/>
    <n v="8.16"/>
    <n v="0"/>
    <n v="0"/>
    <n v="0"/>
    <n v="8.16"/>
    <s v="Dinheiro"/>
    <x v="0"/>
  </r>
  <r>
    <s v="00362"/>
    <x v="7"/>
    <x v="34"/>
    <s v="07/2025"/>
    <d v="2025-07-01T00:00:00"/>
    <x v="141"/>
    <n v="33.72"/>
    <n v="0"/>
    <n v="0"/>
    <n v="0"/>
    <n v="33.72"/>
    <s v="Dinheiro"/>
    <x v="0"/>
  </r>
  <r>
    <s v="00362"/>
    <x v="7"/>
    <x v="6"/>
    <s v="07/2025"/>
    <d v="2025-07-02T00:00:00"/>
    <x v="141"/>
    <n v="168.34"/>
    <n v="0"/>
    <n v="0"/>
    <n v="0"/>
    <n v="168.34"/>
    <s v="Dinheiro"/>
    <x v="0"/>
  </r>
  <r>
    <s v="00362"/>
    <x v="7"/>
    <x v="3"/>
    <s v="07/2025"/>
    <d v="2025-07-02T00:00:00"/>
    <x v="141"/>
    <n v="18.36"/>
    <n v="0"/>
    <n v="0"/>
    <n v="0"/>
    <n v="18.36"/>
    <s v="Dinheiro"/>
    <x v="0"/>
  </r>
  <r>
    <s v="00362"/>
    <x v="7"/>
    <x v="4"/>
    <s v="07/2025"/>
    <d v="2025-07-02T00:00:00"/>
    <x v="141"/>
    <n v="252.62"/>
    <n v="0"/>
    <n v="0"/>
    <n v="0"/>
    <n v="252.62"/>
    <s v="Dinheiro"/>
    <x v="0"/>
  </r>
  <r>
    <s v="00362"/>
    <x v="7"/>
    <x v="4"/>
    <s v="07/2025"/>
    <d v="2025-07-02T00:00:00"/>
    <x v="141"/>
    <n v="183.68"/>
    <n v="0"/>
    <n v="0"/>
    <n v="0"/>
    <n v="183.68"/>
    <s v="Dinheiro"/>
    <x v="0"/>
  </r>
  <r>
    <s v="00362"/>
    <x v="7"/>
    <x v="3"/>
    <s v="07/2025"/>
    <d v="2025-07-03T00:00:00"/>
    <x v="141"/>
    <n v="20.400000000000002"/>
    <n v="0"/>
    <n v="0"/>
    <n v="0"/>
    <n v="20.400000000000002"/>
    <s v="Dinheiro"/>
    <x v="0"/>
  </r>
  <r>
    <s v="00362"/>
    <x v="7"/>
    <x v="3"/>
    <s v="07/2025"/>
    <d v="2025-07-04T00:00:00"/>
    <x v="141"/>
    <n v="30.6"/>
    <n v="0"/>
    <n v="0"/>
    <n v="0"/>
    <n v="30.6"/>
    <s v="Dinheiro"/>
    <x v="0"/>
  </r>
  <r>
    <s v="00362"/>
    <x v="7"/>
    <x v="3"/>
    <s v="07/2025"/>
    <d v="2025-07-07T00:00:00"/>
    <x v="141"/>
    <n v="75.48"/>
    <n v="0"/>
    <n v="0"/>
    <n v="0"/>
    <n v="75.48"/>
    <s v="Dinheiro"/>
    <x v="0"/>
  </r>
  <r>
    <s v="00362"/>
    <x v="7"/>
    <x v="34"/>
    <s v="07/2025"/>
    <d v="2025-07-08T00:00:00"/>
    <x v="141"/>
    <n v="1007.76"/>
    <n v="0"/>
    <n v="0"/>
    <n v="0"/>
    <n v="1007.76"/>
    <s v="Dinheiro"/>
    <x v="0"/>
  </r>
  <r>
    <s v="00362"/>
    <x v="7"/>
    <x v="3"/>
    <s v="07/2025"/>
    <d v="2025-07-10T00:00:00"/>
    <x v="141"/>
    <n v="4.1900000000000004"/>
    <n v="0"/>
    <n v="0"/>
    <n v="0"/>
    <n v="4.1900000000000004"/>
    <s v="Dinheiro"/>
    <x v="0"/>
  </r>
  <r>
    <s v="00362"/>
    <x v="7"/>
    <x v="4"/>
    <s v="07/2025"/>
    <d v="2025-07-22T00:00:00"/>
    <x v="141"/>
    <n v="254.91"/>
    <n v="0"/>
    <n v="0"/>
    <n v="0"/>
    <n v="254.91"/>
    <s v="Dinheiro"/>
    <x v="0"/>
  </r>
  <r>
    <s v="00362"/>
    <x v="7"/>
    <x v="3"/>
    <s v="07/2025"/>
    <d v="2025-07-11T00:00:00"/>
    <x v="141"/>
    <n v="2.04"/>
    <n v="0"/>
    <n v="0"/>
    <n v="0"/>
    <n v="2.04"/>
    <s v="Dinheiro"/>
    <x v="0"/>
  </r>
  <r>
    <s v="00362"/>
    <x v="7"/>
    <x v="34"/>
    <s v="07/2025"/>
    <d v="2025-07-14T00:00:00"/>
    <x v="141"/>
    <n v="8.32"/>
    <n v="0"/>
    <n v="0"/>
    <n v="0"/>
    <n v="8.32"/>
    <s v="Dinheiro"/>
    <x v="0"/>
  </r>
  <r>
    <s v="00362"/>
    <x v="7"/>
    <x v="3"/>
    <s v="07/2025"/>
    <d v="2025-07-14T00:00:00"/>
    <x v="141"/>
    <n v="173.4"/>
    <n v="0"/>
    <n v="0"/>
    <n v="0"/>
    <n v="173.4"/>
    <s v="Dinheiro"/>
    <x v="0"/>
  </r>
  <r>
    <s v="00362"/>
    <x v="7"/>
    <x v="6"/>
    <s v="07/2025"/>
    <d v="2025-07-22T00:00:00"/>
    <x v="141"/>
    <n v="211.96"/>
    <n v="0"/>
    <n v="0"/>
    <n v="0"/>
    <n v="211.96"/>
    <s v="Dinheiro"/>
    <x v="0"/>
  </r>
  <r>
    <s v="00362"/>
    <x v="7"/>
    <x v="6"/>
    <s v="07/2025"/>
    <d v="2025-07-15T00:00:00"/>
    <x v="141"/>
    <n v="12.24"/>
    <n v="0"/>
    <n v="0"/>
    <n v="0"/>
    <n v="12.24"/>
    <s v="Dinheiro"/>
    <x v="0"/>
  </r>
  <r>
    <s v="00362"/>
    <x v="7"/>
    <x v="6"/>
    <s v="07/2025"/>
    <d v="2025-07-22T00:00:00"/>
    <x v="141"/>
    <n v="504"/>
    <n v="0"/>
    <n v="0"/>
    <n v="0"/>
    <n v="504"/>
    <s v="Dinheiro"/>
    <x v="0"/>
  </r>
  <r>
    <s v="00362"/>
    <x v="7"/>
    <x v="3"/>
    <s v="07/2025"/>
    <d v="2025-07-22T00:00:00"/>
    <x v="141"/>
    <n v="135.52000000000001"/>
    <n v="0"/>
    <n v="0"/>
    <n v="0"/>
    <n v="135.52000000000001"/>
    <s v="Dinheiro"/>
    <x v="0"/>
  </r>
  <r>
    <s v="00362"/>
    <x v="7"/>
    <x v="3"/>
    <s v="07/2025"/>
    <d v="2025-07-22T00:00:00"/>
    <x v="141"/>
    <n v="75.48"/>
    <n v="0"/>
    <n v="0"/>
    <n v="0"/>
    <n v="75.48"/>
    <s v="Dinheiro"/>
    <x v="0"/>
  </r>
  <r>
    <s v="00362"/>
    <x v="7"/>
    <x v="3"/>
    <s v="07/2025"/>
    <d v="2025-07-22T00:00:00"/>
    <x v="141"/>
    <n v="4.08"/>
    <n v="0"/>
    <n v="0"/>
    <n v="0"/>
    <n v="4.08"/>
    <s v="Dinheiro"/>
    <x v="0"/>
  </r>
  <r>
    <s v="00362"/>
    <x v="7"/>
    <x v="3"/>
    <s v="07/2025"/>
    <d v="2025-07-22T00:00:00"/>
    <x v="141"/>
    <n v="2.04"/>
    <n v="0"/>
    <n v="0"/>
    <n v="0"/>
    <n v="2.04"/>
    <s v="Dinheiro"/>
    <x v="0"/>
  </r>
  <r>
    <s v="00362"/>
    <x v="7"/>
    <x v="3"/>
    <s v="07/2025"/>
    <d v="2025-07-22T00:00:00"/>
    <x v="141"/>
    <n v="4.08"/>
    <n v="0"/>
    <n v="0"/>
    <n v="0"/>
    <n v="4.08"/>
    <s v="Dinheiro"/>
    <x v="0"/>
  </r>
  <r>
    <s v="00362"/>
    <x v="7"/>
    <x v="3"/>
    <s v="07/2025"/>
    <d v="2025-07-22T00:00:00"/>
    <x v="141"/>
    <n v="8.16"/>
    <n v="0"/>
    <n v="0"/>
    <n v="0"/>
    <n v="8.16"/>
    <s v="Dinheiro"/>
    <x v="0"/>
  </r>
  <r>
    <s v="00362"/>
    <x v="7"/>
    <x v="3"/>
    <s v="07/2025"/>
    <d v="2025-07-22T00:00:00"/>
    <x v="141"/>
    <n v="6.12"/>
    <n v="0"/>
    <n v="0"/>
    <n v="0"/>
    <n v="6.12"/>
    <s v="Dinheiro"/>
    <x v="0"/>
  </r>
  <r>
    <s v="00362"/>
    <x v="7"/>
    <x v="34"/>
    <s v="07/2025"/>
    <d v="2025-07-22T00:00:00"/>
    <x v="141"/>
    <n v="5552"/>
    <n v="0"/>
    <n v="0"/>
    <n v="0"/>
    <n v="5552"/>
    <s v="Dinheiro"/>
    <x v="0"/>
  </r>
  <r>
    <s v="00024"/>
    <x v="0"/>
    <x v="0"/>
    <s v="07/2025"/>
    <d v="2025-07-04T00:00:00"/>
    <x v="141"/>
    <n v="1026.9000000000001"/>
    <n v="0"/>
    <n v="0"/>
    <n v="0"/>
    <n v="1026.9000000000001"/>
    <s v="Dinheiro"/>
    <x v="0"/>
  </r>
  <r>
    <s v="00024"/>
    <x v="0"/>
    <x v="0"/>
    <s v="07/2025"/>
    <d v="2025-07-22T00:00:00"/>
    <x v="141"/>
    <n v="1027"/>
    <n v="0"/>
    <n v="0"/>
    <n v="0"/>
    <n v="1027"/>
    <s v="Dinheiro"/>
    <x v="0"/>
  </r>
  <r>
    <s v="00024"/>
    <x v="0"/>
    <x v="0"/>
    <s v="07/2025"/>
    <d v="2025-07-22T00:00:00"/>
    <x v="141"/>
    <n v="671.2"/>
    <n v="0"/>
    <n v="0"/>
    <n v="0"/>
    <n v="671.2"/>
    <s v="Dinheiro"/>
    <x v="0"/>
  </r>
  <r>
    <s v="00193"/>
    <x v="3"/>
    <x v="0"/>
    <s v="07/2025"/>
    <d v="2025-07-22T00:00:00"/>
    <x v="141"/>
    <n v="1328.8"/>
    <n v="0"/>
    <n v="0"/>
    <n v="0"/>
    <n v="1328.8"/>
    <s v="Dinheiro"/>
    <x v="0"/>
  </r>
  <r>
    <s v="00134"/>
    <x v="18"/>
    <x v="8"/>
    <s v="07/2025"/>
    <d v="2025-07-22T00:00:00"/>
    <x v="141"/>
    <n v="200"/>
    <n v="0"/>
    <n v="0"/>
    <n v="0"/>
    <n v="200"/>
    <s v="Dinheiro"/>
    <x v="0"/>
  </r>
  <r>
    <s v="00133"/>
    <x v="24"/>
    <x v="8"/>
    <s v="07/2025"/>
    <d v="2025-07-21T00:00:00"/>
    <x v="141"/>
    <n v="200"/>
    <n v="0"/>
    <n v="0"/>
    <n v="0"/>
    <n v="200"/>
    <s v="Dinheiro"/>
    <x v="0"/>
  </r>
  <r>
    <s v="00538"/>
    <x v="376"/>
    <x v="30"/>
    <s v="07/2025"/>
    <d v="2025-07-21T00:00:00"/>
    <x v="141"/>
    <n v="500"/>
    <n v="0"/>
    <n v="0"/>
    <n v="0"/>
    <n v="500"/>
    <s v="Dinheiro"/>
    <x v="0"/>
  </r>
  <r>
    <s v="00468"/>
    <x v="236"/>
    <x v="34"/>
    <s v="07/2025"/>
    <d v="2025-07-22T00:00:00"/>
    <x v="141"/>
    <n v="2890"/>
    <n v="0"/>
    <n v="0"/>
    <n v="0"/>
    <n v="2890"/>
    <s v="Dinheiro"/>
    <x v="0"/>
  </r>
  <r>
    <s v="00362"/>
    <x v="7"/>
    <x v="34"/>
    <s v="07/2025"/>
    <d v="2025-07-22T00:00:00"/>
    <x v="141"/>
    <n v="4202.0600000000004"/>
    <n v="0"/>
    <n v="0"/>
    <n v="0"/>
    <n v="4202.0600000000004"/>
    <s v="Dinheiro"/>
    <x v="0"/>
  </r>
  <r>
    <s v="00515"/>
    <x v="343"/>
    <x v="19"/>
    <s v="07/2025"/>
    <d v="2025-07-24T00:00:00"/>
    <x v="143"/>
    <n v="459.40000000000003"/>
    <n v="0"/>
    <n v="0"/>
    <n v="0"/>
    <n v="459.40000000000003"/>
    <s v="Dinheiro"/>
    <x v="0"/>
  </r>
  <r>
    <s v="00024"/>
    <x v="0"/>
    <x v="0"/>
    <s v="07/2025"/>
    <d v="2025-07-04T00:00:00"/>
    <x v="143"/>
    <n v="698"/>
    <n v="0"/>
    <n v="0"/>
    <n v="0"/>
    <n v="698"/>
    <s v="Dinheiro"/>
    <x v="0"/>
  </r>
  <r>
    <s v="00543"/>
    <x v="377"/>
    <x v="30"/>
    <s v="07/2025"/>
    <d v="2025-07-24T00:00:00"/>
    <x v="143"/>
    <n v="80"/>
    <n v="0"/>
    <n v="0"/>
    <n v="0"/>
    <n v="80"/>
    <s v="Dinheiro"/>
    <x v="0"/>
  </r>
  <r>
    <s v="00416"/>
    <x v="184"/>
    <x v="1"/>
    <s v="07/2025"/>
    <d v="2025-07-22T00:00:00"/>
    <x v="143"/>
    <n v="108"/>
    <n v="0"/>
    <n v="0"/>
    <n v="0"/>
    <n v="108"/>
    <s v="Dinheiro"/>
    <x v="0"/>
  </r>
  <r>
    <s v="00160"/>
    <x v="31"/>
    <x v="17"/>
    <s v="07/2025"/>
    <d v="2025-07-23T00:00:00"/>
    <x v="143"/>
    <n v="100"/>
    <n v="0"/>
    <n v="0"/>
    <n v="0"/>
    <n v="100"/>
    <s v="Dinheiro"/>
    <x v="0"/>
  </r>
  <r>
    <s v="00065"/>
    <x v="92"/>
    <x v="10"/>
    <s v="07/2025"/>
    <d v="2025-07-02T00:00:00"/>
    <x v="143"/>
    <n v="2462.16"/>
    <n v="0"/>
    <n v="0"/>
    <n v="0"/>
    <n v="2462.16"/>
    <s v="Dinheiro"/>
    <x v="0"/>
  </r>
  <r>
    <s v="00497"/>
    <x v="324"/>
    <x v="45"/>
    <s v="07/2025"/>
    <d v="2025-07-22T00:00:00"/>
    <x v="143"/>
    <n v="37.550000000000004"/>
    <n v="0"/>
    <n v="0"/>
    <n v="0"/>
    <n v="37.550000000000004"/>
    <s v="Dinheiro"/>
    <x v="0"/>
  </r>
  <r>
    <s v="00497"/>
    <x v="324"/>
    <x v="45"/>
    <s v="07/2025"/>
    <d v="2025-07-22T00:00:00"/>
    <x v="143"/>
    <n v="37.550000000000004"/>
    <n v="0"/>
    <n v="0"/>
    <n v="0"/>
    <n v="37.550000000000004"/>
    <s v="Dinheiro"/>
    <x v="0"/>
  </r>
  <r>
    <s v="00362"/>
    <x v="7"/>
    <x v="3"/>
    <s v="07/2025"/>
    <d v="2025-07-22T00:00:00"/>
    <x v="143"/>
    <n v="4.08"/>
    <n v="0"/>
    <n v="0"/>
    <n v="0"/>
    <n v="4.08"/>
    <s v="Dinheiro"/>
    <x v="0"/>
  </r>
  <r>
    <s v="00362"/>
    <x v="7"/>
    <x v="3"/>
    <s v="07/2025"/>
    <d v="2025-07-24T00:00:00"/>
    <x v="143"/>
    <n v="2.04"/>
    <n v="0"/>
    <n v="0"/>
    <n v="0"/>
    <n v="2.04"/>
    <s v="Dinheiro"/>
    <x v="0"/>
  </r>
  <r>
    <s v="00362"/>
    <x v="7"/>
    <x v="3"/>
    <s v="07/2025"/>
    <d v="2025-07-23T00:00:00"/>
    <x v="143"/>
    <n v="2.04"/>
    <n v="0"/>
    <n v="0"/>
    <n v="0"/>
    <n v="2.04"/>
    <s v="Dinheiro"/>
    <x v="0"/>
  </r>
  <r>
    <s v="00150"/>
    <x v="378"/>
    <x v="9"/>
    <s v="07/2025"/>
    <d v="2025-07-25T00:00:00"/>
    <x v="144"/>
    <n v="500"/>
    <n v="0"/>
    <n v="0"/>
    <n v="0"/>
    <n v="500"/>
    <s v="Dinheiro"/>
    <x v="0"/>
  </r>
  <r>
    <s v="00529"/>
    <x v="379"/>
    <x v="11"/>
    <s v="07/2025"/>
    <d v="2025-07-11T00:00:00"/>
    <x v="146"/>
    <n v="2475"/>
    <n v="0"/>
    <n v="0"/>
    <n v="0"/>
    <n v="2475"/>
    <s v="Dinheiro"/>
    <x v="0"/>
  </r>
  <r>
    <s v="00104"/>
    <x v="380"/>
    <x v="80"/>
    <s v="07/2025"/>
    <d v="2025-07-18T00:00:00"/>
    <x v="146"/>
    <n v="87.86"/>
    <n v="0"/>
    <n v="0"/>
    <n v="0"/>
    <n v="87.86"/>
    <s v="Dinheiro"/>
    <x v="0"/>
  </r>
  <r>
    <s v="00381"/>
    <x v="99"/>
    <x v="26"/>
    <s v="07/2025"/>
    <d v="2025-07-25T00:00:00"/>
    <x v="146"/>
    <n v="390"/>
    <n v="0"/>
    <n v="0"/>
    <n v="0"/>
    <n v="390"/>
    <s v="Dinheiro"/>
    <x v="0"/>
  </r>
  <r>
    <s v="00067"/>
    <x v="132"/>
    <x v="51"/>
    <s v="07/2025"/>
    <d v="2025-07-25T00:00:00"/>
    <x v="146"/>
    <n v="370"/>
    <n v="0"/>
    <n v="0"/>
    <n v="0"/>
    <n v="370"/>
    <s v="Dinheiro"/>
    <x v="0"/>
  </r>
  <r>
    <s v="00168"/>
    <x v="39"/>
    <x v="14"/>
    <s v="07/2025"/>
    <d v="2025-07-28T00:00:00"/>
    <x v="146"/>
    <n v="300"/>
    <n v="0"/>
    <n v="0"/>
    <n v="0"/>
    <n v="300"/>
    <s v="Dinheiro"/>
    <x v="0"/>
  </r>
  <r>
    <s v="00362"/>
    <x v="7"/>
    <x v="3"/>
    <s v="07/2025"/>
    <d v="2025-07-28T00:00:00"/>
    <x v="146"/>
    <n v="9.14"/>
    <n v="0"/>
    <n v="0"/>
    <n v="0"/>
    <n v="9.14"/>
    <s v="Dinheiro"/>
    <x v="0"/>
  </r>
  <r>
    <s v="00362"/>
    <x v="7"/>
    <x v="3"/>
    <s v="07/2025"/>
    <d v="2025-07-28T00:00:00"/>
    <x v="146"/>
    <n v="4.08"/>
    <n v="0"/>
    <n v="0"/>
    <n v="0"/>
    <n v="4.08"/>
    <s v="Dinheiro"/>
    <x v="0"/>
  </r>
  <r>
    <s v="00416"/>
    <x v="184"/>
    <x v="8"/>
    <s v="07/2025"/>
    <d v="2025-07-28T00:00:00"/>
    <x v="146"/>
    <n v="200"/>
    <n v="0"/>
    <n v="0"/>
    <n v="0"/>
    <n v="200"/>
    <s v="Dinheiro"/>
    <x v="0"/>
  </r>
  <r>
    <s v="00134"/>
    <x v="18"/>
    <x v="8"/>
    <s v="07/2025"/>
    <d v="2025-07-28T00:00:00"/>
    <x v="146"/>
    <n v="218"/>
    <n v="0"/>
    <n v="0"/>
    <n v="0"/>
    <n v="218"/>
    <s v="Dinheiro"/>
    <x v="0"/>
  </r>
  <r>
    <s v="00484"/>
    <x v="296"/>
    <x v="16"/>
    <s v="06/2025"/>
    <d v="2025-07-24T00:00:00"/>
    <x v="147"/>
    <n v="803.48"/>
    <n v="0"/>
    <n v="0"/>
    <n v="0"/>
    <n v="803.48"/>
    <s v="Dinheiro"/>
    <x v="0"/>
  </r>
  <r>
    <s v="00509"/>
    <x v="308"/>
    <x v="17"/>
    <s v="07/2025"/>
    <d v="2025-07-10T00:00:00"/>
    <x v="147"/>
    <n v="475.37"/>
    <n v="0"/>
    <n v="0"/>
    <n v="0"/>
    <n v="475.37"/>
    <s v="Dinheiro"/>
    <x v="0"/>
  </r>
  <r>
    <s v="00362"/>
    <x v="7"/>
    <x v="48"/>
    <s v="05/2025"/>
    <d v="2025-05-28T00:00:00"/>
    <x v="147"/>
    <n v="18479.46"/>
    <n v="0"/>
    <n v="0"/>
    <n v="0"/>
    <n v="18479.46"/>
    <s v="Dinheiro"/>
    <x v="0"/>
  </r>
  <r>
    <s v="00362"/>
    <x v="7"/>
    <x v="34"/>
    <s v="07/2025"/>
    <d v="2025-07-28T00:00:00"/>
    <x v="147"/>
    <n v="1060.8900000000001"/>
    <n v="0"/>
    <n v="0"/>
    <n v="0"/>
    <n v="1060.8900000000001"/>
    <s v="Dinheiro"/>
    <x v="0"/>
  </r>
  <r>
    <s v="00362"/>
    <x v="7"/>
    <x v="3"/>
    <s v="07/2025"/>
    <d v="2025-07-29T00:00:00"/>
    <x v="147"/>
    <n v="6.12"/>
    <n v="0"/>
    <n v="0"/>
    <n v="0"/>
    <n v="6.12"/>
    <s v="Dinheiro"/>
    <x v="0"/>
  </r>
  <r>
    <s v="00362"/>
    <x v="7"/>
    <x v="34"/>
    <s v="07/2025"/>
    <d v="2025-07-28T00:00:00"/>
    <x v="147"/>
    <n v="2183.1"/>
    <n v="0"/>
    <n v="0"/>
    <n v="0"/>
    <n v="2183.1"/>
    <s v="Dinheiro"/>
    <x v="0"/>
  </r>
  <r>
    <s v="00072"/>
    <x v="105"/>
    <x v="40"/>
    <s v="07/2025"/>
    <d v="2025-07-30T00:00:00"/>
    <x v="148"/>
    <n v="685.61"/>
    <n v="0"/>
    <n v="0"/>
    <n v="0"/>
    <n v="685.61"/>
    <s v="Dinheiro"/>
    <x v="0"/>
  </r>
  <r>
    <s v="00083"/>
    <x v="5"/>
    <x v="1"/>
    <s v="07/2025"/>
    <d v="2025-07-31T00:00:00"/>
    <x v="149"/>
    <n v="7578.8"/>
    <n v="0"/>
    <n v="0"/>
    <n v="0"/>
    <n v="7578.8"/>
    <s v="Dinheiro"/>
    <x v="0"/>
  </r>
  <r>
    <s v="00075"/>
    <x v="197"/>
    <x v="18"/>
    <s v="06/2025"/>
    <d v="2025-07-30T00:00:00"/>
    <x v="149"/>
    <n v="4718.9400000000005"/>
    <n v="0"/>
    <n v="0"/>
    <n v="0"/>
    <n v="4718.9400000000005"/>
    <s v="Dinheiro"/>
    <x v="0"/>
  </r>
  <r>
    <s v="00122"/>
    <x v="381"/>
    <x v="17"/>
    <s v="07/2025"/>
    <d v="2025-07-30T00:00:00"/>
    <x v="149"/>
    <n v="1000"/>
    <n v="0"/>
    <n v="0"/>
    <n v="0"/>
    <n v="1000"/>
    <s v="Dinheiro"/>
    <x v="0"/>
  </r>
  <r>
    <s v="00362"/>
    <x v="7"/>
    <x v="3"/>
    <s v="07/2025"/>
    <d v="2025-07-29T00:00:00"/>
    <x v="149"/>
    <n v="6.12"/>
    <n v="0"/>
    <n v="0"/>
    <n v="0"/>
    <n v="6.12"/>
    <s v="Dinheiro"/>
    <x v="0"/>
  </r>
  <r>
    <s v="00362"/>
    <x v="7"/>
    <x v="3"/>
    <s v="07/2025"/>
    <d v="2025-07-30T00:00:00"/>
    <x v="149"/>
    <n v="6.12"/>
    <n v="0"/>
    <n v="0"/>
    <n v="0"/>
    <n v="6.12"/>
    <s v="Dinheiro"/>
    <x v="0"/>
  </r>
  <r>
    <s v="00104"/>
    <x v="243"/>
    <x v="8"/>
    <s v="07/2025"/>
    <d v="2025-07-10T00:00:00"/>
    <x v="133"/>
    <n v="1250"/>
    <n v="0"/>
    <n v="0"/>
    <n v="0"/>
    <n v="1250"/>
    <s v="Dinheiro"/>
    <x v="0"/>
  </r>
  <r>
    <s v="00376"/>
    <x v="328"/>
    <x v="29"/>
    <s v="07/2025"/>
    <d v="2025-07-11T00:00:00"/>
    <x v="134"/>
    <n v="880"/>
    <n v="0"/>
    <n v="0"/>
    <n v="0"/>
    <n v="880"/>
    <s v="Dinheiro"/>
    <x v="0"/>
  </r>
  <r>
    <s v="00093"/>
    <x v="38"/>
    <x v="1"/>
    <s v="07/2025"/>
    <d v="2025-07-11T00:00:00"/>
    <x v="134"/>
    <n v="300"/>
    <n v="0"/>
    <n v="0"/>
    <n v="0"/>
    <n v="300"/>
    <s v="Dinheiro"/>
    <x v="0"/>
  </r>
  <r>
    <s v="00092"/>
    <x v="18"/>
    <x v="8"/>
    <s v="07/2025"/>
    <d v="2025-07-15T00:00:00"/>
    <x v="136"/>
    <n v="40"/>
    <n v="0"/>
    <n v="0"/>
    <n v="0"/>
    <n v="40"/>
    <s v="Dinheiro"/>
    <x v="0"/>
  </r>
  <r>
    <s v="00377"/>
    <x v="350"/>
    <x v="14"/>
    <s v="07/2025"/>
    <d v="2025-07-15T00:00:00"/>
    <x v="136"/>
    <n v="150"/>
    <n v="0"/>
    <n v="0"/>
    <n v="0"/>
    <n v="150"/>
    <s v="Dinheiro"/>
    <x v="0"/>
  </r>
  <r>
    <s v="00378"/>
    <x v="342"/>
    <x v="14"/>
    <s v="07/2025"/>
    <d v="2025-07-15T00:00:00"/>
    <x v="136"/>
    <n v="60"/>
    <n v="0"/>
    <n v="0"/>
    <n v="0"/>
    <n v="60"/>
    <s v="Dinheiro"/>
    <x v="0"/>
  </r>
  <r>
    <s v="00379"/>
    <x v="341"/>
    <x v="14"/>
    <s v="07/2025"/>
    <d v="2025-07-15T00:00:00"/>
    <x v="136"/>
    <n v="60"/>
    <n v="0"/>
    <n v="0"/>
    <n v="0"/>
    <n v="60"/>
    <s v="Dinheiro"/>
    <x v="0"/>
  </r>
  <r>
    <s v="00380"/>
    <x v="382"/>
    <x v="17"/>
    <s v="07/2025"/>
    <d v="2025-07-16T00:00:00"/>
    <x v="137"/>
    <n v="20"/>
    <n v="0"/>
    <n v="0"/>
    <n v="0"/>
    <n v="20"/>
    <s v="Dinheiro"/>
    <x v="0"/>
  </r>
  <r>
    <s v="00317"/>
    <x v="220"/>
    <x v="30"/>
    <s v="07/2025"/>
    <d v="2025-07-11T00:00:00"/>
    <x v="134"/>
    <n v="320"/>
    <n v="0"/>
    <n v="0"/>
    <n v="0"/>
    <n v="320"/>
    <s v="Dinheiro"/>
    <x v="0"/>
  </r>
  <r>
    <s v="CDI250014"/>
    <x v="383"/>
    <x v="17"/>
    <s v="07/2025"/>
    <d v="2025-07-04T00:00:00"/>
    <x v="136"/>
    <n v="376.5"/>
    <n v="0"/>
    <n v="0"/>
    <n v="0"/>
    <n v="376.5"/>
    <s v="Dinheiro"/>
    <x v="0"/>
  </r>
  <r>
    <s v="CDI240022"/>
    <x v="384"/>
    <x v="20"/>
    <s v="07/2025"/>
    <d v="2025-07-01T00:00:00"/>
    <x v="137"/>
    <n v="1593.75"/>
    <n v="0"/>
    <n v="0"/>
    <n v="0"/>
    <n v="1593.75"/>
    <s v="Dinheiro"/>
    <x v="0"/>
  </r>
  <r>
    <s v="APH250010"/>
    <x v="385"/>
    <x v="20"/>
    <s v="07/2025"/>
    <d v="2025-07-16T00:00:00"/>
    <x v="137"/>
    <n v="297.5"/>
    <n v="0"/>
    <n v="0"/>
    <n v="0"/>
    <n v="297.5"/>
    <s v="Dinheiro"/>
    <x v="0"/>
  </r>
  <r>
    <s v="00058"/>
    <x v="96"/>
    <x v="38"/>
    <s v="07/2025"/>
    <d v="2025-07-17T00:00:00"/>
    <x v="138"/>
    <n v="280"/>
    <n v="0"/>
    <n v="0"/>
    <n v="0"/>
    <n v="280"/>
    <s v="Dinheiro"/>
    <x v="0"/>
  </r>
  <r>
    <s v="00111"/>
    <x v="39"/>
    <x v="8"/>
    <s v="07/2025"/>
    <d v="2025-07-17T00:00:00"/>
    <x v="138"/>
    <n v="700"/>
    <n v="0"/>
    <n v="0"/>
    <n v="0"/>
    <n v="700"/>
    <s v="Dinheiro"/>
    <x v="0"/>
  </r>
  <r>
    <s v="00381"/>
    <x v="237"/>
    <x v="66"/>
    <s v="07/2025"/>
    <d v="2025-07-21T00:00:00"/>
    <x v="141"/>
    <n v="350"/>
    <n v="0"/>
    <n v="0"/>
    <n v="0"/>
    <n v="350"/>
    <s v="Dinheiro"/>
    <x v="0"/>
  </r>
  <r>
    <s v="00362"/>
    <x v="7"/>
    <x v="34"/>
    <s v="07/2025"/>
    <d v="2025-07-07T00:00:00"/>
    <x v="143"/>
    <n v="84.04"/>
    <n v="0"/>
    <n v="0"/>
    <n v="0"/>
    <n v="84.04"/>
    <s v="Dinheiro"/>
    <x v="0"/>
  </r>
  <r>
    <s v="CDI250019"/>
    <x v="386"/>
    <x v="28"/>
    <s v="07/2025"/>
    <d v="2025-07-23T00:00:00"/>
    <x v="143"/>
    <n v="49"/>
    <n v="0"/>
    <n v="0"/>
    <n v="0"/>
    <n v="49"/>
    <s v="Dinheiro"/>
    <x v="0"/>
  </r>
  <r>
    <s v="00182"/>
    <x v="142"/>
    <x v="10"/>
    <s v="07/2025"/>
    <d v="2025-07-23T00:00:00"/>
    <x v="143"/>
    <n v="2601.9299999999998"/>
    <n v="0"/>
    <n v="0"/>
    <n v="0"/>
    <n v="2601.9299999999998"/>
    <s v="Dinheiro"/>
    <x v="0"/>
  </r>
  <r>
    <s v="IPA250031"/>
    <x v="387"/>
    <x v="20"/>
    <s v="07/2025"/>
    <d v="2025-07-28T00:00:00"/>
    <x v="147"/>
    <n v="700"/>
    <n v="0"/>
    <n v="0"/>
    <n v="0"/>
    <n v="700"/>
    <s v="Dinheiro"/>
    <x v="0"/>
  </r>
  <r>
    <s v="00058"/>
    <x v="96"/>
    <x v="38"/>
    <s v="07/2025"/>
    <d v="2025-07-30T00:00:00"/>
    <x v="149"/>
    <n v="475"/>
    <n v="0"/>
    <n v="0"/>
    <n v="0"/>
    <n v="475"/>
    <s v="Dinheiro"/>
    <x v="0"/>
  </r>
  <r>
    <s v="CDI250017"/>
    <x v="388"/>
    <x v="28"/>
    <s v="07/2025"/>
    <d v="2025-07-30T00:00:00"/>
    <x v="149"/>
    <n v="99"/>
    <n v="0"/>
    <n v="0"/>
    <n v="0"/>
    <n v="99"/>
    <s v="Dinheiro"/>
    <x v="0"/>
  </r>
  <r>
    <s v="00036"/>
    <x v="109"/>
    <x v="59"/>
    <s v="07/2025"/>
    <d v="2025-07-01T00:00:00"/>
    <x v="150"/>
    <n v="26.3"/>
    <n v="0"/>
    <n v="0"/>
    <n v="0"/>
    <n v="26.3"/>
    <s v="Dinheiro"/>
    <x v="0"/>
  </r>
  <r>
    <s v="00545"/>
    <x v="389"/>
    <x v="47"/>
    <s v="08/2025"/>
    <d v="2025-08-01T00:00:00"/>
    <x v="150"/>
    <n v="37.5"/>
    <n v="0"/>
    <n v="0"/>
    <n v="0"/>
    <n v="37.5"/>
    <s v="Dinheiro"/>
    <x v="0"/>
  </r>
  <r>
    <s v="00447"/>
    <x v="247"/>
    <x v="59"/>
    <s v="08/2025"/>
    <d v="2025-08-01T00:00:00"/>
    <x v="150"/>
    <n v="12.5"/>
    <n v="0"/>
    <n v="0"/>
    <n v="0"/>
    <n v="12.5"/>
    <s v="Dinheiro"/>
    <x v="0"/>
  </r>
  <r>
    <s v="00039"/>
    <x v="231"/>
    <x v="9"/>
    <s v="08/2025"/>
    <d v="2025-08-01T00:00:00"/>
    <x v="150"/>
    <n v="13.98"/>
    <n v="0"/>
    <n v="0"/>
    <n v="0"/>
    <n v="13.98"/>
    <s v="Dinheiro"/>
    <x v="0"/>
  </r>
  <r>
    <s v="00083"/>
    <x v="5"/>
    <x v="32"/>
    <s v="08/2025"/>
    <d v="2025-08-01T00:00:00"/>
    <x v="150"/>
    <n v="5599.49"/>
    <n v="0"/>
    <n v="0"/>
    <n v="0"/>
    <n v="5599.49"/>
    <s v="Dinheiro"/>
    <x v="0"/>
  </r>
  <r>
    <s v="00474"/>
    <x v="298"/>
    <x v="1"/>
    <s v="07/2025"/>
    <d v="2025-07-31T00:00:00"/>
    <x v="150"/>
    <n v="290"/>
    <n v="0"/>
    <n v="0"/>
    <n v="0"/>
    <n v="290"/>
    <s v="Dinheiro"/>
    <x v="0"/>
  </r>
  <r>
    <s v="00190"/>
    <x v="70"/>
    <x v="30"/>
    <s v="08/2025"/>
    <d v="2025-08-12T00:00:00"/>
    <x v="151"/>
    <n v="5040"/>
    <n v="0"/>
    <n v="0"/>
    <n v="0"/>
    <n v="5040"/>
    <s v="Dinheiro"/>
    <x v="0"/>
  </r>
  <r>
    <s v="00474"/>
    <x v="298"/>
    <x v="8"/>
    <s v="08/2025"/>
    <d v="2025-08-02T00:00:00"/>
    <x v="152"/>
    <n v="50"/>
    <n v="0"/>
    <n v="0"/>
    <n v="0"/>
    <n v="50"/>
    <s v="Dinheiro"/>
    <x v="0"/>
  </r>
  <r>
    <s v="00411"/>
    <x v="181"/>
    <x v="8"/>
    <s v="08/2025"/>
    <d v="2025-08-02T00:00:00"/>
    <x v="152"/>
    <n v="50"/>
    <n v="0"/>
    <n v="0"/>
    <n v="0"/>
    <n v="50"/>
    <s v="Dinheiro"/>
    <x v="0"/>
  </r>
  <r>
    <s v="ENF230093"/>
    <x v="390"/>
    <x v="63"/>
    <s v="08/2025"/>
    <d v="2025-08-04T00:00:00"/>
    <x v="153"/>
    <n v="50"/>
    <n v="0"/>
    <n v="0"/>
    <n v="0"/>
    <n v="50"/>
    <s v="Dinheiro"/>
    <x v="0"/>
  </r>
  <r>
    <s v="00316"/>
    <x v="17"/>
    <x v="8"/>
    <s v="08/2025"/>
    <d v="2025-08-04T00:00:00"/>
    <x v="153"/>
    <n v="36"/>
    <n v="0"/>
    <n v="0"/>
    <n v="0"/>
    <n v="36"/>
    <s v="Dinheiro"/>
    <x v="0"/>
  </r>
  <r>
    <s v="00364"/>
    <x v="16"/>
    <x v="8"/>
    <s v="08/2025"/>
    <d v="2025-08-04T00:00:00"/>
    <x v="153"/>
    <n v="226"/>
    <n v="0"/>
    <n v="0"/>
    <n v="0"/>
    <n v="226"/>
    <s v="Dinheiro"/>
    <x v="0"/>
  </r>
  <r>
    <s v="00416"/>
    <x v="184"/>
    <x v="8"/>
    <s v="08/2025"/>
    <d v="2025-08-04T00:00:00"/>
    <x v="153"/>
    <n v="200"/>
    <n v="0"/>
    <n v="0"/>
    <n v="0"/>
    <n v="200"/>
    <s v="Dinheiro"/>
    <x v="0"/>
  </r>
  <r>
    <s v="00032"/>
    <x v="120"/>
    <x v="45"/>
    <s v="08/2025"/>
    <d v="2025-08-04T00:00:00"/>
    <x v="153"/>
    <n v="7.05"/>
    <n v="0"/>
    <n v="0"/>
    <n v="0"/>
    <n v="7.05"/>
    <s v="Dinheiro"/>
    <x v="0"/>
  </r>
  <r>
    <s v="00041"/>
    <x v="354"/>
    <x v="12"/>
    <s v="08/2025"/>
    <d v="2025-08-04T00:00:00"/>
    <x v="153"/>
    <n v="20"/>
    <n v="0"/>
    <n v="0"/>
    <n v="0"/>
    <n v="20"/>
    <s v="Dinheiro"/>
    <x v="0"/>
  </r>
  <r>
    <s v="00160"/>
    <x v="31"/>
    <x v="8"/>
    <s v="08/2025"/>
    <d v="2025-08-02T00:00:00"/>
    <x v="153"/>
    <n v="50"/>
    <n v="0"/>
    <n v="0"/>
    <n v="0"/>
    <n v="50"/>
    <s v="Dinheiro"/>
    <x v="0"/>
  </r>
  <r>
    <s v="00134"/>
    <x v="18"/>
    <x v="8"/>
    <s v="08/2025"/>
    <d v="2025-08-04T00:00:00"/>
    <x v="153"/>
    <n v="106"/>
    <n v="0"/>
    <n v="0"/>
    <n v="0"/>
    <n v="106"/>
    <s v="Dinheiro"/>
    <x v="0"/>
  </r>
  <r>
    <s v="00277"/>
    <x v="47"/>
    <x v="16"/>
    <s v="07/2025"/>
    <d v="2025-07-30T00:00:00"/>
    <x v="153"/>
    <n v="391.33"/>
    <n v="0"/>
    <n v="0"/>
    <n v="0"/>
    <n v="391.33"/>
    <s v="Dinheiro"/>
    <x v="0"/>
  </r>
  <r>
    <s v="00484"/>
    <x v="296"/>
    <x v="16"/>
    <s v="08/2025"/>
    <d v="2025-08-04T00:00:00"/>
    <x v="153"/>
    <n v="799.06000000000006"/>
    <n v="0"/>
    <n v="0"/>
    <n v="0"/>
    <n v="799.06000000000006"/>
    <s v="Dinheiro"/>
    <x v="0"/>
  </r>
  <r>
    <s v="00471"/>
    <x v="295"/>
    <x v="8"/>
    <s v="08/2025"/>
    <d v="2025-08-04T00:00:00"/>
    <x v="153"/>
    <n v="36"/>
    <n v="0"/>
    <n v="0"/>
    <n v="0"/>
    <n v="36"/>
    <s v="Dinheiro"/>
    <x v="0"/>
  </r>
  <r>
    <s v="00024"/>
    <x v="0"/>
    <x v="0"/>
    <s v="08/2025"/>
    <d v="2025-08-04T00:00:00"/>
    <x v="153"/>
    <n v="691.2"/>
    <n v="0"/>
    <n v="0"/>
    <n v="0"/>
    <n v="691.2"/>
    <s v="Dinheiro"/>
    <x v="0"/>
  </r>
  <r>
    <s v="00193"/>
    <x v="3"/>
    <x v="0"/>
    <s v="08/2025"/>
    <d v="2025-08-04T00:00:00"/>
    <x v="153"/>
    <n v="1308.8"/>
    <n v="0"/>
    <n v="0"/>
    <n v="0"/>
    <n v="1308.8"/>
    <s v="Dinheiro"/>
    <x v="0"/>
  </r>
  <r>
    <s v="00547"/>
    <x v="391"/>
    <x v="28"/>
    <s v="08/2025"/>
    <d v="2025-08-01T00:00:00"/>
    <x v="153"/>
    <n v="49"/>
    <n v="0"/>
    <n v="0"/>
    <n v="0"/>
    <n v="49"/>
    <s v="Dinheiro"/>
    <x v="0"/>
  </r>
  <r>
    <s v="00362"/>
    <x v="7"/>
    <x v="4"/>
    <s v="08/2025"/>
    <d v="2025-08-04T00:00:00"/>
    <x v="153"/>
    <n v="177.25"/>
    <n v="0"/>
    <n v="0"/>
    <n v="0"/>
    <n v="177.25"/>
    <s v="Dinheiro"/>
    <x v="0"/>
  </r>
  <r>
    <s v="00362"/>
    <x v="7"/>
    <x v="34"/>
    <s v="08/2025"/>
    <d v="2025-08-04T00:00:00"/>
    <x v="153"/>
    <n v="4253.32"/>
    <n v="0"/>
    <n v="0"/>
    <n v="0"/>
    <n v="4253.32"/>
    <s v="Dinheiro"/>
    <x v="0"/>
  </r>
  <r>
    <s v="00362"/>
    <x v="7"/>
    <x v="3"/>
    <s v="08/2025"/>
    <d v="2025-08-01T00:00:00"/>
    <x v="153"/>
    <n v="2.04"/>
    <n v="0"/>
    <n v="0"/>
    <n v="0"/>
    <n v="2.04"/>
    <s v="Dinheiro"/>
    <x v="0"/>
  </r>
  <r>
    <s v="00362"/>
    <x v="7"/>
    <x v="3"/>
    <s v="08/2025"/>
    <d v="2025-08-04T00:00:00"/>
    <x v="153"/>
    <n v="20.400000000000002"/>
    <n v="0"/>
    <n v="0"/>
    <n v="0"/>
    <n v="20.400000000000002"/>
    <s v="Dinheiro"/>
    <x v="0"/>
  </r>
  <r>
    <s v="00362"/>
    <x v="7"/>
    <x v="4"/>
    <s v="08/2025"/>
    <d v="2025-08-04T00:00:00"/>
    <x v="153"/>
    <n v="146.94"/>
    <n v="0"/>
    <n v="0"/>
    <n v="0"/>
    <n v="146.94"/>
    <s v="Dinheiro"/>
    <x v="0"/>
  </r>
  <r>
    <s v="00362"/>
    <x v="7"/>
    <x v="4"/>
    <s v="08/2025"/>
    <d v="2025-08-04T00:00:00"/>
    <x v="153"/>
    <n v="150.88"/>
    <n v="0"/>
    <n v="0"/>
    <n v="0"/>
    <n v="150.88"/>
    <s v="Dinheiro"/>
    <x v="0"/>
  </r>
  <r>
    <s v="00349"/>
    <x v="25"/>
    <x v="32"/>
    <s v="08/2025"/>
    <d v="2025-08-01T00:00:00"/>
    <x v="153"/>
    <n v="255.42000000000002"/>
    <n v="0"/>
    <n v="0"/>
    <n v="0"/>
    <n v="255.42000000000002"/>
    <s v="Dinheiro"/>
    <x v="0"/>
  </r>
  <r>
    <s v="00353"/>
    <x v="61"/>
    <x v="81"/>
    <s v="08/2025"/>
    <d v="2025-08-04T00:00:00"/>
    <x v="153"/>
    <n v="500"/>
    <n v="0"/>
    <n v="0"/>
    <n v="0"/>
    <n v="500"/>
    <s v="Dinheiro"/>
    <x v="0"/>
  </r>
  <r>
    <s v="00548"/>
    <x v="392"/>
    <x v="81"/>
    <s v="08/2025"/>
    <d v="2025-08-04T00:00:00"/>
    <x v="153"/>
    <n v="142.78"/>
    <n v="0"/>
    <n v="0"/>
    <n v="0"/>
    <n v="142.78"/>
    <s v="Dinheiro"/>
    <x v="0"/>
  </r>
  <r>
    <s v="00513"/>
    <x v="342"/>
    <x v="8"/>
    <s v="08/2025"/>
    <d v="2025-08-05T00:00:00"/>
    <x v="154"/>
    <n v="66"/>
    <n v="0"/>
    <n v="0"/>
    <n v="0"/>
    <n v="66"/>
    <s v="Dinheiro"/>
    <x v="0"/>
  </r>
  <r>
    <s v="00032"/>
    <x v="120"/>
    <x v="45"/>
    <s v="08/2025"/>
    <d v="2025-08-05T00:00:00"/>
    <x v="154"/>
    <n v="12.59"/>
    <n v="0"/>
    <n v="0"/>
    <n v="0"/>
    <n v="12.59"/>
    <s v="Dinheiro"/>
    <x v="0"/>
  </r>
  <r>
    <s v="00516"/>
    <x v="344"/>
    <x v="76"/>
    <s v="08/2025"/>
    <d v="2025-08-05T00:00:00"/>
    <x v="154"/>
    <n v="14.8"/>
    <n v="0"/>
    <n v="0"/>
    <n v="0"/>
    <n v="14.8"/>
    <s v="Dinheiro"/>
    <x v="0"/>
  </r>
  <r>
    <s v="00330"/>
    <x v="14"/>
    <x v="13"/>
    <s v="08/2025"/>
    <d v="2025-08-05T00:00:00"/>
    <x v="154"/>
    <n v="500"/>
    <n v="0"/>
    <n v="0"/>
    <n v="0"/>
    <n v="500"/>
    <s v="Dinheiro"/>
    <x v="0"/>
  </r>
  <r>
    <s v="00041"/>
    <x v="354"/>
    <x v="12"/>
    <s v="08/2025"/>
    <d v="2025-08-05T00:00:00"/>
    <x v="154"/>
    <n v="27"/>
    <n v="0"/>
    <n v="0"/>
    <n v="0"/>
    <n v="27"/>
    <s v="Dinheiro"/>
    <x v="0"/>
  </r>
  <r>
    <s v="00403"/>
    <x v="160"/>
    <x v="9"/>
    <s v="08/2025"/>
    <d v="2025-08-05T00:00:00"/>
    <x v="154"/>
    <n v="500"/>
    <n v="0"/>
    <n v="0"/>
    <n v="0"/>
    <n v="500"/>
    <s v="Dinheiro"/>
    <x v="0"/>
  </r>
  <r>
    <s v="00551"/>
    <x v="393"/>
    <x v="14"/>
    <s v="08/2025"/>
    <d v="2025-08-05T00:00:00"/>
    <x v="154"/>
    <n v="20"/>
    <n v="0"/>
    <n v="0"/>
    <n v="0"/>
    <n v="20"/>
    <s v="Dinheiro"/>
    <x v="0"/>
  </r>
  <r>
    <s v="00388"/>
    <x v="122"/>
    <x v="1"/>
    <s v="08/2025"/>
    <d v="2025-08-05T00:00:00"/>
    <x v="154"/>
    <n v="61.2"/>
    <n v="0"/>
    <n v="0"/>
    <n v="0"/>
    <n v="61.2"/>
    <s v="Dinheiro"/>
    <x v="0"/>
  </r>
  <r>
    <s v="00193"/>
    <x v="3"/>
    <x v="0"/>
    <s v="08/2025"/>
    <d v="2025-08-05T00:00:00"/>
    <x v="154"/>
    <n v="1963.2"/>
    <n v="0"/>
    <n v="0"/>
    <n v="0"/>
    <n v="1963.2"/>
    <s v="Dinheiro"/>
    <x v="0"/>
  </r>
  <r>
    <s v="00024"/>
    <x v="0"/>
    <x v="0"/>
    <s v="08/2025"/>
    <d v="2025-08-05T00:00:00"/>
    <x v="154"/>
    <n v="1036.8"/>
    <n v="0"/>
    <n v="0"/>
    <n v="0"/>
    <n v="1036.8"/>
    <s v="Dinheiro"/>
    <x v="0"/>
  </r>
  <r>
    <s v="00362"/>
    <x v="7"/>
    <x v="3"/>
    <s v="08/2025"/>
    <d v="2025-08-05T00:00:00"/>
    <x v="154"/>
    <n v="135.52000000000001"/>
    <n v="0"/>
    <n v="0"/>
    <n v="0"/>
    <n v="135.52000000000001"/>
    <s v="Dinheiro"/>
    <x v="0"/>
  </r>
  <r>
    <s v="00088"/>
    <x v="29"/>
    <x v="17"/>
    <s v="08/2025"/>
    <d v="2025-08-01T00:00:00"/>
    <x v="154"/>
    <n v="252.28"/>
    <n v="0"/>
    <n v="0"/>
    <n v="0"/>
    <n v="252.28"/>
    <s v="Dinheiro"/>
    <x v="0"/>
  </r>
  <r>
    <s v="00258"/>
    <x v="43"/>
    <x v="0"/>
    <s v="08/2025"/>
    <d v="2025-08-05T00:00:00"/>
    <x v="154"/>
    <n v="1877.16"/>
    <n v="0"/>
    <n v="0"/>
    <n v="0"/>
    <n v="1877.16"/>
    <s v="Dinheiro"/>
    <x v="0"/>
  </r>
  <r>
    <s v="00319"/>
    <x v="27"/>
    <x v="16"/>
    <s v="08/2025"/>
    <d v="2025-08-04T00:00:00"/>
    <x v="154"/>
    <n v="1409.45"/>
    <n v="0"/>
    <n v="0"/>
    <n v="0"/>
    <n v="1409.45"/>
    <s v="Dinheiro"/>
    <x v="0"/>
  </r>
  <r>
    <s v="00554"/>
    <x v="394"/>
    <x v="81"/>
    <s v="08/2025"/>
    <d v="2025-08-05T00:00:00"/>
    <x v="154"/>
    <n v="25.43"/>
    <n v="0"/>
    <n v="0"/>
    <n v="0"/>
    <n v="25.43"/>
    <s v="Dinheiro"/>
    <x v="0"/>
  </r>
  <r>
    <s v="00362"/>
    <x v="7"/>
    <x v="3"/>
    <s v="08/2025"/>
    <d v="2025-08-05T00:00:00"/>
    <x v="154"/>
    <n v="38.76"/>
    <n v="0"/>
    <n v="0"/>
    <n v="0"/>
    <n v="38.76"/>
    <s v="Dinheiro"/>
    <x v="0"/>
  </r>
  <r>
    <s v="00512"/>
    <x v="341"/>
    <x v="8"/>
    <s v="08/2025"/>
    <d v="2025-08-04T00:00:00"/>
    <x v="154"/>
    <n v="186"/>
    <n v="0"/>
    <n v="0"/>
    <n v="0"/>
    <n v="186"/>
    <s v="Dinheiro"/>
    <x v="0"/>
  </r>
  <r>
    <s v="00041"/>
    <x v="354"/>
    <x v="12"/>
    <s v="08/2025"/>
    <d v="2025-08-06T00:00:00"/>
    <x v="155"/>
    <n v="81"/>
    <n v="0"/>
    <n v="0"/>
    <n v="0"/>
    <n v="81"/>
    <s v="Dinheiro"/>
    <x v="0"/>
  </r>
  <r>
    <s v="00552"/>
    <x v="395"/>
    <x v="14"/>
    <s v="08/2025"/>
    <d v="2025-08-06T00:00:00"/>
    <x v="155"/>
    <n v="30"/>
    <n v="0"/>
    <n v="0"/>
    <n v="0"/>
    <n v="30"/>
    <s v="Dinheiro"/>
    <x v="0"/>
  </r>
  <r>
    <s v="00553"/>
    <x v="396"/>
    <x v="14"/>
    <s v="08/2025"/>
    <d v="2025-08-06T00:00:00"/>
    <x v="155"/>
    <n v="60"/>
    <n v="0"/>
    <n v="0"/>
    <n v="0"/>
    <n v="60"/>
    <s v="Dinheiro"/>
    <x v="0"/>
  </r>
  <r>
    <s v="00160"/>
    <x v="31"/>
    <x v="17"/>
    <s v="08/2025"/>
    <d v="2025-08-06T00:00:00"/>
    <x v="155"/>
    <n v="100"/>
    <n v="0"/>
    <n v="0"/>
    <n v="0"/>
    <n v="100"/>
    <s v="Dinheiro"/>
    <x v="0"/>
  </r>
  <r>
    <s v="00096"/>
    <x v="397"/>
    <x v="17"/>
    <s v="06/2025"/>
    <d v="2025-06-08T00:00:00"/>
    <x v="155"/>
    <n v="14.8"/>
    <n v="0"/>
    <n v="0"/>
    <n v="0"/>
    <n v="14.8"/>
    <s v="Dinheiro"/>
    <x v="0"/>
  </r>
  <r>
    <s v="00032"/>
    <x v="120"/>
    <x v="45"/>
    <s v="06/2025"/>
    <d v="2025-06-08T00:00:00"/>
    <x v="155"/>
    <n v="91.960000000000008"/>
    <n v="0"/>
    <n v="0"/>
    <n v="0"/>
    <n v="91.960000000000008"/>
    <s v="Dinheiro"/>
    <x v="0"/>
  </r>
  <r>
    <s v="00554"/>
    <x v="394"/>
    <x v="81"/>
    <s v="08/2025"/>
    <d v="2025-08-06T00:00:00"/>
    <x v="155"/>
    <n v="24.04"/>
    <n v="0"/>
    <n v="0"/>
    <n v="0"/>
    <n v="24.04"/>
    <s v="Dinheiro"/>
    <x v="0"/>
  </r>
  <r>
    <s v="00512"/>
    <x v="341"/>
    <x v="15"/>
    <s v="08/2025"/>
    <d v="2025-08-06T00:00:00"/>
    <x v="155"/>
    <n v="352.44"/>
    <n v="0"/>
    <n v="0"/>
    <n v="0"/>
    <n v="352.44"/>
    <s v="Dinheiro"/>
    <x v="0"/>
  </r>
  <r>
    <s v="00464"/>
    <x v="273"/>
    <x v="15"/>
    <s v="08/2025"/>
    <d v="2025-08-06T00:00:00"/>
    <x v="155"/>
    <n v="900"/>
    <n v="0"/>
    <n v="0"/>
    <n v="0"/>
    <n v="900"/>
    <s v="Dinheiro"/>
    <x v="0"/>
  </r>
  <r>
    <s v="00349"/>
    <x v="25"/>
    <x v="15"/>
    <s v="08/2025"/>
    <d v="2025-08-06T00:00:00"/>
    <x v="155"/>
    <n v="1656"/>
    <n v="0"/>
    <n v="0"/>
    <n v="0"/>
    <n v="1656"/>
    <s v="Dinheiro"/>
    <x v="0"/>
  </r>
  <r>
    <s v="00416"/>
    <x v="184"/>
    <x v="15"/>
    <s v="08/2025"/>
    <d v="2025-08-06T00:00:00"/>
    <x v="155"/>
    <n v="1298"/>
    <n v="0"/>
    <n v="0"/>
    <n v="0"/>
    <n v="1298"/>
    <s v="Dinheiro"/>
    <x v="0"/>
  </r>
  <r>
    <s v="00388"/>
    <x v="122"/>
    <x v="15"/>
    <s v="04/2025"/>
    <d v="2025-08-06T00:00:00"/>
    <x v="155"/>
    <n v="638.66"/>
    <n v="0"/>
    <n v="0"/>
    <n v="0"/>
    <n v="638.66"/>
    <s v="Dinheiro"/>
    <x v="0"/>
  </r>
  <r>
    <s v="00474"/>
    <x v="298"/>
    <x v="15"/>
    <s v="08/2025"/>
    <d v="2025-08-06T00:00:00"/>
    <x v="155"/>
    <n v="1405"/>
    <n v="0"/>
    <n v="0"/>
    <n v="0"/>
    <n v="1405"/>
    <s v="Dinheiro"/>
    <x v="0"/>
  </r>
  <r>
    <s v="00502"/>
    <x v="331"/>
    <x v="15"/>
    <s v="08/2025"/>
    <d v="2025-08-06T00:00:00"/>
    <x v="155"/>
    <n v="1821"/>
    <n v="0"/>
    <n v="0"/>
    <n v="0"/>
    <n v="1821"/>
    <s v="Dinheiro"/>
    <x v="0"/>
  </r>
  <r>
    <s v="00448"/>
    <x v="269"/>
    <x v="15"/>
    <s v="08/2025"/>
    <d v="2025-08-06T00:00:00"/>
    <x v="155"/>
    <n v="1548"/>
    <n v="0"/>
    <n v="0"/>
    <n v="0"/>
    <n v="1548"/>
    <s v="Dinheiro"/>
    <x v="0"/>
  </r>
  <r>
    <s v="00475"/>
    <x v="245"/>
    <x v="15"/>
    <s v="08/2025"/>
    <d v="2025-08-06T00:00:00"/>
    <x v="155"/>
    <n v="900"/>
    <n v="0"/>
    <n v="0"/>
    <n v="0"/>
    <n v="900"/>
    <s v="Dinheiro"/>
    <x v="0"/>
  </r>
  <r>
    <s v="00351"/>
    <x v="42"/>
    <x v="15"/>
    <s v="08/2025"/>
    <d v="2025-08-06T00:00:00"/>
    <x v="155"/>
    <n v="1606"/>
    <n v="0"/>
    <n v="0"/>
    <n v="0"/>
    <n v="1606"/>
    <s v="Dinheiro"/>
    <x v="0"/>
  </r>
  <r>
    <s v="00513"/>
    <x v="342"/>
    <x v="15"/>
    <s v="08/2025"/>
    <d v="2025-08-06T00:00:00"/>
    <x v="155"/>
    <n v="763.62"/>
    <n v="0"/>
    <n v="0"/>
    <n v="0"/>
    <n v="763.62"/>
    <s v="Dinheiro"/>
    <x v="0"/>
  </r>
  <r>
    <s v="00511"/>
    <x v="241"/>
    <x v="15"/>
    <s v="08/2025"/>
    <d v="2025-08-06T00:00:00"/>
    <x v="155"/>
    <n v="300"/>
    <n v="0"/>
    <n v="0"/>
    <n v="0"/>
    <n v="300"/>
    <s v="Dinheiro"/>
    <x v="0"/>
  </r>
  <r>
    <s v="00168"/>
    <x v="39"/>
    <x v="15"/>
    <s v="08/2025"/>
    <d v="2025-08-06T00:00:00"/>
    <x v="155"/>
    <n v="1000"/>
    <n v="0"/>
    <n v="0"/>
    <n v="0"/>
    <n v="1000"/>
    <s v="Dinheiro"/>
    <x v="0"/>
  </r>
  <r>
    <s v="00353"/>
    <x v="61"/>
    <x v="41"/>
    <s v="08/2025"/>
    <d v="2025-08-06T00:00:00"/>
    <x v="155"/>
    <n v="1000"/>
    <n v="0"/>
    <n v="0"/>
    <n v="0"/>
    <n v="1000"/>
    <s v="Dinheiro"/>
    <x v="0"/>
  </r>
  <r>
    <s v="00353"/>
    <x v="61"/>
    <x v="41"/>
    <s v="08/2025"/>
    <d v="2025-08-06T00:00:00"/>
    <x v="155"/>
    <n v="5000"/>
    <n v="0"/>
    <n v="0"/>
    <n v="0"/>
    <n v="5000"/>
    <s v="Dinheiro"/>
    <x v="0"/>
  </r>
  <r>
    <s v="00362"/>
    <x v="7"/>
    <x v="3"/>
    <s v="08/2025"/>
    <d v="2025-08-06T00:00:00"/>
    <x v="155"/>
    <n v="53.04"/>
    <n v="0"/>
    <n v="0"/>
    <n v="0"/>
    <n v="53.04"/>
    <s v="Dinheiro"/>
    <x v="0"/>
  </r>
  <r>
    <s v="00364"/>
    <x v="16"/>
    <x v="15"/>
    <s v="08/2025"/>
    <d v="2025-08-06T00:00:00"/>
    <x v="155"/>
    <n v="884"/>
    <n v="0"/>
    <n v="0"/>
    <n v="0"/>
    <n v="884"/>
    <s v="Dinheiro"/>
    <x v="0"/>
  </r>
  <r>
    <s v="00316"/>
    <x v="17"/>
    <x v="15"/>
    <s v="08/2025"/>
    <d v="2025-08-06T00:00:00"/>
    <x v="155"/>
    <n v="1524"/>
    <n v="0"/>
    <n v="0"/>
    <n v="0"/>
    <n v="1524"/>
    <s v="Dinheiro"/>
    <x v="0"/>
  </r>
  <r>
    <s v="00133"/>
    <x v="24"/>
    <x v="15"/>
    <s v="08/2025"/>
    <d v="2025-08-06T00:00:00"/>
    <x v="155"/>
    <n v="535"/>
    <n v="0"/>
    <n v="0"/>
    <n v="0"/>
    <n v="535"/>
    <s v="Dinheiro"/>
    <x v="0"/>
  </r>
  <r>
    <s v="00168"/>
    <x v="39"/>
    <x v="15"/>
    <s v="08/2025"/>
    <d v="2025-08-06T00:00:00"/>
    <x v="155"/>
    <n v="1895"/>
    <n v="0"/>
    <n v="0"/>
    <n v="0"/>
    <n v="1895"/>
    <s v="Dinheiro"/>
    <x v="0"/>
  </r>
  <r>
    <s v="00511"/>
    <x v="241"/>
    <x v="15"/>
    <s v="08/2025"/>
    <d v="2025-08-06T00:00:00"/>
    <x v="155"/>
    <n v="1607"/>
    <n v="0"/>
    <n v="0"/>
    <n v="0"/>
    <n v="1607"/>
    <s v="Dinheiro"/>
    <x v="0"/>
  </r>
  <r>
    <s v="00411"/>
    <x v="181"/>
    <x v="15"/>
    <s v="08/2025"/>
    <d v="2025-08-06T00:00:00"/>
    <x v="155"/>
    <n v="1538"/>
    <n v="0"/>
    <n v="0"/>
    <n v="0"/>
    <n v="1538"/>
    <s v="Dinheiro"/>
    <x v="0"/>
  </r>
  <r>
    <s v="00498"/>
    <x v="242"/>
    <x v="15"/>
    <s v="08/2025"/>
    <d v="2025-08-06T00:00:00"/>
    <x v="155"/>
    <n v="1884"/>
    <n v="0"/>
    <n v="0"/>
    <n v="0"/>
    <n v="1884"/>
    <s v="Dinheiro"/>
    <x v="0"/>
  </r>
  <r>
    <s v="00397"/>
    <x v="152"/>
    <x v="15"/>
    <s v="08/2025"/>
    <d v="2025-08-06T00:00:00"/>
    <x v="155"/>
    <n v="1635"/>
    <n v="0"/>
    <n v="0"/>
    <n v="0"/>
    <n v="1635"/>
    <s v="Dinheiro"/>
    <x v="0"/>
  </r>
  <r>
    <s v="00289"/>
    <x v="20"/>
    <x v="15"/>
    <s v="08/2025"/>
    <d v="2025-08-06T00:00:00"/>
    <x v="155"/>
    <n v="1763"/>
    <n v="0"/>
    <n v="0"/>
    <n v="0"/>
    <n v="1763"/>
    <s v="Dinheiro"/>
    <x v="0"/>
  </r>
  <r>
    <s v="00134"/>
    <x v="18"/>
    <x v="15"/>
    <s v="08/2025"/>
    <d v="2025-08-06T00:00:00"/>
    <x v="155"/>
    <n v="1092"/>
    <n v="0"/>
    <n v="0"/>
    <n v="0"/>
    <n v="1092"/>
    <s v="Dinheiro"/>
    <x v="0"/>
  </r>
  <r>
    <s v="00513"/>
    <x v="342"/>
    <x v="15"/>
    <s v="08/2025"/>
    <d v="2025-08-06T00:00:00"/>
    <x v="155"/>
    <n v="53"/>
    <n v="0"/>
    <n v="0"/>
    <n v="0"/>
    <n v="53"/>
    <s v="Dinheiro"/>
    <x v="0"/>
  </r>
  <r>
    <s v="00478"/>
    <x v="290"/>
    <x v="15"/>
    <s v="08/2025"/>
    <d v="2025-08-06T00:00:00"/>
    <x v="155"/>
    <n v="1571"/>
    <n v="0"/>
    <n v="0"/>
    <n v="0"/>
    <n v="1571"/>
    <s v="Dinheiro"/>
    <x v="0"/>
  </r>
  <r>
    <s v="00471"/>
    <x v="295"/>
    <x v="15"/>
    <s v="08/2025"/>
    <d v="2025-08-06T00:00:00"/>
    <x v="155"/>
    <n v="1532"/>
    <n v="0"/>
    <n v="0"/>
    <n v="0"/>
    <n v="1532"/>
    <s v="Dinheiro"/>
    <x v="0"/>
  </r>
  <r>
    <s v="00160"/>
    <x v="31"/>
    <x v="15"/>
    <s v="08/2025"/>
    <d v="2025-08-06T00:00:00"/>
    <x v="155"/>
    <n v="1022"/>
    <n v="0"/>
    <n v="0"/>
    <n v="0"/>
    <n v="1022"/>
    <s v="Dinheiro"/>
    <x v="0"/>
  </r>
  <r>
    <s v="00223"/>
    <x v="32"/>
    <x v="15"/>
    <s v="08/2025"/>
    <d v="2025-08-06T00:00:00"/>
    <x v="155"/>
    <n v="2354"/>
    <n v="0"/>
    <n v="0"/>
    <n v="0"/>
    <n v="2354"/>
    <s v="Dinheiro"/>
    <x v="0"/>
  </r>
  <r>
    <s v="00463"/>
    <x v="272"/>
    <x v="15"/>
    <s v="08/2025"/>
    <d v="2025-08-06T00:00:00"/>
    <x v="155"/>
    <n v="1579"/>
    <n v="0"/>
    <n v="0"/>
    <n v="0"/>
    <n v="1579"/>
    <s v="Dinheiro"/>
    <x v="0"/>
  </r>
  <r>
    <s v="00516"/>
    <x v="344"/>
    <x v="76"/>
    <s v="08/2025"/>
    <d v="2025-08-07T00:00:00"/>
    <x v="156"/>
    <n v="16.8"/>
    <n v="0"/>
    <n v="0"/>
    <n v="0"/>
    <n v="16.8"/>
    <s v="Dinheiro"/>
    <x v="0"/>
  </r>
  <r>
    <s v="00534"/>
    <x v="346"/>
    <x v="37"/>
    <s v="08/2025"/>
    <d v="2025-08-07T00:00:00"/>
    <x v="156"/>
    <n v="76"/>
    <n v="0"/>
    <n v="0"/>
    <n v="0"/>
    <n v="76"/>
    <s v="Dinheiro"/>
    <x v="0"/>
  </r>
  <r>
    <s v="00252"/>
    <x v="40"/>
    <x v="15"/>
    <s v="08/2025"/>
    <d v="2025-08-06T00:00:00"/>
    <x v="156"/>
    <n v="1635"/>
    <n v="0"/>
    <n v="0"/>
    <n v="0"/>
    <n v="1635"/>
    <s v="Dinheiro"/>
    <x v="0"/>
  </r>
  <r>
    <s v="00512"/>
    <x v="341"/>
    <x v="15"/>
    <s v="08/2025"/>
    <d v="2025-08-06T00:00:00"/>
    <x v="156"/>
    <n v="458"/>
    <n v="0"/>
    <n v="0"/>
    <n v="0"/>
    <n v="458"/>
    <s v="Dinheiro"/>
    <x v="0"/>
  </r>
  <r>
    <s v="00447"/>
    <x v="247"/>
    <x v="15"/>
    <s v="08/2025"/>
    <d v="2025-08-06T00:00:00"/>
    <x v="156"/>
    <n v="1672"/>
    <n v="0"/>
    <n v="0"/>
    <n v="0"/>
    <n v="1672"/>
    <s v="Dinheiro"/>
    <x v="0"/>
  </r>
  <r>
    <s v="00552"/>
    <x v="395"/>
    <x v="14"/>
    <s v="08/2025"/>
    <d v="2025-08-08T00:00:00"/>
    <x v="157"/>
    <n v="90"/>
    <n v="0"/>
    <n v="0"/>
    <n v="0"/>
    <n v="90"/>
    <s v="Dinheiro"/>
    <x v="0"/>
  </r>
  <r>
    <s v="00328"/>
    <x v="270"/>
    <x v="45"/>
    <s v="08/2025"/>
    <d v="2025-08-11T00:00:00"/>
    <x v="158"/>
    <n v="32.49"/>
    <n v="0"/>
    <n v="0"/>
    <n v="0"/>
    <n v="32.49"/>
    <s v="Dinheiro"/>
    <x v="0"/>
  </r>
  <r>
    <s v="00126"/>
    <x v="38"/>
    <x v="14"/>
    <s v="08/2025"/>
    <d v="2025-08-11T00:00:00"/>
    <x v="158"/>
    <n v="600"/>
    <n v="0"/>
    <n v="0"/>
    <n v="0"/>
    <n v="600"/>
    <s v="Dinheiro"/>
    <x v="0"/>
  </r>
  <r>
    <s v="00223"/>
    <x v="32"/>
    <x v="8"/>
    <s v="08/2025"/>
    <d v="2025-08-11T00:00:00"/>
    <x v="158"/>
    <n v="3000"/>
    <n v="0"/>
    <n v="0"/>
    <n v="0"/>
    <n v="3000"/>
    <s v="Dinheiro"/>
    <x v="0"/>
  </r>
  <r>
    <s v="00134"/>
    <x v="18"/>
    <x v="8"/>
    <s v="08/2025"/>
    <d v="2025-08-11T00:00:00"/>
    <x v="158"/>
    <n v="1000"/>
    <n v="0"/>
    <n v="0"/>
    <n v="0"/>
    <n v="1000"/>
    <s v="Dinheiro"/>
    <x v="0"/>
  </r>
  <r>
    <s v="00134"/>
    <x v="18"/>
    <x v="8"/>
    <s v="08/2025"/>
    <d v="2025-08-11T00:00:00"/>
    <x v="158"/>
    <n v="300"/>
    <n v="0"/>
    <n v="0"/>
    <n v="0"/>
    <n v="300"/>
    <s v="Dinheiro"/>
    <x v="0"/>
  </r>
  <r>
    <s v="00552"/>
    <x v="395"/>
    <x v="14"/>
    <s v="08/2025"/>
    <d v="2025-08-11T00:00:00"/>
    <x v="158"/>
    <n v="60"/>
    <n v="0"/>
    <n v="0"/>
    <n v="0"/>
    <n v="60"/>
    <s v="Dinheiro"/>
    <x v="0"/>
  </r>
  <r>
    <s v="00133"/>
    <x v="24"/>
    <x v="8"/>
    <s v="08/2025"/>
    <d v="2025-08-11T00:00:00"/>
    <x v="158"/>
    <n v="120"/>
    <n v="0"/>
    <n v="0"/>
    <n v="0"/>
    <n v="120"/>
    <s v="Dinheiro"/>
    <x v="0"/>
  </r>
  <r>
    <s v="00364"/>
    <x v="16"/>
    <x v="8"/>
    <s v="08/2025"/>
    <d v="2025-08-11T00:00:00"/>
    <x v="158"/>
    <n v="480"/>
    <n v="0"/>
    <n v="0"/>
    <n v="0"/>
    <n v="480"/>
    <s v="Dinheiro"/>
    <x v="0"/>
  </r>
  <r>
    <s v="00397"/>
    <x v="152"/>
    <x v="8"/>
    <s v="08/2025"/>
    <d v="2025-08-12T00:00:00"/>
    <x v="151"/>
    <n v="100"/>
    <n v="0"/>
    <n v="0"/>
    <n v="0"/>
    <n v="100"/>
    <s v="Dinheiro"/>
    <x v="0"/>
  </r>
  <r>
    <s v="00351"/>
    <x v="42"/>
    <x v="8"/>
    <s v="08/2025"/>
    <d v="2025-08-12T00:00:00"/>
    <x v="151"/>
    <n v="300"/>
    <n v="0"/>
    <n v="0"/>
    <n v="0"/>
    <n v="300"/>
    <s v="Dinheiro"/>
    <x v="0"/>
  </r>
  <r>
    <s v="00316"/>
    <x v="17"/>
    <x v="8"/>
    <s v="08/2025"/>
    <d v="2025-08-12T00:00:00"/>
    <x v="151"/>
    <n v="72"/>
    <n v="0"/>
    <n v="0"/>
    <n v="0"/>
    <n v="72"/>
    <s v="Dinheiro"/>
    <x v="0"/>
  </r>
  <r>
    <s v="00316"/>
    <x v="17"/>
    <x v="8"/>
    <s v="08/2025"/>
    <d v="2025-08-12T00:00:00"/>
    <x v="151"/>
    <n v="520"/>
    <n v="0"/>
    <n v="0"/>
    <n v="0"/>
    <n v="520"/>
    <s v="Dinheiro"/>
    <x v="0"/>
  </r>
  <r>
    <s v="00448"/>
    <x v="269"/>
    <x v="8"/>
    <s v="08/2025"/>
    <d v="2025-08-12T00:00:00"/>
    <x v="151"/>
    <n v="100"/>
    <n v="0"/>
    <n v="0"/>
    <n v="0"/>
    <n v="100"/>
    <s v="Dinheiro"/>
    <x v="0"/>
  </r>
  <r>
    <s v="00146"/>
    <x v="18"/>
    <x v="8"/>
    <s v="08/2025"/>
    <d v="2025-08-12T00:00:00"/>
    <x v="151"/>
    <n v="40"/>
    <n v="0"/>
    <n v="0"/>
    <n v="0"/>
    <n v="40"/>
    <s v="Dinheiro"/>
    <x v="0"/>
  </r>
  <r>
    <s v="00512"/>
    <x v="341"/>
    <x v="8"/>
    <s v="08/2025"/>
    <d v="2025-08-12T00:00:00"/>
    <x v="151"/>
    <n v="40"/>
    <n v="0"/>
    <n v="0"/>
    <n v="0"/>
    <n v="40"/>
    <s v="Dinheiro"/>
    <x v="0"/>
  </r>
  <r>
    <s v="00512"/>
    <x v="341"/>
    <x v="8"/>
    <s v="08/2025"/>
    <d v="2025-08-12T00:00:00"/>
    <x v="151"/>
    <n v="400"/>
    <n v="0"/>
    <n v="0"/>
    <n v="0"/>
    <n v="400"/>
    <s v="Dinheiro"/>
    <x v="0"/>
  </r>
  <r>
    <s v="00464"/>
    <x v="273"/>
    <x v="8"/>
    <s v="08/2025"/>
    <d v="2025-08-12T00:00:00"/>
    <x v="151"/>
    <n v="50"/>
    <n v="0"/>
    <n v="0"/>
    <n v="0"/>
    <n v="50"/>
    <s v="Dinheiro"/>
    <x v="0"/>
  </r>
  <r>
    <s v="00471"/>
    <x v="295"/>
    <x v="8"/>
    <s v="08/2025"/>
    <d v="2025-08-12T00:00:00"/>
    <x v="151"/>
    <n v="222"/>
    <n v="0"/>
    <n v="0"/>
    <n v="0"/>
    <n v="222"/>
    <s v="Dinheiro"/>
    <x v="0"/>
  </r>
  <r>
    <s v="00471"/>
    <x v="295"/>
    <x v="8"/>
    <s v="08/2025"/>
    <d v="2025-08-12T00:00:00"/>
    <x v="151"/>
    <n v="600"/>
    <n v="0"/>
    <n v="0"/>
    <n v="0"/>
    <n v="600"/>
    <s v="Dinheiro"/>
    <x v="0"/>
  </r>
  <r>
    <s v="00349"/>
    <x v="25"/>
    <x v="8"/>
    <s v="08/2025"/>
    <d v="2025-08-12T00:00:00"/>
    <x v="151"/>
    <n v="100"/>
    <n v="0"/>
    <n v="0"/>
    <n v="0"/>
    <n v="100"/>
    <s v="Dinheiro"/>
    <x v="0"/>
  </r>
  <r>
    <s v="00349"/>
    <x v="25"/>
    <x v="8"/>
    <s v="04/2025"/>
    <d v="2025-04-12T00:00:00"/>
    <x v="151"/>
    <n v="100"/>
    <n v="0"/>
    <n v="0"/>
    <n v="0"/>
    <n v="100"/>
    <s v="Dinheiro"/>
    <x v="0"/>
  </r>
  <r>
    <s v="00364"/>
    <x v="16"/>
    <x v="8"/>
    <s v="08/2025"/>
    <d v="2025-08-12T00:00:00"/>
    <x v="151"/>
    <n v="40"/>
    <n v="0"/>
    <n v="0"/>
    <n v="0"/>
    <n v="40"/>
    <s v="Dinheiro"/>
    <x v="0"/>
  </r>
  <r>
    <s v="00511"/>
    <x v="241"/>
    <x v="8"/>
    <s v="08/2025"/>
    <d v="2025-08-12T00:00:00"/>
    <x v="151"/>
    <n v="475"/>
    <n v="0"/>
    <n v="0"/>
    <n v="0"/>
    <n v="475"/>
    <s v="Dinheiro"/>
    <x v="0"/>
  </r>
  <r>
    <s v="00190"/>
    <x v="70"/>
    <x v="29"/>
    <s v="09/2025"/>
    <d v="2025-09-10T00:00:00"/>
    <x v="159"/>
    <n v="800"/>
    <n v="0"/>
    <n v="0"/>
    <n v="0"/>
    <n v="800"/>
    <s v="Dinheiro"/>
    <x v="0"/>
  </r>
  <r>
    <s v="00353"/>
    <x v="61"/>
    <x v="8"/>
    <s v="08/2025"/>
    <d v="2025-08-12T00:00:00"/>
    <x v="151"/>
    <n v="225"/>
    <n v="0"/>
    <n v="0"/>
    <n v="0"/>
    <n v="225"/>
    <s v="Dinheiro"/>
    <x v="0"/>
  </r>
  <r>
    <s v="00362"/>
    <x v="7"/>
    <x v="3"/>
    <s v="08/2025"/>
    <d v="2025-08-12T00:00:00"/>
    <x v="151"/>
    <n v="38.76"/>
    <n v="0"/>
    <n v="0"/>
    <n v="0"/>
    <n v="38.76"/>
    <s v="Dinheiro"/>
    <x v="0"/>
  </r>
  <r>
    <s v="00362"/>
    <x v="7"/>
    <x v="3"/>
    <s v="08/2025"/>
    <d v="2025-08-12T00:00:00"/>
    <x v="151"/>
    <n v="932.28"/>
    <n v="0"/>
    <n v="0"/>
    <n v="0"/>
    <n v="932.28"/>
    <s v="Dinheiro"/>
    <x v="0"/>
  </r>
  <r>
    <s v="00362"/>
    <x v="7"/>
    <x v="3"/>
    <s v="08/2025"/>
    <d v="2025-08-12T00:00:00"/>
    <x v="151"/>
    <n v="75.48"/>
    <n v="0"/>
    <n v="0"/>
    <n v="0"/>
    <n v="75.48"/>
    <s v="Dinheiro"/>
    <x v="0"/>
  </r>
  <r>
    <s v="00362"/>
    <x v="7"/>
    <x v="6"/>
    <s v="08/2025"/>
    <d v="2025-08-12T00:00:00"/>
    <x v="151"/>
    <n v="15.860000000000001"/>
    <n v="0"/>
    <n v="0"/>
    <n v="0"/>
    <n v="15.860000000000001"/>
    <s v="Dinheiro"/>
    <x v="0"/>
  </r>
  <r>
    <s v="00190"/>
    <x v="70"/>
    <x v="29"/>
    <s v="09/2025"/>
    <d v="2025-09-10T00:00:00"/>
    <x v="159"/>
    <n v="2240"/>
    <n v="0"/>
    <n v="0"/>
    <n v="0"/>
    <n v="2240"/>
    <s v="Dinheiro"/>
    <x v="0"/>
  </r>
  <r>
    <s v="00586"/>
    <x v="398"/>
    <x v="29"/>
    <s v="09/2025"/>
    <d v="2025-09-10T00:00:00"/>
    <x v="159"/>
    <n v="480"/>
    <n v="0"/>
    <n v="0"/>
    <n v="0"/>
    <n v="480"/>
    <s v="Dinheiro"/>
    <x v="0"/>
  </r>
  <r>
    <s v="00559"/>
    <x v="399"/>
    <x v="29"/>
    <s v="08/2025"/>
    <d v="2025-08-12T00:00:00"/>
    <x v="151"/>
    <n v="840"/>
    <n v="0"/>
    <n v="0"/>
    <n v="0"/>
    <n v="840"/>
    <s v="Dinheiro"/>
    <x v="0"/>
  </r>
  <r>
    <s v="00559"/>
    <x v="399"/>
    <x v="29"/>
    <s v="09/2025"/>
    <d v="2025-09-10T00:00:00"/>
    <x v="159"/>
    <n v="1400"/>
    <n v="0"/>
    <n v="0"/>
    <n v="0"/>
    <n v="1400"/>
    <s v="Dinheiro"/>
    <x v="0"/>
  </r>
  <r>
    <s v="00532"/>
    <x v="373"/>
    <x v="29"/>
    <s v="08/2025"/>
    <d v="2025-08-12T00:00:00"/>
    <x v="151"/>
    <n v="3040"/>
    <n v="0"/>
    <n v="0"/>
    <n v="0"/>
    <n v="3040"/>
    <s v="Dinheiro"/>
    <x v="0"/>
  </r>
  <r>
    <s v="00532"/>
    <x v="373"/>
    <x v="29"/>
    <s v="09/2025"/>
    <d v="2025-09-10T00:00:00"/>
    <x v="159"/>
    <n v="1760"/>
    <n v="0"/>
    <n v="0"/>
    <n v="0"/>
    <n v="1760"/>
    <s v="Dinheiro"/>
    <x v="0"/>
  </r>
  <r>
    <s v="00234"/>
    <x v="211"/>
    <x v="29"/>
    <s v="08/2025"/>
    <d v="2025-08-12T00:00:00"/>
    <x v="151"/>
    <n v="240"/>
    <n v="0"/>
    <n v="0"/>
    <n v="0"/>
    <n v="240"/>
    <s v="Dinheiro"/>
    <x v="0"/>
  </r>
  <r>
    <s v="00560"/>
    <x v="400"/>
    <x v="29"/>
    <s v="08/2025"/>
    <d v="2025-08-12T00:00:00"/>
    <x v="151"/>
    <n v="640"/>
    <n v="0"/>
    <n v="0"/>
    <n v="0"/>
    <n v="640"/>
    <s v="Dinheiro"/>
    <x v="0"/>
  </r>
  <r>
    <s v="00560"/>
    <x v="400"/>
    <x v="29"/>
    <s v="09/2025"/>
    <d v="2025-09-10T00:00:00"/>
    <x v="159"/>
    <n v="1600"/>
    <n v="0"/>
    <n v="0"/>
    <n v="0"/>
    <n v="1600"/>
    <s v="Dinheiro"/>
    <x v="0"/>
  </r>
  <r>
    <s v="00476"/>
    <x v="256"/>
    <x v="29"/>
    <s v="08/2025"/>
    <d v="2025-08-12T00:00:00"/>
    <x v="151"/>
    <n v="1520"/>
    <n v="0"/>
    <n v="0"/>
    <n v="0"/>
    <n v="1520"/>
    <s v="Dinheiro"/>
    <x v="0"/>
  </r>
  <r>
    <s v="00476"/>
    <x v="256"/>
    <x v="29"/>
    <s v="09/2025"/>
    <d v="2025-09-10T00:00:00"/>
    <x v="159"/>
    <n v="1040"/>
    <n v="0"/>
    <n v="0"/>
    <n v="0"/>
    <n v="1040"/>
    <s v="Dinheiro"/>
    <x v="0"/>
  </r>
  <r>
    <s v="00237"/>
    <x v="80"/>
    <x v="29"/>
    <s v="08/2025"/>
    <d v="2025-08-12T00:00:00"/>
    <x v="151"/>
    <n v="4800"/>
    <n v="0"/>
    <n v="0"/>
    <n v="0"/>
    <n v="4800"/>
    <s v="Dinheiro"/>
    <x v="0"/>
  </r>
  <r>
    <s v="00237"/>
    <x v="80"/>
    <x v="30"/>
    <s v="08/2025"/>
    <d v="2025-08-12T00:00:00"/>
    <x v="160"/>
    <n v="400"/>
    <n v="0"/>
    <n v="0"/>
    <n v="0"/>
    <n v="400"/>
    <s v="Dinheiro"/>
    <x v="0"/>
  </r>
  <r>
    <s v="00237"/>
    <x v="80"/>
    <x v="30"/>
    <s v="09/2025"/>
    <d v="2025-09-10T00:00:00"/>
    <x v="159"/>
    <n v="80"/>
    <n v="0"/>
    <n v="0"/>
    <n v="0"/>
    <n v="80"/>
    <s v="Dinheiro"/>
    <x v="0"/>
  </r>
  <r>
    <s v="00478"/>
    <x v="290"/>
    <x v="29"/>
    <s v="08/2025"/>
    <d v="2025-08-12T00:00:00"/>
    <x v="151"/>
    <n v="1680"/>
    <n v="0"/>
    <n v="0"/>
    <n v="0"/>
    <n v="1680"/>
    <s v="Dinheiro"/>
    <x v="0"/>
  </r>
  <r>
    <s v="00478"/>
    <x v="290"/>
    <x v="29"/>
    <s v="09/2025"/>
    <d v="2025-09-10T00:00:00"/>
    <x v="159"/>
    <n v="2000"/>
    <n v="0"/>
    <n v="0"/>
    <n v="0"/>
    <n v="2000"/>
    <s v="Dinheiro"/>
    <x v="0"/>
  </r>
  <r>
    <s v="00382"/>
    <x v="102"/>
    <x v="29"/>
    <s v="08/2025"/>
    <d v="2025-08-01T00:00:00"/>
    <x v="150"/>
    <n v="1440"/>
    <n v="0"/>
    <n v="0"/>
    <n v="0"/>
    <n v="1440"/>
    <s v="Dinheiro"/>
    <x v="0"/>
  </r>
  <r>
    <s v="00557"/>
    <x v="401"/>
    <x v="29"/>
    <s v="08/2025"/>
    <d v="2025-08-12T00:00:00"/>
    <x v="151"/>
    <n v="4640"/>
    <n v="0"/>
    <n v="0"/>
    <n v="0"/>
    <n v="4640"/>
    <s v="Dinheiro"/>
    <x v="0"/>
  </r>
  <r>
    <s v="00235"/>
    <x v="86"/>
    <x v="29"/>
    <s v="08/2025"/>
    <d v="2025-09-10T00:00:00"/>
    <x v="159"/>
    <n v="4000"/>
    <n v="0"/>
    <n v="0"/>
    <n v="0"/>
    <n v="4000"/>
    <s v="Dinheiro"/>
    <x v="0"/>
  </r>
  <r>
    <s v="00502"/>
    <x v="331"/>
    <x v="15"/>
    <s v="08/2025"/>
    <d v="2025-08-12T00:00:00"/>
    <x v="151"/>
    <n v="1140"/>
    <n v="0"/>
    <n v="0"/>
    <n v="0"/>
    <n v="1140"/>
    <s v="Dinheiro"/>
    <x v="0"/>
  </r>
  <r>
    <s v="00522"/>
    <x v="356"/>
    <x v="30"/>
    <s v="08/2025"/>
    <d v="2025-08-12T00:00:00"/>
    <x v="151"/>
    <n v="240"/>
    <n v="0"/>
    <n v="0"/>
    <n v="0"/>
    <n v="240"/>
    <s v="Depósito"/>
    <x v="0"/>
  </r>
  <r>
    <s v="00607"/>
    <x v="52"/>
    <x v="16"/>
    <s v="08/2025"/>
    <d v="2025-08-10T00:00:00"/>
    <x v="151"/>
    <n v="221.3"/>
    <n v="0"/>
    <n v="0"/>
    <n v="0"/>
    <n v="221.3"/>
    <s v="Dinheiro"/>
    <x v="0"/>
  </r>
  <r>
    <s v="00101"/>
    <x v="171"/>
    <x v="58"/>
    <s v="08/2025"/>
    <d v="2025-08-10T00:00:00"/>
    <x v="151"/>
    <n v="605"/>
    <n v="0"/>
    <n v="0"/>
    <n v="0"/>
    <n v="605"/>
    <s v="Dinheiro"/>
    <x v="0"/>
  </r>
  <r>
    <s v="00546"/>
    <x v="402"/>
    <x v="11"/>
    <s v="08/2025"/>
    <d v="2025-08-10T00:00:00"/>
    <x v="151"/>
    <n v="997.5"/>
    <n v="0"/>
    <n v="0"/>
    <n v="0"/>
    <n v="997.5"/>
    <s v="Dinheiro"/>
    <x v="0"/>
  </r>
  <r>
    <s v="00513"/>
    <x v="342"/>
    <x v="8"/>
    <s v="08/2025"/>
    <d v="2025-08-12T00:00:00"/>
    <x v="151"/>
    <n v="120"/>
    <n v="0"/>
    <n v="0"/>
    <n v="0"/>
    <n v="120"/>
    <s v="Dinheiro"/>
    <x v="0"/>
  </r>
  <r>
    <s v="00526"/>
    <x v="368"/>
    <x v="41"/>
    <s v="08/2025"/>
    <d v="2025-08-12T00:00:00"/>
    <x v="151"/>
    <n v="1500"/>
    <n v="0"/>
    <n v="0"/>
    <n v="0"/>
    <n v="1500"/>
    <s v="Dinheiro"/>
    <x v="0"/>
  </r>
  <r>
    <s v="00388"/>
    <x v="122"/>
    <x v="8"/>
    <s v="08/2025"/>
    <d v="2025-08-12T00:00:00"/>
    <x v="151"/>
    <n v="340"/>
    <n v="0"/>
    <n v="0"/>
    <n v="0"/>
    <n v="340"/>
    <s v="Dinheiro"/>
    <x v="0"/>
  </r>
  <r>
    <s v="00168"/>
    <x v="39"/>
    <x v="8"/>
    <s v="08/2025"/>
    <d v="2025-08-12T00:00:00"/>
    <x v="151"/>
    <n v="950"/>
    <n v="0"/>
    <n v="0"/>
    <n v="0"/>
    <n v="950"/>
    <s v="Dinheiro"/>
    <x v="0"/>
  </r>
  <r>
    <s v="00522"/>
    <x v="356"/>
    <x v="30"/>
    <s v="09/2025"/>
    <d v="2025-09-10T00:00:00"/>
    <x v="159"/>
    <n v="2480"/>
    <n v="0"/>
    <n v="0"/>
    <n v="0"/>
    <n v="2480"/>
    <s v="Dinheiro"/>
    <x v="0"/>
  </r>
  <r>
    <s v="00019"/>
    <x v="159"/>
    <x v="2"/>
    <s v="08/2025"/>
    <d v="2025-08-10T00:00:00"/>
    <x v="151"/>
    <n v="383.11"/>
    <n v="0"/>
    <n v="0"/>
    <n v="0"/>
    <n v="383.11"/>
    <s v="Dinheiro"/>
    <x v="0"/>
  </r>
  <r>
    <s v="00085"/>
    <x v="49"/>
    <x v="22"/>
    <s v="08/2025"/>
    <d v="2025-08-12T00:00:00"/>
    <x v="151"/>
    <n v="10754.09"/>
    <n v="0"/>
    <n v="0"/>
    <n v="0"/>
    <n v="10754.09"/>
    <s v="Dinheiro"/>
    <x v="0"/>
  </r>
  <r>
    <s v="00555"/>
    <x v="403"/>
    <x v="2"/>
    <s v="08/2025"/>
    <d v="2025-08-12T00:00:00"/>
    <x v="151"/>
    <n v="540.66999999999996"/>
    <n v="0"/>
    <n v="0"/>
    <n v="0"/>
    <n v="540.66999999999996"/>
    <s v="Dinheiro"/>
    <x v="0"/>
  </r>
  <r>
    <s v="RAD250113"/>
    <x v="404"/>
    <x v="28"/>
    <s v="08/2025"/>
    <d v="2025-08-11T00:00:00"/>
    <x v="151"/>
    <n v="99"/>
    <n v="0"/>
    <n v="0"/>
    <n v="0"/>
    <n v="99"/>
    <s v="Dinheiro"/>
    <x v="0"/>
  </r>
  <r>
    <s v="00561"/>
    <x v="405"/>
    <x v="30"/>
    <s v="08/2025"/>
    <d v="2025-08-12T00:00:00"/>
    <x v="151"/>
    <n v="320"/>
    <n v="0"/>
    <n v="0"/>
    <n v="0"/>
    <n v="320"/>
    <s v="Dinheiro"/>
    <x v="0"/>
  </r>
  <r>
    <s v="00362"/>
    <x v="7"/>
    <x v="3"/>
    <s v="08/2025"/>
    <d v="2025-08-12T00:00:00"/>
    <x v="151"/>
    <n v="135.52000000000001"/>
    <n v="0"/>
    <n v="0"/>
    <n v="0"/>
    <n v="135.52000000000001"/>
    <s v="Dinheiro"/>
    <x v="0"/>
  </r>
  <r>
    <s v="00362"/>
    <x v="7"/>
    <x v="6"/>
    <s v="08/2025"/>
    <d v="2025-08-12T00:00:00"/>
    <x v="151"/>
    <n v="451.91"/>
    <n v="0"/>
    <n v="0"/>
    <n v="0"/>
    <n v="451.91"/>
    <s v="Dinheiro"/>
    <x v="0"/>
  </r>
  <r>
    <s v="00353"/>
    <x v="61"/>
    <x v="29"/>
    <s v="08/2025"/>
    <d v="2025-08-12T00:00:00"/>
    <x v="151"/>
    <n v="1360"/>
    <n v="0"/>
    <n v="0"/>
    <n v="0"/>
    <n v="1360"/>
    <s v="Dinheiro"/>
    <x v="0"/>
  </r>
  <r>
    <s v="00353"/>
    <x v="61"/>
    <x v="29"/>
    <s v="09/2025"/>
    <d v="2025-09-10T00:00:00"/>
    <x v="159"/>
    <n v="1200"/>
    <n v="0"/>
    <n v="0"/>
    <n v="0"/>
    <n v="1200"/>
    <s v="Dinheiro"/>
    <x v="0"/>
  </r>
  <r>
    <s v="00135"/>
    <x v="406"/>
    <x v="29"/>
    <s v="08/2025"/>
    <d v="2025-08-12T00:00:00"/>
    <x v="151"/>
    <n v="1120"/>
    <n v="0"/>
    <n v="0"/>
    <n v="0"/>
    <n v="1120"/>
    <s v="Dinheiro"/>
    <x v="0"/>
  </r>
  <r>
    <s v="00135"/>
    <x v="406"/>
    <x v="29"/>
    <s v="09/2025"/>
    <d v="2025-09-11T00:00:00"/>
    <x v="161"/>
    <n v="1040"/>
    <n v="0"/>
    <n v="0"/>
    <n v="0"/>
    <n v="1040"/>
    <s v="Dinheiro"/>
    <x v="0"/>
  </r>
  <r>
    <s v="00211"/>
    <x v="407"/>
    <x v="30"/>
    <s v="09/2025"/>
    <d v="2025-09-18T00:00:00"/>
    <x v="162"/>
    <n v="375"/>
    <n v="0"/>
    <n v="0"/>
    <n v="0"/>
    <n v="375"/>
    <s v="Dinheiro"/>
    <x v="0"/>
  </r>
  <r>
    <s v="00189"/>
    <x v="76"/>
    <x v="29"/>
    <s v="08/2025"/>
    <d v="2025-08-12T00:00:00"/>
    <x v="151"/>
    <n v="1040"/>
    <n v="0"/>
    <n v="0"/>
    <n v="0"/>
    <n v="1040"/>
    <s v="Dinheiro"/>
    <x v="0"/>
  </r>
  <r>
    <s v="00362"/>
    <x v="7"/>
    <x v="6"/>
    <s v="08/2025"/>
    <d v="2025-08-04T00:00:00"/>
    <x v="151"/>
    <n v="428.40000000000003"/>
    <n v="0"/>
    <n v="0"/>
    <n v="0"/>
    <n v="428.40000000000003"/>
    <s v="Dinheiro"/>
    <x v="0"/>
  </r>
  <r>
    <s v="00285"/>
    <x v="303"/>
    <x v="17"/>
    <s v="08/2025"/>
    <d v="2025-08-01T00:00:00"/>
    <x v="151"/>
    <n v="850"/>
    <n v="0"/>
    <n v="0"/>
    <n v="0"/>
    <n v="850"/>
    <s v="Dinheiro"/>
    <x v="0"/>
  </r>
  <r>
    <s v="00468"/>
    <x v="236"/>
    <x v="34"/>
    <s v="08/2025"/>
    <d v="2025-08-06T00:00:00"/>
    <x v="151"/>
    <n v="2890"/>
    <n v="0"/>
    <n v="0"/>
    <n v="0"/>
    <n v="2890"/>
    <s v="Dinheiro"/>
    <x v="0"/>
  </r>
  <r>
    <s v="00562"/>
    <x v="408"/>
    <x v="81"/>
    <s v="08/2025"/>
    <d v="2025-08-07T00:00:00"/>
    <x v="151"/>
    <n v="76.89"/>
    <n v="0"/>
    <n v="0"/>
    <n v="0"/>
    <n v="76.89"/>
    <s v="Dinheiro"/>
    <x v="0"/>
  </r>
  <r>
    <s v="00193"/>
    <x v="3"/>
    <x v="0"/>
    <s v="08/2025"/>
    <d v="2025-08-12T00:00:00"/>
    <x v="151"/>
    <n v="300"/>
    <n v="0"/>
    <n v="0"/>
    <n v="0"/>
    <n v="300"/>
    <s v="Dinheiro"/>
    <x v="0"/>
  </r>
  <r>
    <s v="00563"/>
    <x v="409"/>
    <x v="82"/>
    <s v="08/2025"/>
    <d v="2025-08-08T00:00:00"/>
    <x v="151"/>
    <n v="49"/>
    <n v="0"/>
    <n v="0"/>
    <n v="0"/>
    <n v="49"/>
    <s v="Dinheiro"/>
    <x v="0"/>
  </r>
  <r>
    <s v="00549"/>
    <x v="410"/>
    <x v="82"/>
    <s v="08/2025"/>
    <d v="2025-08-05T00:00:00"/>
    <x v="151"/>
    <n v="42"/>
    <n v="0"/>
    <n v="0"/>
    <n v="0"/>
    <n v="42"/>
    <s v="Dinheiro"/>
    <x v="0"/>
  </r>
  <r>
    <s v="00549"/>
    <x v="410"/>
    <x v="82"/>
    <s v="08/2025"/>
    <d v="2025-08-04T00:00:00"/>
    <x v="151"/>
    <n v="23"/>
    <n v="0"/>
    <n v="0"/>
    <n v="0"/>
    <n v="23"/>
    <s v="Dinheiro"/>
    <x v="0"/>
  </r>
  <r>
    <s v="00550"/>
    <x v="411"/>
    <x v="38"/>
    <s v="08/2025"/>
    <d v="2025-08-04T00:00:00"/>
    <x v="151"/>
    <n v="18.350000000000001"/>
    <n v="0"/>
    <n v="0"/>
    <n v="0"/>
    <n v="18.350000000000001"/>
    <s v="Dinheiro"/>
    <x v="0"/>
  </r>
  <r>
    <s v="00189"/>
    <x v="76"/>
    <x v="29"/>
    <s v="09/2025"/>
    <d v="2025-09-10T00:00:00"/>
    <x v="159"/>
    <n v="320"/>
    <n v="0"/>
    <n v="0"/>
    <n v="0"/>
    <n v="320"/>
    <s v="Dinheiro"/>
    <x v="0"/>
  </r>
  <r>
    <s v="00009"/>
    <x v="53"/>
    <x v="24"/>
    <s v="08/2025"/>
    <d v="2025-08-10T00:00:00"/>
    <x v="151"/>
    <n v="29955.31"/>
    <n v="0"/>
    <n v="0"/>
    <n v="0"/>
    <n v="29955.31"/>
    <s v="Dinheiro"/>
    <x v="0"/>
  </r>
  <r>
    <s v="00362"/>
    <x v="7"/>
    <x v="3"/>
    <s v="08/2025"/>
    <d v="2025-08-11T00:00:00"/>
    <x v="151"/>
    <n v="2.04"/>
    <n v="0"/>
    <n v="0"/>
    <n v="0"/>
    <n v="2.04"/>
    <s v="Dinheiro"/>
    <x v="0"/>
  </r>
  <r>
    <s v="00362"/>
    <x v="7"/>
    <x v="3"/>
    <s v="08/2025"/>
    <d v="2025-08-11T00:00:00"/>
    <x v="151"/>
    <n v="67.320000000000007"/>
    <n v="0"/>
    <n v="0"/>
    <n v="0"/>
    <n v="67.320000000000007"/>
    <s v="Dinheiro"/>
    <x v="0"/>
  </r>
  <r>
    <s v="00362"/>
    <x v="7"/>
    <x v="34"/>
    <s v="08/2025"/>
    <d v="2025-08-11T00:00:00"/>
    <x v="151"/>
    <n v="210.39000000000001"/>
    <n v="0"/>
    <n v="0"/>
    <n v="0"/>
    <n v="210.39000000000001"/>
    <s v="Dinheiro"/>
    <x v="0"/>
  </r>
  <r>
    <s v="00102"/>
    <x v="84"/>
    <x v="36"/>
    <s v="08/2025"/>
    <d v="2025-08-14T00:00:00"/>
    <x v="151"/>
    <n v="1082.33"/>
    <n v="0"/>
    <n v="0"/>
    <n v="0"/>
    <n v="1082.33"/>
    <s v="Dinheiro"/>
    <x v="0"/>
  </r>
  <r>
    <s v="00553"/>
    <x v="396"/>
    <x v="1"/>
    <s v="08/2025"/>
    <d v="2025-08-13T00:00:00"/>
    <x v="163"/>
    <n v="59"/>
    <n v="0"/>
    <n v="0"/>
    <n v="0"/>
    <n v="59"/>
    <s v="Dinheiro"/>
    <x v="0"/>
  </r>
  <r>
    <s v="00292"/>
    <x v="278"/>
    <x v="5"/>
    <s v="08/2025"/>
    <d v="2025-08-14T00:00:00"/>
    <x v="160"/>
    <n v="35"/>
    <n v="0"/>
    <n v="0"/>
    <n v="0"/>
    <n v="35"/>
    <s v="Dinheiro"/>
    <x v="0"/>
  </r>
  <r>
    <s v="00292"/>
    <x v="278"/>
    <x v="5"/>
    <s v="08/2025"/>
    <d v="2025-08-13T00:00:00"/>
    <x v="160"/>
    <n v="35"/>
    <n v="0"/>
    <n v="0"/>
    <n v="0"/>
    <n v="35"/>
    <s v="Dinheiro"/>
    <x v="0"/>
  </r>
  <r>
    <s v="00292"/>
    <x v="278"/>
    <x v="5"/>
    <s v="08/2025"/>
    <d v="2025-08-13T00:00:00"/>
    <x v="160"/>
    <n v="35"/>
    <n v="0"/>
    <n v="0"/>
    <n v="0"/>
    <n v="35"/>
    <s v="Dinheiro"/>
    <x v="0"/>
  </r>
  <r>
    <s v="00032"/>
    <x v="120"/>
    <x v="45"/>
    <s v="08/2025"/>
    <d v="2025-08-13T00:00:00"/>
    <x v="160"/>
    <n v="99.86"/>
    <n v="0"/>
    <n v="0"/>
    <n v="0"/>
    <n v="99.86"/>
    <s v="Dinheiro"/>
    <x v="0"/>
  </r>
  <r>
    <s v="00328"/>
    <x v="270"/>
    <x v="45"/>
    <s v="08/2025"/>
    <d v="2025-08-14T00:00:00"/>
    <x v="160"/>
    <n v="35.49"/>
    <n v="0"/>
    <n v="0"/>
    <n v="0"/>
    <n v="35.49"/>
    <s v="Dinheiro"/>
    <x v="0"/>
  </r>
  <r>
    <s v="00332"/>
    <x v="28"/>
    <x v="30"/>
    <s v="09/2025"/>
    <d v="2025-09-10T00:00:00"/>
    <x v="159"/>
    <n v="1000"/>
    <n v="0"/>
    <n v="0"/>
    <n v="0"/>
    <n v="1000"/>
    <s v="Dinheiro"/>
    <x v="0"/>
  </r>
  <r>
    <s v="00509"/>
    <x v="308"/>
    <x v="17"/>
    <s v="07/2025"/>
    <d v="2025-08-10T00:00:00"/>
    <x v="160"/>
    <n v="475.32"/>
    <n v="0"/>
    <n v="0"/>
    <n v="0"/>
    <n v="475.32"/>
    <s v="Dinheiro"/>
    <x v="0"/>
  </r>
  <r>
    <s v="00015"/>
    <x v="363"/>
    <x v="23"/>
    <s v="09/2025"/>
    <d v="2025-08-10T00:00:00"/>
    <x v="160"/>
    <n v="1842.31"/>
    <n v="0"/>
    <n v="0"/>
    <n v="0"/>
    <n v="1842.31"/>
    <s v="Dinheiro"/>
    <x v="0"/>
  </r>
  <r>
    <s v="00037"/>
    <x v="177"/>
    <x v="38"/>
    <s v="08/2025"/>
    <d v="2025-08-12T00:00:00"/>
    <x v="160"/>
    <n v="54.93"/>
    <n v="0"/>
    <n v="0"/>
    <n v="0"/>
    <n v="54.93"/>
    <s v="Dinheiro"/>
    <x v="0"/>
  </r>
  <r>
    <s v="00075"/>
    <x v="197"/>
    <x v="18"/>
    <s v="07/2025"/>
    <d v="2025-07-23T00:00:00"/>
    <x v="160"/>
    <n v="4350"/>
    <n v="0"/>
    <n v="0"/>
    <n v="0"/>
    <n v="4350"/>
    <s v="Dinheiro"/>
    <x v="0"/>
  </r>
  <r>
    <s v="00228"/>
    <x v="79"/>
    <x v="29"/>
    <s v="08/2025"/>
    <d v="2025-08-12T00:00:00"/>
    <x v="151"/>
    <n v="1200"/>
    <n v="0"/>
    <n v="0"/>
    <n v="0"/>
    <n v="1200"/>
    <s v="Dinheiro"/>
    <x v="0"/>
  </r>
  <r>
    <s v="ADM250025"/>
    <x v="242"/>
    <x v="28"/>
    <s v="08/2025"/>
    <d v="2025-08-12T00:00:00"/>
    <x v="160"/>
    <n v="938.14"/>
    <n v="0"/>
    <n v="0"/>
    <n v="0"/>
    <n v="938.14"/>
    <s v="Dinheiro"/>
    <x v="0"/>
  </r>
  <r>
    <s v="00457"/>
    <x v="219"/>
    <x v="30"/>
    <s v="09/2025"/>
    <d v="2025-09-10T00:00:00"/>
    <x v="159"/>
    <n v="2880"/>
    <n v="0"/>
    <n v="0"/>
    <n v="0"/>
    <n v="2880"/>
    <s v="Dinheiro"/>
    <x v="0"/>
  </r>
  <r>
    <s v="00362"/>
    <x v="7"/>
    <x v="3"/>
    <s v="08/2025"/>
    <d v="2025-08-12T00:00:00"/>
    <x v="160"/>
    <n v="2.04"/>
    <n v="0"/>
    <n v="0"/>
    <n v="0"/>
    <n v="2.04"/>
    <s v="Dinheiro"/>
    <x v="0"/>
  </r>
  <r>
    <s v="00528"/>
    <x v="321"/>
    <x v="41"/>
    <s v="08/2025"/>
    <d v="2025-08-13T00:00:00"/>
    <x v="160"/>
    <n v="1800"/>
    <n v="0"/>
    <n v="0"/>
    <n v="0"/>
    <n v="1800"/>
    <s v="Dinheiro"/>
    <x v="0"/>
  </r>
  <r>
    <s v="00530"/>
    <x v="371"/>
    <x v="11"/>
    <s v="08/2025"/>
    <d v="2025-08-13T00:00:00"/>
    <x v="160"/>
    <n v="200"/>
    <n v="0"/>
    <n v="0"/>
    <n v="0"/>
    <n v="200"/>
    <s v="Dinheiro"/>
    <x v="0"/>
  </r>
  <r>
    <s v="00362"/>
    <x v="7"/>
    <x v="3"/>
    <s v="08/2025"/>
    <d v="2025-08-13T00:00:00"/>
    <x v="160"/>
    <n v="731.2"/>
    <n v="0"/>
    <n v="0"/>
    <n v="0"/>
    <n v="731.2"/>
    <s v="Dinheiro"/>
    <x v="0"/>
  </r>
  <r>
    <s v="00529"/>
    <x v="379"/>
    <x v="11"/>
    <s v="08/2025"/>
    <d v="2025-08-13T00:00:00"/>
    <x v="160"/>
    <n v="2610"/>
    <n v="0"/>
    <n v="0"/>
    <n v="0"/>
    <n v="2610"/>
    <s v="Dinheiro"/>
    <x v="0"/>
  </r>
  <r>
    <s v="00477"/>
    <x v="288"/>
    <x v="11"/>
    <s v="08/2025"/>
    <d v="2025-08-13T00:00:00"/>
    <x v="164"/>
    <n v="2520"/>
    <n v="0"/>
    <n v="0"/>
    <n v="0"/>
    <n v="2520"/>
    <s v="Dinheiro"/>
    <x v="0"/>
  </r>
  <r>
    <s v="00362"/>
    <x v="7"/>
    <x v="3"/>
    <s v="08/2025"/>
    <d v="2025-08-13T00:00:00"/>
    <x v="160"/>
    <n v="2.04"/>
    <n v="0"/>
    <n v="0"/>
    <n v="0"/>
    <n v="2.04"/>
    <s v="Dinheiro"/>
    <x v="0"/>
  </r>
  <r>
    <s v="00362"/>
    <x v="7"/>
    <x v="34"/>
    <s v="08/2025"/>
    <d v="2025-08-13T00:00:00"/>
    <x v="160"/>
    <n v="5552"/>
    <n v="0"/>
    <n v="0"/>
    <n v="0"/>
    <n v="5552"/>
    <s v="Dinheiro"/>
    <x v="0"/>
  </r>
  <r>
    <s v="00482"/>
    <x v="307"/>
    <x v="73"/>
    <s v="08/2025"/>
    <d v="2025-08-15T00:00:00"/>
    <x v="165"/>
    <n v="79"/>
    <n v="0"/>
    <n v="0"/>
    <n v="0"/>
    <n v="79"/>
    <s v="Dinheiro"/>
    <x v="0"/>
  </r>
  <r>
    <s v="00552"/>
    <x v="395"/>
    <x v="1"/>
    <s v="08/2025"/>
    <d v="2025-08-15T00:00:00"/>
    <x v="165"/>
    <n v="58"/>
    <n v="0"/>
    <n v="0"/>
    <n v="0"/>
    <n v="58"/>
    <s v="Dinheiro"/>
    <x v="0"/>
  </r>
  <r>
    <s v="00553"/>
    <x v="396"/>
    <x v="1"/>
    <s v="08/2025"/>
    <d v="2025-08-15T00:00:00"/>
    <x v="165"/>
    <n v="69.600000000000009"/>
    <n v="0"/>
    <n v="0"/>
    <n v="0"/>
    <n v="69.600000000000009"/>
    <s v="Dinheiro"/>
    <x v="0"/>
  </r>
  <r>
    <s v="00516"/>
    <x v="344"/>
    <x v="76"/>
    <s v="08/2025"/>
    <d v="2025-08-18T00:00:00"/>
    <x v="166"/>
    <n v="1.3"/>
    <n v="0"/>
    <n v="0"/>
    <n v="0"/>
    <n v="1.3"/>
    <s v="Dinheiro"/>
    <x v="0"/>
  </r>
  <r>
    <s v="00032"/>
    <x v="120"/>
    <x v="76"/>
    <s v="08/2025"/>
    <d v="2025-08-18T00:00:00"/>
    <x v="166"/>
    <n v="11.5"/>
    <n v="0"/>
    <n v="0"/>
    <n v="0"/>
    <n v="11.5"/>
    <s v="Dinheiro"/>
    <x v="0"/>
  </r>
  <r>
    <s v="00364"/>
    <x v="16"/>
    <x v="8"/>
    <s v="08/2025"/>
    <d v="2025-08-18T00:00:00"/>
    <x v="166"/>
    <n v="40"/>
    <n v="0"/>
    <n v="0"/>
    <n v="0"/>
    <n v="40"/>
    <s v="Dinheiro"/>
    <x v="0"/>
  </r>
  <r>
    <s v="00513"/>
    <x v="342"/>
    <x v="8"/>
    <s v="08/2025"/>
    <d v="2025-08-18T00:00:00"/>
    <x v="166"/>
    <n v="72"/>
    <n v="0"/>
    <n v="0"/>
    <n v="0"/>
    <n v="72"/>
    <s v="Dinheiro"/>
    <x v="0"/>
  </r>
  <r>
    <s v="00568"/>
    <x v="412"/>
    <x v="8"/>
    <s v="08/2025"/>
    <d v="2025-08-18T00:00:00"/>
    <x v="166"/>
    <n v="100"/>
    <n v="0"/>
    <n v="0"/>
    <n v="0"/>
    <n v="100"/>
    <s v="Dinheiro"/>
    <x v="0"/>
  </r>
  <r>
    <s v="00022"/>
    <x v="115"/>
    <x v="68"/>
    <s v="08/2025"/>
    <d v="2025-08-18T00:00:00"/>
    <x v="139"/>
    <n v="3666.06"/>
    <n v="0"/>
    <n v="0"/>
    <n v="0"/>
    <n v="3666.06"/>
    <s v="Dinheiro"/>
    <x v="0"/>
  </r>
  <r>
    <s v="00508"/>
    <x v="367"/>
    <x v="25"/>
    <s v="08/2025"/>
    <d v="2025-08-13T00:00:00"/>
    <x v="166"/>
    <n v="1605.58"/>
    <n v="0"/>
    <n v="0"/>
    <n v="0"/>
    <n v="1605.58"/>
    <s v="Dinheiro"/>
    <x v="0"/>
  </r>
  <r>
    <s v="00134"/>
    <x v="18"/>
    <x v="31"/>
    <s v="08/2025"/>
    <d v="2025-08-14T00:00:00"/>
    <x v="166"/>
    <n v="1163.47"/>
    <n v="0"/>
    <n v="0"/>
    <n v="0"/>
    <n v="1163.47"/>
    <s v="Dinheiro"/>
    <x v="0"/>
  </r>
  <r>
    <s v="00018"/>
    <x v="95"/>
    <x v="37"/>
    <s v="08/2025"/>
    <d v="2025-08-15T00:00:00"/>
    <x v="166"/>
    <n v="632"/>
    <n v="0"/>
    <n v="0"/>
    <n v="0"/>
    <n v="632"/>
    <s v="Dinheiro"/>
    <x v="0"/>
  </r>
  <r>
    <s v="00106"/>
    <x v="6"/>
    <x v="61"/>
    <s v="08/2025"/>
    <d v="2025-08-15T00:00:00"/>
    <x v="166"/>
    <n v="900"/>
    <n v="0"/>
    <n v="0"/>
    <n v="0"/>
    <n v="900"/>
    <s v="Dinheiro"/>
    <x v="0"/>
  </r>
  <r>
    <s v="00121"/>
    <x v="56"/>
    <x v="26"/>
    <s v="07/2025"/>
    <d v="2025-07-31T00:00:00"/>
    <x v="166"/>
    <n v="1649.03"/>
    <n v="0"/>
    <n v="0"/>
    <n v="0"/>
    <n v="1649.03"/>
    <s v="Dinheiro"/>
    <x v="0"/>
  </r>
  <r>
    <s v="00121"/>
    <x v="56"/>
    <x v="26"/>
    <s v="06/2025"/>
    <d v="2025-06-30T00:00:00"/>
    <x v="139"/>
    <n v="1795.73"/>
    <n v="0"/>
    <n v="0"/>
    <n v="0"/>
    <n v="1795.73"/>
    <s v="Dinheiro"/>
    <x v="0"/>
  </r>
  <r>
    <s v="00006"/>
    <x v="137"/>
    <x v="53"/>
    <s v="08/2025"/>
    <d v="2025-08-15T00:00:00"/>
    <x v="166"/>
    <n v="1518"/>
    <n v="0"/>
    <n v="0"/>
    <n v="0"/>
    <n v="1518"/>
    <s v="Dinheiro"/>
    <x v="0"/>
  </r>
  <r>
    <s v="00068"/>
    <x v="98"/>
    <x v="39"/>
    <s v="08/2025"/>
    <d v="2025-08-15T00:00:00"/>
    <x v="166"/>
    <n v="1518"/>
    <n v="0"/>
    <n v="0"/>
    <n v="0"/>
    <n v="1518"/>
    <s v="Dinheiro"/>
    <x v="0"/>
  </r>
  <r>
    <s v="00103"/>
    <x v="97"/>
    <x v="72"/>
    <s v="08/2025"/>
    <d v="2025-08-15T00:00:00"/>
    <x v="166"/>
    <n v="247.93"/>
    <n v="0"/>
    <n v="0"/>
    <n v="0"/>
    <n v="247.93"/>
    <s v="Dinheiro"/>
    <x v="0"/>
  </r>
  <r>
    <s v="00102"/>
    <x v="84"/>
    <x v="10"/>
    <s v="08/2025"/>
    <d v="2025-08-15T00:00:00"/>
    <x v="166"/>
    <n v="700"/>
    <n v="0"/>
    <n v="0"/>
    <n v="0"/>
    <n v="700"/>
    <s v="Dinheiro"/>
    <x v="0"/>
  </r>
  <r>
    <s v="00102"/>
    <x v="84"/>
    <x v="36"/>
    <s v="08/2025"/>
    <d v="2025-08-15T00:00:00"/>
    <x v="166"/>
    <n v="2122.1"/>
    <n v="0"/>
    <n v="0"/>
    <n v="0"/>
    <n v="2122.1"/>
    <s v="Dinheiro"/>
    <x v="0"/>
  </r>
  <r>
    <s v="00109"/>
    <x v="90"/>
    <x v="35"/>
    <s v="07/2025"/>
    <d v="2025-08-15T00:00:00"/>
    <x v="166"/>
    <n v="217.76"/>
    <n v="0"/>
    <n v="0"/>
    <n v="0"/>
    <n v="217.76"/>
    <s v="Dinheiro"/>
    <x v="0"/>
  </r>
  <r>
    <s v="00565"/>
    <x v="413"/>
    <x v="83"/>
    <s v="08/2025"/>
    <d v="2025-08-15T00:00:00"/>
    <x v="166"/>
    <n v="800"/>
    <n v="0"/>
    <n v="0"/>
    <n v="0"/>
    <n v="800"/>
    <s v="Dinheiro"/>
    <x v="0"/>
  </r>
  <r>
    <s v="00065"/>
    <x v="92"/>
    <x v="36"/>
    <s v="02/2025"/>
    <d v="2025-08-15T00:00:00"/>
    <x v="166"/>
    <n v="10754.09"/>
    <n v="0"/>
    <n v="0"/>
    <n v="0"/>
    <n v="10754.09"/>
    <s v="Dinheiro"/>
    <x v="0"/>
  </r>
  <r>
    <s v="00447"/>
    <x v="247"/>
    <x v="1"/>
    <s v="08/2025"/>
    <d v="2025-08-18T00:00:00"/>
    <x v="166"/>
    <n v="50"/>
    <n v="0"/>
    <n v="0"/>
    <n v="0"/>
    <n v="50"/>
    <s v="Dinheiro"/>
    <x v="0"/>
  </r>
  <r>
    <s v="00362"/>
    <x v="7"/>
    <x v="3"/>
    <s v="08/2025"/>
    <d v="2025-08-14T00:00:00"/>
    <x v="166"/>
    <n v="9.14"/>
    <n v="0"/>
    <n v="0"/>
    <n v="0"/>
    <n v="9.14"/>
    <s v="Dinheiro"/>
    <x v="0"/>
  </r>
  <r>
    <s v="00362"/>
    <x v="7"/>
    <x v="3"/>
    <s v="08/2025"/>
    <d v="2025-08-18T00:00:00"/>
    <x v="166"/>
    <n v="2.04"/>
    <n v="0"/>
    <n v="0"/>
    <n v="0"/>
    <n v="2.04"/>
    <s v="Dinheiro"/>
    <x v="0"/>
  </r>
  <r>
    <s v="00362"/>
    <x v="7"/>
    <x v="3"/>
    <s v="08/2025"/>
    <d v="2025-08-18T00:00:00"/>
    <x v="166"/>
    <n v="8.16"/>
    <n v="0"/>
    <n v="0"/>
    <n v="0"/>
    <n v="8.16"/>
    <s v="Dinheiro"/>
    <x v="0"/>
  </r>
  <r>
    <s v="00389"/>
    <x v="123"/>
    <x v="1"/>
    <s v="08/2025"/>
    <d v="2025-08-18T00:00:00"/>
    <x v="166"/>
    <n v="60"/>
    <n v="0"/>
    <n v="0"/>
    <n v="0"/>
    <n v="60"/>
    <s v="Dinheiro"/>
    <x v="0"/>
  </r>
  <r>
    <s v="00566"/>
    <x v="414"/>
    <x v="74"/>
    <s v="08/2025"/>
    <d v="2025-08-15T00:00:00"/>
    <x v="166"/>
    <n v="1200"/>
    <n v="0"/>
    <n v="0"/>
    <n v="0"/>
    <n v="1200"/>
    <s v="Dinheiro"/>
    <x v="0"/>
  </r>
  <r>
    <s v="00036"/>
    <x v="109"/>
    <x v="59"/>
    <s v="08/2025"/>
    <d v="2025-08-19T00:00:00"/>
    <x v="167"/>
    <n v="20.76"/>
    <n v="0"/>
    <n v="0"/>
    <n v="0"/>
    <n v="20.76"/>
    <s v="Dinheiro"/>
    <x v="0"/>
  </r>
  <r>
    <s v="00552"/>
    <x v="395"/>
    <x v="1"/>
    <s v="08/2025"/>
    <d v="2025-08-19T00:00:00"/>
    <x v="167"/>
    <n v="70.8"/>
    <n v="0"/>
    <n v="0"/>
    <n v="0"/>
    <n v="70.8"/>
    <s v="Dinheiro"/>
    <x v="0"/>
  </r>
  <r>
    <s v="00168"/>
    <x v="39"/>
    <x v="45"/>
    <s v="08/2025"/>
    <d v="2025-08-19T00:00:00"/>
    <x v="167"/>
    <n v="70"/>
    <n v="0"/>
    <n v="0"/>
    <n v="0"/>
    <n v="70"/>
    <s v="Dinheiro"/>
    <x v="0"/>
  </r>
  <r>
    <s v="00168"/>
    <x v="39"/>
    <x v="38"/>
    <s v="08/2025"/>
    <d v="2025-08-19T00:00:00"/>
    <x v="167"/>
    <n v="52.75"/>
    <n v="0"/>
    <n v="0"/>
    <n v="0"/>
    <n v="52.75"/>
    <s v="Dinheiro"/>
    <x v="0"/>
  </r>
  <r>
    <s v="00039"/>
    <x v="231"/>
    <x v="25"/>
    <s v="08/2025"/>
    <d v="2025-08-19T00:00:00"/>
    <x v="167"/>
    <n v="27.900000000000002"/>
    <n v="0"/>
    <n v="0"/>
    <n v="0"/>
    <n v="27.900000000000002"/>
    <s v="Dinheiro"/>
    <x v="0"/>
  </r>
  <r>
    <s v="00082"/>
    <x v="100"/>
    <x v="57"/>
    <s v="08/2025"/>
    <d v="2025-08-20T00:00:00"/>
    <x v="168"/>
    <n v="121"/>
    <n v="0"/>
    <n v="0"/>
    <n v="0"/>
    <n v="121"/>
    <s v="Dinheiro"/>
    <x v="0"/>
  </r>
  <r>
    <s v="00553"/>
    <x v="396"/>
    <x v="1"/>
    <s v="08/2025"/>
    <d v="2025-08-20T00:00:00"/>
    <x v="168"/>
    <n v="104.60000000000001"/>
    <n v="0"/>
    <n v="0"/>
    <n v="0"/>
    <n v="104.60000000000001"/>
    <s v="Dinheiro"/>
    <x v="0"/>
  </r>
  <r>
    <s v="00570"/>
    <x v="415"/>
    <x v="8"/>
    <s v="08/2025"/>
    <d v="2025-08-20T00:00:00"/>
    <x v="168"/>
    <n v="50"/>
    <n v="0"/>
    <n v="0"/>
    <n v="0"/>
    <n v="50"/>
    <s v="Dinheiro"/>
    <x v="0"/>
  </r>
  <r>
    <s v="00569"/>
    <x v="416"/>
    <x v="8"/>
    <s v="08/2025"/>
    <d v="2025-08-20T00:00:00"/>
    <x v="168"/>
    <n v="250"/>
    <n v="0"/>
    <n v="0"/>
    <n v="0"/>
    <n v="250"/>
    <s v="Dinheiro"/>
    <x v="0"/>
  </r>
  <r>
    <s v="00416"/>
    <x v="184"/>
    <x v="8"/>
    <s v="08/2025"/>
    <d v="2025-08-20T00:00:00"/>
    <x v="168"/>
    <n v="80"/>
    <n v="0"/>
    <n v="0"/>
    <n v="0"/>
    <n v="80"/>
    <s v="Dinheiro"/>
    <x v="0"/>
  </r>
  <r>
    <s v="00039"/>
    <x v="231"/>
    <x v="9"/>
    <s v="08/2025"/>
    <d v="2025-08-21T00:00:00"/>
    <x v="169"/>
    <n v="19.900000000000002"/>
    <n v="0"/>
    <n v="0"/>
    <n v="0"/>
    <n v="19.900000000000002"/>
    <s v="Dinheiro"/>
    <x v="0"/>
  </r>
  <r>
    <s v="00039"/>
    <x v="231"/>
    <x v="9"/>
    <s v="08/2025"/>
    <d v="2025-08-21T00:00:00"/>
    <x v="169"/>
    <n v="43.7"/>
    <n v="0"/>
    <n v="0"/>
    <n v="0"/>
    <n v="43.7"/>
    <s v="Dinheiro"/>
    <x v="0"/>
  </r>
  <r>
    <s v="00571"/>
    <x v="417"/>
    <x v="9"/>
    <s v="08/2025"/>
    <d v="2025-08-21T00:00:00"/>
    <x v="169"/>
    <n v="48"/>
    <n v="0"/>
    <n v="0"/>
    <n v="0"/>
    <n v="48"/>
    <s v="Dinheiro"/>
    <x v="0"/>
  </r>
  <r>
    <s v="00572"/>
    <x v="418"/>
    <x v="9"/>
    <s v="08/2025"/>
    <d v="2025-08-21T00:00:00"/>
    <x v="169"/>
    <n v="250"/>
    <n v="0"/>
    <n v="0"/>
    <n v="0"/>
    <n v="250"/>
    <s v="Dinheiro"/>
    <x v="0"/>
  </r>
  <r>
    <s v="00011"/>
    <x v="45"/>
    <x v="16"/>
    <s v="08/2025"/>
    <d v="2025-08-20T00:00:00"/>
    <x v="169"/>
    <n v="807.06000000000006"/>
    <n v="0"/>
    <n v="0"/>
    <n v="0"/>
    <n v="807.06000000000006"/>
    <s v="Dinheiro"/>
    <x v="0"/>
  </r>
  <r>
    <s v="00077"/>
    <x v="237"/>
    <x v="66"/>
    <s v="07/2025"/>
    <d v="2025-08-20T00:00:00"/>
    <x v="169"/>
    <n v="357.23"/>
    <n v="0"/>
    <n v="0"/>
    <n v="0"/>
    <n v="357.23"/>
    <s v="Dinheiro"/>
    <x v="0"/>
  </r>
  <r>
    <s v="00011"/>
    <x v="45"/>
    <x v="16"/>
    <s v="08/2025"/>
    <d v="2025-08-20T00:00:00"/>
    <x v="169"/>
    <n v="960.4"/>
    <n v="0"/>
    <n v="0"/>
    <n v="0"/>
    <n v="960.4"/>
    <s v="Dinheiro"/>
    <x v="0"/>
  </r>
  <r>
    <s v="00463"/>
    <x v="272"/>
    <x v="17"/>
    <s v="08/2025"/>
    <d v="2025-08-21T00:00:00"/>
    <x v="169"/>
    <n v="59.67"/>
    <n v="0"/>
    <n v="0"/>
    <n v="0"/>
    <n v="59.67"/>
    <s v="Dinheiro"/>
    <x v="0"/>
  </r>
  <r>
    <s v="00193"/>
    <x v="3"/>
    <x v="0"/>
    <s v="08/2025"/>
    <d v="2025-08-21T00:00:00"/>
    <x v="169"/>
    <n v="1973.1000000000001"/>
    <n v="0"/>
    <n v="0"/>
    <n v="0"/>
    <n v="1973.1000000000001"/>
    <s v="Dinheiro"/>
    <x v="0"/>
  </r>
  <r>
    <s v="00024"/>
    <x v="0"/>
    <x v="0"/>
    <s v="08/2025"/>
    <d v="2025-08-21T00:00:00"/>
    <x v="169"/>
    <n v="583.80000000000007"/>
    <n v="0"/>
    <n v="0"/>
    <n v="0"/>
    <n v="583.80000000000007"/>
    <s v="Dinheiro"/>
    <x v="0"/>
  </r>
  <r>
    <s v="00193"/>
    <x v="3"/>
    <x v="0"/>
    <s v="08/2025"/>
    <d v="2025-08-21T00:00:00"/>
    <x v="169"/>
    <n v="1416.2"/>
    <n v="0"/>
    <n v="0"/>
    <n v="0"/>
    <n v="1416.2"/>
    <s v="Dinheiro"/>
    <x v="0"/>
  </r>
  <r>
    <s v="00160"/>
    <x v="31"/>
    <x v="15"/>
    <s v="08/2025"/>
    <d v="2025-08-21T00:00:00"/>
    <x v="169"/>
    <n v="546.5"/>
    <n v="0"/>
    <n v="0"/>
    <n v="0"/>
    <n v="546.5"/>
    <s v="Dinheiro"/>
    <x v="0"/>
  </r>
  <r>
    <s v="00102"/>
    <x v="84"/>
    <x v="36"/>
    <s v="07/2025"/>
    <d v="2025-07-28T00:00:00"/>
    <x v="169"/>
    <n v="2601.96"/>
    <n v="0"/>
    <n v="0"/>
    <n v="0"/>
    <n v="2601.96"/>
    <s v="Dinheiro"/>
    <x v="0"/>
  </r>
  <r>
    <s v="00074"/>
    <x v="54"/>
    <x v="16"/>
    <s v="08/2025"/>
    <d v="2025-08-17T00:00:00"/>
    <x v="169"/>
    <n v="99"/>
    <n v="0"/>
    <n v="0"/>
    <n v="0"/>
    <n v="99"/>
    <s v="Dinheiro"/>
    <x v="0"/>
  </r>
  <r>
    <s v="00463"/>
    <x v="272"/>
    <x v="19"/>
    <s v="08/2025"/>
    <d v="2025-08-21T00:00:00"/>
    <x v="169"/>
    <n v="1654.06"/>
    <n v="0"/>
    <n v="0"/>
    <n v="0"/>
    <n v="1654.06"/>
    <s v="Dinheiro"/>
    <x v="0"/>
  </r>
  <r>
    <s v="00072"/>
    <x v="105"/>
    <x v="40"/>
    <s v="08/2025"/>
    <d v="2025-08-20T00:00:00"/>
    <x v="169"/>
    <n v="17936.63"/>
    <n v="0"/>
    <n v="0"/>
    <n v="0"/>
    <n v="17936.63"/>
    <s v="Dinheiro"/>
    <x v="0"/>
  </r>
  <r>
    <s v="00160"/>
    <x v="31"/>
    <x v="15"/>
    <s v="08/2025"/>
    <d v="2025-08-21T00:00:00"/>
    <x v="169"/>
    <n v="568.24"/>
    <n v="0"/>
    <n v="0"/>
    <n v="0"/>
    <n v="568.24"/>
    <s v="Dinheiro"/>
    <x v="0"/>
  </r>
  <r>
    <s v="00444"/>
    <x v="266"/>
    <x v="59"/>
    <s v="08/2025"/>
    <d v="2025-08-22T00:00:00"/>
    <x v="170"/>
    <n v="6"/>
    <n v="0"/>
    <n v="0"/>
    <n v="0"/>
    <n v="6"/>
    <s v="Dinheiro"/>
    <x v="0"/>
  </r>
  <r>
    <s v="00516"/>
    <x v="344"/>
    <x v="59"/>
    <s v="08/2025"/>
    <d v="2025-08-22T00:00:00"/>
    <x v="170"/>
    <n v="84.5"/>
    <n v="0"/>
    <n v="0"/>
    <n v="0"/>
    <n v="84.5"/>
    <s v="Dinheiro"/>
    <x v="0"/>
  </r>
  <r>
    <s v="00292"/>
    <x v="278"/>
    <x v="5"/>
    <s v="08/2025"/>
    <d v="2025-08-22T00:00:00"/>
    <x v="170"/>
    <n v="35"/>
    <n v="0"/>
    <n v="0"/>
    <n v="0"/>
    <n v="35"/>
    <s v="Dinheiro"/>
    <x v="0"/>
  </r>
  <r>
    <s v="00032"/>
    <x v="120"/>
    <x v="45"/>
    <s v="08/2025"/>
    <d v="2025-08-22T00:00:00"/>
    <x v="170"/>
    <n v="13"/>
    <n v="0"/>
    <n v="0"/>
    <n v="0"/>
    <n v="13"/>
    <s v="Dinheiro"/>
    <x v="0"/>
  </r>
  <r>
    <s v="00032"/>
    <x v="120"/>
    <x v="45"/>
    <s v="08/2025"/>
    <d v="2025-08-22T00:00:00"/>
    <x v="170"/>
    <n v="91.960000000000008"/>
    <n v="0"/>
    <n v="0"/>
    <n v="0"/>
    <n v="91.960000000000008"/>
    <s v="Dinheiro"/>
    <x v="0"/>
  </r>
  <r>
    <s v="00471"/>
    <x v="295"/>
    <x v="8"/>
    <s v="08/2025"/>
    <d v="2025-08-22T00:00:00"/>
    <x v="170"/>
    <n v="320"/>
    <n v="0"/>
    <n v="0"/>
    <n v="0"/>
    <n v="320"/>
    <s v="Dinheiro"/>
    <x v="0"/>
  </r>
  <r>
    <s v="00104"/>
    <x v="380"/>
    <x v="80"/>
    <s v="08/2025"/>
    <d v="2025-08-20T00:00:00"/>
    <x v="170"/>
    <n v="82.19"/>
    <n v="0"/>
    <n v="0"/>
    <n v="0"/>
    <n v="82.19"/>
    <s v="Dinheiro"/>
    <x v="0"/>
  </r>
  <r>
    <s v="00362"/>
    <x v="7"/>
    <x v="3"/>
    <s v="08/2025"/>
    <d v="2025-08-21T00:00:00"/>
    <x v="170"/>
    <n v="2.04"/>
    <n v="0"/>
    <n v="0"/>
    <n v="0"/>
    <n v="2.04"/>
    <s v="Dinheiro"/>
    <x v="0"/>
  </r>
  <r>
    <s v="00362"/>
    <x v="7"/>
    <x v="3"/>
    <s v="08/2025"/>
    <d v="2025-08-21T00:00:00"/>
    <x v="170"/>
    <n v="4.08"/>
    <n v="0"/>
    <n v="0"/>
    <n v="0"/>
    <n v="4.08"/>
    <s v="Dinheiro"/>
    <x v="0"/>
  </r>
  <r>
    <s v="00362"/>
    <x v="7"/>
    <x v="3"/>
    <s v="08/2025"/>
    <d v="2025-08-22T00:00:00"/>
    <x v="170"/>
    <n v="2.04"/>
    <n v="0"/>
    <n v="0"/>
    <n v="0"/>
    <n v="2.04"/>
    <s v="Dinheiro"/>
    <x v="0"/>
  </r>
  <r>
    <s v="00022"/>
    <x v="115"/>
    <x v="46"/>
    <s v="08/2025"/>
    <d v="2025-08-22T00:00:00"/>
    <x v="170"/>
    <n v="103.98"/>
    <n v="0"/>
    <n v="0"/>
    <n v="0"/>
    <n v="103.98"/>
    <s v="Dinheiro"/>
    <x v="0"/>
  </r>
  <r>
    <s v="00471"/>
    <x v="295"/>
    <x v="19"/>
    <s v="08/2025"/>
    <d v="2025-08-22T00:00:00"/>
    <x v="170"/>
    <n v="1662.53"/>
    <n v="0"/>
    <n v="0"/>
    <n v="0"/>
    <n v="1662.53"/>
    <s v="Dinheiro"/>
    <x v="0"/>
  </r>
  <r>
    <s v="00036"/>
    <x v="109"/>
    <x v="76"/>
    <s v="08/2025"/>
    <d v="2025-08-25T00:00:00"/>
    <x v="171"/>
    <n v="6.42"/>
    <n v="0"/>
    <n v="0"/>
    <n v="0"/>
    <n v="6.42"/>
    <s v="Dinheiro"/>
    <x v="0"/>
  </r>
  <r>
    <s v="00039"/>
    <x v="231"/>
    <x v="9"/>
    <s v="08/2025"/>
    <d v="2025-08-25T00:00:00"/>
    <x v="171"/>
    <n v="36.200000000000003"/>
    <n v="0"/>
    <n v="0"/>
    <n v="0"/>
    <n v="36.200000000000003"/>
    <s v="Dinheiro"/>
    <x v="0"/>
  </r>
  <r>
    <s v="00072"/>
    <x v="105"/>
    <x v="43"/>
    <s v="08/2025"/>
    <d v="2025-08-20T00:00:00"/>
    <x v="171"/>
    <n v="2771.75"/>
    <n v="0"/>
    <n v="0"/>
    <n v="0"/>
    <n v="2771.75"/>
    <s v="Dinheiro"/>
    <x v="0"/>
  </r>
  <r>
    <s v="00133"/>
    <x v="24"/>
    <x v="8"/>
    <s v="08/2025"/>
    <d v="2025-08-25T00:00:00"/>
    <x v="171"/>
    <n v="350"/>
    <n v="0"/>
    <n v="0"/>
    <n v="0"/>
    <n v="350"/>
    <s v="Dinheiro"/>
    <x v="0"/>
  </r>
  <r>
    <s v="00134"/>
    <x v="18"/>
    <x v="8"/>
    <s v="08/2025"/>
    <d v="2025-08-25T00:00:00"/>
    <x v="171"/>
    <n v="244"/>
    <n v="0"/>
    <n v="0"/>
    <n v="0"/>
    <n v="244"/>
    <s v="Dinheiro"/>
    <x v="0"/>
  </r>
  <r>
    <s v="00292"/>
    <x v="278"/>
    <x v="5"/>
    <s v="08/2025"/>
    <d v="2025-08-26T00:00:00"/>
    <x v="172"/>
    <n v="35"/>
    <n v="0"/>
    <n v="0"/>
    <n v="0"/>
    <n v="35"/>
    <s v="Dinheiro"/>
    <x v="0"/>
  </r>
  <r>
    <s v="00114"/>
    <x v="419"/>
    <x v="8"/>
    <s v="08/2025"/>
    <d v="2025-08-26T00:00:00"/>
    <x v="172"/>
    <n v="79"/>
    <n v="0"/>
    <n v="0"/>
    <n v="0"/>
    <n v="79"/>
    <s v="Dinheiro"/>
    <x v="0"/>
  </r>
  <r>
    <s v="00067"/>
    <x v="132"/>
    <x v="51"/>
    <s v="06/2025"/>
    <d v="2025-08-25T00:00:00"/>
    <x v="172"/>
    <n v="370"/>
    <n v="0"/>
    <n v="0"/>
    <n v="0"/>
    <n v="370"/>
    <s v="Dinheiro"/>
    <x v="0"/>
  </r>
  <r>
    <s v="00381"/>
    <x v="99"/>
    <x v="26"/>
    <s v="08/2025"/>
    <d v="2025-08-25T00:00:00"/>
    <x v="172"/>
    <n v="390"/>
    <n v="0"/>
    <n v="0"/>
    <n v="0"/>
    <n v="390"/>
    <s v="Dinheiro"/>
    <x v="0"/>
  </r>
  <r>
    <s v="00468"/>
    <x v="236"/>
    <x v="34"/>
    <s v="08/2025"/>
    <d v="2025-08-26T00:00:00"/>
    <x v="172"/>
    <n v="2890"/>
    <n v="0"/>
    <n v="0"/>
    <n v="0"/>
    <n v="2890"/>
    <s v="Dinheiro"/>
    <x v="0"/>
  </r>
  <r>
    <s v="00028"/>
    <x v="108"/>
    <x v="76"/>
    <s v="08/2025"/>
    <d v="2025-08-26T00:00:00"/>
    <x v="172"/>
    <n v="76"/>
    <n v="0"/>
    <n v="0"/>
    <n v="0"/>
    <n v="76"/>
    <s v="Dinheiro"/>
    <x v="0"/>
  </r>
  <r>
    <s v="00362"/>
    <x v="7"/>
    <x v="3"/>
    <s v="08/2025"/>
    <d v="2025-08-26T00:00:00"/>
    <x v="172"/>
    <n v="9.14"/>
    <n v="0"/>
    <n v="0"/>
    <n v="0"/>
    <n v="9.14"/>
    <s v="Dinheiro"/>
    <x v="0"/>
  </r>
  <r>
    <s v="00362"/>
    <x v="7"/>
    <x v="3"/>
    <s v="08/2025"/>
    <d v="2025-08-26T00:00:00"/>
    <x v="172"/>
    <n v="8.16"/>
    <n v="0"/>
    <n v="0"/>
    <n v="0"/>
    <n v="8.16"/>
    <s v="Dinheiro"/>
    <x v="0"/>
  </r>
  <r>
    <s v="00362"/>
    <x v="7"/>
    <x v="3"/>
    <s v="08/2025"/>
    <d v="2025-08-26T00:00:00"/>
    <x v="172"/>
    <n v="2.04"/>
    <n v="0"/>
    <n v="0"/>
    <n v="0"/>
    <n v="2.04"/>
    <s v="Dinheiro"/>
    <x v="0"/>
  </r>
  <r>
    <s v="00036"/>
    <x v="109"/>
    <x v="59"/>
    <s v="08/2025"/>
    <d v="2025-08-27T00:00:00"/>
    <x v="173"/>
    <n v="10.38"/>
    <n v="0"/>
    <n v="0"/>
    <n v="0"/>
    <n v="10.38"/>
    <s v="Dinheiro"/>
    <x v="0"/>
  </r>
  <r>
    <s v="00362"/>
    <x v="7"/>
    <x v="34"/>
    <s v="08/2025"/>
    <d v="2025-08-27T00:00:00"/>
    <x v="173"/>
    <n v="2642.35"/>
    <n v="0"/>
    <n v="0"/>
    <n v="0"/>
    <n v="2642.35"/>
    <s v="Dinheiro"/>
    <x v="0"/>
  </r>
  <r>
    <s v="00362"/>
    <x v="7"/>
    <x v="3"/>
    <s v="08/2025"/>
    <d v="2025-08-27T00:00:00"/>
    <x v="173"/>
    <n v="8.16"/>
    <n v="0"/>
    <n v="0"/>
    <n v="0"/>
    <n v="8.16"/>
    <s v="Dinheiro"/>
    <x v="0"/>
  </r>
  <r>
    <s v="00362"/>
    <x v="7"/>
    <x v="3"/>
    <s v="08/2025"/>
    <d v="2025-08-27T00:00:00"/>
    <x v="173"/>
    <n v="2.04"/>
    <n v="0"/>
    <n v="0"/>
    <n v="0"/>
    <n v="2.04"/>
    <s v="Dinheiro"/>
    <x v="0"/>
  </r>
  <r>
    <s v="00362"/>
    <x v="7"/>
    <x v="34"/>
    <s v="08/2025"/>
    <d v="2025-08-27T00:00:00"/>
    <x v="173"/>
    <n v="1484.15"/>
    <n v="0"/>
    <n v="0"/>
    <n v="0"/>
    <n v="1484.15"/>
    <s v="Dinheiro"/>
    <x v="0"/>
  </r>
  <r>
    <s v="00261"/>
    <x v="175"/>
    <x v="38"/>
    <s v="08/2025"/>
    <d v="2025-08-26T00:00:00"/>
    <x v="173"/>
    <n v="43.65"/>
    <n v="0"/>
    <n v="0"/>
    <n v="0"/>
    <n v="43.65"/>
    <s v="Dinheiro"/>
    <x v="0"/>
  </r>
  <r>
    <s v="00223"/>
    <x v="32"/>
    <x v="8"/>
    <s v="08/2025"/>
    <d v="2025-08-27T00:00:00"/>
    <x v="173"/>
    <n v="250"/>
    <n v="0"/>
    <n v="0"/>
    <n v="0"/>
    <n v="250"/>
    <s v="Dinheiro"/>
    <x v="0"/>
  </r>
  <r>
    <s v="00032"/>
    <x v="120"/>
    <x v="45"/>
    <s v="08/2025"/>
    <d v="2025-08-28T00:00:00"/>
    <x v="174"/>
    <n v="110.16"/>
    <n v="0"/>
    <n v="0"/>
    <n v="0"/>
    <n v="110.16"/>
    <s v="Dinheiro"/>
    <x v="0"/>
  </r>
  <r>
    <s v="00089"/>
    <x v="420"/>
    <x v="1"/>
    <s v="08/2025"/>
    <d v="2025-08-28T00:00:00"/>
    <x v="174"/>
    <n v="10.4"/>
    <n v="0"/>
    <n v="0"/>
    <n v="0"/>
    <n v="10.4"/>
    <s v="Dinheiro"/>
    <x v="0"/>
  </r>
  <r>
    <s v="00072"/>
    <x v="105"/>
    <x v="40"/>
    <s v="08/2025"/>
    <d v="2025-08-29T00:00:00"/>
    <x v="175"/>
    <n v="693.72"/>
    <n v="0"/>
    <n v="0"/>
    <n v="0"/>
    <n v="693.72"/>
    <s v="Dinheiro"/>
    <x v="0"/>
  </r>
  <r>
    <s v="00416"/>
    <x v="184"/>
    <x v="1"/>
    <s v="08/2025"/>
    <d v="2025-08-01T00:00:00"/>
    <x v="150"/>
    <n v="44"/>
    <n v="0"/>
    <n v="0"/>
    <n v="0"/>
    <n v="44"/>
    <s v="Dinheiro"/>
    <x v="0"/>
  </r>
  <r>
    <s v="00353"/>
    <x v="61"/>
    <x v="14"/>
    <s v="08/2025"/>
    <d v="2025-08-01T00:00:00"/>
    <x v="150"/>
    <n v="500"/>
    <n v="0"/>
    <n v="0"/>
    <n v="0"/>
    <n v="500"/>
    <s v="Dinheiro"/>
    <x v="0"/>
  </r>
  <r>
    <s v="00275"/>
    <x v="42"/>
    <x v="1"/>
    <s v="08/2025"/>
    <d v="2025-08-01T00:00:00"/>
    <x v="150"/>
    <n v="24.7"/>
    <n v="0"/>
    <n v="0"/>
    <n v="0"/>
    <n v="24.7"/>
    <s v="Dinheiro"/>
    <x v="0"/>
  </r>
  <r>
    <s v="00281"/>
    <x v="421"/>
    <x v="56"/>
    <s v="08/2025"/>
    <d v="2025-08-05T00:00:00"/>
    <x v="154"/>
    <n v="19.96"/>
    <n v="0"/>
    <n v="0"/>
    <n v="0"/>
    <n v="19.96"/>
    <s v="Dinheiro"/>
    <x v="0"/>
  </r>
  <r>
    <s v="00385"/>
    <x v="396"/>
    <x v="14"/>
    <s v="08/2025"/>
    <d v="2025-08-11T00:00:00"/>
    <x v="158"/>
    <n v="120"/>
    <n v="0"/>
    <n v="0"/>
    <n v="0"/>
    <n v="120"/>
    <s v="Dinheiro"/>
    <x v="0"/>
  </r>
  <r>
    <s v="00416"/>
    <x v="184"/>
    <x v="8"/>
    <s v="08/2025"/>
    <d v="2025-08-11T00:00:00"/>
    <x v="158"/>
    <n v="600"/>
    <n v="0"/>
    <n v="0"/>
    <n v="0"/>
    <n v="600"/>
    <s v="Dinheiro"/>
    <x v="0"/>
  </r>
  <r>
    <s v="00502"/>
    <x v="331"/>
    <x v="29"/>
    <s v="09/2025"/>
    <d v="2025-09-10T00:00:00"/>
    <x v="159"/>
    <n v="1220"/>
    <n v="0"/>
    <n v="0"/>
    <n v="0"/>
    <n v="1220"/>
    <s v="Dinheiro"/>
    <x v="0"/>
  </r>
  <r>
    <s v="00503"/>
    <x v="338"/>
    <x v="29"/>
    <s v="08/2025"/>
    <d v="2025-08-12T00:00:00"/>
    <x v="151"/>
    <n v="400"/>
    <n v="0"/>
    <n v="0"/>
    <n v="0"/>
    <n v="400"/>
    <s v="Dinheiro"/>
    <x v="0"/>
  </r>
  <r>
    <s v="00065"/>
    <x v="422"/>
    <x v="9"/>
    <s v="08/2025"/>
    <d v="2025-08-12T00:00:00"/>
    <x v="151"/>
    <n v="17.89"/>
    <n v="0"/>
    <n v="0"/>
    <n v="0"/>
    <n v="17.89"/>
    <s v="Dinheiro"/>
    <x v="0"/>
  </r>
  <r>
    <s v="00065"/>
    <x v="422"/>
    <x v="9"/>
    <s v="08/2025"/>
    <d v="2025-08-12T00:00:00"/>
    <x v="151"/>
    <n v="21.8"/>
    <n v="0"/>
    <n v="0"/>
    <n v="0"/>
    <n v="21.8"/>
    <s v="Dinheiro"/>
    <x v="0"/>
  </r>
  <r>
    <s v="00362"/>
    <x v="7"/>
    <x v="48"/>
    <s v="05/2025"/>
    <d v="2025-08-26T00:00:00"/>
    <x v="173"/>
    <n v="15100.45"/>
    <n v="0"/>
    <n v="0"/>
    <n v="0"/>
    <n v="15100.45"/>
    <s v="Dinheiro"/>
    <x v="0"/>
  </r>
  <r>
    <s v="00089"/>
    <x v="420"/>
    <x v="38"/>
    <s v="09/2025"/>
    <d v="2025-09-01T00:00:00"/>
    <x v="176"/>
    <n v="10.4"/>
    <n v="0"/>
    <n v="0"/>
    <n v="0"/>
    <n v="10.4"/>
    <s v="Dinheiro"/>
    <x v="0"/>
  </r>
  <r>
    <s v="00416"/>
    <x v="184"/>
    <x v="8"/>
    <s v="09/2025"/>
    <d v="2025-09-01T00:00:00"/>
    <x v="176"/>
    <n v="280"/>
    <n v="0"/>
    <n v="0"/>
    <n v="0"/>
    <n v="280"/>
    <s v="Dinheiro"/>
    <x v="0"/>
  </r>
  <r>
    <s v="00032"/>
    <x v="120"/>
    <x v="45"/>
    <s v="09/2025"/>
    <d v="2025-09-03T00:00:00"/>
    <x v="177"/>
    <n v="7.05"/>
    <n v="0"/>
    <n v="0"/>
    <n v="0"/>
    <n v="7.05"/>
    <s v="Dinheiro"/>
    <x v="0"/>
  </r>
  <r>
    <s v="00093"/>
    <x v="119"/>
    <x v="2"/>
    <s v="09/2025"/>
    <d v="2025-09-03T00:00:00"/>
    <x v="177"/>
    <n v="3"/>
    <n v="0"/>
    <n v="0"/>
    <n v="0"/>
    <n v="3"/>
    <s v="Dinheiro"/>
    <x v="0"/>
  </r>
  <r>
    <s v="00330"/>
    <x v="14"/>
    <x v="13"/>
    <s v="09/2025"/>
    <d v="2025-09-03T00:00:00"/>
    <x v="177"/>
    <n v="550"/>
    <n v="0"/>
    <n v="0"/>
    <n v="0"/>
    <n v="550"/>
    <s v="Dinheiro"/>
    <x v="0"/>
  </r>
  <r>
    <s v="00444"/>
    <x v="266"/>
    <x v="27"/>
    <s v="09/2025"/>
    <d v="2025-09-03T00:00:00"/>
    <x v="177"/>
    <n v="55.7"/>
    <n v="0"/>
    <n v="0"/>
    <n v="0"/>
    <n v="55.7"/>
    <s v="Dinheiro"/>
    <x v="0"/>
  </r>
  <r>
    <s v="00575"/>
    <x v="423"/>
    <x v="23"/>
    <s v="09/2025"/>
    <d v="2025-09-04T00:00:00"/>
    <x v="178"/>
    <n v="800"/>
    <n v="0"/>
    <n v="0"/>
    <n v="0"/>
    <n v="800"/>
    <s v="Dinheiro"/>
    <x v="0"/>
  </r>
  <r>
    <s v="00051"/>
    <x v="101"/>
    <x v="37"/>
    <s v="09/2025"/>
    <d v="2025-09-04T00:00:00"/>
    <x v="178"/>
    <n v="20"/>
    <n v="0"/>
    <n v="0"/>
    <n v="0"/>
    <n v="20"/>
    <s v="Dinheiro"/>
    <x v="0"/>
  </r>
  <r>
    <s v="00403"/>
    <x v="160"/>
    <x v="9"/>
    <s v="09/2025"/>
    <d v="2025-09-05T00:00:00"/>
    <x v="179"/>
    <n v="700"/>
    <n v="0"/>
    <n v="0"/>
    <n v="0"/>
    <n v="700"/>
    <s v="Dinheiro"/>
    <x v="0"/>
  </r>
  <r>
    <s v="00416"/>
    <x v="184"/>
    <x v="15"/>
    <s v="09/2025"/>
    <d v="2025-09-05T00:00:00"/>
    <x v="179"/>
    <n v="1619"/>
    <n v="0"/>
    <n v="0"/>
    <n v="0"/>
    <n v="1619"/>
    <s v="Dinheiro"/>
    <x v="0"/>
  </r>
  <r>
    <s v="00316"/>
    <x v="17"/>
    <x v="8"/>
    <s v="09/2025"/>
    <d v="2025-09-08T00:00:00"/>
    <x v="180"/>
    <n v="182"/>
    <n v="0"/>
    <n v="0"/>
    <n v="0"/>
    <n v="182"/>
    <s v="Dinheiro"/>
    <x v="0"/>
  </r>
  <r>
    <s v="00513"/>
    <x v="342"/>
    <x v="8"/>
    <s v="09/2025"/>
    <d v="2025-09-08T00:00:00"/>
    <x v="180"/>
    <n v="176"/>
    <n v="0"/>
    <n v="0"/>
    <n v="0"/>
    <n v="176"/>
    <s v="Dinheiro"/>
    <x v="0"/>
  </r>
  <r>
    <s v="00364"/>
    <x v="16"/>
    <x v="8"/>
    <s v="09/2025"/>
    <d v="2025-09-08T00:00:00"/>
    <x v="180"/>
    <n v="40"/>
    <n v="0"/>
    <n v="0"/>
    <n v="0"/>
    <n v="40"/>
    <s v="Dinheiro"/>
    <x v="0"/>
  </r>
  <r>
    <s v="00416"/>
    <x v="184"/>
    <x v="8"/>
    <s v="09/2025"/>
    <d v="2025-09-08T00:00:00"/>
    <x v="180"/>
    <n v="272"/>
    <n v="0"/>
    <n v="0"/>
    <n v="0"/>
    <n v="272"/>
    <s v="Dinheiro"/>
    <x v="0"/>
  </r>
  <r>
    <s v="00133"/>
    <x v="24"/>
    <x v="8"/>
    <s v="09/2025"/>
    <d v="2025-09-08T00:00:00"/>
    <x v="180"/>
    <n v="80"/>
    <n v="0"/>
    <n v="0"/>
    <n v="0"/>
    <n v="80"/>
    <s v="Dinheiro"/>
    <x v="0"/>
  </r>
  <r>
    <s v="00032"/>
    <x v="120"/>
    <x v="45"/>
    <s v="09/2025"/>
    <d v="2025-09-09T00:00:00"/>
    <x v="181"/>
    <n v="91.960000000000008"/>
    <n v="0"/>
    <n v="0"/>
    <n v="0"/>
    <n v="91.960000000000008"/>
    <s v="Dinheiro"/>
    <x v="0"/>
  </r>
  <r>
    <s v="00036"/>
    <x v="109"/>
    <x v="76"/>
    <s v="09/2025"/>
    <d v="2025-09-09T00:00:00"/>
    <x v="181"/>
    <n v="57.6"/>
    <n v="0"/>
    <n v="0"/>
    <n v="0"/>
    <n v="57.6"/>
    <s v="Dinheiro"/>
    <x v="0"/>
  </r>
  <r>
    <s v="00036"/>
    <x v="109"/>
    <x v="59"/>
    <s v="09/2025"/>
    <d v="2025-09-09T00:00:00"/>
    <x v="181"/>
    <n v="7.05"/>
    <n v="0"/>
    <n v="0"/>
    <n v="0"/>
    <n v="7.05"/>
    <s v="Dinheiro"/>
    <x v="0"/>
  </r>
  <r>
    <s v="00292"/>
    <x v="278"/>
    <x v="5"/>
    <s v="09/2025"/>
    <d v="2025-09-09T00:00:00"/>
    <x v="181"/>
    <n v="35"/>
    <n v="0"/>
    <n v="0"/>
    <n v="0"/>
    <n v="35"/>
    <s v="Dinheiro"/>
    <x v="0"/>
  </r>
  <r>
    <s v="00030"/>
    <x v="424"/>
    <x v="2"/>
    <s v="09/2025"/>
    <d v="2025-09-09T00:00:00"/>
    <x v="181"/>
    <n v="38"/>
    <n v="0"/>
    <n v="0"/>
    <n v="0"/>
    <n v="38"/>
    <s v="Dinheiro"/>
    <x v="0"/>
  </r>
  <r>
    <s v="00133"/>
    <x v="24"/>
    <x v="8"/>
    <s v="09/2025"/>
    <d v="2025-09-09T00:00:00"/>
    <x v="181"/>
    <n v="120"/>
    <n v="0"/>
    <n v="0"/>
    <n v="0"/>
    <n v="120"/>
    <s v="Dinheiro"/>
    <x v="0"/>
  </r>
  <r>
    <s v="00054"/>
    <x v="348"/>
    <x v="84"/>
    <s v="09/2025"/>
    <d v="2025-09-10T00:00:00"/>
    <x v="159"/>
    <n v="21.8"/>
    <n v="0"/>
    <n v="0"/>
    <n v="0"/>
    <n v="21.8"/>
    <s v="Dinheiro"/>
    <x v="0"/>
  </r>
  <r>
    <s v="00580"/>
    <x v="425"/>
    <x v="81"/>
    <s v="09/2025"/>
    <d v="2025-09-10T00:00:00"/>
    <x v="159"/>
    <n v="16"/>
    <n v="0"/>
    <n v="0"/>
    <n v="0"/>
    <n v="16"/>
    <s v="Dinheiro"/>
    <x v="0"/>
  </r>
  <r>
    <s v="00467"/>
    <x v="275"/>
    <x v="37"/>
    <s v="09/2025"/>
    <d v="2025-09-10T00:00:00"/>
    <x v="159"/>
    <n v="24"/>
    <n v="0"/>
    <n v="0"/>
    <n v="0"/>
    <n v="24"/>
    <s v="Dinheiro"/>
    <x v="0"/>
  </r>
  <r>
    <s v="00581"/>
    <x v="426"/>
    <x v="14"/>
    <s v="09/2025"/>
    <d v="2025-09-10T00:00:00"/>
    <x v="159"/>
    <n v="150"/>
    <n v="0"/>
    <n v="0"/>
    <n v="0"/>
    <n v="150"/>
    <s v="Dinheiro"/>
    <x v="0"/>
  </r>
  <r>
    <s v="00582"/>
    <x v="427"/>
    <x v="45"/>
    <s v="09/2025"/>
    <d v="2025-09-10T00:00:00"/>
    <x v="159"/>
    <n v="79.960000000000008"/>
    <n v="0"/>
    <n v="0"/>
    <n v="0"/>
    <n v="79.960000000000008"/>
    <s v="Dinheiro"/>
    <x v="0"/>
  </r>
  <r>
    <s v="00583"/>
    <x v="428"/>
    <x v="45"/>
    <s v="09/2025"/>
    <d v="2025-09-10T00:00:00"/>
    <x v="159"/>
    <n v="93.54"/>
    <n v="0"/>
    <n v="0"/>
    <n v="0"/>
    <n v="93.54"/>
    <s v="Dinheiro"/>
    <x v="0"/>
  </r>
  <r>
    <s v="00583"/>
    <x v="428"/>
    <x v="45"/>
    <s v="09/2025"/>
    <d v="2025-09-10T00:00:00"/>
    <x v="159"/>
    <n v="0.24"/>
    <n v="0"/>
    <n v="0"/>
    <n v="0"/>
    <n v="0.24"/>
    <s v="Dinheiro"/>
    <x v="0"/>
  </r>
  <r>
    <s v="00037"/>
    <x v="177"/>
    <x v="38"/>
    <s v="08/2025"/>
    <d v="2025-08-09T00:00:00"/>
    <x v="159"/>
    <n v="49.93"/>
    <n v="0"/>
    <n v="0"/>
    <n v="0"/>
    <n v="49.93"/>
    <s v="Dinheiro"/>
    <x v="0"/>
  </r>
  <r>
    <s v="00037"/>
    <x v="177"/>
    <x v="38"/>
    <s v="09/2025"/>
    <d v="2025-09-10T00:00:00"/>
    <x v="159"/>
    <n v="40.83"/>
    <n v="0"/>
    <n v="0"/>
    <n v="0"/>
    <n v="40.83"/>
    <s v="Dinheiro"/>
    <x v="0"/>
  </r>
  <r>
    <s v="00168"/>
    <x v="39"/>
    <x v="45"/>
    <s v="09/2025"/>
    <d v="2025-09-10T00:00:00"/>
    <x v="159"/>
    <n v="55"/>
    <n v="0"/>
    <n v="0"/>
    <n v="0"/>
    <n v="55"/>
    <s v="Dinheiro"/>
    <x v="0"/>
  </r>
  <r>
    <s v="00464"/>
    <x v="273"/>
    <x v="8"/>
    <s v="09/2025"/>
    <d v="2025-09-10T00:00:00"/>
    <x v="159"/>
    <n v="100"/>
    <n v="0"/>
    <n v="0"/>
    <n v="0"/>
    <n v="100"/>
    <s v="Dinheiro"/>
    <x v="0"/>
  </r>
  <r>
    <s v="00349"/>
    <x v="25"/>
    <x v="8"/>
    <s v="09/2025"/>
    <d v="2025-09-10T00:00:00"/>
    <x v="159"/>
    <n v="150"/>
    <n v="0"/>
    <n v="0"/>
    <n v="0"/>
    <n v="150"/>
    <s v="Dinheiro"/>
    <x v="0"/>
  </r>
  <r>
    <s v="00511"/>
    <x v="241"/>
    <x v="8"/>
    <s v="09/2025"/>
    <d v="2025-09-10T00:00:00"/>
    <x v="159"/>
    <n v="250"/>
    <n v="0"/>
    <n v="0"/>
    <n v="0"/>
    <n v="250"/>
    <s v="Dinheiro"/>
    <x v="0"/>
  </r>
  <r>
    <s v="00416"/>
    <x v="184"/>
    <x v="8"/>
    <s v="09/2025"/>
    <d v="2025-09-10T00:00:00"/>
    <x v="159"/>
    <n v="640"/>
    <n v="0"/>
    <n v="0"/>
    <n v="0"/>
    <n v="640"/>
    <s v="Dinheiro"/>
    <x v="0"/>
  </r>
  <r>
    <s v="00133"/>
    <x v="24"/>
    <x v="8"/>
    <s v="09/2025"/>
    <d v="2025-09-10T00:00:00"/>
    <x v="159"/>
    <n v="720"/>
    <n v="0"/>
    <n v="0"/>
    <n v="0"/>
    <n v="720"/>
    <s v="Dinheiro"/>
    <x v="0"/>
  </r>
  <r>
    <s v="00364"/>
    <x v="16"/>
    <x v="8"/>
    <s v="09/2025"/>
    <d v="2025-09-10T00:00:00"/>
    <x v="159"/>
    <n v="320"/>
    <n v="0"/>
    <n v="0"/>
    <n v="0"/>
    <n v="320"/>
    <s v="Dinheiro"/>
    <x v="0"/>
  </r>
  <r>
    <s v="00513"/>
    <x v="342"/>
    <x v="8"/>
    <s v="09/2025"/>
    <d v="2025-09-10T00:00:00"/>
    <x v="159"/>
    <n v="520"/>
    <n v="0"/>
    <n v="0"/>
    <n v="0"/>
    <n v="520"/>
    <s v="Dinheiro"/>
    <x v="0"/>
  </r>
  <r>
    <s v="00316"/>
    <x v="17"/>
    <x v="8"/>
    <s v="09/2025"/>
    <d v="2025-09-10T00:00:00"/>
    <x v="159"/>
    <n v="600"/>
    <n v="0"/>
    <n v="0"/>
    <n v="0"/>
    <n v="600"/>
    <s v="Dinheiro"/>
    <x v="0"/>
  </r>
  <r>
    <s v="00351"/>
    <x v="42"/>
    <x v="8"/>
    <s v="09/2025"/>
    <d v="2025-09-10T00:00:00"/>
    <x v="159"/>
    <n v="200"/>
    <n v="0"/>
    <n v="0"/>
    <n v="0"/>
    <n v="200"/>
    <s v="Dinheiro"/>
    <x v="0"/>
  </r>
  <r>
    <s v="00552"/>
    <x v="395"/>
    <x v="8"/>
    <s v="09/2025"/>
    <d v="2025-09-10T00:00:00"/>
    <x v="159"/>
    <n v="70"/>
    <n v="0"/>
    <n v="0"/>
    <n v="0"/>
    <n v="70"/>
    <s v="Dinheiro"/>
    <x v="0"/>
  </r>
  <r>
    <s v="00553"/>
    <x v="396"/>
    <x v="8"/>
    <s v="09/2025"/>
    <d v="2025-09-11T00:00:00"/>
    <x v="161"/>
    <n v="200"/>
    <n v="0"/>
    <n v="0"/>
    <n v="0"/>
    <n v="200"/>
    <s v="Dinheiro"/>
    <x v="0"/>
  </r>
  <r>
    <s v="00292"/>
    <x v="278"/>
    <x v="5"/>
    <s v="09/2025"/>
    <d v="2025-09-11T00:00:00"/>
    <x v="161"/>
    <n v="35"/>
    <n v="0"/>
    <n v="0"/>
    <n v="0"/>
    <n v="35"/>
    <s v="Dinheiro"/>
    <x v="0"/>
  </r>
  <r>
    <s v="00587"/>
    <x v="429"/>
    <x v="23"/>
    <s v="09/2025"/>
    <d v="2025-09-11T00:00:00"/>
    <x v="161"/>
    <n v="14"/>
    <n v="0"/>
    <n v="0"/>
    <n v="0"/>
    <n v="14"/>
    <s v="Dinheiro"/>
    <x v="0"/>
  </r>
  <r>
    <s v="00388"/>
    <x v="122"/>
    <x v="8"/>
    <s v="09/2025"/>
    <d v="2025-09-10T00:00:00"/>
    <x v="161"/>
    <n v="300"/>
    <n v="0"/>
    <n v="0"/>
    <n v="0"/>
    <n v="300"/>
    <s v="Dinheiro"/>
    <x v="0"/>
  </r>
  <r>
    <s v="00032"/>
    <x v="120"/>
    <x v="45"/>
    <s v="09/2025"/>
    <d v="2025-09-11T00:00:00"/>
    <x v="161"/>
    <n v="16.8"/>
    <n v="0"/>
    <n v="0"/>
    <n v="0"/>
    <n v="16.8"/>
    <s v="Dinheiro"/>
    <x v="0"/>
  </r>
  <r>
    <s v="00392"/>
    <x v="133"/>
    <x v="45"/>
    <s v="09/2025"/>
    <d v="2025-09-11T00:00:00"/>
    <x v="161"/>
    <n v="19.990000000000002"/>
    <n v="0"/>
    <n v="0"/>
    <n v="0"/>
    <n v="19.990000000000002"/>
    <s v="Dinheiro"/>
    <x v="0"/>
  </r>
  <r>
    <s v="00028"/>
    <x v="108"/>
    <x v="76"/>
    <s v="09/2025"/>
    <d v="2025-09-11T00:00:00"/>
    <x v="161"/>
    <n v="50"/>
    <n v="0"/>
    <n v="0"/>
    <n v="0"/>
    <n v="50"/>
    <s v="Dinheiro"/>
    <x v="0"/>
  </r>
  <r>
    <s v="00032"/>
    <x v="120"/>
    <x v="45"/>
    <s v="09/2025"/>
    <d v="2025-09-11T00:00:00"/>
    <x v="161"/>
    <n v="44.300000000000004"/>
    <n v="0"/>
    <n v="0"/>
    <n v="0"/>
    <n v="44.300000000000004"/>
    <s v="Dinheiro"/>
    <x v="0"/>
  </r>
  <r>
    <s v="00114"/>
    <x v="419"/>
    <x v="76"/>
    <s v="09/2025"/>
    <d v="2025-09-11T00:00:00"/>
    <x v="161"/>
    <n v="79"/>
    <n v="0"/>
    <n v="0"/>
    <n v="0"/>
    <n v="79"/>
    <s v="Dinheiro"/>
    <x v="0"/>
  </r>
  <r>
    <s v="00032"/>
    <x v="120"/>
    <x v="45"/>
    <s v="09/2025"/>
    <d v="2025-09-11T00:00:00"/>
    <x v="161"/>
    <n v="5.7"/>
    <n v="0"/>
    <n v="0"/>
    <n v="0"/>
    <n v="5.7"/>
    <s v="Dinheiro"/>
    <x v="0"/>
  </r>
  <r>
    <s v="00058"/>
    <x v="88"/>
    <x v="45"/>
    <s v="09/2025"/>
    <d v="2025-09-12T00:00:00"/>
    <x v="182"/>
    <n v="65.98"/>
    <n v="0"/>
    <n v="0"/>
    <n v="0"/>
    <n v="65.98"/>
    <s v="Dinheiro"/>
    <x v="0"/>
  </r>
  <r>
    <s v="00467"/>
    <x v="275"/>
    <x v="37"/>
    <s v="09/2025"/>
    <d v="2025-09-12T00:00:00"/>
    <x v="182"/>
    <n v="84"/>
    <n v="0"/>
    <n v="0"/>
    <n v="0"/>
    <n v="84"/>
    <s v="Dinheiro"/>
    <x v="0"/>
  </r>
  <r>
    <s v="00364"/>
    <x v="16"/>
    <x v="8"/>
    <s v="09/2025"/>
    <d v="2025-09-12T00:00:00"/>
    <x v="182"/>
    <n v="50"/>
    <n v="0"/>
    <n v="0"/>
    <n v="0"/>
    <n v="50"/>
    <s v="Dinheiro"/>
    <x v="0"/>
  </r>
  <r>
    <s v="00036"/>
    <x v="109"/>
    <x v="76"/>
    <s v="09/2025"/>
    <d v="2025-09-12T00:00:00"/>
    <x v="182"/>
    <n v="31.41"/>
    <n v="0"/>
    <n v="0"/>
    <n v="0"/>
    <n v="31.41"/>
    <s v="Dinheiro"/>
    <x v="0"/>
  </r>
  <r>
    <s v="00036"/>
    <x v="109"/>
    <x v="76"/>
    <s v="09/2025"/>
    <d v="2025-09-12T00:00:00"/>
    <x v="182"/>
    <n v="4.99"/>
    <n v="0"/>
    <n v="0"/>
    <n v="0"/>
    <n v="4.99"/>
    <s v="Dinheiro"/>
    <x v="0"/>
  </r>
  <r>
    <s v="00448"/>
    <x v="269"/>
    <x v="8"/>
    <s v="09/2025"/>
    <d v="2025-09-12T00:00:00"/>
    <x v="182"/>
    <n v="200"/>
    <n v="0"/>
    <n v="0"/>
    <n v="0"/>
    <n v="200"/>
    <s v="Dinheiro"/>
    <x v="0"/>
  </r>
  <r>
    <s v="00351"/>
    <x v="42"/>
    <x v="8"/>
    <s v="09/2025"/>
    <d v="2025-09-12T00:00:00"/>
    <x v="182"/>
    <n v="200"/>
    <n v="0"/>
    <n v="0"/>
    <n v="0"/>
    <n v="200"/>
    <s v="Dinheiro"/>
    <x v="0"/>
  </r>
  <r>
    <s v="00397"/>
    <x v="152"/>
    <x v="8"/>
    <s v="09/2025"/>
    <d v="2025-09-12T00:00:00"/>
    <x v="182"/>
    <n v="200"/>
    <n v="0"/>
    <n v="0"/>
    <n v="0"/>
    <n v="200"/>
    <s v="Dinheiro"/>
    <x v="0"/>
  </r>
  <r>
    <s v="00037"/>
    <x v="177"/>
    <x v="38"/>
    <s v="09/2025"/>
    <d v="2025-09-11T00:00:00"/>
    <x v="182"/>
    <n v="36.800000000000004"/>
    <n v="0"/>
    <n v="0"/>
    <n v="0"/>
    <n v="36.800000000000004"/>
    <s v="Dinheiro"/>
    <x v="0"/>
  </r>
  <r>
    <s v="00168"/>
    <x v="39"/>
    <x v="38"/>
    <s v="09/2025"/>
    <d v="2025-09-12T00:00:00"/>
    <x v="182"/>
    <n v="91.960000000000008"/>
    <n v="0"/>
    <n v="0"/>
    <n v="0"/>
    <n v="91.960000000000008"/>
    <s v="Dinheiro"/>
    <x v="0"/>
  </r>
  <r>
    <s v="00036"/>
    <x v="109"/>
    <x v="76"/>
    <s v="09/2025"/>
    <d v="2025-09-15T00:00:00"/>
    <x v="183"/>
    <n v="14.59"/>
    <n v="0"/>
    <n v="0"/>
    <n v="0"/>
    <n v="14.59"/>
    <s v="Dinheiro"/>
    <x v="0"/>
  </r>
  <r>
    <s v="00416"/>
    <x v="184"/>
    <x v="8"/>
    <s v="09/2025"/>
    <d v="2025-09-16T00:00:00"/>
    <x v="184"/>
    <n v="66"/>
    <n v="0"/>
    <n v="0"/>
    <n v="0"/>
    <n v="66"/>
    <s v="Dinheiro"/>
    <x v="0"/>
  </r>
  <r>
    <s v="00134"/>
    <x v="18"/>
    <x v="8"/>
    <s v="09/2025"/>
    <d v="2025-09-16T00:00:00"/>
    <x v="184"/>
    <n v="40"/>
    <n v="0"/>
    <n v="0"/>
    <n v="0"/>
    <n v="40"/>
    <s v="Dinheiro"/>
    <x v="0"/>
  </r>
  <r>
    <s v="00032"/>
    <x v="120"/>
    <x v="45"/>
    <s v="09/2025"/>
    <d v="2025-09-17T00:00:00"/>
    <x v="185"/>
    <n v="52.89"/>
    <n v="0"/>
    <n v="0"/>
    <n v="0"/>
    <n v="52.89"/>
    <s v="Dinheiro"/>
    <x v="0"/>
  </r>
  <r>
    <s v="00581"/>
    <x v="426"/>
    <x v="1"/>
    <s v="09/2025"/>
    <d v="2025-09-17T00:00:00"/>
    <x v="185"/>
    <n v="139.20000000000002"/>
    <n v="0"/>
    <n v="0"/>
    <n v="0"/>
    <n v="139.20000000000002"/>
    <s v="Dinheiro"/>
    <x v="0"/>
  </r>
  <r>
    <s v="00041"/>
    <x v="354"/>
    <x v="12"/>
    <s v="09/2025"/>
    <d v="2025-09-17T00:00:00"/>
    <x v="185"/>
    <n v="25"/>
    <n v="0"/>
    <n v="0"/>
    <n v="0"/>
    <n v="25"/>
    <s v="Dinheiro"/>
    <x v="0"/>
  </r>
  <r>
    <s v="00292"/>
    <x v="278"/>
    <x v="5"/>
    <s v="09/2025"/>
    <d v="2025-09-17T00:00:00"/>
    <x v="185"/>
    <n v="35"/>
    <n v="0"/>
    <n v="0"/>
    <n v="0"/>
    <n v="35"/>
    <s v="Dinheiro"/>
    <x v="0"/>
  </r>
  <r>
    <s v="00134"/>
    <x v="18"/>
    <x v="8"/>
    <s v="09/2025"/>
    <d v="2025-09-17T00:00:00"/>
    <x v="185"/>
    <n v="100"/>
    <n v="0"/>
    <n v="0"/>
    <n v="0"/>
    <n v="100"/>
    <s v="Dinheiro"/>
    <x v="0"/>
  </r>
  <r>
    <s v="00041"/>
    <x v="354"/>
    <x v="12"/>
    <s v="09/2025"/>
    <d v="2025-09-18T00:00:00"/>
    <x v="162"/>
    <n v="25"/>
    <n v="0"/>
    <n v="0"/>
    <n v="0"/>
    <n v="25"/>
    <s v="Dinheiro"/>
    <x v="0"/>
  </r>
  <r>
    <s v="00592"/>
    <x v="430"/>
    <x v="8"/>
    <s v="09/2025"/>
    <d v="2025-09-18T00:00:00"/>
    <x v="162"/>
    <n v="50"/>
    <n v="0"/>
    <n v="0"/>
    <n v="0"/>
    <n v="50"/>
    <s v="Dinheiro"/>
    <x v="0"/>
  </r>
  <r>
    <s v="00032"/>
    <x v="120"/>
    <x v="45"/>
    <s v="09/2025"/>
    <d v="2025-09-19T00:00:00"/>
    <x v="186"/>
    <n v="35.1"/>
    <n v="0"/>
    <n v="0"/>
    <n v="0"/>
    <n v="35.1"/>
    <s v="Dinheiro"/>
    <x v="0"/>
  </r>
  <r>
    <s v="00032"/>
    <x v="120"/>
    <x v="45"/>
    <s v="09/2025"/>
    <d v="2025-09-22T00:00:00"/>
    <x v="187"/>
    <n v="5.5"/>
    <n v="0"/>
    <n v="0"/>
    <n v="0"/>
    <n v="5.5"/>
    <s v="Dinheiro"/>
    <x v="0"/>
  </r>
  <r>
    <s v="00032"/>
    <x v="120"/>
    <x v="45"/>
    <s v="09/2025"/>
    <d v="2025-09-22T00:00:00"/>
    <x v="187"/>
    <n v="23.96"/>
    <n v="0"/>
    <n v="0"/>
    <n v="0"/>
    <n v="23.96"/>
    <s v="Dinheiro"/>
    <x v="0"/>
  </r>
  <r>
    <s v="00032"/>
    <x v="120"/>
    <x v="45"/>
    <s v="09/2025"/>
    <d v="2025-09-22T00:00:00"/>
    <x v="187"/>
    <n v="5.5"/>
    <n v="0"/>
    <n v="0"/>
    <n v="0"/>
    <n v="5.5"/>
    <s v="Dinheiro"/>
    <x v="0"/>
  </r>
  <r>
    <s v="00036"/>
    <x v="109"/>
    <x v="45"/>
    <s v="09/2025"/>
    <d v="2025-09-22T00:00:00"/>
    <x v="187"/>
    <n v="6.25"/>
    <n v="0"/>
    <n v="0"/>
    <n v="0"/>
    <n v="6.25"/>
    <s v="Dinheiro"/>
    <x v="0"/>
  </r>
  <r>
    <s v="00050"/>
    <x v="431"/>
    <x v="25"/>
    <s v="09/2025"/>
    <d v="2025-09-22T00:00:00"/>
    <x v="187"/>
    <n v="43"/>
    <n v="0"/>
    <n v="0"/>
    <n v="0"/>
    <n v="43"/>
    <s v="Dinheiro"/>
    <x v="0"/>
  </r>
  <r>
    <s v="00133"/>
    <x v="24"/>
    <x v="8"/>
    <s v="09/2025"/>
    <d v="2025-09-22T00:00:00"/>
    <x v="187"/>
    <n v="60"/>
    <n v="0"/>
    <n v="0"/>
    <n v="0"/>
    <n v="60"/>
    <s v="Dinheiro"/>
    <x v="0"/>
  </r>
  <r>
    <s v="00513"/>
    <x v="342"/>
    <x v="8"/>
    <s v="09/2025"/>
    <d v="2025-09-22T00:00:00"/>
    <x v="187"/>
    <n v="35.94"/>
    <n v="0"/>
    <n v="0"/>
    <n v="0"/>
    <n v="35.94"/>
    <s v="Dinheiro"/>
    <x v="0"/>
  </r>
  <r>
    <s v="00032"/>
    <x v="120"/>
    <x v="45"/>
    <s v="09/2025"/>
    <d v="2025-09-23T00:00:00"/>
    <x v="188"/>
    <n v="20"/>
    <n v="0"/>
    <n v="0"/>
    <n v="0"/>
    <n v="20"/>
    <s v="Dinheiro"/>
    <x v="0"/>
  </r>
  <r>
    <s v="00596"/>
    <x v="432"/>
    <x v="23"/>
    <s v="09/2025"/>
    <d v="2025-09-23T00:00:00"/>
    <x v="189"/>
    <n v="700"/>
    <n v="0"/>
    <n v="0"/>
    <n v="0"/>
    <n v="700"/>
    <s v="Pix"/>
    <x v="0"/>
  </r>
  <r>
    <s v="00507"/>
    <x v="339"/>
    <x v="78"/>
    <s v="09/2025"/>
    <d v="2025-09-25T00:00:00"/>
    <x v="190"/>
    <n v="8.61"/>
    <n v="0"/>
    <n v="0"/>
    <n v="0"/>
    <n v="8.61"/>
    <s v="Dinheiro"/>
    <x v="0"/>
  </r>
  <r>
    <s v="00602"/>
    <x v="433"/>
    <x v="76"/>
    <s v="09/2025"/>
    <d v="2025-09-25T00:00:00"/>
    <x v="190"/>
    <n v="63.56"/>
    <n v="0"/>
    <n v="0"/>
    <n v="0"/>
    <n v="63.56"/>
    <s v="Dinheiro"/>
    <x v="0"/>
  </r>
  <r>
    <s v="00603"/>
    <x v="434"/>
    <x v="8"/>
    <s v="09/2025"/>
    <d v="2025-09-25T00:00:00"/>
    <x v="190"/>
    <n v="50"/>
    <n v="0"/>
    <n v="0"/>
    <n v="0"/>
    <n v="50"/>
    <s v="Dinheiro"/>
    <x v="0"/>
  </r>
  <r>
    <s v="00037"/>
    <x v="177"/>
    <x v="38"/>
    <s v="09/2025"/>
    <d v="2025-09-25T00:00:00"/>
    <x v="190"/>
    <n v="95.79"/>
    <n v="0"/>
    <n v="0"/>
    <n v="0"/>
    <n v="95.79"/>
    <s v="Dinheiro"/>
    <x v="0"/>
  </r>
  <r>
    <s v="00054"/>
    <x v="348"/>
    <x v="45"/>
    <s v="09/2025"/>
    <d v="2025-09-26T00:00:00"/>
    <x v="191"/>
    <n v="28"/>
    <n v="0"/>
    <n v="0"/>
    <n v="0"/>
    <n v="28"/>
    <s v="Dinheiro"/>
    <x v="0"/>
  </r>
  <r>
    <s v="00328"/>
    <x v="270"/>
    <x v="45"/>
    <s v="09/2025"/>
    <d v="2025-09-26T00:00:00"/>
    <x v="191"/>
    <n v="4.49"/>
    <n v="0"/>
    <n v="0"/>
    <n v="0"/>
    <n v="4.49"/>
    <s v="Dinheiro"/>
    <x v="0"/>
  </r>
  <r>
    <s v="00292"/>
    <x v="278"/>
    <x v="5"/>
    <s v="09/2025"/>
    <d v="2025-09-26T00:00:00"/>
    <x v="191"/>
    <n v="35"/>
    <n v="0"/>
    <n v="0"/>
    <n v="0"/>
    <n v="35"/>
    <s v="Dinheiro"/>
    <x v="0"/>
  </r>
  <r>
    <s v="00041"/>
    <x v="354"/>
    <x v="12"/>
    <s v="09/2025"/>
    <d v="2025-09-26T00:00:00"/>
    <x v="191"/>
    <n v="27"/>
    <n v="0"/>
    <n v="0"/>
    <n v="0"/>
    <n v="27"/>
    <s v="Dinheiro"/>
    <x v="0"/>
  </r>
  <r>
    <s v="00028"/>
    <x v="108"/>
    <x v="76"/>
    <s v="09/2025"/>
    <d v="2025-09-26T00:00:00"/>
    <x v="191"/>
    <n v="25"/>
    <n v="0"/>
    <n v="0"/>
    <n v="0"/>
    <n v="25"/>
    <s v="Dinheiro"/>
    <x v="0"/>
  </r>
  <r>
    <s v="00223"/>
    <x v="32"/>
    <x v="8"/>
    <s v="09/2025"/>
    <d v="2025-09-25T00:00:00"/>
    <x v="191"/>
    <n v="250"/>
    <n v="0"/>
    <n v="0"/>
    <n v="0"/>
    <n v="250"/>
    <s v="Dinheiro"/>
    <x v="0"/>
  </r>
  <r>
    <s v="00604"/>
    <x v="435"/>
    <x v="12"/>
    <s v="09/2025"/>
    <d v="2025-09-29T00:00:00"/>
    <x v="192"/>
    <n v="25"/>
    <n v="0"/>
    <n v="0"/>
    <n v="0"/>
    <n v="25"/>
    <s v="Dinheiro"/>
    <x v="0"/>
  </r>
  <r>
    <s v="00133"/>
    <x v="24"/>
    <x v="8"/>
    <s v="09/2025"/>
    <d v="2025-09-29T00:00:00"/>
    <x v="192"/>
    <n v="40"/>
    <n v="0"/>
    <n v="0"/>
    <n v="0"/>
    <n v="40"/>
    <s v="Dinheiro"/>
    <x v="0"/>
  </r>
  <r>
    <s v="00036"/>
    <x v="109"/>
    <x v="59"/>
    <s v="09/2025"/>
    <d v="2025-09-30T00:00:00"/>
    <x v="193"/>
    <n v="36.53"/>
    <n v="0"/>
    <n v="0"/>
    <n v="0"/>
    <n v="36.53"/>
    <s v="Dinheiro"/>
    <x v="0"/>
  </r>
  <r>
    <s v="00608"/>
    <x v="436"/>
    <x v="8"/>
    <s v="09/2025"/>
    <d v="2025-09-30T00:00:00"/>
    <x v="193"/>
    <n v="50"/>
    <n v="0"/>
    <n v="0"/>
    <n v="0"/>
    <n v="50"/>
    <s v="Dinheiro"/>
    <x v="0"/>
  </r>
  <r>
    <s v="00552"/>
    <x v="395"/>
    <x v="1"/>
    <s v="09/2025"/>
    <d v="2025-09-01T00:00:00"/>
    <x v="176"/>
    <n v="278.40000000000003"/>
    <n v="0"/>
    <n v="0"/>
    <n v="0"/>
    <n v="278.40000000000003"/>
    <s v="Dinheiro"/>
    <x v="0"/>
  </r>
  <r>
    <s v="00160"/>
    <x v="31"/>
    <x v="1"/>
    <s v="09/2025"/>
    <d v="2025-09-01T00:00:00"/>
    <x v="176"/>
    <n v="301.60000000000002"/>
    <n v="0"/>
    <n v="0"/>
    <n v="0"/>
    <n v="301.60000000000002"/>
    <s v="Dinheiro"/>
    <x v="0"/>
  </r>
  <r>
    <s v="00316"/>
    <x v="17"/>
    <x v="1"/>
    <s v="09/2025"/>
    <d v="2025-09-01T00:00:00"/>
    <x v="176"/>
    <n v="492.2"/>
    <n v="0"/>
    <n v="0"/>
    <n v="0"/>
    <n v="492.2"/>
    <s v="Dinheiro"/>
    <x v="0"/>
  </r>
  <r>
    <s v="00474"/>
    <x v="298"/>
    <x v="1"/>
    <s v="09/2025"/>
    <d v="2025-09-01T00:00:00"/>
    <x v="176"/>
    <n v="255.20000000000002"/>
    <n v="0"/>
    <n v="0"/>
    <n v="0"/>
    <n v="255.20000000000002"/>
    <s v="Dinheiro"/>
    <x v="0"/>
  </r>
  <r>
    <s v="00223"/>
    <x v="32"/>
    <x v="1"/>
    <s v="09/2025"/>
    <d v="2025-09-01T00:00:00"/>
    <x v="176"/>
    <n v="448.8"/>
    <n v="0"/>
    <n v="0"/>
    <n v="0"/>
    <n v="448.8"/>
    <s v="Dinheiro"/>
    <x v="0"/>
  </r>
  <r>
    <s v="00411"/>
    <x v="181"/>
    <x v="1"/>
    <s v="09/2025"/>
    <d v="2025-09-01T00:00:00"/>
    <x v="176"/>
    <n v="278.40000000000003"/>
    <n v="0"/>
    <n v="0"/>
    <n v="0"/>
    <n v="278.40000000000003"/>
    <s v="Dinheiro"/>
    <x v="0"/>
  </r>
  <r>
    <s v="00349"/>
    <x v="25"/>
    <x v="1"/>
    <s v="09/2025"/>
    <d v="2025-09-01T00:00:00"/>
    <x v="176"/>
    <n v="530.4"/>
    <n v="0"/>
    <n v="0"/>
    <n v="0"/>
    <n v="530.4"/>
    <s v="Dinheiro"/>
    <x v="0"/>
  </r>
  <r>
    <s v="00478"/>
    <x v="290"/>
    <x v="1"/>
    <s v="09/2025"/>
    <d v="2025-09-01T00:00:00"/>
    <x v="176"/>
    <n v="265.2"/>
    <n v="0"/>
    <n v="0"/>
    <n v="0"/>
    <n v="265.2"/>
    <s v="Dinheiro"/>
    <x v="0"/>
  </r>
  <r>
    <s v="00464"/>
    <x v="273"/>
    <x v="1"/>
    <s v="09/2025"/>
    <d v="2025-09-01T00:00:00"/>
    <x v="176"/>
    <n v="278.40000000000003"/>
    <n v="0"/>
    <n v="0"/>
    <n v="0"/>
    <n v="278.40000000000003"/>
    <s v="Dinheiro"/>
    <x v="0"/>
  </r>
  <r>
    <s v="00513"/>
    <x v="342"/>
    <x v="1"/>
    <s v="09/2025"/>
    <d v="2025-09-01T00:00:00"/>
    <x v="176"/>
    <n v="282.90000000000003"/>
    <n v="0"/>
    <n v="0"/>
    <n v="0"/>
    <n v="282.90000000000003"/>
    <s v="Dinheiro"/>
    <x v="0"/>
  </r>
  <r>
    <s v="00134"/>
    <x v="18"/>
    <x v="1"/>
    <s v="09/2025"/>
    <d v="2025-09-01T00:00:00"/>
    <x v="176"/>
    <n v="367.2"/>
    <n v="0"/>
    <n v="0"/>
    <n v="0"/>
    <n v="367.2"/>
    <s v="Dinheiro"/>
    <x v="0"/>
  </r>
  <r>
    <s v="00448"/>
    <x v="269"/>
    <x v="1"/>
    <s v="09/2025"/>
    <d v="2025-09-01T00:00:00"/>
    <x v="176"/>
    <n v="391.6"/>
    <n v="0"/>
    <n v="0"/>
    <n v="0"/>
    <n v="391.6"/>
    <s v="Dinheiro"/>
    <x v="0"/>
  </r>
  <r>
    <s v="00512"/>
    <x v="341"/>
    <x v="1"/>
    <s v="09/2025"/>
    <d v="2025-09-01T00:00:00"/>
    <x v="176"/>
    <n v="428.40000000000003"/>
    <n v="0"/>
    <n v="0"/>
    <n v="0"/>
    <n v="428.40000000000003"/>
    <s v="Dinheiro"/>
    <x v="0"/>
  </r>
  <r>
    <s v="00502"/>
    <x v="331"/>
    <x v="1"/>
    <s v="09/2025"/>
    <d v="2025-09-01T00:00:00"/>
    <x v="176"/>
    <n v="382.2"/>
    <n v="0"/>
    <n v="0"/>
    <n v="0"/>
    <n v="382.2"/>
    <s v="Dinheiro"/>
    <x v="0"/>
  </r>
  <r>
    <s v="00289"/>
    <x v="20"/>
    <x v="1"/>
    <s v="09/2025"/>
    <d v="2025-09-01T00:00:00"/>
    <x v="176"/>
    <n v="492.8"/>
    <n v="0"/>
    <n v="0"/>
    <n v="0"/>
    <n v="492.8"/>
    <s v="Dinheiro"/>
    <x v="0"/>
  </r>
  <r>
    <s v="00397"/>
    <x v="152"/>
    <x v="1"/>
    <s v="09/2025"/>
    <d v="2025-09-01T00:00:00"/>
    <x v="176"/>
    <n v="418.6"/>
    <n v="0"/>
    <n v="0"/>
    <n v="0"/>
    <n v="418.6"/>
    <s v="Dinheiro"/>
    <x v="0"/>
  </r>
  <r>
    <s v="00498"/>
    <x v="242"/>
    <x v="1"/>
    <s v="09/2025"/>
    <d v="2025-09-01T00:00:00"/>
    <x v="176"/>
    <n v="236.6"/>
    <n v="0"/>
    <n v="0"/>
    <n v="0"/>
    <n v="236.6"/>
    <s v="Dinheiro"/>
    <x v="0"/>
  </r>
  <r>
    <s v="00351"/>
    <x v="42"/>
    <x v="1"/>
    <s v="09/2025"/>
    <d v="2025-09-01T00:00:00"/>
    <x v="176"/>
    <n v="543.4"/>
    <n v="0"/>
    <n v="0"/>
    <n v="0"/>
    <n v="543.4"/>
    <s v="Dinheiro"/>
    <x v="0"/>
  </r>
  <r>
    <s v="00553"/>
    <x v="396"/>
    <x v="1"/>
    <s v="09/2025"/>
    <d v="2025-09-01T00:00:00"/>
    <x v="176"/>
    <n v="266.8"/>
    <n v="0"/>
    <n v="0"/>
    <n v="0"/>
    <n v="266.8"/>
    <s v="Dinheiro"/>
    <x v="0"/>
  </r>
  <r>
    <s v="00364"/>
    <x v="16"/>
    <x v="1"/>
    <s v="09/2025"/>
    <d v="2025-09-01T00:00:00"/>
    <x v="176"/>
    <n v="425.6"/>
    <n v="0"/>
    <n v="0"/>
    <n v="0"/>
    <n v="425.6"/>
    <s v="Dinheiro"/>
    <x v="0"/>
  </r>
  <r>
    <s v="00511"/>
    <x v="241"/>
    <x v="1"/>
    <s v="09/2025"/>
    <d v="2025-09-01T00:00:00"/>
    <x v="176"/>
    <n v="373.8"/>
    <n v="0"/>
    <n v="0"/>
    <n v="0"/>
    <n v="373.8"/>
    <s v="Dinheiro"/>
    <x v="0"/>
  </r>
  <r>
    <s v="00168"/>
    <x v="39"/>
    <x v="1"/>
    <s v="09/2025"/>
    <d v="2025-09-01T00:00:00"/>
    <x v="176"/>
    <n v="469.2"/>
    <n v="0"/>
    <n v="0"/>
    <n v="0"/>
    <n v="469.2"/>
    <s v="Dinheiro"/>
    <x v="0"/>
  </r>
  <r>
    <s v="00133"/>
    <x v="24"/>
    <x v="1"/>
    <s v="09/2025"/>
    <d v="2025-09-01T00:00:00"/>
    <x v="176"/>
    <n v="260.39999999999998"/>
    <n v="0"/>
    <n v="0"/>
    <n v="0"/>
    <n v="260.39999999999998"/>
    <s v="Dinheiro"/>
    <x v="0"/>
  </r>
  <r>
    <s v="00475"/>
    <x v="245"/>
    <x v="1"/>
    <s v="09/2025"/>
    <d v="2025-09-01T00:00:00"/>
    <x v="176"/>
    <n v="271.39999999999998"/>
    <n v="0"/>
    <n v="0"/>
    <n v="0"/>
    <n v="271.39999999999998"/>
    <s v="Dinheiro"/>
    <x v="0"/>
  </r>
  <r>
    <s v="00416"/>
    <x v="184"/>
    <x v="1"/>
    <s v="09/2025"/>
    <d v="2025-09-01T00:00:00"/>
    <x v="176"/>
    <n v="380.8"/>
    <n v="0"/>
    <n v="0"/>
    <n v="0"/>
    <n v="380.8"/>
    <s v="Dinheiro"/>
    <x v="0"/>
  </r>
  <r>
    <s v="00083"/>
    <x v="5"/>
    <x v="32"/>
    <s v="09/2025"/>
    <d v="2025-09-01T00:00:00"/>
    <x v="194"/>
    <n v="5874.66"/>
    <n v="0"/>
    <n v="0"/>
    <n v="0"/>
    <n v="5874.66"/>
    <s v="Dinheiro"/>
    <x v="0"/>
  </r>
  <r>
    <s v="00302"/>
    <x v="96"/>
    <x v="38"/>
    <s v="09/2025"/>
    <d v="2025-09-01T00:00:00"/>
    <x v="194"/>
    <n v="180"/>
    <n v="0"/>
    <n v="0"/>
    <n v="0"/>
    <n v="180"/>
    <s v="Dinheiro"/>
    <x v="0"/>
  </r>
  <r>
    <s v="00349"/>
    <x v="25"/>
    <x v="32"/>
    <s v="09/2025"/>
    <d v="2025-09-01T00:00:00"/>
    <x v="194"/>
    <n v="255.42000000000002"/>
    <n v="0"/>
    <n v="0"/>
    <n v="0"/>
    <n v="255.42000000000002"/>
    <s v="Dinheiro"/>
    <x v="0"/>
  </r>
  <r>
    <s v="00277"/>
    <x v="47"/>
    <x v="16"/>
    <s v="08/2025"/>
    <d v="2025-08-30T00:00:00"/>
    <x v="194"/>
    <n v="380.03000000000003"/>
    <n v="0"/>
    <n v="0"/>
    <n v="0"/>
    <n v="380.03000000000003"/>
    <s v="Dinheiro"/>
    <x v="0"/>
  </r>
  <r>
    <s v="00362"/>
    <x v="7"/>
    <x v="4"/>
    <s v="09/2025"/>
    <d v="2025-09-02T00:00:00"/>
    <x v="194"/>
    <n v="160.20000000000002"/>
    <n v="0"/>
    <n v="0"/>
    <n v="0"/>
    <n v="160.20000000000002"/>
    <s v="Dinheiro"/>
    <x v="0"/>
  </r>
  <r>
    <s v="00362"/>
    <x v="7"/>
    <x v="4"/>
    <s v="09/2025"/>
    <d v="2025-09-02T00:00:00"/>
    <x v="194"/>
    <n v="227.11"/>
    <n v="0"/>
    <n v="0"/>
    <n v="0"/>
    <n v="227.11"/>
    <s v="Dinheiro"/>
    <x v="0"/>
  </r>
  <r>
    <s v="00362"/>
    <x v="7"/>
    <x v="3"/>
    <s v="09/2025"/>
    <d v="2025-09-02T00:00:00"/>
    <x v="194"/>
    <n v="32.72"/>
    <n v="0"/>
    <n v="0"/>
    <n v="0"/>
    <n v="32.72"/>
    <s v="Dinheiro"/>
    <x v="0"/>
  </r>
  <r>
    <s v="00362"/>
    <x v="7"/>
    <x v="4"/>
    <s v="09/2025"/>
    <d v="2025-09-02T00:00:00"/>
    <x v="194"/>
    <n v="203.36"/>
    <n v="0"/>
    <n v="0"/>
    <n v="0"/>
    <n v="203.36"/>
    <s v="Dinheiro"/>
    <x v="0"/>
  </r>
  <r>
    <s v="00088"/>
    <x v="29"/>
    <x v="62"/>
    <s v="09/2025"/>
    <d v="2025-09-01T00:00:00"/>
    <x v="194"/>
    <n v="252.28"/>
    <n v="0"/>
    <n v="0"/>
    <n v="0"/>
    <n v="252.28"/>
    <s v="Dinheiro"/>
    <x v="0"/>
  </r>
  <r>
    <s v="00447"/>
    <x v="247"/>
    <x v="1"/>
    <s v="09/2025"/>
    <d v="2025-09-01T00:00:00"/>
    <x v="177"/>
    <n v="629.20000000000005"/>
    <n v="0"/>
    <n v="0"/>
    <n v="0"/>
    <n v="629.20000000000005"/>
    <s v="Dinheiro"/>
    <x v="0"/>
  </r>
  <r>
    <s v="ENF250345"/>
    <x v="437"/>
    <x v="28"/>
    <s v="09/2025"/>
    <d v="2025-09-04T00:00:00"/>
    <x v="178"/>
    <n v="99"/>
    <n v="0"/>
    <n v="0"/>
    <n v="0"/>
    <n v="99"/>
    <s v="Dinheiro"/>
    <x v="0"/>
  </r>
  <r>
    <s v="00024"/>
    <x v="0"/>
    <x v="0"/>
    <s v="09/2025"/>
    <d v="2025-09-03T00:00:00"/>
    <x v="178"/>
    <n v="875.7"/>
    <n v="0"/>
    <n v="0"/>
    <n v="0"/>
    <n v="875.7"/>
    <s v="Dinheiro"/>
    <x v="0"/>
  </r>
  <r>
    <s v="00193"/>
    <x v="3"/>
    <x v="0"/>
    <s v="09/2025"/>
    <d v="2025-09-03T00:00:00"/>
    <x v="178"/>
    <n v="2124.3000000000002"/>
    <n v="0"/>
    <n v="0"/>
    <n v="0"/>
    <n v="2124.3000000000002"/>
    <s v="Dinheiro"/>
    <x v="0"/>
  </r>
  <r>
    <s v="00362"/>
    <x v="7"/>
    <x v="6"/>
    <s v="09/2025"/>
    <d v="2025-09-02T00:00:00"/>
    <x v="178"/>
    <n v="510.3"/>
    <n v="0"/>
    <n v="0"/>
    <n v="0"/>
    <n v="510.3"/>
    <s v="Dinheiro"/>
    <x v="0"/>
  </r>
  <r>
    <s v="00362"/>
    <x v="7"/>
    <x v="6"/>
    <s v="09/2025"/>
    <d v="2025-09-02T00:00:00"/>
    <x v="178"/>
    <n v="33.74"/>
    <n v="0"/>
    <n v="0"/>
    <n v="0"/>
    <n v="33.74"/>
    <s v="Dinheiro"/>
    <x v="0"/>
  </r>
  <r>
    <s v="00362"/>
    <x v="7"/>
    <x v="6"/>
    <s v="09/2025"/>
    <d v="2025-09-02T00:00:00"/>
    <x v="178"/>
    <n v="480.13"/>
    <n v="0"/>
    <n v="0"/>
    <n v="0"/>
    <n v="480.13"/>
    <s v="Dinheiro"/>
    <x v="0"/>
  </r>
  <r>
    <s v="00362"/>
    <x v="7"/>
    <x v="3"/>
    <s v="09/2025"/>
    <d v="2025-09-03T00:00:00"/>
    <x v="178"/>
    <n v="2.04"/>
    <n v="0"/>
    <n v="0"/>
    <n v="0"/>
    <n v="2.04"/>
    <s v="Dinheiro"/>
    <x v="0"/>
  </r>
  <r>
    <s v="00362"/>
    <x v="7"/>
    <x v="34"/>
    <s v="09/2025"/>
    <d v="2025-09-03T00:00:00"/>
    <x v="178"/>
    <n v="4305.21"/>
    <n v="0"/>
    <n v="0"/>
    <n v="0"/>
    <n v="4305.21"/>
    <s v="Dinheiro"/>
    <x v="0"/>
  </r>
  <r>
    <s v="00513"/>
    <x v="342"/>
    <x v="8"/>
    <s v="09/2025"/>
    <d v="2025-09-02T00:00:00"/>
    <x v="178"/>
    <n v="96"/>
    <n v="0"/>
    <n v="0"/>
    <n v="0"/>
    <n v="96"/>
    <s v="Dinheiro"/>
    <x v="0"/>
  </r>
  <r>
    <s v="00362"/>
    <x v="7"/>
    <x v="3"/>
    <s v="09/2025"/>
    <d v="2025-09-03T00:00:00"/>
    <x v="178"/>
    <n v="16.32"/>
    <n v="0"/>
    <n v="0"/>
    <n v="0"/>
    <n v="16.32"/>
    <s v="Dinheiro"/>
    <x v="0"/>
  </r>
  <r>
    <s v="00362"/>
    <x v="7"/>
    <x v="3"/>
    <s v="09/2025"/>
    <d v="2025-09-01T00:00:00"/>
    <x v="178"/>
    <n v="61.09"/>
    <n v="0"/>
    <n v="0"/>
    <n v="0"/>
    <n v="61.09"/>
    <s v="Dinheiro"/>
    <x v="0"/>
  </r>
  <r>
    <s v="00362"/>
    <x v="7"/>
    <x v="3"/>
    <s v="09/2025"/>
    <d v="2025-09-01T00:00:00"/>
    <x v="178"/>
    <n v="12.24"/>
    <n v="0"/>
    <n v="0"/>
    <n v="0"/>
    <n v="12.24"/>
    <s v="Dinheiro"/>
    <x v="0"/>
  </r>
  <r>
    <s v="00316"/>
    <x v="17"/>
    <x v="8"/>
    <s v="09/2025"/>
    <d v="2025-09-01T00:00:00"/>
    <x v="178"/>
    <n v="36"/>
    <n v="0"/>
    <n v="0"/>
    <n v="0"/>
    <n v="36"/>
    <s v="Dinheiro"/>
    <x v="0"/>
  </r>
  <r>
    <s v="00258"/>
    <x v="43"/>
    <x v="0"/>
    <s v="09/2025"/>
    <d v="2025-09-05T00:00:00"/>
    <x v="179"/>
    <n v="1877.16"/>
    <n v="0"/>
    <n v="0"/>
    <n v="0"/>
    <n v="1877.16"/>
    <s v="Dinheiro"/>
    <x v="0"/>
  </r>
  <r>
    <s v="00160"/>
    <x v="31"/>
    <x v="15"/>
    <s v="09/2025"/>
    <d v="2025-09-05T00:00:00"/>
    <x v="179"/>
    <n v="1121"/>
    <n v="0"/>
    <n v="0"/>
    <n v="0"/>
    <n v="1121"/>
    <s v="Dinheiro"/>
    <x v="0"/>
  </r>
  <r>
    <s v="00513"/>
    <x v="342"/>
    <x v="15"/>
    <s v="09/2025"/>
    <d v="2025-09-05T00:00:00"/>
    <x v="179"/>
    <n v="1561"/>
    <n v="0"/>
    <n v="0"/>
    <n v="0"/>
    <n v="1561"/>
    <s v="Dinheiro"/>
    <x v="0"/>
  </r>
  <r>
    <s v="00134"/>
    <x v="18"/>
    <x v="15"/>
    <s v="09/2025"/>
    <d v="2025-09-05T00:00:00"/>
    <x v="179"/>
    <n v="1478"/>
    <n v="0"/>
    <n v="0"/>
    <n v="0"/>
    <n v="1478"/>
    <s v="Dinheiro"/>
    <x v="0"/>
  </r>
  <r>
    <s v="00448"/>
    <x v="269"/>
    <x v="15"/>
    <s v="09/2025"/>
    <d v="2025-09-05T00:00:00"/>
    <x v="179"/>
    <n v="1511"/>
    <n v="0"/>
    <n v="0"/>
    <n v="0"/>
    <n v="1511"/>
    <s v="Dinheiro"/>
    <x v="0"/>
  </r>
  <r>
    <s v="00474"/>
    <x v="298"/>
    <x v="15"/>
    <s v="09/2025"/>
    <d v="2025-09-05T00:00:00"/>
    <x v="179"/>
    <n v="1574"/>
    <n v="0"/>
    <n v="0"/>
    <n v="0"/>
    <n v="1574"/>
    <s v="Dinheiro"/>
    <x v="0"/>
  </r>
  <r>
    <s v="00552"/>
    <x v="395"/>
    <x v="15"/>
    <s v="09/2025"/>
    <d v="2025-09-05T00:00:00"/>
    <x v="179"/>
    <n v="586"/>
    <n v="0"/>
    <n v="0"/>
    <n v="0"/>
    <n v="586"/>
    <s v="Dinheiro"/>
    <x v="0"/>
  </r>
  <r>
    <s v="00168"/>
    <x v="39"/>
    <x v="15"/>
    <s v="09/2025"/>
    <d v="2025-09-05T00:00:00"/>
    <x v="179"/>
    <n v="1896"/>
    <n v="0"/>
    <n v="0"/>
    <n v="0"/>
    <n v="1896"/>
    <s v="Dinheiro"/>
    <x v="0"/>
  </r>
  <r>
    <s v="00193"/>
    <x v="3"/>
    <x v="0"/>
    <s v="09/2025"/>
    <d v="2025-09-05T00:00:00"/>
    <x v="180"/>
    <n v="1557.82"/>
    <n v="0"/>
    <n v="0"/>
    <n v="0"/>
    <n v="1557.82"/>
    <s v="Dinheiro"/>
    <x v="0"/>
  </r>
  <r>
    <s v="00024"/>
    <x v="0"/>
    <x v="0"/>
    <s v="09/2025"/>
    <d v="2025-09-05T00:00:00"/>
    <x v="180"/>
    <n v="642.18000000000006"/>
    <n v="0"/>
    <n v="0"/>
    <n v="0"/>
    <n v="642.18000000000006"/>
    <s v="Dinheiro"/>
    <x v="0"/>
  </r>
  <r>
    <s v="00024"/>
    <x v="0"/>
    <x v="0"/>
    <s v="09/2025"/>
    <d v="2025-09-05T00:00:00"/>
    <x v="180"/>
    <n v="875.7"/>
    <n v="0"/>
    <n v="0"/>
    <n v="0"/>
    <n v="875.7"/>
    <s v="Dinheiro"/>
    <x v="0"/>
  </r>
  <r>
    <s v="00475"/>
    <x v="245"/>
    <x v="15"/>
    <s v="09/2025"/>
    <d v="2025-09-05T00:00:00"/>
    <x v="180"/>
    <n v="900"/>
    <n v="0"/>
    <n v="0"/>
    <n v="0"/>
    <n v="900"/>
    <s v="Dinheiro"/>
    <x v="0"/>
  </r>
  <r>
    <s v="00349"/>
    <x v="25"/>
    <x v="15"/>
    <s v="09/2025"/>
    <d v="2025-09-05T00:00:00"/>
    <x v="180"/>
    <n v="1656"/>
    <n v="0"/>
    <n v="0"/>
    <n v="0"/>
    <n v="1656"/>
    <s v="Dinheiro"/>
    <x v="0"/>
  </r>
  <r>
    <s v="00553"/>
    <x v="396"/>
    <x v="15"/>
    <s v="09/2025"/>
    <d v="2025-09-05T00:00:00"/>
    <x v="180"/>
    <n v="680"/>
    <n v="0"/>
    <n v="0"/>
    <n v="0"/>
    <n v="680"/>
    <s v="Dinheiro"/>
    <x v="0"/>
  </r>
  <r>
    <s v="00464"/>
    <x v="273"/>
    <x v="15"/>
    <s v="09/2025"/>
    <d v="2025-09-05T00:00:00"/>
    <x v="180"/>
    <n v="900"/>
    <n v="0"/>
    <n v="0"/>
    <n v="0"/>
    <n v="900"/>
    <s v="Dinheiro"/>
    <x v="0"/>
  </r>
  <r>
    <s v="00075"/>
    <x v="197"/>
    <x v="18"/>
    <s v="09/2025"/>
    <d v="2025-09-05T00:00:00"/>
    <x v="180"/>
    <n v="4558.8"/>
    <n v="0"/>
    <n v="0"/>
    <n v="0"/>
    <n v="4558.8"/>
    <s v="Dinheiro"/>
    <x v="0"/>
  </r>
  <r>
    <s v="00168"/>
    <x v="39"/>
    <x v="15"/>
    <s v="09/2025"/>
    <d v="2025-09-05T00:00:00"/>
    <x v="180"/>
    <n v="1000"/>
    <n v="0"/>
    <n v="0"/>
    <n v="0"/>
    <n v="1000"/>
    <s v="Dinheiro"/>
    <x v="0"/>
  </r>
  <r>
    <s v="00552"/>
    <x v="395"/>
    <x v="15"/>
    <s v="09/2025"/>
    <d v="2025-09-05T00:00:00"/>
    <x v="180"/>
    <n v="411.33"/>
    <n v="0"/>
    <n v="0"/>
    <n v="0"/>
    <n v="411.33"/>
    <s v="Dinheiro"/>
    <x v="0"/>
  </r>
  <r>
    <s v="00511"/>
    <x v="241"/>
    <x v="15"/>
    <s v="09/2025"/>
    <d v="2025-09-05T00:00:00"/>
    <x v="180"/>
    <n v="178"/>
    <n v="0"/>
    <n v="0"/>
    <n v="0"/>
    <n v="178"/>
    <s v="Dinheiro"/>
    <x v="0"/>
  </r>
  <r>
    <s v="00553"/>
    <x v="396"/>
    <x v="15"/>
    <s v="09/2025"/>
    <d v="2025-09-05T00:00:00"/>
    <x v="180"/>
    <n v="293.8"/>
    <n v="0"/>
    <n v="0"/>
    <n v="0"/>
    <n v="293.8"/>
    <s v="Dinheiro"/>
    <x v="0"/>
  </r>
  <r>
    <s v="00388"/>
    <x v="122"/>
    <x v="15"/>
    <s v="09/2025"/>
    <d v="2025-09-05T00:00:00"/>
    <x v="180"/>
    <n v="900"/>
    <n v="0"/>
    <n v="0"/>
    <n v="0"/>
    <n v="900"/>
    <s v="Dinheiro"/>
    <x v="0"/>
  </r>
  <r>
    <s v="00403"/>
    <x v="160"/>
    <x v="9"/>
    <s v="09/2025"/>
    <d v="2025-09-05T00:00:00"/>
    <x v="180"/>
    <n v="320"/>
    <n v="0"/>
    <n v="0"/>
    <n v="0"/>
    <n v="320"/>
    <s v="Dinheiro"/>
    <x v="0"/>
  </r>
  <r>
    <s v="00362"/>
    <x v="7"/>
    <x v="3"/>
    <s v="09/2025"/>
    <d v="2025-09-05T00:00:00"/>
    <x v="180"/>
    <n v="2.04"/>
    <n v="0"/>
    <n v="0"/>
    <n v="0"/>
    <n v="2.04"/>
    <s v="Dinheiro"/>
    <x v="0"/>
  </r>
  <r>
    <s v="00362"/>
    <x v="7"/>
    <x v="3"/>
    <s v="09/2025"/>
    <d v="2025-09-05T00:00:00"/>
    <x v="180"/>
    <n v="2.04"/>
    <n v="0"/>
    <n v="0"/>
    <n v="0"/>
    <n v="2.04"/>
    <s v="Dinheiro"/>
    <x v="0"/>
  </r>
  <r>
    <s v="00362"/>
    <x v="7"/>
    <x v="3"/>
    <s v="09/2025"/>
    <d v="2025-09-05T00:00:00"/>
    <x v="180"/>
    <n v="135.52000000000001"/>
    <n v="0"/>
    <n v="0"/>
    <n v="0"/>
    <n v="135.52000000000001"/>
    <s v="Dinheiro"/>
    <x v="0"/>
  </r>
  <r>
    <s v="00578"/>
    <x v="438"/>
    <x v="20"/>
    <s v="09/2025"/>
    <d v="2025-09-06T00:00:00"/>
    <x v="181"/>
    <n v="99"/>
    <n v="0"/>
    <n v="0"/>
    <n v="0"/>
    <n v="99"/>
    <s v="Dinheiro"/>
    <x v="0"/>
  </r>
  <r>
    <s v="00577"/>
    <x v="439"/>
    <x v="28"/>
    <s v="09/2025"/>
    <d v="2025-09-09T00:00:00"/>
    <x v="181"/>
    <n v="49"/>
    <n v="0"/>
    <n v="0"/>
    <n v="0"/>
    <n v="49"/>
    <s v="Dinheiro"/>
    <x v="0"/>
  </r>
  <r>
    <s v="00573"/>
    <x v="440"/>
    <x v="20"/>
    <s v="08/2025"/>
    <d v="2025-08-27T00:00:00"/>
    <x v="181"/>
    <n v="1065"/>
    <n v="0"/>
    <n v="0"/>
    <n v="0"/>
    <n v="1065"/>
    <s v="Dinheiro"/>
    <x v="0"/>
  </r>
  <r>
    <s v="00022"/>
    <x v="115"/>
    <x v="46"/>
    <s v="08/2025"/>
    <d v="2025-08-29T00:00:00"/>
    <x v="181"/>
    <n v="996.75"/>
    <n v="0"/>
    <n v="0"/>
    <n v="0"/>
    <n v="996.75"/>
    <s v="Dinheiro"/>
    <x v="0"/>
  </r>
  <r>
    <s v="00388"/>
    <x v="122"/>
    <x v="1"/>
    <s v="09/2025"/>
    <d v="2025-09-01T00:00:00"/>
    <x v="181"/>
    <n v="489.40000000000003"/>
    <n v="0"/>
    <n v="0"/>
    <n v="0"/>
    <n v="489.6"/>
    <s v="Dinheiro"/>
    <x v="0"/>
  </r>
  <r>
    <s v="00024"/>
    <x v="0"/>
    <x v="0"/>
    <s v="08/2025"/>
    <d v="2025-08-21T00:00:00"/>
    <x v="169"/>
    <n v="1026.9000000000001"/>
    <n v="0"/>
    <n v="0"/>
    <n v="0"/>
    <n v="1026.9000000000001"/>
    <s v="Dinheiro"/>
    <x v="0"/>
  </r>
  <r>
    <s v="00022"/>
    <x v="115"/>
    <x v="68"/>
    <s v="08/2025"/>
    <d v="2025-08-20T00:00:00"/>
    <x v="168"/>
    <n v="3481.32"/>
    <n v="0"/>
    <n v="0"/>
    <n v="0"/>
    <n v="3481.82"/>
    <s v="Dinheiro"/>
    <x v="0"/>
  </r>
  <r>
    <s v="00022"/>
    <x v="115"/>
    <x v="46"/>
    <s v="08/2025"/>
    <d v="2025-08-21T00:00:00"/>
    <x v="181"/>
    <n v="94.16"/>
    <n v="0"/>
    <n v="0"/>
    <n v="0"/>
    <n v="94.19"/>
    <s v="Dinheiro"/>
    <x v="0"/>
  </r>
  <r>
    <s v="00168"/>
    <x v="39"/>
    <x v="8"/>
    <s v="09/2025"/>
    <d v="2025-09-10T00:00:00"/>
    <x v="159"/>
    <n v="500"/>
    <n v="0"/>
    <n v="0"/>
    <n v="0"/>
    <n v="500"/>
    <s v="Dinheiro"/>
    <x v="0"/>
  </r>
  <r>
    <s v="00503"/>
    <x v="338"/>
    <x v="29"/>
    <s v="09/2025"/>
    <d v="2025-09-10T00:00:00"/>
    <x v="159"/>
    <n v="960"/>
    <n v="0"/>
    <n v="0"/>
    <n v="0"/>
    <n v="960"/>
    <s v="Dinheiro"/>
    <x v="0"/>
  </r>
  <r>
    <s v="00502"/>
    <x v="331"/>
    <x v="15"/>
    <s v="09/2025"/>
    <d v="2025-09-05T00:00:00"/>
    <x v="159"/>
    <n v="1821.63"/>
    <n v="0"/>
    <n v="0"/>
    <n v="0"/>
    <n v="1821.63"/>
    <s v="Dinheiro"/>
    <x v="0"/>
  </r>
  <r>
    <s v="00351"/>
    <x v="42"/>
    <x v="15"/>
    <s v="09/2025"/>
    <d v="2025-09-05T00:00:00"/>
    <x v="159"/>
    <n v="1606"/>
    <n v="0"/>
    <n v="0"/>
    <n v="0"/>
    <n v="1606"/>
    <s v="Dinheiro"/>
    <x v="0"/>
  </r>
  <r>
    <s v="00316"/>
    <x v="17"/>
    <x v="15"/>
    <s v="09/2025"/>
    <d v="2025-09-05T00:00:00"/>
    <x v="159"/>
    <n v="1523"/>
    <n v="0"/>
    <n v="0"/>
    <n v="0"/>
    <n v="1523"/>
    <s v="Dinheiro"/>
    <x v="0"/>
  </r>
  <r>
    <s v="00223"/>
    <x v="32"/>
    <x v="15"/>
    <s v="09/2025"/>
    <d v="2025-09-05T00:00:00"/>
    <x v="159"/>
    <n v="2353"/>
    <n v="0"/>
    <n v="0"/>
    <n v="0"/>
    <n v="2353"/>
    <s v="Dinheiro"/>
    <x v="0"/>
  </r>
  <r>
    <s v="00478"/>
    <x v="290"/>
    <x v="15"/>
    <s v="09/2025"/>
    <d v="2025-09-05T00:00:00"/>
    <x v="159"/>
    <n v="1571"/>
    <n v="0"/>
    <n v="0"/>
    <n v="0"/>
    <n v="1571"/>
    <s v="Dinheiro"/>
    <x v="0"/>
  </r>
  <r>
    <s v="00447"/>
    <x v="247"/>
    <x v="15"/>
    <s v="09/2025"/>
    <d v="2025-09-05T00:00:00"/>
    <x v="159"/>
    <n v="1672"/>
    <n v="0"/>
    <n v="0"/>
    <n v="0"/>
    <n v="1672"/>
    <s v="Dinheiro"/>
    <x v="0"/>
  </r>
  <r>
    <s v="00512"/>
    <x v="341"/>
    <x v="15"/>
    <s v="09/2025"/>
    <d v="2025-09-05T00:00:00"/>
    <x v="159"/>
    <n v="1571"/>
    <n v="0"/>
    <n v="0"/>
    <n v="0"/>
    <n v="1571"/>
    <s v="Dinheiro"/>
    <x v="0"/>
  </r>
  <r>
    <s v="00289"/>
    <x v="20"/>
    <x v="15"/>
    <s v="09/2025"/>
    <d v="2025-09-05T00:00:00"/>
    <x v="159"/>
    <n v="1764"/>
    <n v="0"/>
    <n v="0"/>
    <n v="0"/>
    <n v="1764"/>
    <s v="Dinheiro"/>
    <x v="0"/>
  </r>
  <r>
    <s v="00397"/>
    <x v="152"/>
    <x v="15"/>
    <s v="09/2025"/>
    <d v="2025-09-05T00:00:00"/>
    <x v="159"/>
    <n v="1635"/>
    <n v="0"/>
    <n v="0"/>
    <n v="0"/>
    <n v="1635"/>
    <s v="Dinheiro"/>
    <x v="0"/>
  </r>
  <r>
    <s v="00498"/>
    <x v="242"/>
    <x v="15"/>
    <s v="09/2025"/>
    <d v="2025-09-05T00:00:00"/>
    <x v="159"/>
    <n v="1884"/>
    <n v="0"/>
    <n v="0"/>
    <n v="0"/>
    <n v="1884"/>
    <s v="Dinheiro"/>
    <x v="0"/>
  </r>
  <r>
    <s v="00411"/>
    <x v="181"/>
    <x v="15"/>
    <s v="09/2025"/>
    <d v="2025-09-05T00:00:00"/>
    <x v="159"/>
    <n v="1642"/>
    <n v="0"/>
    <n v="0"/>
    <n v="0"/>
    <n v="1642"/>
    <s v="Dinheiro"/>
    <x v="0"/>
  </r>
  <r>
    <s v="00364"/>
    <x v="16"/>
    <x v="15"/>
    <s v="09/2025"/>
    <d v="2025-09-05T00:00:00"/>
    <x v="159"/>
    <n v="1481"/>
    <n v="0"/>
    <n v="0"/>
    <n v="0"/>
    <n v="1481"/>
    <s v="Dinheiro"/>
    <x v="0"/>
  </r>
  <r>
    <s v="00511"/>
    <x v="241"/>
    <x v="15"/>
    <s v="09/2025"/>
    <d v="2025-09-05T00:00:00"/>
    <x v="159"/>
    <n v="1607"/>
    <n v="0"/>
    <n v="0"/>
    <n v="0"/>
    <n v="1607"/>
    <s v="Dinheiro"/>
    <x v="0"/>
  </r>
  <r>
    <s v="00133"/>
    <x v="24"/>
    <x v="15"/>
    <s v="09/2025"/>
    <d v="2025-09-05T00:00:00"/>
    <x v="159"/>
    <n v="1296"/>
    <n v="0"/>
    <n v="0"/>
    <n v="0"/>
    <n v="1296"/>
    <s v="Dinheiro"/>
    <x v="0"/>
  </r>
  <r>
    <s v="00397"/>
    <x v="152"/>
    <x v="29"/>
    <s v="08/2025"/>
    <d v="2025-08-12T00:00:00"/>
    <x v="151"/>
    <n v="1120"/>
    <n v="0"/>
    <n v="0"/>
    <n v="0"/>
    <n v="1120"/>
    <s v="Dinheiro"/>
    <x v="0"/>
  </r>
  <r>
    <s v="00397"/>
    <x v="152"/>
    <x v="29"/>
    <s v="09/2025"/>
    <d v="2025-09-10T00:00:00"/>
    <x v="159"/>
    <n v="960"/>
    <n v="0"/>
    <n v="0"/>
    <n v="0"/>
    <n v="960"/>
    <s v="Dinheiro"/>
    <x v="0"/>
  </r>
  <r>
    <s v="00524"/>
    <x v="364"/>
    <x v="29"/>
    <s v="08/2025"/>
    <d v="2025-08-12T00:00:00"/>
    <x v="160"/>
    <n v="1760"/>
    <n v="0"/>
    <n v="0"/>
    <n v="0"/>
    <n v="1760"/>
    <s v="Dinheiro"/>
    <x v="0"/>
  </r>
  <r>
    <s v="00564"/>
    <x v="441"/>
    <x v="29"/>
    <s v="08/2025"/>
    <d v="2025-08-12T00:00:00"/>
    <x v="160"/>
    <n v="560"/>
    <n v="0"/>
    <n v="0"/>
    <n v="0"/>
    <n v="560"/>
    <s v="Dinheiro"/>
    <x v="0"/>
  </r>
  <r>
    <s v="00564"/>
    <x v="441"/>
    <x v="29"/>
    <s v="09/2025"/>
    <d v="2025-09-10T00:00:00"/>
    <x v="159"/>
    <n v="1040"/>
    <n v="0"/>
    <n v="0"/>
    <n v="0"/>
    <n v="1040"/>
    <s v="Dinheiro"/>
    <x v="0"/>
  </r>
  <r>
    <s v="00531"/>
    <x v="372"/>
    <x v="29"/>
    <s v="09/2025"/>
    <d v="2025-09-10T00:00:00"/>
    <x v="159"/>
    <n v="240"/>
    <n v="0"/>
    <n v="0"/>
    <n v="0"/>
    <n v="240"/>
    <s v="Dinheiro"/>
    <x v="0"/>
  </r>
  <r>
    <s v="00531"/>
    <x v="372"/>
    <x v="30"/>
    <s v="09/2025"/>
    <d v="2025-09-10T00:00:00"/>
    <x v="159"/>
    <n v="1280"/>
    <n v="0"/>
    <n v="0"/>
    <n v="0"/>
    <n v="1280"/>
    <s v="Dinheiro"/>
    <x v="0"/>
  </r>
  <r>
    <s v="00180"/>
    <x v="60"/>
    <x v="30"/>
    <s v="09/2025"/>
    <d v="2025-09-10T00:00:00"/>
    <x v="159"/>
    <n v="2000"/>
    <n v="0"/>
    <n v="0"/>
    <n v="0"/>
    <n v="2000"/>
    <s v="Dinheiro"/>
    <x v="0"/>
  </r>
  <r>
    <s v="00355"/>
    <x v="83"/>
    <x v="29"/>
    <s v="08/2025"/>
    <d v="2025-08-12T00:00:00"/>
    <x v="151"/>
    <n v="80"/>
    <n v="0"/>
    <n v="0"/>
    <n v="0"/>
    <n v="80"/>
    <s v="Dinheiro"/>
    <x v="0"/>
  </r>
  <r>
    <s v="00355"/>
    <x v="83"/>
    <x v="29"/>
    <s v="08/2025"/>
    <d v="2025-08-12T00:00:00"/>
    <x v="151"/>
    <n v="2480"/>
    <n v="0"/>
    <n v="0"/>
    <n v="0"/>
    <n v="2480"/>
    <s v="Dinheiro"/>
    <x v="0"/>
  </r>
  <r>
    <s v="00355"/>
    <x v="83"/>
    <x v="41"/>
    <s v="08/2025"/>
    <d v="2025-08-11T00:00:00"/>
    <x v="158"/>
    <n v="1240"/>
    <n v="0"/>
    <n v="0"/>
    <n v="0"/>
    <n v="1240"/>
    <s v="Dinheiro"/>
    <x v="0"/>
  </r>
  <r>
    <s v="00355"/>
    <x v="83"/>
    <x v="41"/>
    <s v="09/2025"/>
    <d v="2025-09-10T00:00:00"/>
    <x v="159"/>
    <n v="1150"/>
    <n v="0"/>
    <n v="0"/>
    <n v="0"/>
    <n v="1150"/>
    <s v="Dinheiro"/>
    <x v="0"/>
  </r>
  <r>
    <s v="00355"/>
    <x v="83"/>
    <x v="29"/>
    <s v="09/2025"/>
    <d v="2025-09-10T00:00:00"/>
    <x v="159"/>
    <n v="2300"/>
    <n v="0"/>
    <n v="0"/>
    <n v="0"/>
    <n v="2300"/>
    <s v="Dinheiro"/>
    <x v="0"/>
  </r>
  <r>
    <s v="00432"/>
    <x v="213"/>
    <x v="30"/>
    <s v="08/2025"/>
    <d v="2025-08-12T00:00:00"/>
    <x v="151"/>
    <n v="1760"/>
    <n v="0"/>
    <n v="0"/>
    <n v="0"/>
    <n v="1760"/>
    <s v="Dinheiro"/>
    <x v="0"/>
  </r>
  <r>
    <s v="00432"/>
    <x v="213"/>
    <x v="30"/>
    <s v="09/2025"/>
    <d v="2025-09-10T00:00:00"/>
    <x v="159"/>
    <n v="1280"/>
    <n v="0"/>
    <n v="0"/>
    <n v="0"/>
    <n v="1280"/>
    <s v="Dinheiro"/>
    <x v="0"/>
  </r>
  <r>
    <s v="00278"/>
    <x v="316"/>
    <x v="30"/>
    <s v="09/2025"/>
    <d v="2025-09-10T00:00:00"/>
    <x v="159"/>
    <n v="4360"/>
    <n v="0"/>
    <n v="0"/>
    <n v="0"/>
    <n v="4360"/>
    <s v="Dinheiro"/>
    <x v="0"/>
  </r>
  <r>
    <s v="00378"/>
    <x v="87"/>
    <x v="29"/>
    <s v="08/2025"/>
    <d v="2025-08-12T00:00:00"/>
    <x v="151"/>
    <n v="3800"/>
    <n v="0"/>
    <n v="0"/>
    <n v="0"/>
    <n v="3800"/>
    <s v="Dinheiro"/>
    <x v="0"/>
  </r>
  <r>
    <s v="00378"/>
    <x v="87"/>
    <x v="29"/>
    <s v="09/2025"/>
    <d v="2025-09-10T00:00:00"/>
    <x v="159"/>
    <n v="3520"/>
    <n v="0"/>
    <n v="0"/>
    <n v="0"/>
    <n v="3520"/>
    <s v="Dinheiro"/>
    <x v="0"/>
  </r>
  <r>
    <s v="00499"/>
    <x v="328"/>
    <x v="29"/>
    <s v="08/2025"/>
    <d v="2025-08-12T00:00:00"/>
    <x v="151"/>
    <n v="1680"/>
    <n v="0"/>
    <n v="0"/>
    <n v="0"/>
    <n v="1680"/>
    <s v="Dinheiro"/>
    <x v="0"/>
  </r>
  <r>
    <s v="00499"/>
    <x v="328"/>
    <x v="29"/>
    <s v="09/2025"/>
    <d v="2025-09-10T00:00:00"/>
    <x v="159"/>
    <n v="2080"/>
    <n v="0"/>
    <n v="0"/>
    <n v="0"/>
    <n v="2080"/>
    <s v="Dinheiro"/>
    <x v="0"/>
  </r>
  <r>
    <s v="00518"/>
    <x v="355"/>
    <x v="29"/>
    <s v="08/2025"/>
    <d v="2025-08-12T00:00:00"/>
    <x v="151"/>
    <n v="960"/>
    <n v="0"/>
    <n v="0"/>
    <n v="0"/>
    <n v="960"/>
    <s v="Dinheiro"/>
    <x v="0"/>
  </r>
  <r>
    <s v="00518"/>
    <x v="355"/>
    <x v="29"/>
    <s v="09/2025"/>
    <d v="2025-09-10T00:00:00"/>
    <x v="159"/>
    <n v="1200"/>
    <n v="0"/>
    <n v="0"/>
    <n v="0"/>
    <n v="1200"/>
    <s v="Dinheiro"/>
    <x v="0"/>
  </r>
  <r>
    <s v="00585"/>
    <x v="442"/>
    <x v="29"/>
    <s v="09/2022"/>
    <d v="2022-09-10T00:00:00"/>
    <x v="159"/>
    <n v="240"/>
    <n v="0"/>
    <n v="0"/>
    <n v="0"/>
    <n v="240"/>
    <s v="Dinheiro"/>
    <x v="0"/>
  </r>
  <r>
    <s v="00459"/>
    <x v="262"/>
    <x v="30"/>
    <s v="08/2025"/>
    <d v="2025-08-12T00:00:00"/>
    <x v="151"/>
    <n v="1760"/>
    <n v="0"/>
    <n v="0"/>
    <n v="0"/>
    <n v="1760"/>
    <s v="Dinheiro"/>
    <x v="0"/>
  </r>
  <r>
    <s v="00187"/>
    <x v="71"/>
    <x v="29"/>
    <s v="08/2025"/>
    <d v="2025-08-12T00:00:00"/>
    <x v="151"/>
    <n v="1120"/>
    <n v="0"/>
    <n v="0"/>
    <n v="0"/>
    <n v="1120"/>
    <s v="Dinheiro"/>
    <x v="0"/>
  </r>
  <r>
    <s v="00187"/>
    <x v="71"/>
    <x v="29"/>
    <s v="09/2025"/>
    <d v="2025-09-10T00:00:00"/>
    <x v="159"/>
    <n v="880"/>
    <n v="0"/>
    <n v="0"/>
    <n v="0"/>
    <n v="880"/>
    <s v="Dinheiro"/>
    <x v="0"/>
  </r>
  <r>
    <s v="00558"/>
    <x v="443"/>
    <x v="29"/>
    <s v="08/2025"/>
    <d v="2025-08-12T00:00:00"/>
    <x v="151"/>
    <n v="1040"/>
    <n v="0"/>
    <n v="0"/>
    <n v="0"/>
    <n v="1040"/>
    <s v="Dinheiro"/>
    <x v="0"/>
  </r>
  <r>
    <s v="00229"/>
    <x v="358"/>
    <x v="29"/>
    <s v="09/2025"/>
    <d v="2025-09-10T00:00:00"/>
    <x v="159"/>
    <n v="960"/>
    <n v="0"/>
    <n v="0"/>
    <n v="0"/>
    <n v="960"/>
    <s v="Dinheiro"/>
    <x v="0"/>
  </r>
  <r>
    <s v="00491"/>
    <x v="315"/>
    <x v="30"/>
    <s v="08/2025"/>
    <d v="2025-08-12T00:00:00"/>
    <x v="151"/>
    <n v="1600"/>
    <n v="0"/>
    <n v="0"/>
    <n v="0"/>
    <n v="1600"/>
    <s v="Dinheiro"/>
    <x v="0"/>
  </r>
  <r>
    <s v="00491"/>
    <x v="315"/>
    <x v="29"/>
    <s v="09/2025"/>
    <d v="2025-09-10T00:00:00"/>
    <x v="159"/>
    <n v="1520"/>
    <n v="0"/>
    <n v="0"/>
    <n v="0"/>
    <n v="1520"/>
    <s v="Dinheiro"/>
    <x v="0"/>
  </r>
  <r>
    <s v="00491"/>
    <x v="315"/>
    <x v="29"/>
    <s v="09/2025"/>
    <d v="2025-09-10T00:00:00"/>
    <x v="159"/>
    <n v="640"/>
    <n v="0"/>
    <n v="0"/>
    <n v="0"/>
    <n v="640"/>
    <s v="Dinheiro"/>
    <x v="0"/>
  </r>
  <r>
    <s v="00488"/>
    <x v="312"/>
    <x v="30"/>
    <s v="08/2025"/>
    <d v="2025-08-12T00:00:00"/>
    <x v="151"/>
    <n v="1260"/>
    <n v="0"/>
    <n v="0"/>
    <n v="0"/>
    <n v="1260"/>
    <s v="Dinheiro"/>
    <x v="0"/>
  </r>
  <r>
    <s v="00488"/>
    <x v="312"/>
    <x v="30"/>
    <s v="09/2025"/>
    <d v="2025-09-10T00:00:00"/>
    <x v="159"/>
    <n v="2320"/>
    <n v="0"/>
    <n v="0"/>
    <n v="0"/>
    <n v="2320"/>
    <s v="Dinheiro"/>
    <x v="0"/>
  </r>
  <r>
    <s v="00521"/>
    <x v="359"/>
    <x v="30"/>
    <s v="08/2025"/>
    <d v="2025-08-12T00:00:00"/>
    <x v="151"/>
    <n v="1120"/>
    <n v="0"/>
    <n v="0"/>
    <n v="0"/>
    <n v="1120"/>
    <s v="Dinheiro"/>
    <x v="0"/>
  </r>
  <r>
    <s v="00521"/>
    <x v="359"/>
    <x v="29"/>
    <s v="08/2025"/>
    <d v="2025-08-12T00:00:00"/>
    <x v="151"/>
    <n v="240"/>
    <n v="0"/>
    <n v="0"/>
    <n v="0"/>
    <n v="240"/>
    <s v="Dinheiro"/>
    <x v="0"/>
  </r>
  <r>
    <s v="00521"/>
    <x v="359"/>
    <x v="29"/>
    <s v="09/2025"/>
    <d v="2025-09-10T00:00:00"/>
    <x v="159"/>
    <n v="880"/>
    <n v="0"/>
    <n v="0"/>
    <n v="0"/>
    <n v="880"/>
    <s v="Dinheiro"/>
    <x v="0"/>
  </r>
  <r>
    <s v="00468"/>
    <x v="236"/>
    <x v="34"/>
    <s v="09/2025"/>
    <d v="2025-09-10T00:00:00"/>
    <x v="159"/>
    <n v="2890"/>
    <n v="0"/>
    <n v="0"/>
    <n v="0"/>
    <n v="2890"/>
    <s v="Dinheiro"/>
    <x v="0"/>
  </r>
  <r>
    <s v="00353"/>
    <x v="61"/>
    <x v="41"/>
    <s v="09/2025"/>
    <d v="2025-09-10T00:00:00"/>
    <x v="159"/>
    <n v="5000"/>
    <n v="0"/>
    <n v="0"/>
    <n v="0"/>
    <n v="5000"/>
    <s v="Dinheiro"/>
    <x v="0"/>
  </r>
  <r>
    <s v="00353"/>
    <x v="61"/>
    <x v="41"/>
    <s v="09/2025"/>
    <d v="2025-09-10T00:00:00"/>
    <x v="159"/>
    <n v="1000"/>
    <n v="0"/>
    <n v="0"/>
    <n v="0"/>
    <n v="1000"/>
    <s v="Dinheiro"/>
    <x v="0"/>
  </r>
  <r>
    <s v="00009"/>
    <x v="53"/>
    <x v="24"/>
    <s v="09/2025"/>
    <d v="2025-09-10T00:00:00"/>
    <x v="159"/>
    <n v="29955.31"/>
    <n v="0"/>
    <n v="0"/>
    <n v="0"/>
    <n v="29955.31"/>
    <s v="Dinheiro"/>
    <x v="0"/>
  </r>
  <r>
    <s v="00101"/>
    <x v="171"/>
    <x v="58"/>
    <s v="09/2025"/>
    <d v="2025-09-10T00:00:00"/>
    <x v="159"/>
    <n v="605"/>
    <n v="0"/>
    <n v="0"/>
    <n v="0"/>
    <n v="605"/>
    <s v="Dinheiro"/>
    <x v="0"/>
  </r>
  <r>
    <s v="00015"/>
    <x v="363"/>
    <x v="23"/>
    <s v="09/2025"/>
    <d v="2025-09-10T00:00:00"/>
    <x v="159"/>
    <n v="1643.55"/>
    <n v="0"/>
    <n v="0"/>
    <n v="0"/>
    <n v="1643.55"/>
    <s v="Dinheiro"/>
    <x v="0"/>
  </r>
  <r>
    <s v="00102"/>
    <x v="84"/>
    <x v="36"/>
    <s v="09/2025"/>
    <d v="2025-09-10T00:00:00"/>
    <x v="159"/>
    <n v="996.12"/>
    <n v="0"/>
    <n v="0"/>
    <n v="0"/>
    <n v="996.12"/>
    <s v="Dinheiro"/>
    <x v="0"/>
  </r>
  <r>
    <s v="00085"/>
    <x v="49"/>
    <x v="22"/>
    <s v="09/2025"/>
    <d v="2025-09-10T00:00:00"/>
    <x v="159"/>
    <n v="10305.710000000001"/>
    <n v="0"/>
    <n v="0"/>
    <n v="0"/>
    <n v="10305.710000000001"/>
    <s v="Dinheiro"/>
    <x v="0"/>
  </r>
  <r>
    <s v="00607"/>
    <x v="52"/>
    <x v="16"/>
    <s v="09/2025"/>
    <d v="2025-09-10T00:00:00"/>
    <x v="159"/>
    <n v="221.3"/>
    <n v="0"/>
    <n v="0"/>
    <n v="0"/>
    <n v="221.3"/>
    <s v="Dinheiro"/>
    <x v="0"/>
  </r>
  <r>
    <s v="00509"/>
    <x v="308"/>
    <x v="17"/>
    <s v="09/2025"/>
    <d v="2025-09-10T00:00:00"/>
    <x v="159"/>
    <n v="475.32"/>
    <n v="0"/>
    <n v="0"/>
    <n v="0"/>
    <n v="475.32"/>
    <s v="Dinheiro"/>
    <x v="0"/>
  </r>
  <r>
    <s v="00362"/>
    <x v="7"/>
    <x v="3"/>
    <s v="09/2025"/>
    <d v="2025-09-10T00:00:00"/>
    <x v="159"/>
    <n v="20.400000000000002"/>
    <n v="0"/>
    <n v="0"/>
    <n v="0"/>
    <n v="20.400000000000002"/>
    <s v="Dinheiro"/>
    <x v="0"/>
  </r>
  <r>
    <s v="00102"/>
    <x v="84"/>
    <x v="10"/>
    <s v="06/2025"/>
    <d v="2025-08-27T00:00:00"/>
    <x v="161"/>
    <n v="2602.1"/>
    <n v="0"/>
    <n v="0"/>
    <n v="0"/>
    <n v="2602.1"/>
    <s v="Dinheiro"/>
    <x v="0"/>
  </r>
  <r>
    <s v="00319"/>
    <x v="27"/>
    <x v="16"/>
    <s v="09/2025"/>
    <d v="2025-09-08T00:00:00"/>
    <x v="161"/>
    <n v="1409.45"/>
    <n v="0"/>
    <n v="0"/>
    <n v="0"/>
    <n v="1409.45"/>
    <s v="Dinheiro"/>
    <x v="0"/>
  </r>
  <r>
    <s v="00362"/>
    <x v="7"/>
    <x v="3"/>
    <s v="09/2025"/>
    <d v="2025-09-08T00:00:00"/>
    <x v="161"/>
    <n v="106.08"/>
    <n v="0"/>
    <n v="0"/>
    <n v="0"/>
    <n v="106.08"/>
    <s v="Dinheiro"/>
    <x v="0"/>
  </r>
  <r>
    <s v="00588"/>
    <x v="444"/>
    <x v="14"/>
    <s v="09/2025"/>
    <d v="2025-09-15T00:00:00"/>
    <x v="183"/>
    <n v="180"/>
    <n v="0"/>
    <n v="0"/>
    <n v="0"/>
    <n v="180"/>
    <s v="Pix"/>
    <x v="0"/>
  </r>
  <r>
    <s v="00054"/>
    <x v="348"/>
    <x v="85"/>
    <s v="09/2025"/>
    <d v="2025-09-16T00:00:00"/>
    <x v="184"/>
    <n v="202.20000000000002"/>
    <n v="0"/>
    <n v="0"/>
    <n v="0"/>
    <n v="202.20000000000002"/>
    <s v="Dinheiro"/>
    <x v="0"/>
  </r>
  <r>
    <s v="00582"/>
    <x v="427"/>
    <x v="85"/>
    <s v="09/2025"/>
    <d v="2025-09-16T00:00:00"/>
    <x v="184"/>
    <n v="79.960000000000008"/>
    <n v="0"/>
    <n v="0"/>
    <n v="0"/>
    <n v="79.960000000000008"/>
    <s v="Dinheiro"/>
    <x v="0"/>
  </r>
  <r>
    <s v="00581"/>
    <x v="426"/>
    <x v="14"/>
    <s v="09/2025"/>
    <d v="2025-09-15T00:00:00"/>
    <x v="184"/>
    <n v="90"/>
    <n v="0"/>
    <n v="0"/>
    <n v="0"/>
    <n v="90"/>
    <s v="Dinheiro"/>
    <x v="0"/>
  </r>
  <r>
    <s v="00134"/>
    <x v="18"/>
    <x v="8"/>
    <s v="09/2025"/>
    <d v="2025-09-10T00:00:00"/>
    <x v="184"/>
    <n v="600"/>
    <n v="0"/>
    <n v="0"/>
    <n v="0"/>
    <n v="600"/>
    <s v="Dinheiro"/>
    <x v="0"/>
  </r>
  <r>
    <s v="00416"/>
    <x v="184"/>
    <x v="8"/>
    <s v="09/2025"/>
    <d v="2025-09-15T00:00:00"/>
    <x v="184"/>
    <n v="80"/>
    <n v="0"/>
    <n v="0"/>
    <n v="0"/>
    <n v="80"/>
    <s v="Dinheiro"/>
    <x v="0"/>
  </r>
  <r>
    <s v="00364"/>
    <x v="16"/>
    <x v="8"/>
    <s v="09/2025"/>
    <d v="2025-09-15T00:00:00"/>
    <x v="184"/>
    <n v="40"/>
    <n v="0"/>
    <n v="0"/>
    <n v="0"/>
    <n v="40"/>
    <s v="Dinheiro"/>
    <x v="0"/>
  </r>
  <r>
    <s v="00134"/>
    <x v="18"/>
    <x v="8"/>
    <s v="09/2025"/>
    <d v="2025-09-16T00:00:00"/>
    <x v="184"/>
    <n v="200"/>
    <n v="0"/>
    <n v="0"/>
    <n v="0"/>
    <n v="200"/>
    <s v="Dinheiro"/>
    <x v="0"/>
  </r>
  <r>
    <s v="00362"/>
    <x v="7"/>
    <x v="3"/>
    <s v="09/2025"/>
    <d v="2025-09-01T00:00:00"/>
    <x v="184"/>
    <n v="12.24"/>
    <n v="0"/>
    <n v="0"/>
    <n v="0"/>
    <n v="12.24"/>
    <s v="Dinheiro"/>
    <x v="0"/>
  </r>
  <r>
    <s v="00362"/>
    <x v="7"/>
    <x v="3"/>
    <s v="09/2025"/>
    <d v="2025-09-01T00:00:00"/>
    <x v="184"/>
    <n v="61.09"/>
    <n v="0"/>
    <n v="0"/>
    <n v="0"/>
    <n v="61.09"/>
    <s v="Dinheiro"/>
    <x v="0"/>
  </r>
  <r>
    <s v="00362"/>
    <x v="7"/>
    <x v="4"/>
    <s v="09/2025"/>
    <d v="2025-09-01T00:00:00"/>
    <x v="184"/>
    <n v="203.36"/>
    <n v="0"/>
    <n v="0"/>
    <n v="0"/>
    <n v="203.36"/>
    <s v="Dinheiro"/>
    <x v="0"/>
  </r>
  <r>
    <s v="00362"/>
    <x v="7"/>
    <x v="4"/>
    <s v="09/2025"/>
    <d v="2025-09-02T00:00:00"/>
    <x v="184"/>
    <n v="160.20000000000002"/>
    <n v="0"/>
    <n v="0"/>
    <n v="0"/>
    <n v="160.20000000000002"/>
    <s v="Dinheiro"/>
    <x v="0"/>
  </r>
  <r>
    <s v="00362"/>
    <x v="7"/>
    <x v="3"/>
    <s v="09/2025"/>
    <d v="2025-09-02T00:00:00"/>
    <x v="184"/>
    <n v="36.72"/>
    <n v="0"/>
    <n v="0"/>
    <n v="0"/>
    <n v="36.72"/>
    <s v="Dinheiro"/>
    <x v="0"/>
  </r>
  <r>
    <s v="00362"/>
    <x v="7"/>
    <x v="3"/>
    <s v="09/2025"/>
    <d v="2025-09-03T00:00:00"/>
    <x v="184"/>
    <n v="16.32"/>
    <n v="0"/>
    <n v="0"/>
    <n v="0"/>
    <n v="16.32"/>
    <s v="Dinheiro"/>
    <x v="0"/>
  </r>
  <r>
    <s v="00362"/>
    <x v="7"/>
    <x v="3"/>
    <s v="09/2025"/>
    <d v="2025-09-03T00:00:00"/>
    <x v="184"/>
    <n v="24.48"/>
    <n v="0"/>
    <n v="0"/>
    <n v="0"/>
    <n v="24.48"/>
    <s v="Dinheiro"/>
    <x v="0"/>
  </r>
  <r>
    <s v="00362"/>
    <x v="7"/>
    <x v="3"/>
    <s v="09/2025"/>
    <d v="2025-09-05T00:00:00"/>
    <x v="184"/>
    <n v="18.36"/>
    <n v="0"/>
    <n v="0"/>
    <n v="0"/>
    <n v="18.36"/>
    <s v="Dinheiro"/>
    <x v="0"/>
  </r>
  <r>
    <s v="00362"/>
    <x v="7"/>
    <x v="3"/>
    <s v="09/2025"/>
    <d v="2025-09-08T00:00:00"/>
    <x v="184"/>
    <n v="897.6"/>
    <n v="0"/>
    <n v="0"/>
    <n v="0"/>
    <n v="897.6"/>
    <s v="Dinheiro"/>
    <x v="0"/>
  </r>
  <r>
    <s v="00362"/>
    <x v="7"/>
    <x v="3"/>
    <s v="09/2025"/>
    <d v="2025-09-09T00:00:00"/>
    <x v="184"/>
    <n v="142.80000000000001"/>
    <n v="0"/>
    <n v="0"/>
    <n v="0"/>
    <n v="142.80000000000001"/>
    <s v="Dinheiro"/>
    <x v="0"/>
  </r>
  <r>
    <s v="00362"/>
    <x v="7"/>
    <x v="3"/>
    <s v="09/2025"/>
    <d v="2025-09-10T00:00:00"/>
    <x v="184"/>
    <n v="4.08"/>
    <n v="0"/>
    <n v="0"/>
    <n v="0"/>
    <n v="4.08"/>
    <s v="Dinheiro"/>
    <x v="0"/>
  </r>
  <r>
    <s v="00362"/>
    <x v="7"/>
    <x v="34"/>
    <s v="09/2025"/>
    <d v="2025-09-12T00:00:00"/>
    <x v="184"/>
    <n v="5552"/>
    <n v="0"/>
    <n v="0"/>
    <n v="0"/>
    <n v="5552"/>
    <s v="Dinheiro"/>
    <x v="0"/>
  </r>
  <r>
    <s v="00362"/>
    <x v="7"/>
    <x v="3"/>
    <s v="09/2025"/>
    <d v="2025-09-12T00:00:00"/>
    <x v="184"/>
    <n v="4.08"/>
    <n v="0"/>
    <n v="0"/>
    <n v="0"/>
    <n v="4.08"/>
    <s v="Dinheiro"/>
    <x v="0"/>
  </r>
  <r>
    <s v="00362"/>
    <x v="7"/>
    <x v="34"/>
    <s v="09/2025"/>
    <d v="2025-09-15T00:00:00"/>
    <x v="184"/>
    <n v="210.38"/>
    <n v="0"/>
    <n v="0"/>
    <n v="0"/>
    <n v="210.38"/>
    <s v="Dinheiro"/>
    <x v="0"/>
  </r>
  <r>
    <s v="00362"/>
    <x v="7"/>
    <x v="3"/>
    <s v="09/2025"/>
    <d v="2025-09-15T00:00:00"/>
    <x v="184"/>
    <n v="12.24"/>
    <n v="0"/>
    <n v="0"/>
    <n v="0"/>
    <n v="12.24"/>
    <s v="Dinheiro"/>
    <x v="0"/>
  </r>
  <r>
    <s v="00134"/>
    <x v="18"/>
    <x v="8"/>
    <s v="09/2025"/>
    <d v="2025-09-12T00:00:00"/>
    <x v="184"/>
    <n v="40"/>
    <n v="0"/>
    <n v="0"/>
    <n v="0"/>
    <n v="40"/>
    <s v="Dinheiro"/>
    <x v="0"/>
  </r>
  <r>
    <s v="00380"/>
    <x v="91"/>
    <x v="30"/>
    <s v="08/2025"/>
    <d v="2025-08-12T00:00:00"/>
    <x v="151"/>
    <n v="1760"/>
    <n v="0"/>
    <n v="0"/>
    <n v="0"/>
    <n v="1760"/>
    <s v="Dinheiro"/>
    <x v="0"/>
  </r>
  <r>
    <s v="00589"/>
    <x v="445"/>
    <x v="45"/>
    <s v="09/2025"/>
    <d v="2025-09-04T00:00:00"/>
    <x v="184"/>
    <n v="45"/>
    <n v="0"/>
    <n v="0"/>
    <n v="0"/>
    <n v="45"/>
    <s v="Dinheiro"/>
    <x v="0"/>
  </r>
  <r>
    <s v="00362"/>
    <x v="7"/>
    <x v="34"/>
    <s v="09/2025"/>
    <d v="2025-09-12T00:00:00"/>
    <x v="184"/>
    <n v="466.14"/>
    <n v="0"/>
    <n v="0"/>
    <n v="0"/>
    <n v="466.14"/>
    <s v="Dinheiro"/>
    <x v="0"/>
  </r>
  <r>
    <s v="00104"/>
    <x v="380"/>
    <x v="80"/>
    <s v="09/2025"/>
    <d v="2025-09-12T00:00:00"/>
    <x v="184"/>
    <n v="95.070000000000007"/>
    <n v="0"/>
    <n v="0"/>
    <n v="0"/>
    <n v="95.070000000000007"/>
    <s v="Dinheiro"/>
    <x v="0"/>
  </r>
  <r>
    <s v="00362"/>
    <x v="7"/>
    <x v="3"/>
    <s v="09/2025"/>
    <d v="2025-09-12T00:00:00"/>
    <x v="184"/>
    <n v="2.04"/>
    <n v="0"/>
    <n v="0"/>
    <n v="0"/>
    <n v="2.04"/>
    <s v="Dinheiro"/>
    <x v="0"/>
  </r>
  <r>
    <s v="00530"/>
    <x v="371"/>
    <x v="11"/>
    <s v="09/2025"/>
    <d v="2025-09-18T00:00:00"/>
    <x v="162"/>
    <n v="200"/>
    <n v="0"/>
    <n v="0"/>
    <n v="0"/>
    <n v="200"/>
    <s v="Dinheiro"/>
    <x v="0"/>
  </r>
  <r>
    <s v="00529"/>
    <x v="379"/>
    <x v="11"/>
    <s v="09/2025"/>
    <d v="2025-09-18T00:00:00"/>
    <x v="162"/>
    <n v="1365"/>
    <n v="0"/>
    <n v="0"/>
    <n v="0"/>
    <n v="1365"/>
    <s v="Dinheiro"/>
    <x v="0"/>
  </r>
  <r>
    <s v="00316"/>
    <x v="17"/>
    <x v="8"/>
    <s v="09/2025"/>
    <d v="2025-09-18T00:00:00"/>
    <x v="162"/>
    <n v="90"/>
    <n v="0"/>
    <n v="0"/>
    <n v="0"/>
    <n v="90"/>
    <s v="Dinheiro"/>
    <x v="0"/>
  </r>
  <r>
    <s v="00513"/>
    <x v="342"/>
    <x v="8"/>
    <s v="09/2025"/>
    <d v="2025-09-18T00:00:00"/>
    <x v="162"/>
    <n v="120"/>
    <n v="0"/>
    <n v="0"/>
    <n v="0"/>
    <n v="120"/>
    <s v="Dinheiro"/>
    <x v="0"/>
  </r>
  <r>
    <s v="00526"/>
    <x v="368"/>
    <x v="41"/>
    <s v="09/2025"/>
    <d v="2025-09-18T00:00:00"/>
    <x v="162"/>
    <n v="1500"/>
    <n v="0"/>
    <n v="0"/>
    <n v="0"/>
    <n v="1500"/>
    <s v="Dinheiro"/>
    <x v="0"/>
  </r>
  <r>
    <s v="00593"/>
    <x v="446"/>
    <x v="29"/>
    <s v="09/2025"/>
    <d v="2025-09-18T00:00:00"/>
    <x v="162"/>
    <n v="1120"/>
    <n v="0"/>
    <n v="0"/>
    <n v="0"/>
    <n v="1120"/>
    <s v="Dinheiro"/>
    <x v="0"/>
  </r>
  <r>
    <s v="00380"/>
    <x v="91"/>
    <x v="30"/>
    <s v="09/2025"/>
    <d v="2025-09-10T00:00:00"/>
    <x v="184"/>
    <n v="2320"/>
    <n v="0"/>
    <n v="0"/>
    <n v="0"/>
    <n v="2320"/>
    <s v="Dinheiro"/>
    <x v="0"/>
  </r>
  <r>
    <s v="00513"/>
    <x v="342"/>
    <x v="15"/>
    <s v="09/2025"/>
    <d v="2025-09-18T00:00:00"/>
    <x v="162"/>
    <n v="2000"/>
    <n v="0"/>
    <n v="0"/>
    <n v="0"/>
    <n v="2000"/>
    <s v="Dinheiro"/>
    <x v="0"/>
  </r>
  <r>
    <s v="00285"/>
    <x v="303"/>
    <x v="18"/>
    <s v="09/2025"/>
    <d v="2025-09-12T00:00:00"/>
    <x v="162"/>
    <n v="666"/>
    <n v="0"/>
    <n v="0"/>
    <n v="0"/>
    <n v="666"/>
    <s v="Dinheiro"/>
    <x v="0"/>
  </r>
  <r>
    <s v="00103"/>
    <x v="97"/>
    <x v="72"/>
    <s v="09/2025"/>
    <d v="2025-09-15T00:00:00"/>
    <x v="162"/>
    <n v="238.85"/>
    <n v="0"/>
    <n v="0"/>
    <n v="0"/>
    <n v="238.85"/>
    <s v="Dinheiro"/>
    <x v="0"/>
  </r>
  <r>
    <s v="00102"/>
    <x v="84"/>
    <x v="10"/>
    <s v="09/2025"/>
    <d v="2025-09-15T00:00:00"/>
    <x v="162"/>
    <n v="1992.24"/>
    <n v="0"/>
    <n v="0"/>
    <n v="0"/>
    <n v="1992.24"/>
    <s v="Dinheiro"/>
    <x v="0"/>
  </r>
  <r>
    <s v="00109"/>
    <x v="90"/>
    <x v="35"/>
    <s v="09/2025"/>
    <d v="2025-09-15T00:00:00"/>
    <x v="162"/>
    <n v="217.76"/>
    <n v="0"/>
    <n v="0"/>
    <n v="0"/>
    <n v="217.76"/>
    <s v="Dinheiro"/>
    <x v="0"/>
  </r>
  <r>
    <s v="00566"/>
    <x v="414"/>
    <x v="74"/>
    <s v="09/2025"/>
    <d v="2025-09-15T00:00:00"/>
    <x v="162"/>
    <n v="1200"/>
    <n v="0"/>
    <n v="0"/>
    <n v="0"/>
    <n v="1200"/>
    <s v="Dinheiro"/>
    <x v="0"/>
  </r>
  <r>
    <s v="00018"/>
    <x v="95"/>
    <x v="37"/>
    <s v="09/2025"/>
    <d v="2025-09-15T00:00:00"/>
    <x v="162"/>
    <n v="650"/>
    <n v="0"/>
    <n v="0"/>
    <n v="0"/>
    <n v="650"/>
    <s v="Dinheiro"/>
    <x v="0"/>
  </r>
  <r>
    <s v="00106"/>
    <x v="6"/>
    <x v="61"/>
    <s v="09/2025"/>
    <d v="2025-09-15T00:00:00"/>
    <x v="162"/>
    <n v="900"/>
    <n v="0"/>
    <n v="0"/>
    <n v="0"/>
    <n v="900"/>
    <s v="Dinheiro"/>
    <x v="0"/>
  </r>
  <r>
    <s v="00006"/>
    <x v="137"/>
    <x v="53"/>
    <s v="09/2025"/>
    <d v="2025-09-15T00:00:00"/>
    <x v="162"/>
    <n v="1518"/>
    <n v="0"/>
    <n v="0"/>
    <n v="0"/>
    <n v="1518"/>
    <s v="Dinheiro"/>
    <x v="0"/>
  </r>
  <r>
    <s v="00574"/>
    <x v="447"/>
    <x v="25"/>
    <s v="09/2025"/>
    <d v="2025-09-15T00:00:00"/>
    <x v="162"/>
    <n v="1303.29"/>
    <n v="0"/>
    <n v="0"/>
    <n v="0"/>
    <n v="1303.29"/>
    <s v="Dinheiro"/>
    <x v="0"/>
  </r>
  <r>
    <s v="00068"/>
    <x v="98"/>
    <x v="39"/>
    <s v="09/2025"/>
    <d v="2025-09-15T00:00:00"/>
    <x v="162"/>
    <n v="1518"/>
    <n v="0"/>
    <n v="0"/>
    <n v="0"/>
    <n v="1518"/>
    <s v="Dinheiro"/>
    <x v="0"/>
  </r>
  <r>
    <s v="00594"/>
    <x v="448"/>
    <x v="45"/>
    <s v="09/2025"/>
    <d v="2025-09-18T00:00:00"/>
    <x v="162"/>
    <n v="202.20000000000002"/>
    <n v="0"/>
    <n v="0"/>
    <n v="0"/>
    <n v="202.20000000000002"/>
    <s v="Dinheiro"/>
    <x v="0"/>
  </r>
  <r>
    <s v="00528"/>
    <x v="321"/>
    <x v="41"/>
    <s v="09/2025"/>
    <d v="2025-09-18T00:00:00"/>
    <x v="162"/>
    <n v="1800"/>
    <n v="0"/>
    <n v="0"/>
    <n v="0"/>
    <n v="1800"/>
    <s v="Dinheiro"/>
    <x v="0"/>
  </r>
  <r>
    <s v="00565"/>
    <x v="413"/>
    <x v="83"/>
    <s v="09/2025"/>
    <d v="2025-09-15T00:00:00"/>
    <x v="162"/>
    <n v="250"/>
    <n v="0"/>
    <n v="0"/>
    <n v="0"/>
    <n v="250"/>
    <s v="Dinheiro"/>
    <x v="0"/>
  </r>
  <r>
    <s v="00193"/>
    <x v="3"/>
    <x v="0"/>
    <s v="09/2025"/>
    <d v="2025-09-18T00:00:00"/>
    <x v="162"/>
    <n v="1503.4"/>
    <n v="0"/>
    <n v="0"/>
    <n v="0"/>
    <n v="1503.4"/>
    <s v="Dinheiro"/>
    <x v="0"/>
  </r>
  <r>
    <s v="00024"/>
    <x v="0"/>
    <x v="0"/>
    <s v="09/2025"/>
    <d v="2025-09-18T00:00:00"/>
    <x v="162"/>
    <n v="496.6"/>
    <n v="0"/>
    <n v="0"/>
    <n v="0"/>
    <n v="496.6"/>
    <s v="Dinheiro"/>
    <x v="0"/>
  </r>
  <r>
    <s v="00316"/>
    <x v="17"/>
    <x v="8"/>
    <s v="09/2025"/>
    <d v="2025-09-18T00:00:00"/>
    <x v="162"/>
    <n v="249"/>
    <n v="0"/>
    <n v="0"/>
    <n v="0"/>
    <n v="249"/>
    <s v="Dinheiro"/>
    <x v="0"/>
  </r>
  <r>
    <s v="00193"/>
    <x v="3"/>
    <x v="0"/>
    <s v="09/2025"/>
    <d v="2025-09-18T00:00:00"/>
    <x v="162"/>
    <n v="3000"/>
    <n v="0"/>
    <n v="0"/>
    <n v="0"/>
    <n v="3000"/>
    <s v="Dinheiro"/>
    <x v="0"/>
  </r>
  <r>
    <s v="00362"/>
    <x v="7"/>
    <x v="3"/>
    <s v="09/2025"/>
    <d v="2025-09-18T00:00:00"/>
    <x v="162"/>
    <n v="2.04"/>
    <n v="0"/>
    <n v="0"/>
    <n v="0"/>
    <n v="2.04"/>
    <s v="Dinheiro"/>
    <x v="0"/>
  </r>
  <r>
    <s v="00014"/>
    <x v="187"/>
    <x v="50"/>
    <s v="09/2025"/>
    <d v="2025-09-10T00:00:00"/>
    <x v="162"/>
    <n v="38.33"/>
    <n v="0"/>
    <n v="0"/>
    <n v="0"/>
    <n v="38.33"/>
    <s v="Dinheiro"/>
    <x v="0"/>
  </r>
  <r>
    <s v="00223"/>
    <x v="32"/>
    <x v="8"/>
    <s v="09/2025"/>
    <d v="2025-09-10T00:00:00"/>
    <x v="162"/>
    <n v="3550"/>
    <n v="0"/>
    <n v="0"/>
    <n v="0"/>
    <n v="3550"/>
    <s v="Dinheiro"/>
    <x v="0"/>
  </r>
  <r>
    <s v="00014"/>
    <x v="187"/>
    <x v="50"/>
    <s v="09/2025"/>
    <d v="2025-09-10T00:00:00"/>
    <x v="162"/>
    <n v="2348.94"/>
    <n v="0"/>
    <n v="0"/>
    <n v="0"/>
    <n v="2348.94"/>
    <s v="Dinheiro"/>
    <x v="0"/>
  </r>
  <r>
    <s v="00353"/>
    <x v="61"/>
    <x v="14"/>
    <s v="09/2025"/>
    <d v="2025-09-10T00:00:00"/>
    <x v="162"/>
    <n v="500"/>
    <n v="0"/>
    <n v="0"/>
    <n v="0"/>
    <n v="500"/>
    <s v="Dinheiro"/>
    <x v="0"/>
  </r>
  <r>
    <s v="00416"/>
    <x v="184"/>
    <x v="8"/>
    <s v="09/2025"/>
    <d v="2025-09-11T00:00:00"/>
    <x v="162"/>
    <n v="70"/>
    <n v="0"/>
    <n v="0"/>
    <n v="0"/>
    <n v="70"/>
    <s v="Dinheiro"/>
    <x v="0"/>
  </r>
  <r>
    <s v="00595"/>
    <x v="337"/>
    <x v="77"/>
    <s v="04/2025"/>
    <d v="2025-04-12T00:00:00"/>
    <x v="162"/>
    <n v="268.59000000000003"/>
    <n v="0"/>
    <n v="0"/>
    <n v="0"/>
    <n v="268.59000000000003"/>
    <s v="Dinheiro"/>
    <x v="0"/>
  </r>
  <r>
    <s v="00595"/>
    <x v="337"/>
    <x v="77"/>
    <s v="09/2025"/>
    <d v="2025-09-12T00:00:00"/>
    <x v="162"/>
    <n v="283.81"/>
    <n v="0"/>
    <n v="0"/>
    <n v="0"/>
    <n v="283.81"/>
    <s v="Dinheiro"/>
    <x v="0"/>
  </r>
  <r>
    <s v="00595"/>
    <x v="337"/>
    <x v="77"/>
    <s v="09/2025"/>
    <d v="2025-09-12T00:00:00"/>
    <x v="162"/>
    <n v="283.81"/>
    <n v="0"/>
    <n v="0"/>
    <n v="0"/>
    <n v="283.81"/>
    <s v="Dinheiro"/>
    <x v="0"/>
  </r>
  <r>
    <s v="00596"/>
    <x v="432"/>
    <x v="23"/>
    <s v="09/2025"/>
    <d v="2025-09-12T00:00:00"/>
    <x v="162"/>
    <n v="700"/>
    <n v="0"/>
    <n v="0"/>
    <n v="0"/>
    <n v="700"/>
    <s v="Dinheiro"/>
    <x v="0"/>
  </r>
  <r>
    <s v="00597"/>
    <x v="449"/>
    <x v="39"/>
    <s v="09/2025"/>
    <d v="2025-09-15T00:00:00"/>
    <x v="162"/>
    <n v="1722.07"/>
    <n v="0"/>
    <n v="0"/>
    <n v="0"/>
    <n v="1722.07"/>
    <s v="Dinheiro"/>
    <x v="0"/>
  </r>
  <r>
    <s v="00065"/>
    <x v="92"/>
    <x v="36"/>
    <s v="09/2025"/>
    <d v="2025-09-15T00:00:00"/>
    <x v="162"/>
    <n v="10305.710000000001"/>
    <n v="0"/>
    <n v="0"/>
    <n v="0"/>
    <n v="10305.710000000001"/>
    <s v="Dinheiro"/>
    <x v="0"/>
  </r>
  <r>
    <s v="00102"/>
    <x v="84"/>
    <x v="10"/>
    <s v="09/2025"/>
    <d v="2025-09-15T00:00:00"/>
    <x v="162"/>
    <n v="700"/>
    <n v="0"/>
    <n v="0"/>
    <n v="0"/>
    <n v="700"/>
    <s v="Dinheiro"/>
    <x v="0"/>
  </r>
  <r>
    <s v="00104"/>
    <x v="380"/>
    <x v="80"/>
    <s v="09/2025"/>
    <d v="2025-09-18T00:00:00"/>
    <x v="162"/>
    <n v="26.29"/>
    <n v="0"/>
    <n v="0"/>
    <n v="0"/>
    <n v="26.29"/>
    <s v="Dinheiro"/>
    <x v="0"/>
  </r>
  <r>
    <s v="00598"/>
    <x v="450"/>
    <x v="64"/>
    <s v="09/2025"/>
    <d v="2025-09-15T00:00:00"/>
    <x v="162"/>
    <n v="250"/>
    <n v="0"/>
    <n v="0"/>
    <n v="0"/>
    <n v="250"/>
    <s v="Dinheiro"/>
    <x v="0"/>
  </r>
  <r>
    <s v="00154"/>
    <x v="12"/>
    <x v="33"/>
    <s v="09/2025"/>
    <d v="2025-09-18T00:00:00"/>
    <x v="186"/>
    <n v="12000"/>
    <n v="0"/>
    <n v="0"/>
    <n v="0"/>
    <n v="12000"/>
    <s v="Dinheiro"/>
    <x v="0"/>
  </r>
  <r>
    <s v="00362"/>
    <x v="7"/>
    <x v="3"/>
    <s v="09/2025"/>
    <d v="2025-09-19T00:00:00"/>
    <x v="186"/>
    <n v="2.04"/>
    <n v="0"/>
    <n v="0"/>
    <n v="0"/>
    <n v="2.04"/>
    <s v="Dinheiro"/>
    <x v="0"/>
  </r>
  <r>
    <s v="00072"/>
    <x v="105"/>
    <x v="43"/>
    <s v="09/2025"/>
    <d v="2025-09-19T00:00:00"/>
    <x v="186"/>
    <n v="2989.69"/>
    <n v="0"/>
    <n v="0"/>
    <n v="0"/>
    <n v="2989.69"/>
    <s v="Dinheiro"/>
    <x v="0"/>
  </r>
  <r>
    <s v="00104"/>
    <x v="380"/>
    <x v="80"/>
    <s v="09/2025"/>
    <d v="2025-09-19T00:00:00"/>
    <x v="186"/>
    <n v="54.980000000000004"/>
    <n v="0"/>
    <n v="0"/>
    <n v="0"/>
    <n v="54.980000000000004"/>
    <s v="Dinheiro"/>
    <x v="0"/>
  </r>
  <r>
    <s v="00022"/>
    <x v="115"/>
    <x v="68"/>
    <s v="09/2025"/>
    <d v="2025-09-19T00:00:00"/>
    <x v="186"/>
    <n v="3326.39"/>
    <n v="0"/>
    <n v="0"/>
    <n v="0"/>
    <n v="3326.39"/>
    <s v="Dinheiro"/>
    <x v="0"/>
  </r>
  <r>
    <s v="00022"/>
    <x v="115"/>
    <x v="68"/>
    <s v="09/2025"/>
    <d v="2025-09-19T00:00:00"/>
    <x v="186"/>
    <n v="824.73"/>
    <n v="0"/>
    <n v="0"/>
    <n v="0"/>
    <n v="824.73"/>
    <s v="Dinheiro"/>
    <x v="0"/>
  </r>
  <r>
    <s v="00599"/>
    <x v="451"/>
    <x v="2"/>
    <s v="09/2025"/>
    <d v="2025-09-19T00:00:00"/>
    <x v="186"/>
    <n v="200"/>
    <n v="0"/>
    <n v="0"/>
    <n v="0"/>
    <n v="200"/>
    <s v="Dinheiro"/>
    <x v="0"/>
  </r>
  <r>
    <s v="00595"/>
    <x v="337"/>
    <x v="77"/>
    <s v="09/2025"/>
    <d v="2025-09-19T00:00:00"/>
    <x v="186"/>
    <n v="35.36"/>
    <n v="0"/>
    <n v="0"/>
    <n v="0"/>
    <n v="35.36"/>
    <s v="Dinheiro"/>
    <x v="0"/>
  </r>
  <r>
    <s v="00512"/>
    <x v="341"/>
    <x v="8"/>
    <s v="09/2025"/>
    <d v="2025-09-10T00:00:00"/>
    <x v="186"/>
    <n v="400"/>
    <n v="0"/>
    <n v="0"/>
    <n v="0"/>
    <n v="400"/>
    <s v="Dinheiro"/>
    <x v="0"/>
  </r>
  <r>
    <s v="00133"/>
    <x v="24"/>
    <x v="8"/>
    <s v="09/2025"/>
    <d v="2025-09-19T00:00:00"/>
    <x v="186"/>
    <n v="244"/>
    <n v="0"/>
    <n v="0"/>
    <n v="0"/>
    <n v="244"/>
    <s v="Dinheiro"/>
    <x v="0"/>
  </r>
  <r>
    <s v="00362"/>
    <x v="7"/>
    <x v="3"/>
    <s v="09/2025"/>
    <d v="2025-09-22T00:00:00"/>
    <x v="187"/>
    <n v="4.08"/>
    <n v="0"/>
    <n v="0"/>
    <n v="0"/>
    <n v="4.08"/>
    <s v="Dinheiro"/>
    <x v="0"/>
  </r>
  <r>
    <s v="00600"/>
    <x v="452"/>
    <x v="8"/>
    <s v="09/2025"/>
    <d v="2025-09-23T00:00:00"/>
    <x v="188"/>
    <n v="50"/>
    <n v="0"/>
    <n v="0"/>
    <n v="0"/>
    <n v="50"/>
    <s v="Dinheiro"/>
    <x v="0"/>
  </r>
  <r>
    <s v="00074"/>
    <x v="54"/>
    <x v="16"/>
    <s v="09/2025"/>
    <d v="2025-09-17T00:00:00"/>
    <x v="188"/>
    <n v="99"/>
    <n v="0"/>
    <n v="0"/>
    <n v="0"/>
    <n v="99"/>
    <s v="Dinheiro"/>
    <x v="0"/>
  </r>
  <r>
    <s v="00282"/>
    <x v="11"/>
    <x v="10"/>
    <s v="05/2025"/>
    <d v="2025-05-02T00:00:00"/>
    <x v="188"/>
    <n v="8600.94"/>
    <n v="0"/>
    <n v="0"/>
    <n v="0"/>
    <n v="8600.94"/>
    <s v="Dinheiro"/>
    <x v="0"/>
  </r>
  <r>
    <s v="00134"/>
    <x v="18"/>
    <x v="8"/>
    <s v="09/2025"/>
    <d v="2025-09-22T00:00:00"/>
    <x v="188"/>
    <n v="382"/>
    <n v="0"/>
    <n v="0"/>
    <n v="0"/>
    <n v="382"/>
    <s v="Dinheiro"/>
    <x v="0"/>
  </r>
  <r>
    <s v="00011"/>
    <x v="45"/>
    <x v="16"/>
    <s v="09/2025"/>
    <d v="2025-09-20T00:00:00"/>
    <x v="188"/>
    <n v="791.23"/>
    <n v="0"/>
    <n v="0"/>
    <n v="0"/>
    <n v="791.23"/>
    <s v="Dinheiro"/>
    <x v="0"/>
  </r>
  <r>
    <s v="00072"/>
    <x v="105"/>
    <x v="40"/>
    <s v="09/2025"/>
    <d v="2025-09-22T00:00:00"/>
    <x v="188"/>
    <n v="17212.420000000002"/>
    <n v="0"/>
    <n v="0"/>
    <n v="0"/>
    <n v="17212.420000000002"/>
    <s v="Dinheiro"/>
    <x v="0"/>
  </r>
  <r>
    <s v="00011"/>
    <x v="45"/>
    <x v="16"/>
    <s v="09/2025"/>
    <d v="2025-09-20T00:00:00"/>
    <x v="188"/>
    <n v="941.56000000000006"/>
    <n v="0"/>
    <n v="0"/>
    <n v="0"/>
    <n v="941.56000000000006"/>
    <s v="Dinheiro"/>
    <x v="0"/>
  </r>
  <r>
    <s v="00075"/>
    <x v="197"/>
    <x v="86"/>
    <s v="09/2025"/>
    <d v="2025-09-22T00:00:00"/>
    <x v="188"/>
    <n v="2280"/>
    <n v="0"/>
    <n v="0"/>
    <n v="0"/>
    <n v="2280"/>
    <s v="Dinheiro"/>
    <x v="0"/>
  </r>
  <r>
    <s v="00077"/>
    <x v="237"/>
    <x v="66"/>
    <s v="09/2025"/>
    <d v="2025-09-20T00:00:00"/>
    <x v="188"/>
    <n v="350"/>
    <n v="0"/>
    <n v="0"/>
    <n v="0"/>
    <n v="350"/>
    <s v="Dinheiro"/>
    <x v="0"/>
  </r>
  <r>
    <s v="00316"/>
    <x v="17"/>
    <x v="8"/>
    <s v="09/2025"/>
    <d v="2025-09-22T00:00:00"/>
    <x v="188"/>
    <n v="234"/>
    <n v="0"/>
    <n v="0"/>
    <n v="0"/>
    <n v="234"/>
    <s v="Dinheiro"/>
    <x v="0"/>
  </r>
  <r>
    <s v="00364"/>
    <x v="16"/>
    <x v="8"/>
    <s v="09/2025"/>
    <d v="2025-09-23T00:00:00"/>
    <x v="188"/>
    <n v="98"/>
    <n v="0"/>
    <n v="0"/>
    <n v="0"/>
    <n v="98"/>
    <s v="Dinheiro"/>
    <x v="0"/>
  </r>
  <r>
    <s v="00502"/>
    <x v="331"/>
    <x v="47"/>
    <s v="09/2025"/>
    <d v="2025-09-23T00:00:00"/>
    <x v="188"/>
    <n v="39.800000000000004"/>
    <n v="0"/>
    <n v="0"/>
    <n v="0"/>
    <n v="39.800000000000004"/>
    <s v="Dinheiro"/>
    <x v="0"/>
  </r>
  <r>
    <s v="00168"/>
    <x v="39"/>
    <x v="15"/>
    <s v="09/2025"/>
    <d v="2025-09-23T00:00:00"/>
    <x v="188"/>
    <n v="1000"/>
    <n v="0"/>
    <n v="0"/>
    <n v="0"/>
    <n v="1000"/>
    <s v="Dinheiro"/>
    <x v="0"/>
  </r>
  <r>
    <s v="00282"/>
    <x v="11"/>
    <x v="10"/>
    <s v="08/2025"/>
    <d v="2025-08-18T00:00:00"/>
    <x v="188"/>
    <n v="10698.66"/>
    <n v="0"/>
    <n v="0"/>
    <n v="0"/>
    <n v="10698.66"/>
    <s v="Dinheiro"/>
    <x v="0"/>
  </r>
  <r>
    <s v="00037"/>
    <x v="177"/>
    <x v="38"/>
    <s v="09/2025"/>
    <d v="2025-09-19T00:00:00"/>
    <x v="189"/>
    <n v="97.69"/>
    <n v="0"/>
    <n v="0"/>
    <n v="0"/>
    <n v="97.69"/>
    <s v="Dinheiro"/>
    <x v="0"/>
  </r>
  <r>
    <s v="00353"/>
    <x v="61"/>
    <x v="8"/>
    <s v="09/2025"/>
    <d v="2025-09-23T00:00:00"/>
    <x v="189"/>
    <n v="350"/>
    <n v="0"/>
    <n v="0"/>
    <n v="0"/>
    <n v="350"/>
    <s v="Dinheiro"/>
    <x v="0"/>
  </r>
  <r>
    <s v="00397"/>
    <x v="152"/>
    <x v="8"/>
    <s v="09/2025"/>
    <d v="2025-09-23T00:00:00"/>
    <x v="189"/>
    <n v="50"/>
    <n v="0"/>
    <n v="0"/>
    <n v="0"/>
    <n v="50"/>
    <s v="Dinheiro"/>
    <x v="0"/>
  </r>
  <r>
    <s v="00353"/>
    <x v="61"/>
    <x v="8"/>
    <s v="09/2025"/>
    <d v="2025-09-24T00:00:00"/>
    <x v="189"/>
    <n v="280"/>
    <n v="0"/>
    <n v="0"/>
    <n v="0"/>
    <n v="280"/>
    <s v="Dinheiro"/>
    <x v="0"/>
  </r>
  <r>
    <s v="RAD250191"/>
    <x v="453"/>
    <x v="28"/>
    <s v="09/2025"/>
    <d v="2025-09-24T00:00:00"/>
    <x v="189"/>
    <n v="69"/>
    <n v="0"/>
    <n v="0"/>
    <n v="0"/>
    <n v="69"/>
    <s v="Dinheiro"/>
    <x v="0"/>
  </r>
  <r>
    <s v="ENF250362"/>
    <x v="454"/>
    <x v="28"/>
    <s v="09/2025"/>
    <d v="2025-09-24T00:00:00"/>
    <x v="189"/>
    <n v="69"/>
    <n v="0"/>
    <n v="0"/>
    <n v="0"/>
    <n v="69"/>
    <s v="Dinheiro"/>
    <x v="0"/>
  </r>
  <r>
    <s v="00477"/>
    <x v="288"/>
    <x v="11"/>
    <s v="09/2025"/>
    <d v="2025-09-25T00:00:00"/>
    <x v="190"/>
    <n v="980"/>
    <n v="0"/>
    <n v="0"/>
    <n v="0"/>
    <n v="980"/>
    <s v="Dinheiro"/>
    <x v="0"/>
  </r>
  <r>
    <s v="00475"/>
    <x v="245"/>
    <x v="19"/>
    <s v="09/2025"/>
    <d v="2025-09-25T00:00:00"/>
    <x v="190"/>
    <n v="925.6"/>
    <n v="0"/>
    <n v="0"/>
    <n v="0"/>
    <n v="925.6"/>
    <s v="Dinheiro"/>
    <x v="0"/>
  </r>
  <r>
    <s v="00362"/>
    <x v="7"/>
    <x v="3"/>
    <s v="09/2025"/>
    <d v="2025-09-29T00:00:00"/>
    <x v="190"/>
    <n v="2.04"/>
    <n v="0"/>
    <n v="0"/>
    <n v="0"/>
    <n v="2.04"/>
    <s v="Dinheiro"/>
    <x v="0"/>
  </r>
  <r>
    <s v="00362"/>
    <x v="7"/>
    <x v="3"/>
    <s v="09/2025"/>
    <d v="2025-09-25T00:00:00"/>
    <x v="190"/>
    <n v="4.08"/>
    <n v="0"/>
    <n v="0"/>
    <n v="0"/>
    <n v="4.08"/>
    <s v="Dinheiro"/>
    <x v="0"/>
  </r>
  <r>
    <s v="00605"/>
    <x v="455"/>
    <x v="28"/>
    <s v="09/2025"/>
    <d v="2025-09-29T00:00:00"/>
    <x v="192"/>
    <n v="69"/>
    <n v="0"/>
    <n v="0"/>
    <n v="0"/>
    <n v="69"/>
    <s v="Dinheiro"/>
    <x v="0"/>
  </r>
  <r>
    <s v="00381"/>
    <x v="99"/>
    <x v="26"/>
    <s v="09/2025"/>
    <d v="2025-09-25T00:00:00"/>
    <x v="192"/>
    <n v="390"/>
    <n v="0"/>
    <n v="0"/>
    <n v="0"/>
    <n v="391.29"/>
    <s v="Dinheiro"/>
    <x v="0"/>
  </r>
  <r>
    <s v="00067"/>
    <x v="132"/>
    <x v="51"/>
    <s v="09/2025"/>
    <d v="2025-09-25T00:00:00"/>
    <x v="192"/>
    <n v="377.43"/>
    <n v="0"/>
    <n v="0"/>
    <n v="0"/>
    <n v="377.43"/>
    <s v="Dinheiro"/>
    <x v="0"/>
  </r>
  <r>
    <s v="00576"/>
    <x v="456"/>
    <x v="11"/>
    <s v="09/2025"/>
    <d v="2025-09-25T00:00:00"/>
    <x v="192"/>
    <n v="1094.98"/>
    <n v="0"/>
    <n v="0"/>
    <n v="0"/>
    <n v="1094.98"/>
    <s v="Dinheiro"/>
    <x v="0"/>
  </r>
  <r>
    <s v="00546"/>
    <x v="402"/>
    <x v="11"/>
    <s v="09/2025"/>
    <d v="2025-09-25T00:00:00"/>
    <x v="192"/>
    <n v="997.5"/>
    <n v="0"/>
    <n v="0"/>
    <n v="0"/>
    <n v="997.5"/>
    <s v="Dinheiro"/>
    <x v="0"/>
  </r>
  <r>
    <s v="00019"/>
    <x v="159"/>
    <x v="2"/>
    <s v="09/2025"/>
    <d v="2025-09-10T00:00:00"/>
    <x v="192"/>
    <n v="383.11"/>
    <n v="0"/>
    <n v="0"/>
    <n v="383.11"/>
    <n v="387.27"/>
    <s v="Dinheiro"/>
    <x v="0"/>
  </r>
  <r>
    <s v="00596"/>
    <x v="432"/>
    <x v="23"/>
    <s v="09/2025"/>
    <d v="2025-09-29T00:00:00"/>
    <x v="192"/>
    <n v="700"/>
    <n v="0"/>
    <n v="0"/>
    <n v="0"/>
    <n v="700"/>
    <s v="Dinheiro"/>
    <x v="0"/>
  </r>
  <r>
    <s v="00606"/>
    <x v="457"/>
    <x v="39"/>
    <s v="09/2025"/>
    <d v="2025-09-29T00:00:00"/>
    <x v="192"/>
    <n v="82.41"/>
    <n v="0"/>
    <n v="0"/>
    <n v="0"/>
    <n v="82.41"/>
    <s v="Dinheiro"/>
    <x v="0"/>
  </r>
  <r>
    <s v="00037"/>
    <x v="177"/>
    <x v="38"/>
    <s v="09/2025"/>
    <d v="2025-09-29T00:00:00"/>
    <x v="192"/>
    <n v="17.79"/>
    <n v="0"/>
    <n v="0"/>
    <n v="0"/>
    <n v="17.79"/>
    <s v="Dinheiro"/>
    <x v="0"/>
  </r>
  <r>
    <s v="00362"/>
    <x v="7"/>
    <x v="34"/>
    <s v="09/2025"/>
    <d v="2025-09-29T00:00:00"/>
    <x v="192"/>
    <n v="824.12"/>
    <n v="0"/>
    <n v="0"/>
    <n v="0"/>
    <n v="824.12"/>
    <s v="Dinheiro"/>
    <x v="0"/>
  </r>
  <r>
    <s v="00362"/>
    <x v="7"/>
    <x v="34"/>
    <s v="09/2025"/>
    <d v="2025-09-29T00:00:00"/>
    <x v="192"/>
    <n v="844.03"/>
    <n v="0"/>
    <n v="0"/>
    <n v="0"/>
    <n v="844.03"/>
    <s v="Dinheiro"/>
    <x v="0"/>
  </r>
  <r>
    <s v="00362"/>
    <x v="7"/>
    <x v="3"/>
    <s v="09/2025"/>
    <d v="2025-09-29T00:00:00"/>
    <x v="192"/>
    <n v="2.04"/>
    <n v="0"/>
    <n v="0"/>
    <n v="0"/>
    <n v="2.04"/>
    <s v="Dinheiro"/>
    <x v="0"/>
  </r>
  <r>
    <s v="00362"/>
    <x v="7"/>
    <x v="3"/>
    <s v="09/2025"/>
    <d v="2025-09-29T00:00:00"/>
    <x v="192"/>
    <n v="4.08"/>
    <n v="0"/>
    <n v="0"/>
    <n v="0"/>
    <n v="4.08"/>
    <s v="Dinheiro"/>
    <x v="0"/>
  </r>
  <r>
    <s v="00072"/>
    <x v="105"/>
    <x v="40"/>
    <s v="09/2025"/>
    <d v="2025-09-30T00:00:00"/>
    <x v="193"/>
    <n v="701.07"/>
    <n v="0"/>
    <n v="0"/>
    <n v="0"/>
    <n v="701.07"/>
    <s v="Dinheiro"/>
    <x v="0"/>
  </r>
  <r>
    <s v="00316"/>
    <x v="17"/>
    <x v="15"/>
    <s v="09/2025"/>
    <d v="2025-09-19T00:00:00"/>
    <x v="193"/>
    <n v="330"/>
    <n v="0"/>
    <n v="0"/>
    <n v="0"/>
    <n v="330"/>
    <s v="Dinheiro"/>
    <x v="0"/>
  </r>
  <r>
    <s v="00362"/>
    <x v="7"/>
    <x v="48"/>
    <s v="09/2025"/>
    <d v="2025-09-30T00:00:00"/>
    <x v="193"/>
    <n v="13633.74"/>
    <n v="0"/>
    <n v="0"/>
    <n v="0"/>
    <n v="13633.74"/>
    <s v="Dinheiro"/>
    <x v="0"/>
  </r>
  <r>
    <s v="00362"/>
    <x v="7"/>
    <x v="3"/>
    <s v="09/2025"/>
    <d v="2025-09-30T00:00:00"/>
    <x v="193"/>
    <n v="12.24"/>
    <n v="0"/>
    <n v="0"/>
    <n v="0"/>
    <n v="12.24"/>
    <s v="Dinheiro"/>
    <x v="0"/>
  </r>
  <r>
    <s v="OFC240023"/>
    <x v="458"/>
    <x v="20"/>
    <s v="09/2025"/>
    <d v="2025-09-08T00:00:00"/>
    <x v="180"/>
    <n v="397.5"/>
    <n v="0"/>
    <n v="0"/>
    <n v="0"/>
    <n v="397.5"/>
    <s v="Dinheiro"/>
    <x v="0"/>
  </r>
  <r>
    <s v="00584"/>
    <x v="459"/>
    <x v="29"/>
    <s v="09/2025"/>
    <d v="2025-09-10T00:00:00"/>
    <x v="159"/>
    <n v="580"/>
    <n v="0"/>
    <n v="0"/>
    <n v="0"/>
    <n v="580"/>
    <s v="Dinheiro"/>
    <x v="0"/>
  </r>
  <r>
    <s v="00385"/>
    <x v="396"/>
    <x v="19"/>
    <s v="09/2025"/>
    <d v="2025-09-17T00:00:00"/>
    <x v="185"/>
    <n v="71.5"/>
    <n v="0"/>
    <n v="0"/>
    <n v="0"/>
    <n v="71.5"/>
    <s v="Dinheiro"/>
    <x v="0"/>
  </r>
  <r>
    <s v="APH250041"/>
    <x v="460"/>
    <x v="28"/>
    <s v="09/2025"/>
    <d v="2025-09-04T00:00:00"/>
    <x v="178"/>
    <n v="69"/>
    <n v="0"/>
    <n v="0"/>
    <n v="0"/>
    <n v="69"/>
    <s v="Dinheiro"/>
    <x v="0"/>
  </r>
  <r>
    <s v="APH250050"/>
    <x v="461"/>
    <x v="28"/>
    <s v="09/2025"/>
    <d v="2025-09-24T00:00:00"/>
    <x v="189"/>
    <n v="99"/>
    <n v="0"/>
    <n v="0"/>
    <n v="0"/>
    <n v="99"/>
    <s v="Dinheiro"/>
    <x v="0"/>
  </r>
  <r>
    <s v="00036"/>
    <x v="109"/>
    <x v="59"/>
    <s v="10/2025"/>
    <d v="2025-10-01T00:00:00"/>
    <x v="195"/>
    <n v="71.930000000000007"/>
    <n v="0"/>
    <n v="0"/>
    <n v="0"/>
    <n v="71.930000000000007"/>
    <s v="Dinheiro"/>
    <x v="0"/>
  </r>
  <r>
    <s v="00609"/>
    <x v="462"/>
    <x v="59"/>
    <s v="10/2025"/>
    <d v="2025-10-01T00:00:00"/>
    <x v="195"/>
    <n v="32.47"/>
    <n v="0"/>
    <n v="0"/>
    <n v="0"/>
    <n v="32.47"/>
    <s v="Dinheiro"/>
    <x v="0"/>
  </r>
  <r>
    <s v="00610"/>
    <x v="463"/>
    <x v="25"/>
    <s v="10/2025"/>
    <d v="2025-10-02T00:00:00"/>
    <x v="196"/>
    <n v="84.9"/>
    <n v="0"/>
    <n v="0"/>
    <n v="0"/>
    <n v="84.9"/>
    <s v="Dinheiro"/>
    <x v="0"/>
  </r>
  <r>
    <s v="00036"/>
    <x v="109"/>
    <x v="59"/>
    <s v="10/2025"/>
    <d v="2025-10-02T00:00:00"/>
    <x v="196"/>
    <n v="27.86"/>
    <n v="0"/>
    <n v="0"/>
    <n v="0"/>
    <n v="27.86"/>
    <s v="Dinheiro"/>
    <x v="0"/>
  </r>
  <r>
    <s v="00611"/>
    <x v="464"/>
    <x v="76"/>
    <s v="10/2025"/>
    <d v="2025-10-03T00:00:00"/>
    <x v="197"/>
    <n v="30"/>
    <n v="0"/>
    <n v="0"/>
    <n v="0"/>
    <n v="30"/>
    <s v="Dinheiro"/>
    <x v="0"/>
  </r>
  <r>
    <s v="00028"/>
    <x v="108"/>
    <x v="76"/>
    <s v="10/2025"/>
    <d v="2025-10-03T00:00:00"/>
    <x v="197"/>
    <n v="38"/>
    <n v="0"/>
    <n v="0"/>
    <n v="0"/>
    <n v="38"/>
    <s v="Dinheiro"/>
    <x v="0"/>
  </r>
  <r>
    <s v="00403"/>
    <x v="160"/>
    <x v="9"/>
    <s v="10/2025"/>
    <d v="2025-10-06T00:00:00"/>
    <x v="198"/>
    <n v="700"/>
    <n v="0"/>
    <n v="0"/>
    <n v="0"/>
    <n v="700"/>
    <s v="Dinheiro"/>
    <x v="0"/>
  </r>
  <r>
    <s v="00330"/>
    <x v="14"/>
    <x v="13"/>
    <s v="10/2025"/>
    <d v="2025-10-06T00:00:00"/>
    <x v="198"/>
    <n v="550"/>
    <n v="0"/>
    <n v="0"/>
    <n v="0"/>
    <n v="550"/>
    <s v="Dinheiro"/>
    <x v="0"/>
  </r>
  <r>
    <s v="00511"/>
    <x v="241"/>
    <x v="15"/>
    <s v="10/2025"/>
    <d v="2025-10-06T00:00:00"/>
    <x v="198"/>
    <n v="133.34"/>
    <n v="0"/>
    <n v="0"/>
    <n v="0"/>
    <n v="133.34"/>
    <s v="Dinheiro"/>
    <x v="0"/>
  </r>
  <r>
    <s v="00133"/>
    <x v="24"/>
    <x v="8"/>
    <s v="10/2025"/>
    <d v="2025-10-06T00:00:00"/>
    <x v="198"/>
    <n v="40"/>
    <n v="0"/>
    <n v="0"/>
    <n v="0"/>
    <n v="40"/>
    <s v="Dinheiro"/>
    <x v="0"/>
  </r>
  <r>
    <s v="00350"/>
    <x v="465"/>
    <x v="1"/>
    <s v="10/2025"/>
    <d v="2025-10-07T00:00:00"/>
    <x v="199"/>
    <n v="20"/>
    <n v="0"/>
    <n v="0"/>
    <n v="0"/>
    <n v="20"/>
    <s v="Dinheiro"/>
    <x v="0"/>
  </r>
  <r>
    <s v="00416"/>
    <x v="184"/>
    <x v="8"/>
    <s v="10/2025"/>
    <d v="2025-10-07T00:00:00"/>
    <x v="199"/>
    <n v="40"/>
    <n v="0"/>
    <n v="0"/>
    <n v="0"/>
    <n v="40"/>
    <s v="Dinheiro"/>
    <x v="0"/>
  </r>
  <r>
    <s v="00612"/>
    <x v="466"/>
    <x v="62"/>
    <s v="10/2025"/>
    <d v="2025-10-07T00:00:00"/>
    <x v="199"/>
    <n v="220.4"/>
    <n v="0"/>
    <n v="0"/>
    <n v="0"/>
    <n v="220.4"/>
    <s v="Dinheiro"/>
    <x v="0"/>
  </r>
  <r>
    <s v="00041"/>
    <x v="354"/>
    <x v="12"/>
    <s v="10/2025"/>
    <d v="2025-10-08T00:00:00"/>
    <x v="200"/>
    <n v="54"/>
    <n v="0"/>
    <n v="0"/>
    <n v="0"/>
    <n v="54"/>
    <s v="Dinheiro"/>
    <x v="0"/>
  </r>
  <r>
    <s v="00028"/>
    <x v="108"/>
    <x v="76"/>
    <s v="10/2025"/>
    <d v="2025-10-08T00:00:00"/>
    <x v="200"/>
    <n v="64"/>
    <n v="0"/>
    <n v="0"/>
    <n v="0"/>
    <n v="64"/>
    <s v="Dinheiro"/>
    <x v="0"/>
  </r>
  <r>
    <s v="00036"/>
    <x v="109"/>
    <x v="59"/>
    <s v="10/2025"/>
    <d v="2025-10-08T00:00:00"/>
    <x v="200"/>
    <n v="28.900000000000002"/>
    <n v="0"/>
    <n v="0"/>
    <n v="0"/>
    <n v="28.900000000000002"/>
    <s v="Dinheiro"/>
    <x v="0"/>
  </r>
  <r>
    <s v="00613"/>
    <x v="467"/>
    <x v="1"/>
    <s v="10/2025"/>
    <d v="2025-10-08T00:00:00"/>
    <x v="200"/>
    <n v="53.4"/>
    <n v="0"/>
    <n v="0"/>
    <n v="0"/>
    <n v="53.4"/>
    <s v="Dinheiro"/>
    <x v="0"/>
  </r>
  <r>
    <s v="00614"/>
    <x v="468"/>
    <x v="1"/>
    <s v="10/2025"/>
    <d v="2025-10-08T00:00:00"/>
    <x v="200"/>
    <n v="53.4"/>
    <n v="0"/>
    <n v="0"/>
    <n v="0"/>
    <n v="53.4"/>
    <s v="Dinheiro"/>
    <x v="0"/>
  </r>
  <r>
    <s v="00032"/>
    <x v="120"/>
    <x v="45"/>
    <s v="10/2025"/>
    <d v="2025-10-09T00:00:00"/>
    <x v="201"/>
    <n v="51.67"/>
    <n v="0"/>
    <n v="0"/>
    <n v="0"/>
    <n v="51.67"/>
    <s v="Dinheiro"/>
    <x v="0"/>
  </r>
  <r>
    <s v="00032"/>
    <x v="120"/>
    <x v="45"/>
    <s v="10/2025"/>
    <d v="2025-10-09T00:00:00"/>
    <x v="201"/>
    <n v="11.4"/>
    <n v="0"/>
    <n v="0"/>
    <n v="0"/>
    <n v="11.4"/>
    <s v="Dinheiro"/>
    <x v="0"/>
  </r>
  <r>
    <s v="00039"/>
    <x v="231"/>
    <x v="9"/>
    <s v="10/2025"/>
    <d v="2025-10-09T00:00:00"/>
    <x v="201"/>
    <n v="29.55"/>
    <n v="0"/>
    <n v="0"/>
    <n v="0"/>
    <n v="29.55"/>
    <s v="Dinheiro"/>
    <x v="0"/>
  </r>
  <r>
    <s v="00036"/>
    <x v="109"/>
    <x v="45"/>
    <s v="10/2025"/>
    <d v="2025-10-09T00:00:00"/>
    <x v="201"/>
    <n v="5.25"/>
    <n v="0"/>
    <n v="0"/>
    <n v="0"/>
    <n v="5.25"/>
    <s v="Dinheiro"/>
    <x v="0"/>
  </r>
  <r>
    <s v="00133"/>
    <x v="24"/>
    <x v="8"/>
    <s v="10/2025"/>
    <d v="2025-10-10T00:00:00"/>
    <x v="202"/>
    <n v="1250"/>
    <n v="0"/>
    <n v="0"/>
    <n v="0"/>
    <n v="1250"/>
    <s v="Dinheiro"/>
    <x v="0"/>
  </r>
  <r>
    <s v="00316"/>
    <x v="17"/>
    <x v="8"/>
    <s v="10/2025"/>
    <d v="2025-10-10T00:00:00"/>
    <x v="202"/>
    <n v="1250"/>
    <n v="0"/>
    <n v="0"/>
    <n v="0"/>
    <n v="1250"/>
    <s v="Dinheiro"/>
    <x v="0"/>
  </r>
  <r>
    <s v="00513"/>
    <x v="342"/>
    <x v="8"/>
    <s v="10/2025"/>
    <d v="2025-10-10T00:00:00"/>
    <x v="202"/>
    <n v="600"/>
    <n v="0"/>
    <n v="0"/>
    <n v="0"/>
    <n v="600"/>
    <s v="Dinheiro"/>
    <x v="0"/>
  </r>
  <r>
    <s v="00364"/>
    <x v="16"/>
    <x v="8"/>
    <s v="10/2025"/>
    <d v="2025-10-10T00:00:00"/>
    <x v="202"/>
    <n v="650"/>
    <n v="0"/>
    <n v="0"/>
    <n v="0"/>
    <n v="650"/>
    <s v="Dinheiro"/>
    <x v="0"/>
  </r>
  <r>
    <s v="00464"/>
    <x v="273"/>
    <x v="8"/>
    <s v="10/2025"/>
    <d v="2025-10-10T00:00:00"/>
    <x v="202"/>
    <n v="130"/>
    <n v="0"/>
    <n v="0"/>
    <n v="0"/>
    <n v="130"/>
    <s v="Dinheiro"/>
    <x v="0"/>
  </r>
  <r>
    <s v="00552"/>
    <x v="395"/>
    <x v="8"/>
    <s v="10/2025"/>
    <d v="2025-10-10T00:00:00"/>
    <x v="202"/>
    <n v="80"/>
    <n v="0"/>
    <n v="0"/>
    <n v="0"/>
    <n v="80"/>
    <s v="Dinheiro"/>
    <x v="0"/>
  </r>
  <r>
    <s v="00351"/>
    <x v="42"/>
    <x v="8"/>
    <s v="10/2025"/>
    <d v="2025-10-10T00:00:00"/>
    <x v="202"/>
    <n v="200"/>
    <n v="0"/>
    <n v="0"/>
    <n v="0"/>
    <n v="200"/>
    <s v="Dinheiro"/>
    <x v="0"/>
  </r>
  <r>
    <s v="00351"/>
    <x v="42"/>
    <x v="8"/>
    <s v="10/2025"/>
    <d v="2025-10-10T00:00:00"/>
    <x v="202"/>
    <n v="200"/>
    <n v="0"/>
    <n v="0"/>
    <n v="0"/>
    <n v="200"/>
    <s v="Dinheiro"/>
    <x v="0"/>
  </r>
  <r>
    <s v="00448"/>
    <x v="269"/>
    <x v="8"/>
    <s v="10/2025"/>
    <d v="2025-10-10T00:00:00"/>
    <x v="202"/>
    <n v="200"/>
    <n v="0"/>
    <n v="0"/>
    <n v="0"/>
    <n v="200"/>
    <s v="Dinheiro"/>
    <x v="0"/>
  </r>
  <r>
    <s v="00397"/>
    <x v="152"/>
    <x v="8"/>
    <s v="10/2025"/>
    <d v="2025-10-10T00:00:00"/>
    <x v="202"/>
    <n v="200"/>
    <n v="0"/>
    <n v="0"/>
    <n v="0"/>
    <n v="200"/>
    <s v="Dinheiro"/>
    <x v="0"/>
  </r>
  <r>
    <s v="00182"/>
    <x v="406"/>
    <x v="29"/>
    <s v="10/2025"/>
    <d v="2025-10-10T00:00:00"/>
    <x v="202"/>
    <n v="720"/>
    <n v="0"/>
    <n v="0"/>
    <n v="0"/>
    <n v="720"/>
    <s v="Dinheiro"/>
    <x v="0"/>
  </r>
  <r>
    <s v="00511"/>
    <x v="241"/>
    <x v="8"/>
    <s v="10/2025"/>
    <d v="2025-10-10T00:00:00"/>
    <x v="202"/>
    <n v="50"/>
    <n v="0"/>
    <n v="0"/>
    <n v="0"/>
    <n v="50"/>
    <s v="Dinheiro"/>
    <x v="0"/>
  </r>
  <r>
    <s v="00168"/>
    <x v="39"/>
    <x v="8"/>
    <s v="10/2025"/>
    <d v="2025-10-10T00:00:00"/>
    <x v="202"/>
    <n v="600"/>
    <n v="0"/>
    <n v="0"/>
    <n v="0"/>
    <n v="600"/>
    <s v="Dinheiro"/>
    <x v="0"/>
  </r>
  <r>
    <s v="00046"/>
    <x v="469"/>
    <x v="76"/>
    <s v="10/2025"/>
    <d v="2025-10-10T00:00:00"/>
    <x v="202"/>
    <n v="57.54"/>
    <n v="0"/>
    <n v="0"/>
    <n v="0"/>
    <n v="57.54"/>
    <s v="Dinheiro"/>
    <x v="0"/>
  </r>
  <r>
    <s v="00036"/>
    <x v="109"/>
    <x v="59"/>
    <s v="10/2025"/>
    <d v="2025-10-10T00:00:00"/>
    <x v="202"/>
    <n v="27.38"/>
    <n v="0"/>
    <n v="0"/>
    <n v="0"/>
    <n v="27.38"/>
    <s v="Dinheiro"/>
    <x v="0"/>
  </r>
  <r>
    <s v="00036"/>
    <x v="109"/>
    <x v="59"/>
    <s v="10/2025"/>
    <d v="2025-10-10T00:00:00"/>
    <x v="202"/>
    <n v="31.96"/>
    <n v="0"/>
    <n v="0"/>
    <n v="0"/>
    <n v="31.96"/>
    <s v="Dinheiro"/>
    <x v="0"/>
  </r>
  <r>
    <s v="00351"/>
    <x v="42"/>
    <x v="8"/>
    <s v="10/2025"/>
    <d v="2025-10-10T00:00:00"/>
    <x v="202"/>
    <n v="75"/>
    <n v="0"/>
    <n v="0"/>
    <n v="0"/>
    <n v="75"/>
    <s v="Dinheiro"/>
    <x v="0"/>
  </r>
  <r>
    <s v="00503"/>
    <x v="338"/>
    <x v="29"/>
    <s v="10/2025"/>
    <d v="2025-10-10T00:00:00"/>
    <x v="202"/>
    <n v="960"/>
    <n v="0"/>
    <n v="0"/>
    <n v="0"/>
    <n v="960"/>
    <s v="Dinheiro"/>
    <x v="0"/>
  </r>
  <r>
    <s v="00349"/>
    <x v="25"/>
    <x v="8"/>
    <s v="10/2025"/>
    <d v="2025-10-11T00:00:00"/>
    <x v="203"/>
    <n v="200"/>
    <n v="0"/>
    <n v="0"/>
    <n v="0"/>
    <n v="200"/>
    <s v="Dinheiro"/>
    <x v="0"/>
  </r>
  <r>
    <s v="00581"/>
    <x v="426"/>
    <x v="8"/>
    <s v="10/2025"/>
    <d v="2025-10-13T00:00:00"/>
    <x v="204"/>
    <n v="350"/>
    <n v="0"/>
    <n v="0"/>
    <n v="0"/>
    <n v="350"/>
    <s v="Dinheiro"/>
    <x v="0"/>
  </r>
  <r>
    <s v="00036"/>
    <x v="109"/>
    <x v="76"/>
    <s v="10/2025"/>
    <d v="2025-10-14T00:00:00"/>
    <x v="205"/>
    <n v="2.4"/>
    <n v="0"/>
    <n v="0"/>
    <n v="0"/>
    <n v="2.4"/>
    <s v="Dinheiro"/>
    <x v="0"/>
  </r>
  <r>
    <s v="00623"/>
    <x v="470"/>
    <x v="59"/>
    <s v="10/2025"/>
    <d v="2025-10-15T00:00:00"/>
    <x v="206"/>
    <n v="62.24"/>
    <n v="0"/>
    <n v="0"/>
    <n v="0"/>
    <n v="62.24"/>
    <s v="Dinheiro"/>
    <x v="0"/>
  </r>
  <r>
    <s v="00349"/>
    <x v="25"/>
    <x v="8"/>
    <s v="10/2025"/>
    <d v="2025-10-15T00:00:00"/>
    <x v="206"/>
    <n v="50"/>
    <n v="0"/>
    <n v="0"/>
    <n v="0"/>
    <n v="50"/>
    <s v="Dinheiro"/>
    <x v="0"/>
  </r>
  <r>
    <s v="00036"/>
    <x v="109"/>
    <x v="76"/>
    <s v="10/2025"/>
    <d v="2025-10-15T00:00:00"/>
    <x v="206"/>
    <n v="57.800000000000004"/>
    <n v="0"/>
    <n v="0"/>
    <n v="0"/>
    <n v="57.800000000000004"/>
    <s v="Dinheiro"/>
    <x v="0"/>
  </r>
  <r>
    <s v="00028"/>
    <x v="108"/>
    <x v="76"/>
    <s v="10/2025"/>
    <d v="2025-10-15T00:00:00"/>
    <x v="206"/>
    <n v="45"/>
    <n v="0"/>
    <n v="0"/>
    <n v="0"/>
    <n v="45"/>
    <s v="Dinheiro"/>
    <x v="0"/>
  </r>
  <r>
    <s v="00036"/>
    <x v="109"/>
    <x v="76"/>
    <s v="10/2025"/>
    <d v="2025-10-15T00:00:00"/>
    <x v="206"/>
    <n v="12"/>
    <n v="0"/>
    <n v="0"/>
    <n v="0"/>
    <n v="12"/>
    <s v="Dinheiro"/>
    <x v="0"/>
  </r>
  <r>
    <s v="ENF250222"/>
    <x v="471"/>
    <x v="8"/>
    <s v="10/2025"/>
    <d v="2025-10-15T00:00:00"/>
    <x v="206"/>
    <n v="50"/>
    <n v="0"/>
    <n v="0"/>
    <n v="0"/>
    <n v="50"/>
    <s v="Dinheiro"/>
    <x v="0"/>
  </r>
  <r>
    <s v="ENF230480"/>
    <x v="472"/>
    <x v="8"/>
    <s v="10/2025"/>
    <d v="2025-10-15T00:00:00"/>
    <x v="206"/>
    <n v="50"/>
    <n v="0"/>
    <n v="0"/>
    <n v="0"/>
    <n v="50"/>
    <s v="Dinheiro"/>
    <x v="0"/>
  </r>
  <r>
    <s v="00292"/>
    <x v="278"/>
    <x v="5"/>
    <s v="10/2025"/>
    <d v="2025-10-16T00:00:00"/>
    <x v="207"/>
    <n v="35"/>
    <n v="0"/>
    <n v="0"/>
    <n v="0"/>
    <n v="35"/>
    <s v="Dinheiro"/>
    <x v="0"/>
  </r>
  <r>
    <s v="00292"/>
    <x v="278"/>
    <x v="5"/>
    <s v="10/2025"/>
    <d v="2025-10-16T00:00:00"/>
    <x v="207"/>
    <n v="35"/>
    <n v="0"/>
    <n v="0"/>
    <n v="0"/>
    <n v="35"/>
    <s v="Dinheiro"/>
    <x v="0"/>
  </r>
  <r>
    <s v="00036"/>
    <x v="109"/>
    <x v="76"/>
    <s v="10/2025"/>
    <d v="2025-10-20T00:00:00"/>
    <x v="208"/>
    <n v="27.98"/>
    <n v="0"/>
    <n v="0"/>
    <n v="0"/>
    <n v="27.98"/>
    <s v="Dinheiro"/>
    <x v="0"/>
  </r>
  <r>
    <s v="00133"/>
    <x v="24"/>
    <x v="8"/>
    <s v="10/2025"/>
    <d v="2025-10-20T00:00:00"/>
    <x v="209"/>
    <n v="40"/>
    <n v="0"/>
    <n v="0"/>
    <n v="0"/>
    <n v="40"/>
    <s v="Dinheiro"/>
    <x v="0"/>
  </r>
  <r>
    <s v="00133"/>
    <x v="24"/>
    <x v="76"/>
    <s v="10/2025"/>
    <d v="2025-10-21T00:00:00"/>
    <x v="209"/>
    <n v="13.89"/>
    <n v="0"/>
    <n v="0"/>
    <n v="0"/>
    <n v="13.89"/>
    <s v="Dinheiro"/>
    <x v="0"/>
  </r>
  <r>
    <s v="00510"/>
    <x v="473"/>
    <x v="17"/>
    <s v="10/2025"/>
    <d v="2025-10-21T00:00:00"/>
    <x v="209"/>
    <n v="84"/>
    <n v="0"/>
    <n v="0"/>
    <n v="0"/>
    <n v="84"/>
    <s v="Dinheiro"/>
    <x v="0"/>
  </r>
  <r>
    <s v="00416"/>
    <x v="184"/>
    <x v="8"/>
    <s v="10/2025"/>
    <d v="2025-10-22T00:00:00"/>
    <x v="210"/>
    <n v="40"/>
    <n v="0"/>
    <n v="0"/>
    <n v="0"/>
    <n v="40"/>
    <s v="Dinheiro"/>
    <x v="0"/>
  </r>
  <r>
    <s v="00628"/>
    <x v="474"/>
    <x v="45"/>
    <s v="10/2025"/>
    <d v="2025-10-29T00:00:00"/>
    <x v="211"/>
    <n v="30"/>
    <n v="0"/>
    <n v="0"/>
    <n v="0"/>
    <n v="30"/>
    <s v="Dinheiro"/>
    <x v="0"/>
  </r>
  <r>
    <s v="00037"/>
    <x v="177"/>
    <x v="38"/>
    <s v="10/2025"/>
    <d v="2025-10-29T00:00:00"/>
    <x v="211"/>
    <n v="110.5"/>
    <n v="0"/>
    <n v="0"/>
    <n v="0"/>
    <n v="110.5"/>
    <s v="Dinheiro"/>
    <x v="0"/>
  </r>
  <r>
    <s v="00552"/>
    <x v="395"/>
    <x v="19"/>
    <s v="10/2025"/>
    <d v="2025-10-30T00:00:00"/>
    <x v="212"/>
    <n v="91"/>
    <n v="0"/>
    <n v="0"/>
    <n v="0"/>
    <n v="91"/>
    <s v="Dinheiro"/>
    <x v="0"/>
  </r>
  <r>
    <s v="00610"/>
    <x v="463"/>
    <x v="25"/>
    <s v="10/2025"/>
    <d v="2025-10-30T00:00:00"/>
    <x v="212"/>
    <n v="21.5"/>
    <n v="0"/>
    <n v="0"/>
    <n v="0"/>
    <n v="21.5"/>
    <s v="Dinheiro"/>
    <x v="0"/>
  </r>
  <r>
    <s v="ENF240035"/>
    <x v="475"/>
    <x v="8"/>
    <s v="10/2025"/>
    <d v="2025-10-30T00:00:00"/>
    <x v="212"/>
    <n v="50"/>
    <n v="0"/>
    <n v="0"/>
    <n v="0"/>
    <n v="50"/>
    <s v="Dinheiro"/>
    <x v="0"/>
  </r>
  <r>
    <s v="00313"/>
    <x v="10"/>
    <x v="9"/>
    <s v="10/2025"/>
    <d v="2025-10-31T00:00:00"/>
    <x v="213"/>
    <n v="100"/>
    <n v="0"/>
    <n v="0"/>
    <n v="0"/>
    <n v="100"/>
    <s v="Dinheiro"/>
    <x v="0"/>
  </r>
  <r>
    <s v="00614"/>
    <x v="468"/>
    <x v="32"/>
    <s v="10/2025"/>
    <d v="2025-10-31T00:00:00"/>
    <x v="213"/>
    <n v="107"/>
    <n v="0"/>
    <n v="0"/>
    <n v="0"/>
    <n v="107"/>
    <s v="Dinheiro"/>
    <x v="0"/>
  </r>
  <r>
    <s v="00613"/>
    <x v="467"/>
    <x v="32"/>
    <s v="10/2025"/>
    <d v="2025-10-31T00:00:00"/>
    <x v="213"/>
    <n v="107"/>
    <n v="0"/>
    <n v="0"/>
    <n v="0"/>
    <n v="107"/>
    <s v="Dinheiro"/>
    <x v="0"/>
  </r>
  <r>
    <s v="00464"/>
    <x v="273"/>
    <x v="38"/>
    <s v="10/2025"/>
    <d v="2025-10-31T00:00:00"/>
    <x v="213"/>
    <n v="18.8"/>
    <n v="0"/>
    <n v="0"/>
    <n v="0"/>
    <n v="18.8"/>
    <s v="Dinheiro"/>
    <x v="0"/>
  </r>
  <r>
    <s v="00088"/>
    <x v="29"/>
    <x v="62"/>
    <s v="10/2025"/>
    <d v="2025-10-01T00:00:00"/>
    <x v="196"/>
    <n v="252.28"/>
    <n v="0"/>
    <n v="0"/>
    <n v="0"/>
    <n v="252.28"/>
    <s v="Dinheiro"/>
    <x v="0"/>
  </r>
  <r>
    <s v="00302"/>
    <x v="96"/>
    <x v="38"/>
    <s v="10/2025"/>
    <d v="2025-10-02T00:00:00"/>
    <x v="196"/>
    <n v="288"/>
    <n v="0"/>
    <n v="0"/>
    <n v="0"/>
    <n v="288"/>
    <s v="Dinheiro"/>
    <x v="0"/>
  </r>
  <r>
    <s v="00168"/>
    <x v="39"/>
    <x v="1"/>
    <s v="09/2025"/>
    <d v="2025-10-01T00:00:00"/>
    <x v="196"/>
    <n v="448.8"/>
    <n v="0"/>
    <n v="0"/>
    <n v="0"/>
    <n v="448.8"/>
    <s v="Pix"/>
    <x v="0"/>
  </r>
  <r>
    <s v="00362"/>
    <x v="7"/>
    <x v="4"/>
    <s v="10/2025"/>
    <d v="2025-10-02T00:00:00"/>
    <x v="196"/>
    <n v="116.23"/>
    <n v="0"/>
    <n v="0"/>
    <n v="0"/>
    <n v="116.23"/>
    <s v="Dinheiro"/>
    <x v="0"/>
  </r>
  <r>
    <s v="00362"/>
    <x v="7"/>
    <x v="3"/>
    <s v="10/2025"/>
    <d v="2025-10-02T00:00:00"/>
    <x v="196"/>
    <n v="2.04"/>
    <n v="0"/>
    <n v="0"/>
    <n v="0"/>
    <n v="2.04"/>
    <s v="Dinheiro"/>
    <x v="0"/>
  </r>
  <r>
    <s v="00168"/>
    <x v="39"/>
    <x v="38"/>
    <s v="10/2025"/>
    <d v="2025-10-02T00:00:00"/>
    <x v="196"/>
    <n v="59.64"/>
    <n v="0"/>
    <n v="0"/>
    <n v="0"/>
    <n v="59.64"/>
    <s v="Dinheiro"/>
    <x v="0"/>
  </r>
  <r>
    <s v="00349"/>
    <x v="25"/>
    <x v="38"/>
    <s v="10/2025"/>
    <d v="2025-10-02T00:00:00"/>
    <x v="196"/>
    <n v="75.98"/>
    <n v="0"/>
    <n v="0"/>
    <n v="0"/>
    <n v="75.98"/>
    <s v="Dinheiro"/>
    <x v="0"/>
  </r>
  <r>
    <s v="00193"/>
    <x v="3"/>
    <x v="0"/>
    <s v="10/2025"/>
    <d v="2025-10-02T00:00:00"/>
    <x v="196"/>
    <n v="785.2"/>
    <n v="0"/>
    <n v="0"/>
    <n v="0"/>
    <n v="785.2"/>
    <s v="Dinheiro"/>
    <x v="0"/>
  </r>
  <r>
    <s v="00193"/>
    <x v="3"/>
    <x v="0"/>
    <s v="10/2025"/>
    <d v="2025-10-02T00:00:00"/>
    <x v="196"/>
    <n v="1277.76"/>
    <n v="0"/>
    <n v="0"/>
    <n v="0"/>
    <n v="1277.76"/>
    <s v="Dinheiro"/>
    <x v="0"/>
  </r>
  <r>
    <s v="00024"/>
    <x v="0"/>
    <x v="0"/>
    <s v="10/2025"/>
    <d v="2025-10-02T00:00:00"/>
    <x v="196"/>
    <n v="1214.8"/>
    <n v="0"/>
    <n v="0"/>
    <n v="0"/>
    <n v="1214.8"/>
    <s v="Dinheiro"/>
    <x v="0"/>
  </r>
  <r>
    <s v="00024"/>
    <x v="0"/>
    <x v="0"/>
    <s v="10/2025"/>
    <d v="2025-10-02T00:00:00"/>
    <x v="196"/>
    <n v="1922.24"/>
    <n v="0"/>
    <n v="0"/>
    <n v="0"/>
    <n v="1922.24"/>
    <s v="Dinheiro"/>
    <x v="0"/>
  </r>
  <r>
    <s v="00351"/>
    <x v="42"/>
    <x v="1"/>
    <s v="09/2025"/>
    <d v="2025-10-01T00:00:00"/>
    <x v="196"/>
    <n v="518.70000000000005"/>
    <n v="0"/>
    <n v="0"/>
    <n v="0"/>
    <n v="518.70000000000005"/>
    <s v="Dinheiro"/>
    <x v="0"/>
  </r>
  <r>
    <s v="00388"/>
    <x v="122"/>
    <x v="1"/>
    <s v="09/2025"/>
    <d v="2025-10-01T00:00:00"/>
    <x v="196"/>
    <n v="510"/>
    <n v="0"/>
    <n v="0"/>
    <n v="0"/>
    <n v="510"/>
    <s v="Dinheiro"/>
    <x v="0"/>
  </r>
  <r>
    <s v="00464"/>
    <x v="273"/>
    <x v="1"/>
    <s v="09/2025"/>
    <d v="2025-10-01T00:00:00"/>
    <x v="196"/>
    <n v="290"/>
    <n v="0"/>
    <n v="0"/>
    <n v="0"/>
    <n v="290"/>
    <s v="Dinheiro"/>
    <x v="0"/>
  </r>
  <r>
    <s v="00349"/>
    <x v="25"/>
    <x v="1"/>
    <s v="09/2025"/>
    <d v="2025-10-01T00:00:00"/>
    <x v="196"/>
    <n v="510"/>
    <n v="0"/>
    <n v="0"/>
    <n v="0"/>
    <n v="510"/>
    <s v="Dinheiro"/>
    <x v="0"/>
  </r>
  <r>
    <s v="00411"/>
    <x v="181"/>
    <x v="1"/>
    <s v="09/2025"/>
    <d v="2025-10-01T00:00:00"/>
    <x v="196"/>
    <n v="278.40000000000003"/>
    <n v="0"/>
    <n v="0"/>
    <n v="0"/>
    <n v="278.40000000000003"/>
    <s v="Dinheiro"/>
    <x v="0"/>
  </r>
  <r>
    <s v="00474"/>
    <x v="298"/>
    <x v="1"/>
    <s v="09/2025"/>
    <d v="2025-10-01T00:00:00"/>
    <x v="196"/>
    <n v="301.60000000000002"/>
    <n v="0"/>
    <n v="0"/>
    <n v="0"/>
    <n v="301.60000000000002"/>
    <s v="Dinheiro"/>
    <x v="0"/>
  </r>
  <r>
    <s v="00160"/>
    <x v="31"/>
    <x v="1"/>
    <s v="09/2025"/>
    <d v="2025-10-01T00:00:00"/>
    <x v="196"/>
    <n v="278.40000000000003"/>
    <n v="0"/>
    <n v="0"/>
    <n v="0"/>
    <n v="278.40000000000003"/>
    <s v="Dinheiro"/>
    <x v="0"/>
  </r>
  <r>
    <s v="00083"/>
    <x v="5"/>
    <x v="32"/>
    <s v="09/2025"/>
    <d v="2025-09-01T00:00:00"/>
    <x v="196"/>
    <n v="5486.22"/>
    <n v="0"/>
    <n v="0"/>
    <n v="0"/>
    <n v="5486.22"/>
    <s v="Dinheiro"/>
    <x v="0"/>
  </r>
  <r>
    <s v="00349"/>
    <x v="25"/>
    <x v="32"/>
    <s v="10/2025"/>
    <d v="2025-10-01T00:00:00"/>
    <x v="196"/>
    <n v="255.42000000000002"/>
    <n v="0"/>
    <n v="0"/>
    <n v="0"/>
    <n v="255.42000000000002"/>
    <s v="Dinheiro"/>
    <x v="0"/>
  </r>
  <r>
    <s v="00168"/>
    <x v="39"/>
    <x v="32"/>
    <s v="10/2025"/>
    <d v="2025-10-01T00:00:00"/>
    <x v="196"/>
    <n v="255.42000000000002"/>
    <n v="0"/>
    <n v="0"/>
    <n v="0"/>
    <n v="255.42000000000002"/>
    <s v="Dinheiro"/>
    <x v="0"/>
  </r>
  <r>
    <s v="00083"/>
    <x v="5"/>
    <x v="1"/>
    <s v="10/2025"/>
    <d v="2025-10-01T00:00:00"/>
    <x v="196"/>
    <n v="6721.2"/>
    <n v="0"/>
    <n v="0"/>
    <n v="0"/>
    <n v="6721.2"/>
    <s v="Dinheiro"/>
    <x v="0"/>
  </r>
  <r>
    <s v="00168"/>
    <x v="39"/>
    <x v="38"/>
    <s v="10/2025"/>
    <d v="2025-10-02T00:00:00"/>
    <x v="196"/>
    <n v="134.38"/>
    <n v="0"/>
    <n v="0"/>
    <n v="0"/>
    <n v="134.38"/>
    <s v="Dinheiro"/>
    <x v="0"/>
  </r>
  <r>
    <s v="00362"/>
    <x v="7"/>
    <x v="6"/>
    <s v="10/2025"/>
    <d v="2025-10-03T00:00:00"/>
    <x v="197"/>
    <n v="554.4"/>
    <n v="0"/>
    <n v="0"/>
    <n v="0"/>
    <n v="554.4"/>
    <s v="Dinheiro"/>
    <x v="0"/>
  </r>
  <r>
    <s v="00362"/>
    <x v="7"/>
    <x v="6"/>
    <s v="10/2025"/>
    <d v="2025-10-03T00:00:00"/>
    <x v="197"/>
    <n v="528.41"/>
    <n v="0"/>
    <n v="0"/>
    <n v="0"/>
    <n v="528.41"/>
    <s v="Dinheiro"/>
    <x v="0"/>
  </r>
  <r>
    <s v="00319"/>
    <x v="27"/>
    <x v="16"/>
    <s v="10/2025"/>
    <d v="2025-10-06T00:00:00"/>
    <x v="198"/>
    <n v="1381.38"/>
    <n v="0"/>
    <n v="0"/>
    <n v="0"/>
    <n v="1381.38"/>
    <s v="Dinheiro"/>
    <x v="0"/>
  </r>
  <r>
    <s v="00362"/>
    <x v="7"/>
    <x v="4"/>
    <s v="10/2025"/>
    <d v="2025-10-06T00:00:00"/>
    <x v="198"/>
    <n v="25.57"/>
    <n v="0"/>
    <n v="0"/>
    <n v="0"/>
    <n v="25.57"/>
    <s v="Dinheiro"/>
    <x v="0"/>
  </r>
  <r>
    <s v="00362"/>
    <x v="7"/>
    <x v="4"/>
    <s v="10/2025"/>
    <d v="2025-10-06T00:00:00"/>
    <x v="198"/>
    <n v="196.8"/>
    <n v="0"/>
    <n v="0"/>
    <n v="0"/>
    <n v="196.8"/>
    <s v="Dinheiro"/>
    <x v="0"/>
  </r>
  <r>
    <s v="00464"/>
    <x v="273"/>
    <x v="62"/>
    <s v="10/2025"/>
    <d v="2025-10-06T00:00:00"/>
    <x v="198"/>
    <n v="900"/>
    <n v="0"/>
    <n v="0"/>
    <n v="0"/>
    <n v="900"/>
    <s v="Dinheiro"/>
    <x v="0"/>
  </r>
  <r>
    <s v="00388"/>
    <x v="122"/>
    <x v="15"/>
    <s v="10/2025"/>
    <d v="2025-10-06T00:00:00"/>
    <x v="198"/>
    <n v="720"/>
    <n v="0"/>
    <n v="0"/>
    <n v="0"/>
    <n v="720"/>
    <s v="Dinheiro"/>
    <x v="0"/>
  </r>
  <r>
    <s v="00168"/>
    <x v="39"/>
    <x v="14"/>
    <s v="10/2025"/>
    <d v="2025-10-06T00:00:00"/>
    <x v="198"/>
    <n v="1000"/>
    <n v="0"/>
    <n v="0"/>
    <n v="0"/>
    <n v="1000"/>
    <s v="Dinheiro"/>
    <x v="0"/>
  </r>
  <r>
    <s v="00581"/>
    <x v="426"/>
    <x v="14"/>
    <s v="10/2025"/>
    <d v="2025-10-06T00:00:00"/>
    <x v="198"/>
    <n v="607.20000000000005"/>
    <n v="0"/>
    <n v="0"/>
    <n v="0"/>
    <n v="607.20000000000005"/>
    <s v="Dinheiro"/>
    <x v="0"/>
  </r>
  <r>
    <s v="00134"/>
    <x v="18"/>
    <x v="14"/>
    <s v="10/2025"/>
    <d v="2025-10-06T00:00:00"/>
    <x v="198"/>
    <n v="774.19"/>
    <n v="0"/>
    <n v="0"/>
    <n v="0"/>
    <n v="774.19"/>
    <s v="Dinheiro"/>
    <x v="0"/>
  </r>
  <r>
    <s v="00351"/>
    <x v="42"/>
    <x v="15"/>
    <s v="10/2025"/>
    <d v="2025-10-06T00:00:00"/>
    <x v="198"/>
    <n v="1606"/>
    <n v="0"/>
    <n v="0"/>
    <n v="0"/>
    <n v="1606"/>
    <s v="Dinheiro"/>
    <x v="0"/>
  </r>
  <r>
    <s v="00353"/>
    <x v="61"/>
    <x v="41"/>
    <s v="10/2025"/>
    <d v="2025-10-06T00:00:00"/>
    <x v="198"/>
    <n v="5000"/>
    <n v="0"/>
    <n v="0"/>
    <n v="0"/>
    <n v="5000"/>
    <s v="Dinheiro"/>
    <x v="0"/>
  </r>
  <r>
    <s v="00353"/>
    <x v="61"/>
    <x v="41"/>
    <s v="10/2025"/>
    <d v="2025-10-06T00:00:00"/>
    <x v="198"/>
    <n v="1000"/>
    <n v="0"/>
    <n v="0"/>
    <n v="0"/>
    <n v="1000"/>
    <s v="Dinheiro"/>
    <x v="0"/>
  </r>
  <r>
    <s v="00502"/>
    <x v="331"/>
    <x v="15"/>
    <s v="10/2025"/>
    <d v="2025-10-06T00:00:00"/>
    <x v="198"/>
    <n v="1821.63"/>
    <n v="0"/>
    <n v="0"/>
    <n v="0"/>
    <n v="1821.63"/>
    <s v="Dinheiro"/>
    <x v="0"/>
  </r>
  <r>
    <s v="00133"/>
    <x v="24"/>
    <x v="15"/>
    <s v="10/2025"/>
    <d v="2025-10-06T00:00:00"/>
    <x v="198"/>
    <n v="1603"/>
    <n v="0"/>
    <n v="0"/>
    <n v="0"/>
    <n v="1603"/>
    <s v="Dinheiro"/>
    <x v="0"/>
  </r>
  <r>
    <s v="00168"/>
    <x v="39"/>
    <x v="15"/>
    <s v="10/2025"/>
    <d v="2025-10-06T00:00:00"/>
    <x v="198"/>
    <n v="1896"/>
    <n v="0"/>
    <n v="0"/>
    <n v="0"/>
    <n v="1896"/>
    <s v="Dinheiro"/>
    <x v="0"/>
  </r>
  <r>
    <s v="00316"/>
    <x v="17"/>
    <x v="15"/>
    <s v="10/2025"/>
    <d v="2025-10-06T00:00:00"/>
    <x v="198"/>
    <n v="1631"/>
    <n v="0"/>
    <n v="0"/>
    <n v="0"/>
    <n v="1631"/>
    <s v="Dinheiro"/>
    <x v="0"/>
  </r>
  <r>
    <s v="00511"/>
    <x v="241"/>
    <x v="15"/>
    <s v="10/2025"/>
    <d v="2025-10-06T00:00:00"/>
    <x v="198"/>
    <n v="1612"/>
    <n v="0"/>
    <n v="0"/>
    <n v="0"/>
    <n v="1612"/>
    <s v="Dinheiro"/>
    <x v="0"/>
  </r>
  <r>
    <s v="00581"/>
    <x v="426"/>
    <x v="15"/>
    <s v="10/2025"/>
    <d v="2025-10-06T00:00:00"/>
    <x v="198"/>
    <n v="57"/>
    <n v="0"/>
    <n v="0"/>
    <n v="0"/>
    <n v="57"/>
    <s v="Dinheiro"/>
    <x v="0"/>
  </r>
  <r>
    <s v="00364"/>
    <x v="16"/>
    <x v="15"/>
    <s v="10/2025"/>
    <d v="2025-10-06T00:00:00"/>
    <x v="198"/>
    <n v="1693"/>
    <n v="0"/>
    <n v="0"/>
    <n v="0"/>
    <n v="1693"/>
    <s v="Dinheiro"/>
    <x v="0"/>
  </r>
  <r>
    <s v="00411"/>
    <x v="181"/>
    <x v="15"/>
    <s v="10/2025"/>
    <d v="2025-10-06T00:00:00"/>
    <x v="198"/>
    <n v="1750"/>
    <n v="0"/>
    <n v="0"/>
    <n v="0"/>
    <n v="1750"/>
    <s v="Dinheiro"/>
    <x v="0"/>
  </r>
  <r>
    <s v="00349"/>
    <x v="25"/>
    <x v="15"/>
    <s v="10/2025"/>
    <d v="2025-10-06T00:00:00"/>
    <x v="198"/>
    <n v="1656"/>
    <n v="0"/>
    <n v="0"/>
    <n v="0"/>
    <n v="1656"/>
    <s v="Dinheiro"/>
    <x v="0"/>
  </r>
  <r>
    <s v="00552"/>
    <x v="395"/>
    <x v="15"/>
    <s v="10/2025"/>
    <d v="2025-10-06T00:00:00"/>
    <x v="198"/>
    <n v="1306"/>
    <n v="0"/>
    <n v="0"/>
    <n v="0"/>
    <n v="1306"/>
    <s v="Dinheiro"/>
    <x v="0"/>
  </r>
  <r>
    <s v="00498"/>
    <x v="242"/>
    <x v="15"/>
    <s v="10/2025"/>
    <d v="2025-10-06T00:00:00"/>
    <x v="198"/>
    <n v="1884"/>
    <n v="0"/>
    <n v="0"/>
    <n v="0"/>
    <n v="1884"/>
    <s v="Dinheiro"/>
    <x v="0"/>
  </r>
  <r>
    <s v="00397"/>
    <x v="152"/>
    <x v="15"/>
    <s v="10/2025"/>
    <d v="2025-10-06T00:00:00"/>
    <x v="198"/>
    <n v="1635"/>
    <n v="0"/>
    <n v="0"/>
    <n v="0"/>
    <n v="1635"/>
    <s v="Dinheiro"/>
    <x v="0"/>
  </r>
  <r>
    <s v="00289"/>
    <x v="20"/>
    <x v="15"/>
    <s v="10/2025"/>
    <d v="2025-10-06T00:00:00"/>
    <x v="198"/>
    <n v="1542"/>
    <n v="0"/>
    <n v="0"/>
    <n v="0"/>
    <n v="1542"/>
    <s v="Dinheiro"/>
    <x v="0"/>
  </r>
  <r>
    <s v="00474"/>
    <x v="298"/>
    <x v="15"/>
    <s v="10/2025"/>
    <d v="2025-10-06T00:00:00"/>
    <x v="198"/>
    <n v="1387"/>
    <n v="0"/>
    <n v="0"/>
    <n v="0"/>
    <n v="1387"/>
    <s v="Dinheiro"/>
    <x v="0"/>
  </r>
  <r>
    <s v="00448"/>
    <x v="269"/>
    <x v="15"/>
    <s v="10/2025"/>
    <d v="2025-10-06T00:00:00"/>
    <x v="198"/>
    <n v="1559"/>
    <n v="0"/>
    <n v="0"/>
    <n v="0"/>
    <n v="1559"/>
    <s v="Dinheiro"/>
    <x v="0"/>
  </r>
  <r>
    <s v="00416"/>
    <x v="184"/>
    <x v="15"/>
    <s v="10/2025"/>
    <d v="2025-10-06T00:00:00"/>
    <x v="198"/>
    <n v="1262"/>
    <n v="0"/>
    <n v="0"/>
    <n v="0"/>
    <n v="1262"/>
    <s v="Dinheiro"/>
    <x v="0"/>
  </r>
  <r>
    <s v="00223"/>
    <x v="32"/>
    <x v="15"/>
    <s v="10/2025"/>
    <d v="2025-10-06T00:00:00"/>
    <x v="198"/>
    <n v="2354"/>
    <n v="0"/>
    <n v="0"/>
    <n v="0"/>
    <n v="2354"/>
    <s v="Dinheiro"/>
    <x v="0"/>
  </r>
  <r>
    <s v="00160"/>
    <x v="31"/>
    <x v="15"/>
    <s v="10/2025"/>
    <d v="2025-10-06T00:00:00"/>
    <x v="198"/>
    <n v="1122"/>
    <n v="0"/>
    <n v="0"/>
    <n v="0"/>
    <n v="1122"/>
    <s v="Dinheiro"/>
    <x v="0"/>
  </r>
  <r>
    <s v="00478"/>
    <x v="290"/>
    <x v="15"/>
    <s v="10/2025"/>
    <d v="2025-10-06T00:00:00"/>
    <x v="198"/>
    <n v="1571"/>
    <n v="0"/>
    <n v="0"/>
    <n v="0"/>
    <n v="1571"/>
    <s v="Dinheiro"/>
    <x v="0"/>
  </r>
  <r>
    <s v="00447"/>
    <x v="247"/>
    <x v="15"/>
    <s v="10/2025"/>
    <d v="2025-10-06T00:00:00"/>
    <x v="198"/>
    <n v="1671"/>
    <n v="0"/>
    <n v="0"/>
    <n v="0"/>
    <n v="1671"/>
    <s v="Dinheiro"/>
    <x v="0"/>
  </r>
  <r>
    <s v="00513"/>
    <x v="342"/>
    <x v="15"/>
    <s v="10/2025"/>
    <d v="2025-10-06T00:00:00"/>
    <x v="198"/>
    <n v="1061"/>
    <n v="0"/>
    <n v="0"/>
    <n v="0"/>
    <n v="1061"/>
    <s v="Dinheiro"/>
    <x v="0"/>
  </r>
  <r>
    <s v="00134"/>
    <x v="18"/>
    <x v="15"/>
    <s v="10/2025"/>
    <d v="2025-10-06T00:00:00"/>
    <x v="198"/>
    <n v="666"/>
    <n v="0"/>
    <n v="0"/>
    <n v="0"/>
    <n v="666"/>
    <s v="Dinheiro"/>
    <x v="0"/>
  </r>
  <r>
    <s v="00468"/>
    <x v="236"/>
    <x v="34"/>
    <s v="10/2025"/>
    <d v="2025-10-09T00:00:00"/>
    <x v="201"/>
    <n v="2890"/>
    <n v="0"/>
    <n v="0"/>
    <n v="0"/>
    <n v="2890"/>
    <s v="Dinheiro"/>
    <x v="0"/>
  </r>
  <r>
    <s v="00258"/>
    <x v="43"/>
    <x v="0"/>
    <s v="10/2025"/>
    <d v="2025-10-05T00:00:00"/>
    <x v="201"/>
    <n v="1915.94"/>
    <n v="0"/>
    <n v="0"/>
    <n v="0"/>
    <n v="1915.94"/>
    <s v="Dinheiro"/>
    <x v="0"/>
  </r>
  <r>
    <s v="00277"/>
    <x v="47"/>
    <x v="16"/>
    <s v="09/2025"/>
    <d v="2025-09-30T00:00:00"/>
    <x v="201"/>
    <n v="392.81"/>
    <n v="0"/>
    <n v="0"/>
    <n v="0"/>
    <n v="392.81"/>
    <s v="Dinheiro"/>
    <x v="0"/>
  </r>
  <r>
    <s v="00019"/>
    <x v="159"/>
    <x v="2"/>
    <s v="10/2025"/>
    <d v="2025-10-10T00:00:00"/>
    <x v="202"/>
    <n v="383.11"/>
    <n v="0"/>
    <n v="0"/>
    <n v="0"/>
    <n v="383.11"/>
    <s v="Dinheiro"/>
    <x v="0"/>
  </r>
  <r>
    <s v="00085"/>
    <x v="49"/>
    <x v="22"/>
    <s v="10/2025"/>
    <d v="2025-10-10T00:00:00"/>
    <x v="202"/>
    <n v="11020.9"/>
    <n v="0"/>
    <n v="0"/>
    <n v="0"/>
    <n v="11020.9"/>
    <s v="Dinheiro"/>
    <x v="0"/>
  </r>
  <r>
    <s v="00101"/>
    <x v="171"/>
    <x v="58"/>
    <s v="10/2025"/>
    <d v="2025-10-10T00:00:00"/>
    <x v="202"/>
    <n v="605"/>
    <n v="0"/>
    <n v="0"/>
    <n v="0"/>
    <n v="605"/>
    <s v="Dinheiro"/>
    <x v="0"/>
  </r>
  <r>
    <s v="00009"/>
    <x v="53"/>
    <x v="24"/>
    <s v="10/2025"/>
    <d v="2025-10-10T00:00:00"/>
    <x v="202"/>
    <n v="29955.31"/>
    <n v="0"/>
    <n v="0"/>
    <n v="0"/>
    <n v="29955.31"/>
    <s v="Dinheiro"/>
    <x v="0"/>
  </r>
  <r>
    <s v="00075"/>
    <x v="197"/>
    <x v="86"/>
    <s v="10/2025"/>
    <d v="2025-10-10T00:00:00"/>
    <x v="202"/>
    <n v="540"/>
    <n v="0"/>
    <n v="0"/>
    <n v="0"/>
    <n v="540"/>
    <s v="Dinheiro"/>
    <x v="0"/>
  </r>
  <r>
    <s v="00509"/>
    <x v="308"/>
    <x v="17"/>
    <s v="10/2025"/>
    <d v="2025-10-10T00:00:00"/>
    <x v="202"/>
    <n v="475.32"/>
    <n v="0"/>
    <n v="0"/>
    <n v="0"/>
    <n v="475.32"/>
    <s v="Dinheiro"/>
    <x v="0"/>
  </r>
  <r>
    <s v="00607"/>
    <x v="52"/>
    <x v="16"/>
    <s v="10/2025"/>
    <d v="2025-10-10T00:00:00"/>
    <x v="202"/>
    <n v="276.60000000000002"/>
    <n v="0"/>
    <n v="0"/>
    <n v="0"/>
    <n v="276.60000000000002"/>
    <s v="Dinheiro"/>
    <x v="0"/>
  </r>
  <r>
    <s v="00619"/>
    <x v="476"/>
    <x v="28"/>
    <s v="10/2025"/>
    <d v="2025-10-10T00:00:00"/>
    <x v="202"/>
    <n v="69"/>
    <n v="0"/>
    <n v="0"/>
    <n v="0"/>
    <n v="69"/>
    <s v="Dinheiro"/>
    <x v="0"/>
  </r>
  <r>
    <s v="00619"/>
    <x v="476"/>
    <x v="28"/>
    <s v="10/2025"/>
    <d v="2025-10-10T00:00:00"/>
    <x v="202"/>
    <n v="100"/>
    <n v="0"/>
    <n v="0"/>
    <n v="0"/>
    <n v="100"/>
    <s v="Dinheiro"/>
    <x v="0"/>
  </r>
  <r>
    <s v="00620"/>
    <x v="477"/>
    <x v="28"/>
    <s v="10/2025"/>
    <d v="2025-10-10T00:00:00"/>
    <x v="202"/>
    <n v="69"/>
    <n v="0"/>
    <n v="0"/>
    <n v="0"/>
    <n v="69"/>
    <s v="Dinheiro"/>
    <x v="0"/>
  </r>
  <r>
    <s v="00621"/>
    <x v="478"/>
    <x v="79"/>
    <s v="10/2025"/>
    <d v="2025-10-10T00:00:00"/>
    <x v="202"/>
    <n v="900"/>
    <n v="0"/>
    <n v="0"/>
    <n v="0"/>
    <n v="900"/>
    <s v="Dinheiro"/>
    <x v="0"/>
  </r>
  <r>
    <s v="00205"/>
    <x v="479"/>
    <x v="45"/>
    <s v="10/2025"/>
    <d v="2025-10-10T00:00:00"/>
    <x v="202"/>
    <n v="56.04"/>
    <n v="0"/>
    <n v="0"/>
    <n v="0"/>
    <n v="56.04"/>
    <s v="Dinheiro"/>
    <x v="0"/>
  </r>
  <r>
    <s v="00085"/>
    <x v="49"/>
    <x v="22"/>
    <s v="10/2025"/>
    <d v="2025-10-10T00:00:00"/>
    <x v="202"/>
    <n v="1176.08"/>
    <n v="0"/>
    <n v="0"/>
    <n v="0"/>
    <n v="1176.08"/>
    <s v="Dinheiro"/>
    <x v="0"/>
  </r>
  <r>
    <s v="00511"/>
    <x v="241"/>
    <x v="8"/>
    <s v="10/2025"/>
    <d v="2025-10-10T00:00:00"/>
    <x v="202"/>
    <n v="450"/>
    <n v="0"/>
    <n v="0"/>
    <n v="0"/>
    <n v="450"/>
    <s v="Dinheiro"/>
    <x v="0"/>
  </r>
  <r>
    <s v="00168"/>
    <x v="39"/>
    <x v="8"/>
    <s v="10/2025"/>
    <d v="2025-10-10T00:00:00"/>
    <x v="202"/>
    <n v="200"/>
    <n v="0"/>
    <n v="0"/>
    <n v="0"/>
    <n v="200"/>
    <s v="Dinheiro"/>
    <x v="0"/>
  </r>
  <r>
    <s v="00617"/>
    <x v="480"/>
    <x v="29"/>
    <s v="10/2025"/>
    <d v="2025-10-10T00:00:00"/>
    <x v="203"/>
    <n v="240"/>
    <n v="0"/>
    <n v="0"/>
    <n v="0"/>
    <n v="240"/>
    <s v="Dinheiro"/>
    <x v="0"/>
  </r>
  <r>
    <s v="00524"/>
    <x v="364"/>
    <x v="29"/>
    <s v="10/2025"/>
    <d v="2025-10-10T00:00:00"/>
    <x v="203"/>
    <n v="1680"/>
    <n v="0"/>
    <n v="0"/>
    <n v="0"/>
    <n v="1680"/>
    <s v="Dinheiro"/>
    <x v="0"/>
  </r>
  <r>
    <s v="00235"/>
    <x v="86"/>
    <x v="29"/>
    <s v="10/2025"/>
    <d v="2025-10-10T00:00:00"/>
    <x v="203"/>
    <n v="3680"/>
    <n v="0"/>
    <n v="0"/>
    <n v="0"/>
    <n v="3680"/>
    <s v="Dinheiro"/>
    <x v="0"/>
  </r>
  <r>
    <s v="00235"/>
    <x v="86"/>
    <x v="30"/>
    <s v="10/2025"/>
    <d v="2025-10-10T00:00:00"/>
    <x v="203"/>
    <n v="400"/>
    <n v="0"/>
    <n v="0"/>
    <n v="0"/>
    <n v="400"/>
    <s v="Dinheiro"/>
    <x v="0"/>
  </r>
  <r>
    <s v="00237"/>
    <x v="80"/>
    <x v="30"/>
    <s v="10/2025"/>
    <d v="2025-10-10T00:00:00"/>
    <x v="204"/>
    <n v="80"/>
    <n v="0"/>
    <n v="0"/>
    <n v="0"/>
    <n v="80"/>
    <s v="Dinheiro"/>
    <x v="0"/>
  </r>
  <r>
    <s v="00187"/>
    <x v="71"/>
    <x v="29"/>
    <s v="10/2025"/>
    <d v="2025-10-10T00:00:00"/>
    <x v="204"/>
    <n v="800"/>
    <n v="0"/>
    <n v="0"/>
    <n v="0"/>
    <n v="800"/>
    <s v="Dinheiro"/>
    <x v="0"/>
  </r>
  <r>
    <s v="00378"/>
    <x v="87"/>
    <x v="29"/>
    <s v="10/2025"/>
    <d v="2025-10-10T00:00:00"/>
    <x v="204"/>
    <n v="2960"/>
    <n v="0"/>
    <n v="0"/>
    <n v="0"/>
    <n v="2960"/>
    <s v="Dinheiro"/>
    <x v="0"/>
  </r>
  <r>
    <s v="00353"/>
    <x v="61"/>
    <x v="29"/>
    <s v="10/2025"/>
    <d v="2025-10-10T00:00:00"/>
    <x v="204"/>
    <n v="1280"/>
    <n v="0"/>
    <n v="0"/>
    <n v="0"/>
    <n v="1280"/>
    <s v="Dinheiro"/>
    <x v="0"/>
  </r>
  <r>
    <s v="00488"/>
    <x v="312"/>
    <x v="30"/>
    <s v="10/2025"/>
    <d v="2025-10-10T00:00:00"/>
    <x v="204"/>
    <n v="720"/>
    <n v="0"/>
    <n v="0"/>
    <n v="0"/>
    <n v="720"/>
    <s v="Dinheiro"/>
    <x v="0"/>
  </r>
  <r>
    <s v="00618"/>
    <x v="481"/>
    <x v="29"/>
    <s v="10/2025"/>
    <d v="2025-10-10T00:00:00"/>
    <x v="204"/>
    <n v="240"/>
    <n v="0"/>
    <n v="0"/>
    <n v="0"/>
    <n v="240"/>
    <s v="Dinheiro"/>
    <x v="0"/>
  </r>
  <r>
    <s v="00355"/>
    <x v="83"/>
    <x v="29"/>
    <s v="10/2025"/>
    <d v="2025-10-10T00:00:00"/>
    <x v="204"/>
    <n v="2400"/>
    <n v="0"/>
    <n v="0"/>
    <n v="0"/>
    <n v="2400"/>
    <s v="Dinheiro"/>
    <x v="0"/>
  </r>
  <r>
    <s v="00616"/>
    <x v="482"/>
    <x v="29"/>
    <s v="10/2025"/>
    <d v="2025-10-10T00:00:00"/>
    <x v="204"/>
    <n v="880"/>
    <n v="0"/>
    <n v="0"/>
    <n v="0"/>
    <n v="880"/>
    <s v="Dinheiro"/>
    <x v="0"/>
  </r>
  <r>
    <s v="00531"/>
    <x v="372"/>
    <x v="30"/>
    <s v="10/2025"/>
    <d v="2025-10-10T00:00:00"/>
    <x v="204"/>
    <n v="720"/>
    <n v="0"/>
    <n v="0"/>
    <n v="0"/>
    <n v="720"/>
    <s v="Dinheiro"/>
    <x v="0"/>
  </r>
  <r>
    <s v="00522"/>
    <x v="356"/>
    <x v="30"/>
    <s v="10/2025"/>
    <d v="2025-10-10T00:00:00"/>
    <x v="204"/>
    <n v="1600"/>
    <n v="0"/>
    <n v="0"/>
    <n v="0"/>
    <n v="1600"/>
    <s v="Dinheiro"/>
    <x v="0"/>
  </r>
  <r>
    <s v="00584"/>
    <x v="459"/>
    <x v="29"/>
    <s v="10/2025"/>
    <d v="2025-10-10T00:00:00"/>
    <x v="204"/>
    <n v="1440"/>
    <n v="0"/>
    <n v="0"/>
    <n v="0"/>
    <n v="1440"/>
    <s v="Dinheiro"/>
    <x v="0"/>
  </r>
  <r>
    <s v="00380"/>
    <x v="91"/>
    <x v="30"/>
    <s v="10/2025"/>
    <d v="2025-10-10T00:00:00"/>
    <x v="204"/>
    <n v="1440"/>
    <n v="0"/>
    <n v="0"/>
    <n v="0"/>
    <n v="1440"/>
    <s v="Dinheiro"/>
    <x v="0"/>
  </r>
  <r>
    <s v="00190"/>
    <x v="70"/>
    <x v="29"/>
    <s v="10/2025"/>
    <d v="2025-10-10T00:00:00"/>
    <x v="204"/>
    <n v="720"/>
    <n v="0"/>
    <n v="0"/>
    <n v="0"/>
    <n v="720"/>
    <s v="Dinheiro"/>
    <x v="0"/>
  </r>
  <r>
    <s v="00491"/>
    <x v="315"/>
    <x v="29"/>
    <s v="10/2025"/>
    <d v="2025-10-10T00:00:00"/>
    <x v="204"/>
    <n v="1760"/>
    <n v="0"/>
    <n v="0"/>
    <n v="0"/>
    <n v="1760"/>
    <s v="Dinheiro"/>
    <x v="0"/>
  </r>
  <r>
    <s v="00432"/>
    <x v="213"/>
    <x v="30"/>
    <s v="10/2025"/>
    <d v="2025-10-10T00:00:00"/>
    <x v="204"/>
    <n v="1280"/>
    <n v="0"/>
    <n v="0"/>
    <n v="0"/>
    <n v="1280"/>
    <s v="Dinheiro"/>
    <x v="0"/>
  </r>
  <r>
    <s v="00502"/>
    <x v="331"/>
    <x v="29"/>
    <s v="10/2025"/>
    <d v="2025-10-10T00:00:00"/>
    <x v="204"/>
    <n v="860"/>
    <n v="0"/>
    <n v="0"/>
    <n v="0"/>
    <n v="860"/>
    <s v="Dinheiro"/>
    <x v="0"/>
  </r>
  <r>
    <s v="00531"/>
    <x v="372"/>
    <x v="29"/>
    <s v="10/2025"/>
    <d v="2025-10-10T00:00:00"/>
    <x v="204"/>
    <n v="240"/>
    <n v="0"/>
    <n v="0"/>
    <n v="0"/>
    <n v="240"/>
    <s v="Dinheiro"/>
    <x v="0"/>
  </r>
  <r>
    <s v="00491"/>
    <x v="315"/>
    <x v="30"/>
    <s v="10/2025"/>
    <d v="2025-10-10T00:00:00"/>
    <x v="204"/>
    <n v="1040"/>
    <n v="0"/>
    <n v="0"/>
    <n v="0"/>
    <n v="1040"/>
    <s v="Dinheiro"/>
    <x v="0"/>
  </r>
  <r>
    <s v="00397"/>
    <x v="152"/>
    <x v="29"/>
    <s v="10/2025"/>
    <d v="2025-10-10T00:00:00"/>
    <x v="204"/>
    <n v="1040"/>
    <n v="0"/>
    <n v="0"/>
    <n v="0"/>
    <n v="1040"/>
    <s v="Dinheiro"/>
    <x v="0"/>
  </r>
  <r>
    <s v="00585"/>
    <x v="442"/>
    <x v="29"/>
    <s v="10/2025"/>
    <d v="2025-10-10T00:00:00"/>
    <x v="204"/>
    <n v="480"/>
    <n v="0"/>
    <n v="0"/>
    <n v="0"/>
    <n v="480"/>
    <s v="Dinheiro"/>
    <x v="0"/>
  </r>
  <r>
    <s v="00478"/>
    <x v="290"/>
    <x v="29"/>
    <s v="10/2025"/>
    <d v="2025-10-10T00:00:00"/>
    <x v="204"/>
    <n v="2160"/>
    <n v="0"/>
    <n v="0"/>
    <n v="0"/>
    <n v="2160"/>
    <s v="Dinheiro"/>
    <x v="0"/>
  </r>
  <r>
    <s v="00532"/>
    <x v="373"/>
    <x v="30"/>
    <s v="10/2025"/>
    <d v="2025-10-10T00:00:00"/>
    <x v="204"/>
    <n v="720"/>
    <n v="0"/>
    <n v="0"/>
    <n v="0"/>
    <n v="720"/>
    <s v="Dinheiro"/>
    <x v="0"/>
  </r>
  <r>
    <s v="00521"/>
    <x v="359"/>
    <x v="30"/>
    <s v="10/2025"/>
    <d v="2025-10-10T00:00:00"/>
    <x v="204"/>
    <n v="2000"/>
    <n v="0"/>
    <n v="0"/>
    <n v="0"/>
    <n v="2000"/>
    <s v="Dinheiro"/>
    <x v="0"/>
  </r>
  <r>
    <s v="00378"/>
    <x v="87"/>
    <x v="30"/>
    <s v="10/2025"/>
    <d v="2025-10-10T00:00:00"/>
    <x v="204"/>
    <n v="400"/>
    <n v="0"/>
    <n v="0"/>
    <n v="0"/>
    <n v="400"/>
    <s v="Dinheiro"/>
    <x v="0"/>
  </r>
  <r>
    <s v="00180"/>
    <x v="60"/>
    <x v="30"/>
    <s v="10/2025"/>
    <d v="2025-10-10T00:00:00"/>
    <x v="204"/>
    <n v="1100"/>
    <n v="0"/>
    <n v="0"/>
    <n v="0"/>
    <n v="1100"/>
    <s v="Dinheiro"/>
    <x v="0"/>
  </r>
  <r>
    <s v="00560"/>
    <x v="400"/>
    <x v="29"/>
    <s v="10/2025"/>
    <d v="2025-10-10T00:00:00"/>
    <x v="204"/>
    <n v="2000"/>
    <n v="0"/>
    <n v="0"/>
    <n v="0"/>
    <n v="2000"/>
    <s v="Dinheiro"/>
    <x v="0"/>
  </r>
  <r>
    <s v="00559"/>
    <x v="399"/>
    <x v="29"/>
    <s v="10/2025"/>
    <d v="2025-10-10T00:00:00"/>
    <x v="204"/>
    <n v="480"/>
    <n v="0"/>
    <n v="0"/>
    <n v="0"/>
    <n v="480"/>
    <s v="Dinheiro"/>
    <x v="0"/>
  </r>
  <r>
    <s v="00499"/>
    <x v="328"/>
    <x v="29"/>
    <s v="10/2025"/>
    <d v="2025-10-10T00:00:00"/>
    <x v="204"/>
    <n v="1680"/>
    <n v="0"/>
    <n v="0"/>
    <n v="0"/>
    <n v="1680"/>
    <s v="Dinheiro"/>
    <x v="0"/>
  </r>
  <r>
    <s v="00355"/>
    <x v="83"/>
    <x v="29"/>
    <s v="10/2025"/>
    <d v="2025-10-10T00:00:00"/>
    <x v="204"/>
    <n v="80"/>
    <n v="0"/>
    <n v="0"/>
    <n v="0"/>
    <n v="80"/>
    <s v="Dinheiro"/>
    <x v="0"/>
  </r>
  <r>
    <s v="00596"/>
    <x v="432"/>
    <x v="23"/>
    <s v="10/2025"/>
    <d v="2025-10-13T00:00:00"/>
    <x v="204"/>
    <n v="700"/>
    <n v="0"/>
    <n v="0"/>
    <n v="0"/>
    <n v="700"/>
    <s v="Dinheiro"/>
    <x v="0"/>
  </r>
  <r>
    <s v="00416"/>
    <x v="184"/>
    <x v="8"/>
    <s v="10/2025"/>
    <d v="2025-10-10T00:00:00"/>
    <x v="204"/>
    <n v="1250"/>
    <n v="0"/>
    <n v="0"/>
    <n v="0"/>
    <n v="1250"/>
    <s v="Dinheiro"/>
    <x v="0"/>
  </r>
  <r>
    <s v="00353"/>
    <x v="61"/>
    <x v="14"/>
    <s v="10/2025"/>
    <d v="2025-10-10T00:00:00"/>
    <x v="204"/>
    <n v="500"/>
    <n v="0"/>
    <n v="0"/>
    <n v="0"/>
    <n v="500"/>
    <s v="Dinheiro"/>
    <x v="0"/>
  </r>
  <r>
    <s v="00598"/>
    <x v="450"/>
    <x v="64"/>
    <s v="10/2025"/>
    <d v="2025-10-13T00:00:00"/>
    <x v="204"/>
    <n v="250"/>
    <n v="0"/>
    <n v="0"/>
    <n v="0"/>
    <n v="250"/>
    <s v="Dinheiro"/>
    <x v="0"/>
  </r>
  <r>
    <s v="00302"/>
    <x v="96"/>
    <x v="38"/>
    <s v="10/2025"/>
    <d v="2025-10-13T00:00:00"/>
    <x v="204"/>
    <n v="850"/>
    <n v="0"/>
    <n v="0"/>
    <n v="0"/>
    <n v="850"/>
    <s v="Dinheiro"/>
    <x v="0"/>
  </r>
  <r>
    <s v="00134"/>
    <x v="18"/>
    <x v="8"/>
    <s v="10/2025"/>
    <d v="2025-10-10T00:00:00"/>
    <x v="204"/>
    <n v="440"/>
    <n v="0"/>
    <n v="0"/>
    <n v="0"/>
    <n v="440"/>
    <s v="Dinheiro"/>
    <x v="0"/>
  </r>
  <r>
    <s v="00388"/>
    <x v="122"/>
    <x v="8"/>
    <s v="10/2025"/>
    <d v="2025-10-10T00:00:00"/>
    <x v="204"/>
    <n v="500"/>
    <n v="0"/>
    <n v="0"/>
    <n v="0"/>
    <n v="500"/>
    <s v="Dinheiro"/>
    <x v="0"/>
  </r>
  <r>
    <s v="00223"/>
    <x v="32"/>
    <x v="8"/>
    <s v="10/2025"/>
    <d v="2025-10-10T00:00:00"/>
    <x v="204"/>
    <n v="4430"/>
    <n v="0"/>
    <n v="0"/>
    <n v="0"/>
    <n v="4430"/>
    <s v="Dinheiro"/>
    <x v="0"/>
  </r>
  <r>
    <s v="00278"/>
    <x v="316"/>
    <x v="30"/>
    <s v="10/2025"/>
    <d v="2025-10-10T00:00:00"/>
    <x v="204"/>
    <n v="560"/>
    <n v="0"/>
    <n v="0"/>
    <n v="0"/>
    <n v="560"/>
    <s v="Dinheiro"/>
    <x v="0"/>
  </r>
  <r>
    <s v="00447"/>
    <x v="247"/>
    <x v="8"/>
    <s v="10/2025"/>
    <d v="2025-10-13T00:00:00"/>
    <x v="204"/>
    <n v="240"/>
    <n v="0"/>
    <n v="0"/>
    <n v="0"/>
    <n v="240"/>
    <s v="Dinheiro"/>
    <x v="0"/>
  </r>
  <r>
    <s v="00532"/>
    <x v="373"/>
    <x v="29"/>
    <s v="10/2025"/>
    <d v="2025-10-10T00:00:00"/>
    <x v="204"/>
    <n v="1680"/>
    <n v="0"/>
    <n v="0"/>
    <n v="0"/>
    <n v="1680"/>
    <s v="Dinheiro"/>
    <x v="0"/>
  </r>
  <r>
    <s v="00190"/>
    <x v="70"/>
    <x v="30"/>
    <s v="10/2025"/>
    <d v="2025-10-10T00:00:00"/>
    <x v="204"/>
    <n v="3360"/>
    <n v="0"/>
    <n v="0"/>
    <n v="0"/>
    <n v="3360"/>
    <s v="Dinheiro"/>
    <x v="0"/>
  </r>
  <r>
    <s v="00593"/>
    <x v="446"/>
    <x v="29"/>
    <s v="10/2025"/>
    <d v="2025-10-13T00:00:00"/>
    <x v="204"/>
    <n v="1680"/>
    <n v="0"/>
    <n v="0"/>
    <n v="0"/>
    <n v="1680"/>
    <s v="Dinheiro"/>
    <x v="0"/>
  </r>
  <r>
    <s v="00353"/>
    <x v="61"/>
    <x v="8"/>
    <s v="10/2025"/>
    <d v="2025-10-13T00:00:00"/>
    <x v="204"/>
    <n v="375"/>
    <n v="0"/>
    <n v="0"/>
    <n v="0"/>
    <n v="375"/>
    <s v="Dinheiro"/>
    <x v="0"/>
  </r>
  <r>
    <s v="00557"/>
    <x v="401"/>
    <x v="29"/>
    <s v="10/2025"/>
    <d v="2025-10-13T00:00:00"/>
    <x v="204"/>
    <n v="3680"/>
    <n v="0"/>
    <n v="0"/>
    <n v="0"/>
    <n v="3680"/>
    <s v="Dinheiro"/>
    <x v="0"/>
  </r>
  <r>
    <s v="00557"/>
    <x v="401"/>
    <x v="30"/>
    <s v="10/2025"/>
    <d v="2025-10-13T00:00:00"/>
    <x v="204"/>
    <n v="400"/>
    <n v="0"/>
    <n v="0"/>
    <n v="0"/>
    <n v="400"/>
    <s v="Dinheiro"/>
    <x v="0"/>
  </r>
  <r>
    <s v="00613"/>
    <x v="467"/>
    <x v="1"/>
    <s v="10/2025"/>
    <d v="2025-10-13T00:00:00"/>
    <x v="205"/>
    <n v="302.60000000000002"/>
    <n v="0"/>
    <n v="0"/>
    <n v="0"/>
    <n v="302.60000000000002"/>
    <s v="Dinheiro"/>
    <x v="0"/>
  </r>
  <r>
    <s v="00355"/>
    <x v="83"/>
    <x v="41"/>
    <s v="10/2025"/>
    <d v="2025-10-10T00:00:00"/>
    <x v="205"/>
    <n v="1200"/>
    <n v="0"/>
    <n v="0"/>
    <n v="0"/>
    <n v="1200"/>
    <s v="Dinheiro"/>
    <x v="0"/>
  </r>
  <r>
    <s v="00564"/>
    <x v="441"/>
    <x v="29"/>
    <s v="10/2025"/>
    <d v="2025-10-10T00:00:00"/>
    <x v="205"/>
    <n v="880"/>
    <n v="0"/>
    <n v="0"/>
    <n v="0"/>
    <n v="880"/>
    <s v="Dinheiro"/>
    <x v="0"/>
  </r>
  <r>
    <s v="00586"/>
    <x v="398"/>
    <x v="29"/>
    <s v="10/2025"/>
    <d v="2025-10-10T00:00:00"/>
    <x v="205"/>
    <n v="560"/>
    <n v="0"/>
    <n v="0"/>
    <n v="0"/>
    <n v="560"/>
    <s v="Dinheiro"/>
    <x v="0"/>
  </r>
  <r>
    <s v="00614"/>
    <x v="468"/>
    <x v="1"/>
    <s v="10/2025"/>
    <d v="2025-10-13T00:00:00"/>
    <x v="205"/>
    <n v="302.60000000000002"/>
    <n v="0"/>
    <n v="0"/>
    <n v="0"/>
    <n v="302.60000000000002"/>
    <s v="Dinheiro"/>
    <x v="0"/>
  </r>
  <r>
    <s v="00565"/>
    <x v="413"/>
    <x v="83"/>
    <s v="10/2025"/>
    <d v="2025-10-13T00:00:00"/>
    <x v="205"/>
    <n v="250"/>
    <n v="0"/>
    <n v="0"/>
    <n v="0"/>
    <n v="250"/>
    <s v="Dinheiro"/>
    <x v="0"/>
  </r>
  <r>
    <s v="00564"/>
    <x v="441"/>
    <x v="30"/>
    <s v="10/2025"/>
    <d v="2025-10-10T00:00:00"/>
    <x v="205"/>
    <n v="3400"/>
    <n v="0"/>
    <n v="0"/>
    <n v="0"/>
    <n v="3400"/>
    <s v="Dinheiro"/>
    <x v="0"/>
  </r>
  <r>
    <s v="00351"/>
    <x v="42"/>
    <x v="14"/>
    <s v="10/2025"/>
    <d v="2025-10-13T00:00:00"/>
    <x v="205"/>
    <n v="600"/>
    <n v="0"/>
    <n v="0"/>
    <n v="0"/>
    <n v="600"/>
    <s v="Dinheiro"/>
    <x v="0"/>
  </r>
  <r>
    <s v="00530"/>
    <x v="371"/>
    <x v="11"/>
    <s v="10/2025"/>
    <d v="2025-10-14T00:00:00"/>
    <x v="205"/>
    <n v="300"/>
    <n v="0"/>
    <n v="0"/>
    <n v="0"/>
    <n v="300"/>
    <s v="Dinheiro"/>
    <x v="0"/>
  </r>
  <r>
    <s v="00285"/>
    <x v="303"/>
    <x v="17"/>
    <s v="10/2025"/>
    <d v="2025-10-13T00:00:00"/>
    <x v="205"/>
    <n v="666"/>
    <n v="0"/>
    <n v="0"/>
    <n v="0"/>
    <n v="666"/>
    <s v="Dinheiro"/>
    <x v="0"/>
  </r>
  <r>
    <s v="00362"/>
    <x v="7"/>
    <x v="34"/>
    <s v="10/2025"/>
    <d v="2025-10-14T00:00:00"/>
    <x v="205"/>
    <n v="5832"/>
    <n v="0"/>
    <n v="0"/>
    <n v="0"/>
    <n v="5832"/>
    <s v="Dinheiro"/>
    <x v="0"/>
  </r>
  <r>
    <s v="00154"/>
    <x v="12"/>
    <x v="33"/>
    <s v="10/2025"/>
    <d v="2025-10-15T00:00:00"/>
    <x v="206"/>
    <n v="6000"/>
    <n v="0"/>
    <n v="0"/>
    <n v="0"/>
    <n v="6000"/>
    <s v="Dinheiro"/>
    <x v="0"/>
  </r>
  <r>
    <s v="00526"/>
    <x v="368"/>
    <x v="41"/>
    <s v="10/2025"/>
    <d v="2025-10-15T00:00:00"/>
    <x v="206"/>
    <n v="1500"/>
    <n v="0"/>
    <n v="0"/>
    <n v="0"/>
    <n v="1500"/>
    <s v="Dinheiro"/>
    <x v="0"/>
  </r>
  <r>
    <s v="00362"/>
    <x v="7"/>
    <x v="34"/>
    <s v="10/2025"/>
    <d v="2025-10-15T00:00:00"/>
    <x v="206"/>
    <n v="210.38"/>
    <n v="0"/>
    <n v="0"/>
    <n v="0"/>
    <n v="210.38"/>
    <s v="Dinheiro"/>
    <x v="0"/>
  </r>
  <r>
    <s v="00362"/>
    <x v="7"/>
    <x v="34"/>
    <s v="10/2025"/>
    <d v="2025-10-03T00:00:00"/>
    <x v="206"/>
    <n v="4357.7300000000005"/>
    <n v="0"/>
    <n v="0"/>
    <n v="0"/>
    <n v="4357.7300000000005"/>
    <s v="Dinheiro"/>
    <x v="0"/>
  </r>
  <r>
    <s v="00362"/>
    <x v="7"/>
    <x v="34"/>
    <s v="10/2025"/>
    <d v="2025-10-06T00:00:00"/>
    <x v="206"/>
    <n v="135.52000000000001"/>
    <n v="0"/>
    <n v="0"/>
    <n v="0"/>
    <n v="135.52000000000001"/>
    <s v="Dinheiro"/>
    <x v="0"/>
  </r>
  <r>
    <s v="00362"/>
    <x v="7"/>
    <x v="3"/>
    <s v="10/2025"/>
    <d v="2025-10-03T00:00:00"/>
    <x v="206"/>
    <n v="6.12"/>
    <n v="0"/>
    <n v="0"/>
    <n v="0"/>
    <n v="6.12"/>
    <s v="Dinheiro"/>
    <x v="0"/>
  </r>
  <r>
    <s v="00362"/>
    <x v="7"/>
    <x v="3"/>
    <s v="10/2025"/>
    <d v="2025-10-06T00:00:00"/>
    <x v="206"/>
    <n v="6.12"/>
    <n v="0"/>
    <n v="0"/>
    <n v="0"/>
    <n v="6.12"/>
    <s v="Dinheiro"/>
    <x v="0"/>
  </r>
  <r>
    <s v="00362"/>
    <x v="7"/>
    <x v="3"/>
    <s v="10/2025"/>
    <d v="2025-10-06T00:00:00"/>
    <x v="206"/>
    <n v="8.16"/>
    <n v="0"/>
    <n v="0"/>
    <n v="0"/>
    <n v="8.16"/>
    <s v="Dinheiro"/>
    <x v="0"/>
  </r>
  <r>
    <s v="00362"/>
    <x v="7"/>
    <x v="3"/>
    <s v="10/2025"/>
    <d v="2025-10-06T00:00:00"/>
    <x v="206"/>
    <n v="14.280000000000001"/>
    <n v="0"/>
    <n v="0"/>
    <n v="0"/>
    <n v="14.280000000000001"/>
    <s v="Dinheiro"/>
    <x v="0"/>
  </r>
  <r>
    <s v="00362"/>
    <x v="7"/>
    <x v="3"/>
    <s v="10/2025"/>
    <d v="2025-10-06T00:00:00"/>
    <x v="206"/>
    <n v="24.48"/>
    <n v="0"/>
    <n v="0"/>
    <n v="0"/>
    <n v="24.48"/>
    <s v="Dinheiro"/>
    <x v="0"/>
  </r>
  <r>
    <s v="00362"/>
    <x v="7"/>
    <x v="3"/>
    <s v="10/2025"/>
    <d v="2025-10-06T00:00:00"/>
    <x v="206"/>
    <n v="44.88"/>
    <n v="0"/>
    <n v="0"/>
    <n v="0"/>
    <n v="44.88"/>
    <s v="Dinheiro"/>
    <x v="0"/>
  </r>
  <r>
    <s v="00362"/>
    <x v="7"/>
    <x v="3"/>
    <s v="10/2025"/>
    <d v="2025-10-08T00:00:00"/>
    <x v="206"/>
    <n v="6.12"/>
    <n v="0"/>
    <n v="0"/>
    <n v="0"/>
    <n v="6.12"/>
    <s v="Dinheiro"/>
    <x v="0"/>
  </r>
  <r>
    <s v="00362"/>
    <x v="7"/>
    <x v="3"/>
    <s v="10/2025"/>
    <d v="2025-10-08T00:00:00"/>
    <x v="206"/>
    <n v="79.56"/>
    <n v="0"/>
    <n v="0"/>
    <n v="0"/>
    <n v="79.56"/>
    <s v="Dinheiro"/>
    <x v="0"/>
  </r>
  <r>
    <s v="00362"/>
    <x v="7"/>
    <x v="3"/>
    <s v="10/2025"/>
    <d v="2025-10-09T00:00:00"/>
    <x v="206"/>
    <n v="16.32"/>
    <n v="0"/>
    <n v="0"/>
    <n v="0"/>
    <n v="16.32"/>
    <s v="Dinheiro"/>
    <x v="0"/>
  </r>
  <r>
    <s v="00362"/>
    <x v="7"/>
    <x v="34"/>
    <s v="10/2025"/>
    <d v="2025-10-10T00:00:00"/>
    <x v="206"/>
    <n v="862.92000000000007"/>
    <n v="0"/>
    <n v="0"/>
    <n v="0"/>
    <n v="862.92000000000007"/>
    <s v="Dinheiro"/>
    <x v="0"/>
  </r>
  <r>
    <s v="00362"/>
    <x v="7"/>
    <x v="3"/>
    <s v="10/2025"/>
    <d v="2025-10-10T00:00:00"/>
    <x v="206"/>
    <n v="75.48"/>
    <n v="0"/>
    <n v="0"/>
    <n v="0"/>
    <n v="75.48"/>
    <s v="Dinheiro"/>
    <x v="0"/>
  </r>
  <r>
    <s v="00362"/>
    <x v="7"/>
    <x v="3"/>
    <s v="10/2025"/>
    <d v="2025-10-10T00:00:00"/>
    <x v="206"/>
    <n v="71.400000000000006"/>
    <n v="0"/>
    <n v="0"/>
    <n v="0"/>
    <n v="71.400000000000006"/>
    <s v="Dinheiro"/>
    <x v="0"/>
  </r>
  <r>
    <s v="00362"/>
    <x v="7"/>
    <x v="3"/>
    <s v="10/2025"/>
    <d v="2025-10-10T00:00:00"/>
    <x v="206"/>
    <n v="4.08"/>
    <n v="0"/>
    <n v="0"/>
    <n v="0"/>
    <n v="4.08"/>
    <s v="Dinheiro"/>
    <x v="0"/>
  </r>
  <r>
    <s v="00362"/>
    <x v="7"/>
    <x v="3"/>
    <s v="10/2025"/>
    <d v="2025-10-13T00:00:00"/>
    <x v="206"/>
    <n v="2.04"/>
    <n v="0"/>
    <n v="0"/>
    <n v="0"/>
    <n v="2.04"/>
    <s v="Dinheiro"/>
    <x v="0"/>
  </r>
  <r>
    <s v="00362"/>
    <x v="7"/>
    <x v="34"/>
    <s v="10/2025"/>
    <d v="2025-10-14T00:00:00"/>
    <x v="206"/>
    <n v="246.78"/>
    <n v="0"/>
    <n v="0"/>
    <n v="0"/>
    <n v="246.78"/>
    <s v="Dinheiro"/>
    <x v="0"/>
  </r>
  <r>
    <s v="00362"/>
    <x v="7"/>
    <x v="3"/>
    <s v="10/2025"/>
    <d v="2025-10-14T00:00:00"/>
    <x v="206"/>
    <n v="12.24"/>
    <n v="0"/>
    <n v="0"/>
    <n v="0"/>
    <n v="12.24"/>
    <s v="Dinheiro"/>
    <x v="0"/>
  </r>
  <r>
    <s v="00624"/>
    <x v="483"/>
    <x v="9"/>
    <s v="10/2025"/>
    <d v="2025-10-15T00:00:00"/>
    <x v="206"/>
    <n v="405"/>
    <n v="0"/>
    <n v="0"/>
    <n v="0"/>
    <n v="405"/>
    <s v="Banco Investimentos"/>
    <x v="0"/>
  </r>
  <r>
    <s v="00625"/>
    <x v="484"/>
    <x v="75"/>
    <s v="10/2025"/>
    <d v="2025-10-15T00:00:00"/>
    <x v="206"/>
    <n v="504.14"/>
    <n v="0"/>
    <n v="0"/>
    <n v="0"/>
    <n v="504.14"/>
    <s v="Dinheiro"/>
    <x v="0"/>
  </r>
  <r>
    <s v="00529"/>
    <x v="379"/>
    <x v="11"/>
    <s v="10/2025"/>
    <d v="2025-10-15T00:00:00"/>
    <x v="206"/>
    <n v="390"/>
    <n v="0"/>
    <n v="0"/>
    <n v="0"/>
    <n v="390"/>
    <s v="Dinheiro"/>
    <x v="0"/>
  </r>
  <r>
    <s v="00068"/>
    <x v="98"/>
    <x v="39"/>
    <s v="10/2025"/>
    <d v="2025-10-15T00:00:00"/>
    <x v="206"/>
    <n v="1518"/>
    <n v="0"/>
    <n v="0"/>
    <n v="0"/>
    <n v="1518"/>
    <s v="Dinheiro"/>
    <x v="0"/>
  </r>
  <r>
    <s v="00006"/>
    <x v="137"/>
    <x v="53"/>
    <s v="10/2025"/>
    <d v="2025-10-15T00:00:00"/>
    <x v="206"/>
    <n v="1518"/>
    <n v="0"/>
    <n v="0"/>
    <n v="0"/>
    <n v="1518"/>
    <s v="Dinheiro"/>
    <x v="0"/>
  </r>
  <r>
    <s v="00024"/>
    <x v="0"/>
    <x v="0"/>
    <s v="10/2025"/>
    <d v="2025-10-15T00:00:00"/>
    <x v="206"/>
    <n v="2125"/>
    <n v="0"/>
    <n v="0"/>
    <n v="0"/>
    <n v="2125"/>
    <s v="Dinheiro"/>
    <x v="0"/>
  </r>
  <r>
    <s v="00106"/>
    <x v="6"/>
    <x v="61"/>
    <s v="10/2025"/>
    <d v="2025-10-15T00:00:00"/>
    <x v="206"/>
    <n v="900"/>
    <n v="0"/>
    <n v="0"/>
    <n v="0"/>
    <n v="900"/>
    <s v="Dinheiro"/>
    <x v="0"/>
  </r>
  <r>
    <s v="00193"/>
    <x v="3"/>
    <x v="0"/>
    <s v="10/2025"/>
    <d v="2025-10-15T00:00:00"/>
    <x v="206"/>
    <n v="1374.1000000000001"/>
    <n v="0"/>
    <n v="0"/>
    <n v="0"/>
    <n v="1374.1000000000001"/>
    <s v="Dinheiro"/>
    <x v="0"/>
  </r>
  <r>
    <s v="00024"/>
    <x v="0"/>
    <x v="0"/>
    <s v="10/2025"/>
    <d v="2025-10-15T00:00:00"/>
    <x v="206"/>
    <n v="1214.8"/>
    <n v="0"/>
    <n v="0"/>
    <n v="0"/>
    <n v="1214.8"/>
    <s v="Dinheiro"/>
    <x v="0"/>
  </r>
  <r>
    <s v="00193"/>
    <x v="3"/>
    <x v="0"/>
    <s v="10/2025"/>
    <d v="2025-10-15T00:00:00"/>
    <x v="206"/>
    <n v="785.2"/>
    <n v="0"/>
    <n v="0"/>
    <n v="0"/>
    <n v="785.2"/>
    <s v="Dinheiro"/>
    <x v="0"/>
  </r>
  <r>
    <s v="00018"/>
    <x v="95"/>
    <x v="37"/>
    <s v="10/2025"/>
    <d v="2025-10-15T00:00:00"/>
    <x v="206"/>
    <n v="1000"/>
    <n v="0"/>
    <n v="0"/>
    <n v="0"/>
    <n v="1000"/>
    <s v="Dinheiro"/>
    <x v="0"/>
  </r>
  <r>
    <s v="00065"/>
    <x v="92"/>
    <x v="36"/>
    <s v="10/2025"/>
    <d v="2025-10-15T00:00:00"/>
    <x v="206"/>
    <n v="11020.9"/>
    <n v="0"/>
    <n v="0"/>
    <n v="0"/>
    <n v="11020.9"/>
    <s v="Dinheiro"/>
    <x v="0"/>
  </r>
  <r>
    <s v="00109"/>
    <x v="90"/>
    <x v="35"/>
    <s v="10/2025"/>
    <d v="2025-10-15T00:00:00"/>
    <x v="206"/>
    <n v="217.76"/>
    <n v="0"/>
    <n v="0"/>
    <n v="0"/>
    <n v="217.76"/>
    <s v="Dinheiro"/>
    <x v="0"/>
  </r>
  <r>
    <s v="00103"/>
    <x v="97"/>
    <x v="72"/>
    <s v="10/2025"/>
    <d v="2025-10-15T00:00:00"/>
    <x v="206"/>
    <n v="132"/>
    <n v="0"/>
    <n v="0"/>
    <n v="0"/>
    <n v="132"/>
    <s v="Dinheiro"/>
    <x v="0"/>
  </r>
  <r>
    <s v="00102"/>
    <x v="84"/>
    <x v="10"/>
    <s v="10/2025"/>
    <d v="2025-10-15T00:00:00"/>
    <x v="206"/>
    <n v="700"/>
    <n v="0"/>
    <n v="0"/>
    <n v="0"/>
    <n v="700"/>
    <s v="Dinheiro"/>
    <x v="0"/>
  </r>
  <r>
    <s v="00282"/>
    <x v="11"/>
    <x v="10"/>
    <s v="06/2025"/>
    <d v="2025-06-02T00:00:00"/>
    <x v="206"/>
    <n v="8600.94"/>
    <n v="0"/>
    <n v="0"/>
    <n v="0"/>
    <n v="8600.94"/>
    <s v="Dinheiro"/>
    <x v="0"/>
  </r>
  <r>
    <s v="00102"/>
    <x v="84"/>
    <x v="36"/>
    <s v="10/2025"/>
    <d v="2025-10-15T00:00:00"/>
    <x v="206"/>
    <n v="2352.16"/>
    <n v="0"/>
    <n v="0"/>
    <n v="0"/>
    <n v="2352.16"/>
    <s v="Dinheiro"/>
    <x v="0"/>
  </r>
  <r>
    <s v="00626"/>
    <x v="485"/>
    <x v="9"/>
    <s v="10/2025"/>
    <d v="2025-10-16T00:00:00"/>
    <x v="207"/>
    <n v="370"/>
    <n v="0"/>
    <n v="0"/>
    <n v="0"/>
    <n v="370"/>
    <s v="Banco Investimentos"/>
    <x v="0"/>
  </r>
  <r>
    <s v="00168"/>
    <x v="39"/>
    <x v="76"/>
    <s v="10/2025"/>
    <d v="2025-10-16T00:00:00"/>
    <x v="208"/>
    <n v="109.9"/>
    <n v="0"/>
    <n v="0"/>
    <n v="0"/>
    <n v="109.9"/>
    <s v="Dinheiro"/>
    <x v="0"/>
  </r>
  <r>
    <s v="00546"/>
    <x v="402"/>
    <x v="11"/>
    <s v="10/2025"/>
    <d v="2025-10-10T00:00:00"/>
    <x v="208"/>
    <n v="997.5"/>
    <n v="0"/>
    <n v="0"/>
    <n v="0"/>
    <n v="997.5"/>
    <s v="Dinheiro"/>
    <x v="0"/>
  </r>
  <r>
    <s v="00362"/>
    <x v="7"/>
    <x v="34"/>
    <s v="10/2025"/>
    <d v="2025-10-20T00:00:00"/>
    <x v="208"/>
    <n v="210.38"/>
    <n v="0"/>
    <n v="0"/>
    <n v="0"/>
    <n v="210.38"/>
    <s v="Dinheiro"/>
    <x v="0"/>
  </r>
  <r>
    <s v="00614"/>
    <x v="468"/>
    <x v="8"/>
    <s v="10/2025"/>
    <d v="2025-10-21T00:00:00"/>
    <x v="209"/>
    <n v="36"/>
    <n v="0"/>
    <n v="0"/>
    <n v="0"/>
    <n v="36"/>
    <s v="Dinheiro"/>
    <x v="0"/>
  </r>
  <r>
    <s v="00362"/>
    <x v="7"/>
    <x v="3"/>
    <s v="10/2025"/>
    <d v="2025-10-21T00:00:00"/>
    <x v="209"/>
    <n v="6.12"/>
    <n v="0"/>
    <n v="0"/>
    <n v="0"/>
    <n v="6.12"/>
    <s v="Dinheiro"/>
    <x v="0"/>
  </r>
  <r>
    <s v="00596"/>
    <x v="432"/>
    <x v="23"/>
    <s v="10/2025"/>
    <d v="2025-10-21T00:00:00"/>
    <x v="209"/>
    <n v="700"/>
    <n v="0"/>
    <n v="0"/>
    <n v="0"/>
    <n v="700"/>
    <s v="Dinheiro"/>
    <x v="0"/>
  </r>
  <r>
    <s v="00054"/>
    <x v="348"/>
    <x v="85"/>
    <s v="10/2025"/>
    <d v="2025-10-21T00:00:00"/>
    <x v="209"/>
    <n v="37"/>
    <n v="0"/>
    <n v="0"/>
    <n v="0"/>
    <n v="37"/>
    <s v="Dinheiro"/>
    <x v="0"/>
  </r>
  <r>
    <s v="00072"/>
    <x v="105"/>
    <x v="40"/>
    <s v="10/2025"/>
    <d v="2025-10-20T00:00:00"/>
    <x v="209"/>
    <n v="18051.689999999999"/>
    <n v="0"/>
    <n v="0"/>
    <n v="0"/>
    <n v="18051.689999999999"/>
    <s v="Dinheiro"/>
    <x v="0"/>
  </r>
  <r>
    <s v="00168"/>
    <x v="39"/>
    <x v="38"/>
    <s v="10/2025"/>
    <d v="2025-10-21T00:00:00"/>
    <x v="209"/>
    <n v="25.84"/>
    <n v="0"/>
    <n v="0"/>
    <n v="0"/>
    <n v="25.84"/>
    <s v="Dinheiro"/>
    <x v="0"/>
  </r>
  <r>
    <s v="00513"/>
    <x v="342"/>
    <x v="8"/>
    <s v="10/2025"/>
    <d v="2025-10-21T00:00:00"/>
    <x v="209"/>
    <n v="36"/>
    <n v="0"/>
    <n v="0"/>
    <n v="0"/>
    <n v="36"/>
    <s v="Dinheiro"/>
    <x v="0"/>
  </r>
  <r>
    <s v="00364"/>
    <x v="16"/>
    <x v="8"/>
    <s v="10/2025"/>
    <d v="2025-10-21T00:00:00"/>
    <x v="209"/>
    <n v="66"/>
    <n v="0"/>
    <n v="0"/>
    <n v="0"/>
    <n v="66"/>
    <s v="Dinheiro"/>
    <x v="0"/>
  </r>
  <r>
    <s v="00074"/>
    <x v="54"/>
    <x v="16"/>
    <s v="10/2025"/>
    <d v="2025-10-17T00:00:00"/>
    <x v="209"/>
    <n v="99"/>
    <n v="0"/>
    <n v="0"/>
    <n v="0"/>
    <n v="99"/>
    <s v="Dinheiro"/>
    <x v="0"/>
  </r>
  <r>
    <s v="00285"/>
    <x v="303"/>
    <x v="18"/>
    <s v="10/2025"/>
    <d v="2025-10-15T00:00:00"/>
    <x v="209"/>
    <n v="667"/>
    <n v="0"/>
    <n v="0"/>
    <n v="0"/>
    <n v="667"/>
    <s v="Dinheiro"/>
    <x v="0"/>
  </r>
  <r>
    <s v="00011"/>
    <x v="45"/>
    <x v="16"/>
    <s v="10/2025"/>
    <d v="2025-10-20T00:00:00"/>
    <x v="209"/>
    <n v="791.23"/>
    <n v="0"/>
    <n v="0"/>
    <n v="0"/>
    <n v="791.23"/>
    <s v="Dinheiro"/>
    <x v="0"/>
  </r>
  <r>
    <s v="00011"/>
    <x v="45"/>
    <x v="16"/>
    <s v="10/2025"/>
    <d v="2025-10-20T00:00:00"/>
    <x v="209"/>
    <n v="941.56000000000006"/>
    <n v="0"/>
    <n v="0"/>
    <n v="0"/>
    <n v="941.56000000000006"/>
    <s v="Dinheiro"/>
    <x v="0"/>
  </r>
  <r>
    <s v="00104"/>
    <x v="380"/>
    <x v="80"/>
    <s v="10/2025"/>
    <d v="2025-10-20T00:00:00"/>
    <x v="209"/>
    <n v="71.320000000000007"/>
    <n v="0"/>
    <n v="0"/>
    <n v="0"/>
    <n v="71.320000000000007"/>
    <s v="Dinheiro"/>
    <x v="0"/>
  </r>
  <r>
    <s v="00077"/>
    <x v="237"/>
    <x v="66"/>
    <s v="10/2025"/>
    <d v="2025-10-20T00:00:00"/>
    <x v="209"/>
    <n v="350"/>
    <n v="0"/>
    <n v="0"/>
    <n v="0"/>
    <n v="350"/>
    <s v="Dinheiro"/>
    <x v="0"/>
  </r>
  <r>
    <s v="00072"/>
    <x v="105"/>
    <x v="43"/>
    <s v="10/2025"/>
    <d v="2025-10-20T00:00:00"/>
    <x v="209"/>
    <n v="2478.41"/>
    <n v="0"/>
    <n v="0"/>
    <n v="0"/>
    <n v="2478.41"/>
    <s v="Dinheiro"/>
    <x v="0"/>
  </r>
  <r>
    <s v="00613"/>
    <x v="467"/>
    <x v="8"/>
    <s v="10/2025"/>
    <d v="2025-10-21T00:00:00"/>
    <x v="209"/>
    <n v="40"/>
    <n v="0"/>
    <n v="0"/>
    <n v="0"/>
    <n v="40"/>
    <s v="Dinheiro"/>
    <x v="0"/>
  </r>
  <r>
    <s v="00134"/>
    <x v="18"/>
    <x v="14"/>
    <s v="10/2025"/>
    <d v="2025-10-21T00:00:00"/>
    <x v="209"/>
    <n v="1000"/>
    <n v="0"/>
    <n v="0"/>
    <n v="0"/>
    <n v="1000"/>
    <s v="Dinheiro"/>
    <x v="0"/>
  </r>
  <r>
    <s v="00289"/>
    <x v="20"/>
    <x v="31"/>
    <s v="10/2025"/>
    <d v="2025-10-22T00:00:00"/>
    <x v="214"/>
    <n v="2239.09"/>
    <n v="0"/>
    <n v="0"/>
    <n v="0"/>
    <n v="2239.09"/>
    <s v="Dinheiro"/>
    <x v="0"/>
  </r>
  <r>
    <s v="00468"/>
    <x v="236"/>
    <x v="34"/>
    <s v="10/2025"/>
    <d v="2025-10-20T00:00:00"/>
    <x v="214"/>
    <n v="2890"/>
    <n v="0"/>
    <n v="0"/>
    <n v="0"/>
    <n v="2890"/>
    <s v="Dinheiro"/>
    <x v="0"/>
  </r>
  <r>
    <s v="00448"/>
    <x v="269"/>
    <x v="76"/>
    <s v="10/2025"/>
    <d v="2025-10-23T00:00:00"/>
    <x v="214"/>
    <n v="10.38"/>
    <n v="0"/>
    <n v="0"/>
    <n v="0"/>
    <n v="10.38"/>
    <s v="Dinheiro"/>
    <x v="0"/>
  </r>
  <r>
    <s v="00014"/>
    <x v="187"/>
    <x v="50"/>
    <s v="09/2025"/>
    <d v="2025-09-30T00:00:00"/>
    <x v="214"/>
    <n v="3974.58"/>
    <n v="0"/>
    <n v="0"/>
    <n v="0"/>
    <n v="3974.58"/>
    <s v="Dinheiro"/>
    <x v="0"/>
  </r>
  <r>
    <s v="00477"/>
    <x v="288"/>
    <x v="11"/>
    <s v="10/2025"/>
    <d v="2025-10-23T00:00:00"/>
    <x v="214"/>
    <n v="980"/>
    <n v="0"/>
    <n v="0"/>
    <n v="0"/>
    <n v="980"/>
    <s v="Dinheiro"/>
    <x v="0"/>
  </r>
  <r>
    <s v="ENF250361"/>
    <x v="486"/>
    <x v="28"/>
    <s v="10/2025"/>
    <d v="2025-10-27T00:00:00"/>
    <x v="215"/>
    <n v="69"/>
    <n v="0"/>
    <n v="0"/>
    <n v="0"/>
    <n v="69"/>
    <s v="Dinheiro"/>
    <x v="0"/>
  </r>
  <r>
    <s v="00615"/>
    <x v="487"/>
    <x v="45"/>
    <s v="10/2025"/>
    <d v="2025-10-21T00:00:00"/>
    <x v="215"/>
    <n v="1674.71"/>
    <n v="0"/>
    <n v="0"/>
    <n v="0"/>
    <n v="1674.71"/>
    <s v="Dinheiro"/>
    <x v="0"/>
  </r>
  <r>
    <s v="00022"/>
    <x v="115"/>
    <x v="68"/>
    <s v="10/2025"/>
    <d v="2025-10-23T00:00:00"/>
    <x v="215"/>
    <n v="3466.11"/>
    <n v="0"/>
    <n v="0"/>
    <n v="0"/>
    <n v="3466.11"/>
    <s v="Dinheiro"/>
    <x v="0"/>
  </r>
  <r>
    <s v="00022"/>
    <x v="115"/>
    <x v="68"/>
    <s v="10/2025"/>
    <d v="2025-10-23T00:00:00"/>
    <x v="215"/>
    <n v="548.09"/>
    <n v="0"/>
    <n v="0"/>
    <n v="0"/>
    <n v="548.09"/>
    <s v="Dinheiro"/>
    <x v="0"/>
  </r>
  <r>
    <s v="00403"/>
    <x v="160"/>
    <x v="9"/>
    <s v="10/2025"/>
    <d v="2025-10-27T00:00:00"/>
    <x v="215"/>
    <n v="2000"/>
    <n v="0"/>
    <n v="0"/>
    <n v="0"/>
    <n v="2000"/>
    <s v="Banco Investimentos"/>
    <x v="0"/>
  </r>
  <r>
    <s v="00403"/>
    <x v="160"/>
    <x v="9"/>
    <s v="10/2025"/>
    <d v="2025-10-13T00:00:00"/>
    <x v="215"/>
    <n v="2250"/>
    <n v="0"/>
    <n v="0"/>
    <n v="0"/>
    <n v="2250"/>
    <s v="Banco Investimentos"/>
    <x v="0"/>
  </r>
  <r>
    <s v="00528"/>
    <x v="321"/>
    <x v="41"/>
    <s v="10/2025"/>
    <d v="2025-10-27T00:00:00"/>
    <x v="215"/>
    <n v="1800"/>
    <n v="0"/>
    <n v="0"/>
    <n v="0"/>
    <n v="1800"/>
    <s v="Dinheiro"/>
    <x v="0"/>
  </r>
  <r>
    <s v="00160"/>
    <x v="31"/>
    <x v="38"/>
    <s v="10/2025"/>
    <d v="2025-10-27T00:00:00"/>
    <x v="215"/>
    <n v="30"/>
    <n v="0"/>
    <n v="0"/>
    <n v="0"/>
    <n v="30"/>
    <s v="Dinheiro"/>
    <x v="0"/>
  </r>
  <r>
    <s v="00362"/>
    <x v="7"/>
    <x v="3"/>
    <s v="10/2025"/>
    <d v="2025-10-27T00:00:00"/>
    <x v="215"/>
    <n v="2.04"/>
    <n v="0"/>
    <n v="0"/>
    <n v="0"/>
    <n v="2.04"/>
    <s v="Dinheiro"/>
    <x v="0"/>
  </r>
  <r>
    <s v="00362"/>
    <x v="7"/>
    <x v="3"/>
    <s v="10/2025"/>
    <d v="2025-10-27T00:00:00"/>
    <x v="215"/>
    <n v="4.08"/>
    <n v="0"/>
    <n v="0"/>
    <n v="0"/>
    <n v="4.08"/>
    <s v="Dinheiro"/>
    <x v="0"/>
  </r>
  <r>
    <s v="00624"/>
    <x v="483"/>
    <x v="9"/>
    <s v="10/2025"/>
    <d v="2025-10-27T00:00:00"/>
    <x v="215"/>
    <n v="405"/>
    <n v="0"/>
    <n v="0"/>
    <n v="0"/>
    <n v="405"/>
    <s v="Banco Investimentos"/>
    <x v="0"/>
  </r>
  <r>
    <s v="00067"/>
    <x v="132"/>
    <x v="51"/>
    <s v="10/2025"/>
    <d v="2025-10-25T00:00:00"/>
    <x v="216"/>
    <n v="370"/>
    <n v="0"/>
    <n v="0"/>
    <n v="0"/>
    <n v="370"/>
    <s v="Dinheiro"/>
    <x v="0"/>
  </r>
  <r>
    <s v="00381"/>
    <x v="99"/>
    <x v="26"/>
    <s v="10/2025"/>
    <d v="2025-10-25T00:00:00"/>
    <x v="216"/>
    <n v="390"/>
    <n v="0"/>
    <n v="0"/>
    <n v="0"/>
    <n v="390"/>
    <s v="Dinheiro"/>
    <x v="0"/>
  </r>
  <r>
    <s v="00576"/>
    <x v="456"/>
    <x v="11"/>
    <s v="10/2025"/>
    <d v="2025-10-25T00:00:00"/>
    <x v="216"/>
    <n v="1088.42"/>
    <n v="0"/>
    <n v="0"/>
    <n v="0"/>
    <n v="1088.42"/>
    <s v="Dinheiro"/>
    <x v="0"/>
  </r>
  <r>
    <s v="00362"/>
    <x v="7"/>
    <x v="34"/>
    <s v="10/2025"/>
    <d v="2025-10-28T00:00:00"/>
    <x v="216"/>
    <n v="1268.1200000000001"/>
    <n v="0"/>
    <n v="0"/>
    <n v="0"/>
    <n v="1268.1200000000001"/>
    <s v="Dinheiro"/>
    <x v="0"/>
  </r>
  <r>
    <s v="00362"/>
    <x v="7"/>
    <x v="3"/>
    <s v="10/2025"/>
    <d v="2025-10-28T00:00:00"/>
    <x v="216"/>
    <n v="6.12"/>
    <n v="0"/>
    <n v="0"/>
    <n v="0"/>
    <n v="6.12"/>
    <s v="Dinheiro"/>
    <x v="0"/>
  </r>
  <r>
    <s v="00362"/>
    <x v="7"/>
    <x v="48"/>
    <s v="10/2025"/>
    <d v="2025-10-26T00:00:00"/>
    <x v="216"/>
    <n v="10193.380000000001"/>
    <n v="0"/>
    <n v="0"/>
    <n v="0"/>
    <n v="10193.380000000001"/>
    <s v="Dinheiro"/>
    <x v="0"/>
  </r>
  <r>
    <s v="00362"/>
    <x v="7"/>
    <x v="34"/>
    <s v="10/2025"/>
    <d v="2025-10-28T00:00:00"/>
    <x v="216"/>
    <n v="1579.69"/>
    <n v="0"/>
    <n v="0"/>
    <n v="0"/>
    <n v="1579.69"/>
    <s v="Dinheiro"/>
    <x v="0"/>
  </r>
  <r>
    <s v="00364"/>
    <x v="16"/>
    <x v="8"/>
    <s v="10/2025"/>
    <d v="2025-10-28T00:00:00"/>
    <x v="216"/>
    <n v="40"/>
    <n v="0"/>
    <n v="0"/>
    <n v="0"/>
    <n v="40"/>
    <s v="Dinheiro"/>
    <x v="0"/>
  </r>
  <r>
    <s v="00613"/>
    <x v="467"/>
    <x v="8"/>
    <s v="10/2025"/>
    <d v="2025-10-28T00:00:00"/>
    <x v="216"/>
    <n v="40"/>
    <n v="0"/>
    <n v="0"/>
    <n v="0"/>
    <n v="40"/>
    <s v="Dinheiro"/>
    <x v="0"/>
  </r>
  <r>
    <s v="00168"/>
    <x v="39"/>
    <x v="38"/>
    <s v="10/2025"/>
    <d v="2025-10-28T00:00:00"/>
    <x v="216"/>
    <n v="138.44"/>
    <n v="0"/>
    <n v="0"/>
    <n v="0"/>
    <n v="138.44"/>
    <s v="Dinheiro"/>
    <x v="0"/>
  </r>
  <r>
    <s v="00133"/>
    <x v="24"/>
    <x v="8"/>
    <s v="10/2025"/>
    <d v="2025-10-28T00:00:00"/>
    <x v="216"/>
    <n v="40"/>
    <n v="0"/>
    <n v="0"/>
    <n v="0"/>
    <n v="40"/>
    <s v="Dinheiro"/>
    <x v="0"/>
  </r>
  <r>
    <s v="00513"/>
    <x v="342"/>
    <x v="8"/>
    <s v="10/2025"/>
    <d v="2025-10-28T00:00:00"/>
    <x v="216"/>
    <n v="72"/>
    <n v="0"/>
    <n v="0"/>
    <n v="0"/>
    <n v="72"/>
    <s v="Dinheiro"/>
    <x v="0"/>
  </r>
  <r>
    <s v="00362"/>
    <x v="7"/>
    <x v="3"/>
    <s v="10/2025"/>
    <d v="2025-10-30T00:00:00"/>
    <x v="212"/>
    <n v="6.12"/>
    <n v="0"/>
    <n v="0"/>
    <n v="0"/>
    <n v="6.12"/>
    <s v="Dinheiro"/>
    <x v="0"/>
  </r>
  <r>
    <s v="00362"/>
    <x v="7"/>
    <x v="3"/>
    <s v="10/2025"/>
    <d v="2025-10-30T00:00:00"/>
    <x v="212"/>
    <n v="2.04"/>
    <n v="0"/>
    <n v="0"/>
    <n v="0"/>
    <n v="2.04"/>
    <s v="Dinheiro"/>
    <x v="0"/>
  </r>
  <r>
    <s v="00072"/>
    <x v="105"/>
    <x v="40"/>
    <s v="10/2025"/>
    <d v="2025-10-31T00:00:00"/>
    <x v="213"/>
    <n v="708.80000000000007"/>
    <n v="0"/>
    <n v="0"/>
    <n v="0"/>
    <n v="708.80000000000007"/>
    <s v="Dinheiro"/>
    <x v="0"/>
  </r>
  <r>
    <s v="00277"/>
    <x v="47"/>
    <x v="16"/>
    <s v="10/2025"/>
    <d v="2025-10-30T00:00:00"/>
    <x v="213"/>
    <n v="380.03000000000003"/>
    <n v="0"/>
    <n v="0"/>
    <n v="0"/>
    <n v="380.03000000000003"/>
    <s v="Dinheiro"/>
    <x v="0"/>
  </r>
  <r>
    <s v="00362"/>
    <x v="7"/>
    <x v="3"/>
    <s v="10/2025"/>
    <d v="2025-10-31T00:00:00"/>
    <x v="213"/>
    <n v="4.08"/>
    <n v="0"/>
    <n v="0"/>
    <n v="0"/>
    <n v="4.08"/>
    <s v="Dinheiro"/>
    <x v="0"/>
  </r>
  <r>
    <s v="00625"/>
    <x v="484"/>
    <x v="75"/>
    <s v="10/2025"/>
    <d v="2025-10-30T00:00:00"/>
    <x v="213"/>
    <n v="554.23"/>
    <n v="0"/>
    <n v="0"/>
    <n v="0"/>
    <n v="554.23"/>
    <s v="Dinheiro"/>
    <x v="0"/>
  </r>
  <r>
    <s v="00154"/>
    <x v="172"/>
    <x v="38"/>
    <s v="10/2025"/>
    <d v="2025-10-07T00:00:00"/>
    <x v="199"/>
    <n v="18.900000000000002"/>
    <n v="0"/>
    <n v="0"/>
    <n v="0"/>
    <n v="18.900000000000002"/>
    <s v="Dinheiro"/>
    <x v="0"/>
  </r>
  <r>
    <s v="00363"/>
    <x v="290"/>
    <x v="38"/>
    <s v="10/2025"/>
    <d v="2025-10-07T00:00:00"/>
    <x v="199"/>
    <n v="57.9"/>
    <n v="0"/>
    <n v="0"/>
    <n v="0"/>
    <n v="57.9"/>
    <s v="Dinheiro"/>
    <x v="0"/>
  </r>
  <r>
    <s v="00390"/>
    <x v="488"/>
    <x v="1"/>
    <s v="10/2025"/>
    <d v="2025-10-13T00:00:00"/>
    <x v="204"/>
    <n v="387.6"/>
    <n v="0"/>
    <n v="0"/>
    <n v="0"/>
    <n v="387.6"/>
    <s v="Dinheiro"/>
    <x v="0"/>
  </r>
  <r>
    <s v="00190"/>
    <x v="32"/>
    <x v="8"/>
    <s v="10/2025"/>
    <d v="2025-10-13T00:00:00"/>
    <x v="204"/>
    <n v="100"/>
    <n v="0"/>
    <n v="0"/>
    <n v="0"/>
    <n v="100"/>
    <s v="Dinheiro"/>
    <x v="0"/>
  </r>
  <r>
    <s v="00288"/>
    <x v="121"/>
    <x v="8"/>
    <s v="10/2025"/>
    <d v="2025-10-13T00:00:00"/>
    <x v="204"/>
    <n v="40"/>
    <n v="0"/>
    <n v="0"/>
    <n v="0"/>
    <n v="40"/>
    <s v="Dinheiro"/>
    <x v="0"/>
  </r>
  <r>
    <s v="00104"/>
    <x v="243"/>
    <x v="8"/>
    <s v="10/2025"/>
    <d v="2025-10-13T00:00:00"/>
    <x v="204"/>
    <n v="98"/>
    <n v="0"/>
    <n v="0"/>
    <n v="0"/>
    <n v="98"/>
    <s v="Dinheiro"/>
    <x v="0"/>
  </r>
  <r>
    <s v="00334"/>
    <x v="247"/>
    <x v="38"/>
    <s v="10/2025"/>
    <d v="2025-10-14T00:00:00"/>
    <x v="205"/>
    <n v="128"/>
    <n v="0"/>
    <n v="0"/>
    <n v="0"/>
    <n v="128"/>
    <s v="Dinheiro"/>
    <x v="0"/>
  </r>
  <r>
    <s v="00298"/>
    <x v="489"/>
    <x v="38"/>
    <s v="10/2025"/>
    <d v="2025-10-15T00:00:00"/>
    <x v="206"/>
    <n v="100.88"/>
    <n v="0"/>
    <n v="0"/>
    <n v="0"/>
    <n v="100.88"/>
    <s v="Dinheiro"/>
    <x v="0"/>
  </r>
  <r>
    <s v="00298"/>
    <x v="489"/>
    <x v="76"/>
    <s v="10/2025"/>
    <d v="2025-10-15T00:00:00"/>
    <x v="206"/>
    <n v="62.65"/>
    <n v="0"/>
    <n v="0"/>
    <n v="0"/>
    <n v="62.65"/>
    <s v="Dinheiro"/>
    <x v="0"/>
  </r>
  <r>
    <s v="00298"/>
    <x v="489"/>
    <x v="76"/>
    <s v="10/2025"/>
    <d v="2025-10-15T00:00:00"/>
    <x v="206"/>
    <n v="199.5"/>
    <n v="0"/>
    <n v="0"/>
    <n v="0"/>
    <n v="199.5"/>
    <s v="Dinheiro"/>
    <x v="0"/>
  </r>
  <r>
    <s v="00068"/>
    <x v="427"/>
    <x v="45"/>
    <s v="10/2025"/>
    <d v="2025-10-15T00:00:00"/>
    <x v="206"/>
    <n v="34.980000000000004"/>
    <n v="0"/>
    <n v="0"/>
    <n v="0"/>
    <n v="34.980000000000004"/>
    <s v="Dinheiro"/>
    <x v="0"/>
  </r>
  <r>
    <s v="00393"/>
    <x v="490"/>
    <x v="45"/>
    <s v="10/2025"/>
    <d v="2025-10-17T00:00:00"/>
    <x v="217"/>
    <n v="13"/>
    <n v="0"/>
    <n v="0"/>
    <n v="0"/>
    <n v="13"/>
    <s v="Dinheiro"/>
    <x v="0"/>
  </r>
  <r>
    <s v="00382"/>
    <x v="491"/>
    <x v="5"/>
    <s v="10/2025"/>
    <d v="2025-10-21T00:00:00"/>
    <x v="209"/>
    <n v="35"/>
    <n v="0"/>
    <n v="0"/>
    <n v="0"/>
    <n v="35"/>
    <s v="Dinheiro"/>
    <x v="0"/>
  </r>
  <r>
    <s v="00403"/>
    <x v="160"/>
    <x v="9"/>
    <s v="10/2025"/>
    <d v="2025-10-22T00:00:00"/>
    <x v="210"/>
    <n v="150"/>
    <n v="0"/>
    <n v="0"/>
    <n v="0"/>
    <n v="150"/>
    <s v="Dinheiro"/>
    <x v="0"/>
  </r>
  <r>
    <s v="00349"/>
    <x v="25"/>
    <x v="38"/>
    <s v="11/2025"/>
    <d v="2025-11-01T00:00:00"/>
    <x v="218"/>
    <n v="82"/>
    <n v="0"/>
    <n v="0"/>
    <n v="0"/>
    <n v="82"/>
    <s v="Dinheiro"/>
    <x v="0"/>
  </r>
  <r>
    <s v="00613"/>
    <x v="467"/>
    <x v="8"/>
    <s v="11/2025"/>
    <d v="2025-11-03T00:00:00"/>
    <x v="219"/>
    <n v="80"/>
    <n v="0"/>
    <n v="0"/>
    <n v="0"/>
    <n v="80"/>
    <s v="Dinheiro"/>
    <x v="0"/>
  </r>
  <r>
    <s v="00133"/>
    <x v="24"/>
    <x v="8"/>
    <s v="11/2025"/>
    <d v="2025-11-03T00:00:00"/>
    <x v="219"/>
    <n v="66"/>
    <n v="0"/>
    <n v="0"/>
    <n v="0"/>
    <n v="66"/>
    <s v="Dinheiro"/>
    <x v="0"/>
  </r>
  <r>
    <s v="00610"/>
    <x v="463"/>
    <x v="25"/>
    <s v="11/2025"/>
    <d v="2025-11-03T00:00:00"/>
    <x v="219"/>
    <n v="32.85"/>
    <n v="0"/>
    <n v="0"/>
    <n v="0"/>
    <n v="32.85"/>
    <s v="Dinheiro"/>
    <x v="0"/>
  </r>
  <r>
    <s v="00622"/>
    <x v="488"/>
    <x v="1"/>
    <s v="11/2025"/>
    <d v="2025-11-03T00:00:00"/>
    <x v="219"/>
    <n v="409.40000000000003"/>
    <n v="0"/>
    <n v="0"/>
    <n v="0"/>
    <n v="409.40000000000003"/>
    <s v="Dinheiro"/>
    <x v="0"/>
  </r>
  <r>
    <s v="00631"/>
    <x v="492"/>
    <x v="1"/>
    <s v="11/2025"/>
    <d v="2025-11-04T00:00:00"/>
    <x v="220"/>
    <n v="232"/>
    <n v="0"/>
    <n v="0"/>
    <n v="0"/>
    <n v="232"/>
    <s v="Dinheiro"/>
    <x v="0"/>
  </r>
  <r>
    <s v="00027"/>
    <x v="58"/>
    <x v="45"/>
    <s v="11/2025"/>
    <d v="2025-11-04T00:00:00"/>
    <x v="220"/>
    <n v="13.47"/>
    <n v="0"/>
    <n v="0"/>
    <n v="0"/>
    <n v="13.47"/>
    <s v="Dinheiro"/>
    <x v="0"/>
  </r>
  <r>
    <s v="00292"/>
    <x v="278"/>
    <x v="5"/>
    <s v="11/2025"/>
    <d v="2025-11-04T00:00:00"/>
    <x v="220"/>
    <n v="35"/>
    <n v="0"/>
    <n v="0"/>
    <n v="0"/>
    <n v="35"/>
    <s v="Dinheiro"/>
    <x v="0"/>
  </r>
  <r>
    <s v="00041"/>
    <x v="354"/>
    <x v="12"/>
    <s v="11/2025"/>
    <d v="2025-11-04T00:00:00"/>
    <x v="220"/>
    <n v="54"/>
    <n v="0"/>
    <n v="0"/>
    <n v="0"/>
    <n v="54"/>
    <s v="Dinheiro"/>
    <x v="0"/>
  </r>
  <r>
    <s v="00610"/>
    <x v="463"/>
    <x v="45"/>
    <s v="11/2025"/>
    <d v="2025-11-04T00:00:00"/>
    <x v="220"/>
    <n v="8.25"/>
    <n v="0"/>
    <n v="0"/>
    <n v="0"/>
    <n v="8.25"/>
    <s v="Dinheiro"/>
    <x v="0"/>
  </r>
  <r>
    <s v="00403"/>
    <x v="160"/>
    <x v="9"/>
    <s v="11/2025"/>
    <d v="2025-11-05T00:00:00"/>
    <x v="221"/>
    <n v="700"/>
    <n v="0"/>
    <n v="0"/>
    <n v="0"/>
    <n v="700"/>
    <s v="Dinheiro"/>
    <x v="0"/>
  </r>
  <r>
    <s v="00330"/>
    <x v="14"/>
    <x v="13"/>
    <s v="11/2025"/>
    <d v="2025-11-05T00:00:00"/>
    <x v="221"/>
    <n v="550"/>
    <n v="0"/>
    <n v="0"/>
    <n v="0"/>
    <n v="550"/>
    <s v="Dinheiro"/>
    <x v="0"/>
  </r>
  <r>
    <s v="00632"/>
    <x v="493"/>
    <x v="30"/>
    <s v="11/2025"/>
    <d v="2025-11-10T00:00:00"/>
    <x v="222"/>
    <n v="1440"/>
    <n v="0"/>
    <n v="0"/>
    <n v="0"/>
    <n v="1440"/>
    <s v="Dinheiro"/>
    <x v="0"/>
  </r>
  <r>
    <s v="00028"/>
    <x v="108"/>
    <x v="76"/>
    <s v="11/2025"/>
    <d v="2025-11-10T00:00:00"/>
    <x v="222"/>
    <n v="47"/>
    <n v="0"/>
    <n v="0"/>
    <n v="0"/>
    <n v="47"/>
    <s v="Dinheiro"/>
    <x v="0"/>
  </r>
  <r>
    <s v="00416"/>
    <x v="184"/>
    <x v="8"/>
    <s v="11/2025"/>
    <d v="2025-11-10T00:00:00"/>
    <x v="222"/>
    <n v="186"/>
    <n v="0"/>
    <n v="0"/>
    <n v="0"/>
    <n v="186"/>
    <s v="Dinheiro"/>
    <x v="0"/>
  </r>
  <r>
    <s v="00364"/>
    <x v="16"/>
    <x v="8"/>
    <s v="11/2025"/>
    <d v="2025-11-10T00:00:00"/>
    <x v="222"/>
    <n v="400"/>
    <n v="0"/>
    <n v="0"/>
    <n v="0"/>
    <n v="400"/>
    <s v="Dinheiro"/>
    <x v="0"/>
  </r>
  <r>
    <s v="00416"/>
    <x v="184"/>
    <x v="8"/>
    <s v="11/2025"/>
    <d v="2025-11-10T00:00:00"/>
    <x v="222"/>
    <n v="160"/>
    <n v="0"/>
    <n v="0"/>
    <n v="0"/>
    <n v="160"/>
    <s v="Dinheiro"/>
    <x v="0"/>
  </r>
  <r>
    <s v="00513"/>
    <x v="342"/>
    <x v="8"/>
    <s v="11/2025"/>
    <d v="2025-11-10T00:00:00"/>
    <x v="222"/>
    <n v="36"/>
    <n v="0"/>
    <n v="0"/>
    <n v="0"/>
    <n v="36"/>
    <s v="Dinheiro"/>
    <x v="0"/>
  </r>
  <r>
    <s v="00513"/>
    <x v="342"/>
    <x v="8"/>
    <s v="11/2025"/>
    <d v="2025-11-10T00:00:00"/>
    <x v="222"/>
    <n v="320"/>
    <n v="0"/>
    <n v="0"/>
    <n v="0"/>
    <n v="320"/>
    <s v="Dinheiro"/>
    <x v="0"/>
  </r>
  <r>
    <s v="00133"/>
    <x v="24"/>
    <x v="8"/>
    <s v="11/2025"/>
    <d v="2025-11-10T00:00:00"/>
    <x v="222"/>
    <n v="560"/>
    <n v="0"/>
    <n v="0"/>
    <n v="0"/>
    <n v="560"/>
    <s v="Dinheiro"/>
    <x v="0"/>
  </r>
  <r>
    <s v="00304"/>
    <x v="494"/>
    <x v="8"/>
    <s v="11/2025"/>
    <d v="2025-11-10T00:00:00"/>
    <x v="222"/>
    <n v="170"/>
    <n v="0"/>
    <n v="0"/>
    <n v="0"/>
    <n v="170"/>
    <s v="Dinheiro"/>
    <x v="0"/>
  </r>
  <r>
    <s v="00633"/>
    <x v="495"/>
    <x v="29"/>
    <s v="11/2025"/>
    <d v="2025-11-10T00:00:00"/>
    <x v="222"/>
    <n v="150"/>
    <n v="0"/>
    <n v="0"/>
    <n v="0"/>
    <n v="150"/>
    <s v="Dinheiro"/>
    <x v="0"/>
  </r>
  <r>
    <s v="00351"/>
    <x v="42"/>
    <x v="8"/>
    <s v="11/2025"/>
    <d v="2025-11-10T00:00:00"/>
    <x v="222"/>
    <n v="100"/>
    <n v="0"/>
    <n v="0"/>
    <n v="0"/>
    <n v="100"/>
    <s v="Dinheiro"/>
    <x v="0"/>
  </r>
  <r>
    <s v="00448"/>
    <x v="269"/>
    <x v="8"/>
    <s v="11/2025"/>
    <d v="2025-11-10T00:00:00"/>
    <x v="222"/>
    <n v="100"/>
    <n v="0"/>
    <n v="0"/>
    <n v="0"/>
    <n v="100"/>
    <s v="Dinheiro"/>
    <x v="0"/>
  </r>
  <r>
    <s v="00397"/>
    <x v="152"/>
    <x v="8"/>
    <s v="11/2025"/>
    <d v="2025-11-10T00:00:00"/>
    <x v="222"/>
    <n v="100"/>
    <n v="0"/>
    <n v="0"/>
    <n v="0"/>
    <n v="100"/>
    <s v="Dinheiro"/>
    <x v="0"/>
  </r>
  <r>
    <s v="00464"/>
    <x v="273"/>
    <x v="8"/>
    <s v="11/2025"/>
    <d v="2025-11-10T00:00:00"/>
    <x v="222"/>
    <n v="150"/>
    <n v="0"/>
    <n v="0"/>
    <n v="0"/>
    <n v="150"/>
    <s v="Dinheiro"/>
    <x v="0"/>
  </r>
  <r>
    <s v="00634"/>
    <x v="496"/>
    <x v="30"/>
    <s v="11/2025"/>
    <d v="2025-11-10T00:00:00"/>
    <x v="222"/>
    <n v="1440"/>
    <n v="0"/>
    <n v="0"/>
    <n v="0"/>
    <n v="1440"/>
    <s v="Dinheiro"/>
    <x v="0"/>
  </r>
  <r>
    <s v="00133"/>
    <x v="24"/>
    <x v="8"/>
    <s v="11/2025"/>
    <d v="2025-11-10T00:00:00"/>
    <x v="222"/>
    <n v="60"/>
    <n v="0"/>
    <n v="0"/>
    <n v="0"/>
    <n v="60"/>
    <s v="Dinheiro"/>
    <x v="0"/>
  </r>
  <r>
    <s v="00304"/>
    <x v="494"/>
    <x v="8"/>
    <s v="11/2025"/>
    <d v="2025-11-10T00:00:00"/>
    <x v="222"/>
    <n v="30"/>
    <n v="0"/>
    <n v="0"/>
    <n v="0"/>
    <n v="30"/>
    <s v="Dinheiro"/>
    <x v="0"/>
  </r>
  <r>
    <s v="00511"/>
    <x v="241"/>
    <x v="8"/>
    <s v="11/2025"/>
    <d v="2025-11-10T00:00:00"/>
    <x v="222"/>
    <n v="500"/>
    <n v="0"/>
    <n v="0"/>
    <n v="0"/>
    <n v="500"/>
    <s v="Dinheiro"/>
    <x v="0"/>
  </r>
  <r>
    <s v="00388"/>
    <x v="122"/>
    <x v="8"/>
    <s v="11/2025"/>
    <d v="2025-11-11T00:00:00"/>
    <x v="223"/>
    <n v="80"/>
    <n v="0"/>
    <n v="0"/>
    <n v="0"/>
    <n v="80"/>
    <s v="Dinheiro"/>
    <x v="0"/>
  </r>
  <r>
    <s v="00036"/>
    <x v="109"/>
    <x v="76"/>
    <s v="11/2025"/>
    <d v="2025-11-11T00:00:00"/>
    <x v="223"/>
    <n v="13.99"/>
    <n v="0"/>
    <n v="0"/>
    <n v="0"/>
    <n v="13.99"/>
    <s v="Dinheiro"/>
    <x v="0"/>
  </r>
  <r>
    <s v="00349"/>
    <x v="25"/>
    <x v="8"/>
    <s v="11/2025"/>
    <d v="2025-11-11T00:00:00"/>
    <x v="223"/>
    <n v="200"/>
    <n v="0"/>
    <n v="0"/>
    <n v="0"/>
    <n v="200"/>
    <s v="Dinheiro"/>
    <x v="0"/>
  </r>
  <r>
    <s v="00261"/>
    <x v="175"/>
    <x v="38"/>
    <s v="11/2025"/>
    <d v="2025-11-11T00:00:00"/>
    <x v="223"/>
    <n v="70"/>
    <n v="0"/>
    <n v="0"/>
    <n v="0"/>
    <n v="70"/>
    <s v="Dinheiro"/>
    <x v="0"/>
  </r>
  <r>
    <s v="00581"/>
    <x v="426"/>
    <x v="8"/>
    <s v="11/2025"/>
    <d v="2025-11-11T00:00:00"/>
    <x v="223"/>
    <n v="400"/>
    <n v="0"/>
    <n v="0"/>
    <n v="0"/>
    <n v="400"/>
    <s v="Dinheiro"/>
    <x v="0"/>
  </r>
  <r>
    <s v="00447"/>
    <x v="247"/>
    <x v="45"/>
    <s v="11/2025"/>
    <d v="2025-11-11T00:00:00"/>
    <x v="223"/>
    <n v="10"/>
    <n v="0"/>
    <n v="0"/>
    <n v="0"/>
    <n v="10"/>
    <s v="Dinheiro"/>
    <x v="0"/>
  </r>
  <r>
    <s v="00614"/>
    <x v="468"/>
    <x v="8"/>
    <s v="11/2025"/>
    <d v="2025-11-11T00:00:00"/>
    <x v="223"/>
    <n v="60"/>
    <n v="0"/>
    <n v="0"/>
    <n v="0"/>
    <n v="60"/>
    <s v="Dinheiro"/>
    <x v="0"/>
  </r>
  <r>
    <s v="00037"/>
    <x v="177"/>
    <x v="38"/>
    <s v="11/2025"/>
    <d v="2025-11-12T00:00:00"/>
    <x v="224"/>
    <n v="33.660000000000004"/>
    <n v="0"/>
    <n v="0"/>
    <n v="0"/>
    <n v="33.660000000000004"/>
    <s v="Dinheiro"/>
    <x v="0"/>
  </r>
  <r>
    <s v="00168"/>
    <x v="39"/>
    <x v="45"/>
    <s v="11/2025"/>
    <d v="2025-11-12T00:00:00"/>
    <x v="224"/>
    <n v="60"/>
    <n v="0"/>
    <n v="0"/>
    <n v="0"/>
    <n v="60"/>
    <s v="Dinheiro"/>
    <x v="0"/>
  </r>
  <r>
    <s v="00353"/>
    <x v="61"/>
    <x v="14"/>
    <s v="11/2025"/>
    <d v="2025-11-12T00:00:00"/>
    <x v="224"/>
    <n v="500"/>
    <n v="0"/>
    <n v="0"/>
    <n v="0"/>
    <n v="500"/>
    <s v="Dinheiro"/>
    <x v="0"/>
  </r>
  <r>
    <s v="00353"/>
    <x v="61"/>
    <x v="85"/>
    <s v="11/2025"/>
    <d v="2025-11-12T00:00:00"/>
    <x v="224"/>
    <n v="261.98"/>
    <n v="0"/>
    <n v="0"/>
    <n v="0"/>
    <n v="261.98"/>
    <s v="Dinheiro"/>
    <x v="0"/>
  </r>
  <r>
    <s v="00613"/>
    <x v="467"/>
    <x v="8"/>
    <s v="11/2025"/>
    <d v="2025-11-12T00:00:00"/>
    <x v="224"/>
    <n v="106"/>
    <n v="0"/>
    <n v="0"/>
    <n v="0"/>
    <n v="106"/>
    <s v="Dinheiro"/>
    <x v="0"/>
  </r>
  <r>
    <s v="00524"/>
    <x v="364"/>
    <x v="29"/>
    <s v="11/2025"/>
    <d v="2025-11-11T00:00:00"/>
    <x v="225"/>
    <n v="800"/>
    <n v="0"/>
    <n v="0"/>
    <n v="0"/>
    <n v="800"/>
    <s v="Dinheiro"/>
    <x v="0"/>
  </r>
  <r>
    <s v="00039"/>
    <x v="231"/>
    <x v="45"/>
    <s v="11/2025"/>
    <d v="2025-11-13T00:00:00"/>
    <x v="225"/>
    <n v="39.9"/>
    <n v="0"/>
    <n v="0"/>
    <n v="0"/>
    <n v="39.9"/>
    <s v="Dinheiro"/>
    <x v="0"/>
  </r>
  <r>
    <s v="00032"/>
    <x v="120"/>
    <x v="45"/>
    <s v="11/2025"/>
    <d v="2025-11-14T00:00:00"/>
    <x v="226"/>
    <n v="24"/>
    <n v="0"/>
    <n v="0"/>
    <n v="0"/>
    <n v="24"/>
    <s v="Dinheiro"/>
    <x v="0"/>
  </r>
  <r>
    <s v="00028"/>
    <x v="108"/>
    <x v="76"/>
    <s v="11/2025"/>
    <d v="2025-11-14T00:00:00"/>
    <x v="226"/>
    <n v="38"/>
    <n v="0"/>
    <n v="0"/>
    <n v="0"/>
    <n v="38"/>
    <s v="Dinheiro"/>
    <x v="0"/>
  </r>
  <r>
    <s v="ENF240465"/>
    <x v="329"/>
    <x v="87"/>
    <s v="11/2025"/>
    <d v="2025-11-17T00:00:00"/>
    <x v="227"/>
    <n v="50"/>
    <n v="0"/>
    <n v="0"/>
    <n v="0"/>
    <n v="50"/>
    <s v="Dinheiro"/>
    <x v="0"/>
  </r>
  <r>
    <s v="00032"/>
    <x v="120"/>
    <x v="45"/>
    <s v="11/2025"/>
    <d v="2025-11-17T00:00:00"/>
    <x v="227"/>
    <n v="29.8"/>
    <n v="0"/>
    <n v="0"/>
    <n v="0"/>
    <n v="29.8"/>
    <s v="Dinheiro"/>
    <x v="0"/>
  </r>
  <r>
    <s v="00058"/>
    <x v="88"/>
    <x v="9"/>
    <s v="11/2025"/>
    <d v="2025-11-17T00:00:00"/>
    <x v="227"/>
    <n v="18.98"/>
    <n v="0"/>
    <n v="0"/>
    <n v="0"/>
    <n v="18.98"/>
    <s v="Dinheiro"/>
    <x v="0"/>
  </r>
  <r>
    <s v="00036"/>
    <x v="109"/>
    <x v="76"/>
    <s v="11/2025"/>
    <d v="2025-11-17T00:00:00"/>
    <x v="227"/>
    <n v="4.9000000000000004"/>
    <n v="0"/>
    <n v="0"/>
    <n v="0"/>
    <n v="4.9000000000000004"/>
    <s v="Dinheiro"/>
    <x v="0"/>
  </r>
  <r>
    <s v="00638"/>
    <x v="497"/>
    <x v="45"/>
    <s v="11/2025"/>
    <d v="2025-11-17T00:00:00"/>
    <x v="227"/>
    <n v="13.07"/>
    <n v="0"/>
    <n v="0"/>
    <n v="0"/>
    <n v="13.07"/>
    <s v="Dinheiro"/>
    <x v="0"/>
  </r>
  <r>
    <s v="00640"/>
    <x v="498"/>
    <x v="87"/>
    <s v="11/2025"/>
    <d v="2025-11-17T00:00:00"/>
    <x v="227"/>
    <n v="100"/>
    <n v="0"/>
    <n v="0"/>
    <n v="0"/>
    <n v="100"/>
    <s v="Dinheiro"/>
    <x v="0"/>
  </r>
  <r>
    <s v="00498"/>
    <x v="242"/>
    <x v="8"/>
    <s v="11/2025"/>
    <d v="2025-11-17T00:00:00"/>
    <x v="227"/>
    <n v="50"/>
    <n v="0"/>
    <n v="0"/>
    <n v="0"/>
    <n v="50"/>
    <s v="Dinheiro"/>
    <x v="0"/>
  </r>
  <r>
    <s v="00639"/>
    <x v="499"/>
    <x v="88"/>
    <s v="11/2025"/>
    <d v="2025-11-17T00:00:00"/>
    <x v="227"/>
    <n v="16"/>
    <n v="0"/>
    <n v="0"/>
    <n v="0"/>
    <n v="16"/>
    <s v="Dinheiro"/>
    <x v="0"/>
  </r>
  <r>
    <s v="00594"/>
    <x v="448"/>
    <x v="88"/>
    <s v="11/2025"/>
    <d v="2025-11-17T00:00:00"/>
    <x v="227"/>
    <n v="129.1"/>
    <n v="0"/>
    <n v="0"/>
    <n v="0"/>
    <n v="129.1"/>
    <s v="Dinheiro"/>
    <x v="0"/>
  </r>
  <r>
    <s v="00041"/>
    <x v="354"/>
    <x v="12"/>
    <s v="11/2025"/>
    <d v="2025-11-17T00:00:00"/>
    <x v="227"/>
    <n v="25"/>
    <n v="0"/>
    <n v="0"/>
    <n v="0"/>
    <n v="25"/>
    <s v="Dinheiro"/>
    <x v="0"/>
  </r>
  <r>
    <s v="ENF250283"/>
    <x v="500"/>
    <x v="87"/>
    <s v="11/2025"/>
    <d v="2025-11-18T00:00:00"/>
    <x v="228"/>
    <n v="50"/>
    <n v="0"/>
    <n v="0"/>
    <n v="0"/>
    <n v="50"/>
    <s v="Dinheiro"/>
    <x v="0"/>
  </r>
  <r>
    <s v="ENF250220"/>
    <x v="501"/>
    <x v="87"/>
    <s v="11/2025"/>
    <d v="2025-11-18T00:00:00"/>
    <x v="228"/>
    <n v="50"/>
    <n v="0"/>
    <n v="0"/>
    <n v="0"/>
    <n v="50"/>
    <s v="Dinheiro"/>
    <x v="0"/>
  </r>
  <r>
    <s v="00581"/>
    <x v="426"/>
    <x v="8"/>
    <s v="11/2025"/>
    <d v="2025-11-18T00:00:00"/>
    <x v="228"/>
    <n v="30"/>
    <n v="0"/>
    <n v="0"/>
    <n v="0"/>
    <n v="30"/>
    <s v="Dinheiro"/>
    <x v="0"/>
  </r>
  <r>
    <s v="00355"/>
    <x v="83"/>
    <x v="87"/>
    <s v="11/2025"/>
    <d v="2025-11-18T00:00:00"/>
    <x v="228"/>
    <n v="350"/>
    <n v="0"/>
    <n v="0"/>
    <n v="0"/>
    <n v="350"/>
    <s v="Dinheiro"/>
    <x v="0"/>
  </r>
  <r>
    <s v="ENF250034"/>
    <x v="502"/>
    <x v="87"/>
    <s v="11/2025"/>
    <d v="2025-11-18T00:00:00"/>
    <x v="228"/>
    <n v="50"/>
    <n v="0"/>
    <n v="0"/>
    <n v="0"/>
    <n v="50"/>
    <s v="Dinheiro"/>
    <x v="0"/>
  </r>
  <r>
    <s v="00041"/>
    <x v="354"/>
    <x v="12"/>
    <s v="11/2025"/>
    <d v="2025-11-21T00:00:00"/>
    <x v="229"/>
    <n v="50"/>
    <n v="0"/>
    <n v="0"/>
    <n v="0"/>
    <n v="50"/>
    <s v="Dinheiro"/>
    <x v="0"/>
  </r>
  <r>
    <s v="00036"/>
    <x v="109"/>
    <x v="76"/>
    <s v="11/2025"/>
    <d v="2025-11-24T00:00:00"/>
    <x v="230"/>
    <n v="14.99"/>
    <n v="0"/>
    <n v="0"/>
    <n v="0"/>
    <n v="14.99"/>
    <s v="Dinheiro"/>
    <x v="0"/>
  </r>
  <r>
    <s v="00610"/>
    <x v="463"/>
    <x v="25"/>
    <s v="11/2025"/>
    <d v="2025-11-24T00:00:00"/>
    <x v="230"/>
    <n v="23.8"/>
    <n v="0"/>
    <n v="0"/>
    <n v="0"/>
    <n v="23.8"/>
    <s v="Dinheiro"/>
    <x v="0"/>
  </r>
  <r>
    <s v="00133"/>
    <x v="24"/>
    <x v="8"/>
    <s v="11/2025"/>
    <d v="2025-11-24T00:00:00"/>
    <x v="230"/>
    <n v="80"/>
    <n v="0"/>
    <n v="0"/>
    <n v="0"/>
    <n v="80"/>
    <s v="Dinheiro"/>
    <x v="0"/>
  </r>
  <r>
    <s v="00614"/>
    <x v="468"/>
    <x v="8"/>
    <s v="11/2025"/>
    <d v="2025-11-24T00:00:00"/>
    <x v="230"/>
    <n v="212"/>
    <n v="0"/>
    <n v="0"/>
    <n v="0"/>
    <n v="212"/>
    <s v="Dinheiro"/>
    <x v="0"/>
  </r>
  <r>
    <s v="00646"/>
    <x v="503"/>
    <x v="12"/>
    <s v="11/2025"/>
    <d v="2025-11-25T00:00:00"/>
    <x v="231"/>
    <n v="35"/>
    <n v="0"/>
    <n v="0"/>
    <n v="0"/>
    <n v="35"/>
    <s v="Dinheiro"/>
    <x v="0"/>
  </r>
  <r>
    <s v="00082"/>
    <x v="100"/>
    <x v="57"/>
    <s v="11/2025"/>
    <d v="2025-11-25T00:00:00"/>
    <x v="231"/>
    <n v="28.830000000000002"/>
    <n v="0"/>
    <n v="0"/>
    <n v="0"/>
    <n v="28.830000000000002"/>
    <s v="Dinheiro"/>
    <x v="0"/>
  </r>
  <r>
    <s v="00058"/>
    <x v="88"/>
    <x v="9"/>
    <s v="11/2025"/>
    <d v="2025-11-25T00:00:00"/>
    <x v="231"/>
    <n v="63.870000000000005"/>
    <n v="0"/>
    <n v="0"/>
    <n v="0"/>
    <n v="63.870000000000005"/>
    <s v="Dinheiro"/>
    <x v="0"/>
  </r>
  <r>
    <s v="00416"/>
    <x v="184"/>
    <x v="15"/>
    <s v="11/2025"/>
    <d v="2025-11-25T00:00:00"/>
    <x v="231"/>
    <n v="175"/>
    <n v="0"/>
    <n v="0"/>
    <n v="0"/>
    <n v="175"/>
    <s v="Dinheiro"/>
    <x v="0"/>
  </r>
  <r>
    <s v="00403"/>
    <x v="160"/>
    <x v="9"/>
    <s v="11/2025"/>
    <d v="2025-11-25T00:00:00"/>
    <x v="231"/>
    <n v="300"/>
    <n v="0"/>
    <n v="0"/>
    <n v="0"/>
    <n v="300"/>
    <s v="Dinheiro"/>
    <x v="0"/>
  </r>
  <r>
    <s v="00610"/>
    <x v="463"/>
    <x v="25"/>
    <s v="11/2025"/>
    <d v="2025-11-26T00:00:00"/>
    <x v="232"/>
    <n v="11"/>
    <n v="0"/>
    <n v="0"/>
    <n v="0"/>
    <n v="11"/>
    <s v="Dinheiro"/>
    <x v="0"/>
  </r>
  <r>
    <s v="00058"/>
    <x v="88"/>
    <x v="9"/>
    <s v="11/2025"/>
    <d v="2025-11-28T00:00:00"/>
    <x v="233"/>
    <n v="16.990000000000002"/>
    <n v="0"/>
    <n v="0"/>
    <n v="0"/>
    <n v="16.990000000000002"/>
    <s v="Dinheiro"/>
    <x v="0"/>
  </r>
  <r>
    <s v="00610"/>
    <x v="463"/>
    <x v="25"/>
    <s v="11/2025"/>
    <d v="2025-11-28T00:00:00"/>
    <x v="233"/>
    <n v="23.8"/>
    <n v="0"/>
    <n v="0"/>
    <n v="0"/>
    <n v="23.8"/>
    <s v="Dinheiro"/>
    <x v="0"/>
  </r>
  <r>
    <s v="00168"/>
    <x v="39"/>
    <x v="1"/>
    <s v="11/2025"/>
    <d v="2025-11-01T00:00:00"/>
    <x v="220"/>
    <n v="387.8"/>
    <n v="0"/>
    <n v="0"/>
    <n v="0"/>
    <n v="387.8"/>
    <s v="Dinheiro"/>
    <x v="0"/>
  </r>
  <r>
    <s v="00351"/>
    <x v="42"/>
    <x v="1"/>
    <s v="11/2025"/>
    <d v="2025-11-01T00:00:00"/>
    <x v="220"/>
    <n v="444.6"/>
    <n v="0"/>
    <n v="0"/>
    <n v="0"/>
    <n v="444.6"/>
    <s v="Dinheiro"/>
    <x v="0"/>
  </r>
  <r>
    <s v="00474"/>
    <x v="298"/>
    <x v="1"/>
    <s v="11/2025"/>
    <d v="2025-11-01T00:00:00"/>
    <x v="220"/>
    <n v="255.20000000000002"/>
    <n v="0"/>
    <n v="0"/>
    <n v="0"/>
    <n v="255.20000000000002"/>
    <s v="Dinheiro"/>
    <x v="0"/>
  </r>
  <r>
    <s v="00160"/>
    <x v="31"/>
    <x v="1"/>
    <s v="11/2025"/>
    <d v="2025-11-01T00:00:00"/>
    <x v="220"/>
    <n v="255.20000000000002"/>
    <n v="0"/>
    <n v="0"/>
    <n v="0"/>
    <n v="255.20000000000002"/>
    <s v="Dinheiro"/>
    <x v="0"/>
  </r>
  <r>
    <s v="00388"/>
    <x v="122"/>
    <x v="1"/>
    <s v="11/2025"/>
    <d v="2025-11-01T00:00:00"/>
    <x v="220"/>
    <n v="469.2"/>
    <n v="0"/>
    <n v="0"/>
    <n v="0"/>
    <n v="469.2"/>
    <s v="Dinheiro"/>
    <x v="0"/>
  </r>
  <r>
    <s v="00612"/>
    <x v="466"/>
    <x v="1"/>
    <s v="11/2025"/>
    <d v="2025-11-04T00:00:00"/>
    <x v="220"/>
    <n v="220.4"/>
    <n v="0"/>
    <n v="0"/>
    <n v="0"/>
    <n v="220.4"/>
    <s v="Dinheiro"/>
    <x v="0"/>
  </r>
  <r>
    <s v="00411"/>
    <x v="181"/>
    <x v="1"/>
    <s v="11/2025"/>
    <d v="2025-11-01T00:00:00"/>
    <x v="220"/>
    <n v="255.20000000000002"/>
    <n v="0"/>
    <n v="0"/>
    <n v="0"/>
    <n v="255.20000000000002"/>
    <s v="Dinheiro"/>
    <x v="0"/>
  </r>
  <r>
    <s v="00349"/>
    <x v="25"/>
    <x v="1"/>
    <s v="11/2025"/>
    <d v="2025-11-01T00:00:00"/>
    <x v="220"/>
    <n v="428.40000000000003"/>
    <n v="0"/>
    <n v="0"/>
    <n v="0"/>
    <n v="428.40000000000003"/>
    <s v="Dinheiro"/>
    <x v="0"/>
  </r>
  <r>
    <s v="00464"/>
    <x v="273"/>
    <x v="1"/>
    <s v="11/2025"/>
    <d v="2025-11-01T00:00:00"/>
    <x v="220"/>
    <n v="243.6"/>
    <n v="0"/>
    <n v="0"/>
    <n v="0"/>
    <n v="243.6"/>
    <s v="Dinheiro"/>
    <x v="0"/>
  </r>
  <r>
    <s v="00083"/>
    <x v="5"/>
    <x v="1"/>
    <s v="11/2025"/>
    <d v="2025-11-01T00:00:00"/>
    <x v="220"/>
    <n v="5075.2"/>
    <n v="0"/>
    <n v="0"/>
    <n v="0"/>
    <n v="5075.2"/>
    <s v="Dinheiro"/>
    <x v="0"/>
  </r>
  <r>
    <s v="00154"/>
    <x v="12"/>
    <x v="33"/>
    <s v="11/2025"/>
    <d v="2025-11-04T00:00:00"/>
    <x v="220"/>
    <n v="6000"/>
    <n v="0"/>
    <n v="0"/>
    <n v="0"/>
    <n v="6000"/>
    <s v="Dinheiro"/>
    <x v="0"/>
  </r>
  <r>
    <s v="00613"/>
    <x v="467"/>
    <x v="15"/>
    <s v="11/2025"/>
    <d v="2025-11-06T00:00:00"/>
    <x v="234"/>
    <n v="58.76"/>
    <n v="0"/>
    <n v="0"/>
    <n v="0"/>
    <n v="58.76"/>
    <s v="Dinheiro"/>
    <x v="0"/>
  </r>
  <r>
    <s v="00613"/>
    <x v="467"/>
    <x v="15"/>
    <s v="11/2025"/>
    <d v="2025-11-06T00:00:00"/>
    <x v="234"/>
    <n v="509"/>
    <n v="0"/>
    <n v="0"/>
    <n v="0"/>
    <n v="509"/>
    <s v="Dinheiro"/>
    <x v="0"/>
  </r>
  <r>
    <s v="00613"/>
    <x v="467"/>
    <x v="15"/>
    <s v="11/2025"/>
    <d v="2025-11-06T00:00:00"/>
    <x v="234"/>
    <n v="587.62"/>
    <n v="0"/>
    <n v="0"/>
    <n v="0"/>
    <n v="587.62"/>
    <s v="Dinheiro"/>
    <x v="0"/>
  </r>
  <r>
    <s v="00614"/>
    <x v="468"/>
    <x v="15"/>
    <s v="11/2025"/>
    <d v="2025-11-06T00:00:00"/>
    <x v="234"/>
    <n v="458"/>
    <n v="0"/>
    <n v="0"/>
    <n v="0"/>
    <n v="458"/>
    <s v="Dinheiro"/>
    <x v="0"/>
  </r>
  <r>
    <s v="00614"/>
    <x v="468"/>
    <x v="15"/>
    <s v="11/2025"/>
    <d v="2025-11-06T00:00:00"/>
    <x v="234"/>
    <n v="646.36"/>
    <n v="0"/>
    <n v="0"/>
    <n v="0"/>
    <n v="646.36"/>
    <s v="Dinheiro"/>
    <x v="0"/>
  </r>
  <r>
    <s v="00614"/>
    <x v="468"/>
    <x v="15"/>
    <s v="11/2025"/>
    <d v="2025-11-06T00:00:00"/>
    <x v="234"/>
    <n v="58.76"/>
    <n v="0"/>
    <n v="0"/>
    <n v="0"/>
    <n v="58.76"/>
    <s v="Dinheiro"/>
    <x v="0"/>
  </r>
  <r>
    <s v="00168"/>
    <x v="39"/>
    <x v="15"/>
    <s v="11/2025"/>
    <d v="2025-11-06T00:00:00"/>
    <x v="234"/>
    <n v="1814"/>
    <n v="0"/>
    <n v="0"/>
    <n v="0"/>
    <n v="1814"/>
    <s v="Dinheiro"/>
    <x v="0"/>
  </r>
  <r>
    <s v="00168"/>
    <x v="39"/>
    <x v="14"/>
    <s v="11/2025"/>
    <d v="2025-11-06T00:00:00"/>
    <x v="234"/>
    <n v="1000"/>
    <n v="0"/>
    <n v="0"/>
    <n v="0"/>
    <n v="1000"/>
    <s v="Dinheiro"/>
    <x v="0"/>
  </r>
  <r>
    <s v="00223"/>
    <x v="32"/>
    <x v="15"/>
    <s v="11/2025"/>
    <d v="2025-11-06T00:00:00"/>
    <x v="234"/>
    <n v="2262"/>
    <n v="0"/>
    <n v="0"/>
    <n v="0"/>
    <n v="2262"/>
    <s v="Dinheiro"/>
    <x v="0"/>
  </r>
  <r>
    <s v="00160"/>
    <x v="31"/>
    <x v="15"/>
    <s v="11/2025"/>
    <d v="2025-11-06T00:00:00"/>
    <x v="234"/>
    <n v="1058"/>
    <n v="0"/>
    <n v="0"/>
    <n v="0"/>
    <n v="1058"/>
    <s v="Dinheiro"/>
    <x v="0"/>
  </r>
  <r>
    <s v="00388"/>
    <x v="122"/>
    <x v="15"/>
    <s v="11/2025"/>
    <d v="2025-11-06T00:00:00"/>
    <x v="234"/>
    <n v="750"/>
    <n v="0"/>
    <n v="0"/>
    <n v="0"/>
    <n v="750"/>
    <s v="Dinheiro"/>
    <x v="0"/>
  </r>
  <r>
    <s v="00502"/>
    <x v="331"/>
    <x v="15"/>
    <s v="11/2025"/>
    <d v="2025-11-06T00:00:00"/>
    <x v="234"/>
    <n v="1821.63"/>
    <n v="0"/>
    <n v="0"/>
    <n v="0"/>
    <n v="1821.63"/>
    <s v="Dinheiro"/>
    <x v="0"/>
  </r>
  <r>
    <s v="00133"/>
    <x v="24"/>
    <x v="15"/>
    <s v="11/2025"/>
    <d v="2025-11-06T00:00:00"/>
    <x v="234"/>
    <n v="1571"/>
    <n v="0"/>
    <n v="0"/>
    <n v="0"/>
    <n v="1571"/>
    <s v="Dinheiro"/>
    <x v="0"/>
  </r>
  <r>
    <s v="00464"/>
    <x v="273"/>
    <x v="15"/>
    <s v="11/2025"/>
    <d v="2025-11-06T00:00:00"/>
    <x v="234"/>
    <n v="900"/>
    <n v="0"/>
    <n v="0"/>
    <n v="0"/>
    <n v="900"/>
    <s v="Dinheiro"/>
    <x v="0"/>
  </r>
  <r>
    <s v="00511"/>
    <x v="241"/>
    <x v="15"/>
    <s v="11/2025"/>
    <d v="2025-11-06T00:00:00"/>
    <x v="234"/>
    <n v="1371"/>
    <n v="0"/>
    <n v="0"/>
    <n v="0"/>
    <n v="1371"/>
    <s v="Dinheiro"/>
    <x v="0"/>
  </r>
  <r>
    <s v="00581"/>
    <x v="426"/>
    <x v="15"/>
    <s v="11/2025"/>
    <d v="2025-11-06T00:00:00"/>
    <x v="234"/>
    <n v="1702"/>
    <n v="0"/>
    <n v="0"/>
    <n v="0"/>
    <n v="1702"/>
    <s v="Dinheiro"/>
    <x v="0"/>
  </r>
  <r>
    <s v="00364"/>
    <x v="16"/>
    <x v="15"/>
    <s v="11/2025"/>
    <d v="2025-11-06T00:00:00"/>
    <x v="234"/>
    <n v="1152"/>
    <n v="0"/>
    <n v="0"/>
    <n v="0"/>
    <n v="1152"/>
    <s v="Dinheiro"/>
    <x v="0"/>
  </r>
  <r>
    <s v="00411"/>
    <x v="181"/>
    <x v="15"/>
    <s v="11/2025"/>
    <d v="2025-11-06T00:00:00"/>
    <x v="234"/>
    <n v="1701"/>
    <n v="0"/>
    <n v="0"/>
    <n v="0"/>
    <n v="1701"/>
    <s v="Dinheiro"/>
    <x v="0"/>
  </r>
  <r>
    <s v="00498"/>
    <x v="242"/>
    <x v="15"/>
    <s v="11/2025"/>
    <d v="2025-11-06T00:00:00"/>
    <x v="234"/>
    <n v="1814"/>
    <n v="0"/>
    <n v="0"/>
    <n v="0"/>
    <n v="1814"/>
    <s v="Dinheiro"/>
    <x v="0"/>
  </r>
  <r>
    <s v="00397"/>
    <x v="152"/>
    <x v="15"/>
    <s v="11/2025"/>
    <d v="2025-11-06T00:00:00"/>
    <x v="234"/>
    <n v="1571"/>
    <n v="0"/>
    <n v="0"/>
    <n v="0"/>
    <n v="1571"/>
    <s v="Dinheiro"/>
    <x v="0"/>
  </r>
  <r>
    <s v="00289"/>
    <x v="20"/>
    <x v="15"/>
    <s v="11/2025"/>
    <d v="2025-11-06T00:00:00"/>
    <x v="234"/>
    <n v="1302"/>
    <n v="0"/>
    <n v="0"/>
    <n v="0"/>
    <n v="1302"/>
    <s v="Dinheiro"/>
    <x v="0"/>
  </r>
  <r>
    <s v="00474"/>
    <x v="298"/>
    <x v="15"/>
    <s v="11/2025"/>
    <d v="2025-11-06T00:00:00"/>
    <x v="234"/>
    <n v="1535"/>
    <n v="0"/>
    <n v="0"/>
    <n v="0"/>
    <n v="1535"/>
    <s v="Dinheiro"/>
    <x v="0"/>
  </r>
  <r>
    <s v="00448"/>
    <x v="269"/>
    <x v="15"/>
    <s v="11/2025"/>
    <d v="2025-11-06T00:00:00"/>
    <x v="234"/>
    <n v="1571"/>
    <n v="0"/>
    <n v="0"/>
    <n v="0"/>
    <n v="1571"/>
    <s v="Dinheiro"/>
    <x v="0"/>
  </r>
  <r>
    <s v="00447"/>
    <x v="247"/>
    <x v="15"/>
    <s v="11/2025"/>
    <d v="2025-11-06T00:00:00"/>
    <x v="234"/>
    <n v="1637"/>
    <n v="0"/>
    <n v="0"/>
    <n v="0"/>
    <n v="1637"/>
    <s v="Dinheiro"/>
    <x v="0"/>
  </r>
  <r>
    <s v="00513"/>
    <x v="342"/>
    <x v="15"/>
    <s v="11/2025"/>
    <d v="2025-11-06T00:00:00"/>
    <x v="234"/>
    <n v="1000"/>
    <n v="0"/>
    <n v="0"/>
    <n v="0"/>
    <n v="1000"/>
    <s v="Dinheiro"/>
    <x v="0"/>
  </r>
  <r>
    <s v="00478"/>
    <x v="290"/>
    <x v="15"/>
    <s v="11/2025"/>
    <d v="2025-11-06T00:00:00"/>
    <x v="234"/>
    <n v="1571"/>
    <n v="0"/>
    <n v="0"/>
    <n v="0"/>
    <n v="1571"/>
    <s v="Dinheiro"/>
    <x v="0"/>
  </r>
  <r>
    <s v="00316"/>
    <x v="17"/>
    <x v="15"/>
    <s v="11/2025"/>
    <d v="2025-11-06T00:00:00"/>
    <x v="234"/>
    <n v="1571"/>
    <n v="0"/>
    <n v="0"/>
    <n v="0"/>
    <n v="1571"/>
    <s v="Dinheiro"/>
    <x v="0"/>
  </r>
  <r>
    <s v="00362"/>
    <x v="7"/>
    <x v="34"/>
    <s v="11/2025"/>
    <d v="2025-11-07T00:00:00"/>
    <x v="235"/>
    <n v="13.63"/>
    <n v="0"/>
    <n v="0"/>
    <n v="0"/>
    <n v="13.63"/>
    <s v="Dinheiro"/>
    <x v="0"/>
  </r>
  <r>
    <s v="00362"/>
    <x v="7"/>
    <x v="3"/>
    <s v="11/2025"/>
    <d v="2025-11-07T00:00:00"/>
    <x v="235"/>
    <n v="12.24"/>
    <n v="0"/>
    <n v="0"/>
    <n v="0"/>
    <n v="12.24"/>
    <s v="Dinheiro"/>
    <x v="0"/>
  </r>
  <r>
    <s v="00362"/>
    <x v="7"/>
    <x v="3"/>
    <s v="11/2025"/>
    <d v="2025-11-07T00:00:00"/>
    <x v="235"/>
    <n v="40.800000000000004"/>
    <n v="0"/>
    <n v="0"/>
    <n v="0"/>
    <n v="40.800000000000004"/>
    <s v="Dinheiro"/>
    <x v="0"/>
  </r>
  <r>
    <s v="00362"/>
    <x v="7"/>
    <x v="3"/>
    <s v="11/2025"/>
    <d v="2025-11-07T00:00:00"/>
    <x v="235"/>
    <n v="34.68"/>
    <n v="0"/>
    <n v="0"/>
    <n v="0"/>
    <n v="34.68"/>
    <s v="Dinheiro"/>
    <x v="0"/>
  </r>
  <r>
    <s v="00362"/>
    <x v="7"/>
    <x v="3"/>
    <s v="11/2025"/>
    <d v="2025-11-07T00:00:00"/>
    <x v="235"/>
    <n v="69.36"/>
    <n v="0"/>
    <n v="0"/>
    <n v="0"/>
    <n v="69.36"/>
    <s v="Dinheiro"/>
    <x v="0"/>
  </r>
  <r>
    <s v="00362"/>
    <x v="7"/>
    <x v="3"/>
    <s v="11/2025"/>
    <d v="2025-11-07T00:00:00"/>
    <x v="235"/>
    <n v="793.56000000000006"/>
    <n v="0"/>
    <n v="0"/>
    <n v="0"/>
    <n v="793.56000000000006"/>
    <s v="Dinheiro"/>
    <x v="0"/>
  </r>
  <r>
    <s v="00362"/>
    <x v="7"/>
    <x v="3"/>
    <s v="11/2025"/>
    <d v="2025-11-07T00:00:00"/>
    <x v="235"/>
    <n v="10.200000000000001"/>
    <n v="0"/>
    <n v="0"/>
    <n v="0"/>
    <n v="10.200000000000001"/>
    <s v="Dinheiro"/>
    <x v="0"/>
  </r>
  <r>
    <s v="00362"/>
    <x v="7"/>
    <x v="4"/>
    <s v="11/2025"/>
    <d v="2025-11-07T00:00:00"/>
    <x v="235"/>
    <n v="170.44"/>
    <n v="0"/>
    <n v="0"/>
    <n v="0"/>
    <n v="170.44"/>
    <s v="Dinheiro"/>
    <x v="0"/>
  </r>
  <r>
    <s v="00362"/>
    <x v="7"/>
    <x v="4"/>
    <s v="11/2025"/>
    <d v="2025-11-07T00:00:00"/>
    <x v="235"/>
    <n v="203.36"/>
    <n v="0"/>
    <n v="0"/>
    <n v="0"/>
    <n v="203.36"/>
    <s v="Dinheiro"/>
    <x v="0"/>
  </r>
  <r>
    <s v="00596"/>
    <x v="432"/>
    <x v="23"/>
    <s v="11/2025"/>
    <d v="2025-11-01T00:00:00"/>
    <x v="235"/>
    <n v="550"/>
    <n v="0"/>
    <n v="0"/>
    <n v="0"/>
    <n v="550"/>
    <s v="Dinheiro"/>
    <x v="0"/>
  </r>
  <r>
    <s v="00362"/>
    <x v="7"/>
    <x v="6"/>
    <s v="11/2025"/>
    <d v="2025-11-04T00:00:00"/>
    <x v="235"/>
    <n v="206.04"/>
    <n v="0"/>
    <n v="0"/>
    <n v="0"/>
    <n v="206.04"/>
    <s v="Dinheiro"/>
    <x v="0"/>
  </r>
  <r>
    <s v="00362"/>
    <x v="7"/>
    <x v="3"/>
    <s v="11/2025"/>
    <d v="2025-11-06T00:00:00"/>
    <x v="235"/>
    <n v="44.88"/>
    <n v="0"/>
    <n v="0"/>
    <n v="0"/>
    <n v="44.88"/>
    <s v="Dinheiro"/>
    <x v="0"/>
  </r>
  <r>
    <s v="00168"/>
    <x v="39"/>
    <x v="32"/>
    <s v="11/2025"/>
    <d v="2025-11-01T00:00:00"/>
    <x v="235"/>
    <n v="255.42000000000002"/>
    <n v="0"/>
    <n v="0"/>
    <n v="0"/>
    <n v="255.42000000000002"/>
    <s v="Dinheiro"/>
    <x v="0"/>
  </r>
  <r>
    <s v="00349"/>
    <x v="25"/>
    <x v="32"/>
    <s v="11/2025"/>
    <d v="2025-11-01T00:00:00"/>
    <x v="235"/>
    <n v="255.42000000000002"/>
    <n v="0"/>
    <n v="0"/>
    <n v="0"/>
    <n v="255.42000000000002"/>
    <s v="Dinheiro"/>
    <x v="0"/>
  </r>
  <r>
    <s v="00083"/>
    <x v="5"/>
    <x v="32"/>
    <s v="11/2025"/>
    <d v="2025-11-01T00:00:00"/>
    <x v="235"/>
    <n v="5142.96"/>
    <n v="0"/>
    <n v="0"/>
    <n v="0"/>
    <n v="5142.96"/>
    <s v="Dinheiro"/>
    <x v="0"/>
  </r>
  <r>
    <s v="00014"/>
    <x v="187"/>
    <x v="50"/>
    <s v="10/2025"/>
    <d v="2025-10-30T00:00:00"/>
    <x v="235"/>
    <n v="3871.08"/>
    <n v="0"/>
    <n v="0"/>
    <n v="0"/>
    <n v="3871.08"/>
    <s v="Dinheiro"/>
    <x v="0"/>
  </r>
  <r>
    <s v="00193"/>
    <x v="3"/>
    <x v="0"/>
    <s v="11/2025"/>
    <d v="2025-11-03T00:00:00"/>
    <x v="235"/>
    <n v="1520"/>
    <n v="0"/>
    <n v="0"/>
    <n v="0"/>
    <n v="1520"/>
    <s v="Dinheiro"/>
    <x v="0"/>
  </r>
  <r>
    <s v="00024"/>
    <x v="0"/>
    <x v="0"/>
    <s v="11/2025"/>
    <d v="2025-11-03T00:00:00"/>
    <x v="235"/>
    <n v="2280"/>
    <n v="0"/>
    <n v="0"/>
    <n v="0"/>
    <n v="2280"/>
    <s v="Dinheiro"/>
    <x v="0"/>
  </r>
  <r>
    <s v="00193"/>
    <x v="3"/>
    <x v="0"/>
    <s v="11/2025"/>
    <d v="2025-11-03T00:00:00"/>
    <x v="235"/>
    <n v="1200"/>
    <n v="0"/>
    <n v="0"/>
    <n v="0"/>
    <n v="1200"/>
    <s v="Dinheiro"/>
    <x v="0"/>
  </r>
  <r>
    <s v="00024"/>
    <x v="0"/>
    <x v="0"/>
    <s v="11/2025"/>
    <d v="2025-11-03T00:00:00"/>
    <x v="235"/>
    <n v="1800"/>
    <n v="0"/>
    <n v="0"/>
    <n v="0"/>
    <n v="1800"/>
    <s v="Dinheiro"/>
    <x v="0"/>
  </r>
  <r>
    <s v="00630"/>
    <x v="504"/>
    <x v="89"/>
    <s v="11/2025"/>
    <d v="2025-11-04T00:00:00"/>
    <x v="235"/>
    <n v="39.9"/>
    <n v="0"/>
    <n v="0"/>
    <n v="0"/>
    <n v="39.9"/>
    <s v="Dinheiro"/>
    <x v="0"/>
  </r>
  <r>
    <s v="00319"/>
    <x v="27"/>
    <x v="16"/>
    <s v="11/2025"/>
    <d v="2025-11-04T00:00:00"/>
    <x v="235"/>
    <n v="1381.38"/>
    <n v="0"/>
    <n v="0"/>
    <n v="0"/>
    <n v="1381.38"/>
    <s v="Dinheiro"/>
    <x v="0"/>
  </r>
  <r>
    <s v="00362"/>
    <x v="7"/>
    <x v="34"/>
    <s v="11/2025"/>
    <d v="2025-11-03T00:00:00"/>
    <x v="235"/>
    <n v="4408.46"/>
    <n v="0"/>
    <n v="0"/>
    <n v="0"/>
    <n v="4408.46"/>
    <s v="Dinheiro"/>
    <x v="0"/>
  </r>
  <r>
    <s v="00468"/>
    <x v="236"/>
    <x v="34"/>
    <s v="11/2025"/>
    <d v="2025-11-05T00:00:00"/>
    <x v="235"/>
    <n v="2890"/>
    <n v="0"/>
    <n v="0"/>
    <n v="0"/>
    <n v="2890"/>
    <s v="Dinheiro"/>
    <x v="0"/>
  </r>
  <r>
    <s v="00362"/>
    <x v="7"/>
    <x v="48"/>
    <s v="11/2025"/>
    <d v="2025-11-05T00:00:00"/>
    <x v="235"/>
    <n v="1019.35"/>
    <n v="0"/>
    <n v="0"/>
    <n v="0"/>
    <n v="1019.35"/>
    <s v="Dinheiro"/>
    <x v="0"/>
  </r>
  <r>
    <s v="00258"/>
    <x v="43"/>
    <x v="0"/>
    <s v="11/2025"/>
    <d v="2025-11-05T00:00:00"/>
    <x v="235"/>
    <n v="1877.16"/>
    <n v="0"/>
    <n v="0"/>
    <n v="0"/>
    <n v="1877.16"/>
    <s v="Dinheiro"/>
    <x v="0"/>
  </r>
  <r>
    <s v="00362"/>
    <x v="7"/>
    <x v="4"/>
    <s v="11/2025"/>
    <d v="2025-11-04T00:00:00"/>
    <x v="235"/>
    <n v="209.06"/>
    <n v="0"/>
    <n v="0"/>
    <n v="0"/>
    <n v="209.06"/>
    <s v="Dinheiro"/>
    <x v="0"/>
  </r>
  <r>
    <s v="00362"/>
    <x v="7"/>
    <x v="6"/>
    <s v="11/2025"/>
    <d v="2025-11-04T00:00:00"/>
    <x v="235"/>
    <n v="549.75"/>
    <n v="0"/>
    <n v="0"/>
    <n v="0"/>
    <n v="549.75"/>
    <s v="Dinheiro"/>
    <x v="0"/>
  </r>
  <r>
    <s v="00362"/>
    <x v="7"/>
    <x v="6"/>
    <s v="11/2025"/>
    <d v="2025-11-04T00:00:00"/>
    <x v="235"/>
    <n v="3.65"/>
    <n v="0"/>
    <n v="0"/>
    <n v="0"/>
    <n v="3.65"/>
    <s v="Dinheiro"/>
    <x v="0"/>
  </r>
  <r>
    <s v="00362"/>
    <x v="7"/>
    <x v="3"/>
    <s v="11/2025"/>
    <d v="2025-11-05T00:00:00"/>
    <x v="235"/>
    <n v="4.08"/>
    <n v="0"/>
    <n v="0"/>
    <n v="0"/>
    <n v="4.08"/>
    <s v="Dinheiro"/>
    <x v="0"/>
  </r>
  <r>
    <s v="00362"/>
    <x v="7"/>
    <x v="3"/>
    <s v="11/2025"/>
    <d v="2025-11-04T00:00:00"/>
    <x v="235"/>
    <n v="4.08"/>
    <n v="0"/>
    <n v="0"/>
    <n v="0"/>
    <n v="4.08"/>
    <s v="Dinheiro"/>
    <x v="0"/>
  </r>
  <r>
    <s v="00362"/>
    <x v="7"/>
    <x v="3"/>
    <s v="11/2025"/>
    <d v="2025-11-03T00:00:00"/>
    <x v="235"/>
    <n v="2.04"/>
    <n v="0"/>
    <n v="0"/>
    <n v="0"/>
    <n v="2.04"/>
    <s v="Dinheiro"/>
    <x v="0"/>
  </r>
  <r>
    <s v="00362"/>
    <x v="7"/>
    <x v="34"/>
    <s v="11/2025"/>
    <d v="2025-11-05T00:00:00"/>
    <x v="235"/>
    <n v="135.52000000000001"/>
    <n v="0"/>
    <n v="0"/>
    <n v="0"/>
    <n v="135.52000000000001"/>
    <s v="Dinheiro"/>
    <x v="0"/>
  </r>
  <r>
    <s v="00320"/>
    <x v="240"/>
    <x v="69"/>
    <s v="10/2025"/>
    <d v="2025-11-03T00:00:00"/>
    <x v="235"/>
    <n v="260.09000000000003"/>
    <n v="0"/>
    <n v="0"/>
    <n v="0"/>
    <n v="260.09000000000003"/>
    <s v="Dinheiro"/>
    <x v="0"/>
  </r>
  <r>
    <s v="00022"/>
    <x v="115"/>
    <x v="46"/>
    <s v="11/2025"/>
    <d v="2025-11-10T00:00:00"/>
    <x v="222"/>
    <n v="2855.73"/>
    <n v="0"/>
    <n v="0"/>
    <n v="0"/>
    <n v="2855.73"/>
    <s v="Dinheiro"/>
    <x v="0"/>
  </r>
  <r>
    <s v="00362"/>
    <x v="7"/>
    <x v="3"/>
    <s v="11/2025"/>
    <d v="2025-11-10T00:00:00"/>
    <x v="222"/>
    <n v="22.44"/>
    <n v="0"/>
    <n v="0"/>
    <n v="0"/>
    <n v="22.44"/>
    <s v="Dinheiro"/>
    <x v="0"/>
  </r>
  <r>
    <s v="00380"/>
    <x v="91"/>
    <x v="30"/>
    <s v="11/2025"/>
    <d v="2025-11-10T00:00:00"/>
    <x v="222"/>
    <n v="1280"/>
    <n v="0"/>
    <n v="0"/>
    <n v="0"/>
    <n v="1280"/>
    <s v="Dinheiro"/>
    <x v="0"/>
  </r>
  <r>
    <s v="00237"/>
    <x v="80"/>
    <x v="30"/>
    <s v="11/2025"/>
    <d v="2025-11-10T00:00:00"/>
    <x v="222"/>
    <n v="160"/>
    <n v="0"/>
    <n v="0"/>
    <n v="0"/>
    <n v="160"/>
    <s v="Dinheiro"/>
    <x v="0"/>
  </r>
  <r>
    <s v="00432"/>
    <x v="213"/>
    <x v="30"/>
    <s v="11/2025"/>
    <d v="2025-11-10T00:00:00"/>
    <x v="222"/>
    <n v="1440"/>
    <n v="0"/>
    <n v="0"/>
    <n v="0"/>
    <n v="1440"/>
    <s v="Dinheiro"/>
    <x v="0"/>
  </r>
  <r>
    <s v="00278"/>
    <x v="316"/>
    <x v="30"/>
    <s v="11/2025"/>
    <d v="2025-11-10T00:00:00"/>
    <x v="222"/>
    <n v="1440"/>
    <n v="0"/>
    <n v="0"/>
    <n v="0"/>
    <n v="1440"/>
    <s v="Dinheiro"/>
    <x v="0"/>
  </r>
  <r>
    <s v="00378"/>
    <x v="87"/>
    <x v="30"/>
    <s v="11/2025"/>
    <d v="2025-11-10T00:00:00"/>
    <x v="222"/>
    <n v="240"/>
    <n v="0"/>
    <n v="0"/>
    <n v="0"/>
    <n v="240"/>
    <s v="Dinheiro"/>
    <x v="0"/>
  </r>
  <r>
    <s v="00362"/>
    <x v="7"/>
    <x v="3"/>
    <s v="11/2025"/>
    <d v="2025-11-10T00:00:00"/>
    <x v="222"/>
    <n v="63.24"/>
    <n v="0"/>
    <n v="0"/>
    <n v="0"/>
    <n v="63.24"/>
    <s v="Dinheiro"/>
    <x v="0"/>
  </r>
  <r>
    <s v="00532"/>
    <x v="373"/>
    <x v="30"/>
    <s v="11/2025"/>
    <d v="2025-11-10T00:00:00"/>
    <x v="222"/>
    <n v="800"/>
    <n v="0"/>
    <n v="0"/>
    <n v="0"/>
    <n v="800"/>
    <s v="Dinheiro"/>
    <x v="0"/>
  </r>
  <r>
    <s v="00491"/>
    <x v="315"/>
    <x v="30"/>
    <s v="11/2025"/>
    <d v="2025-11-10T00:00:00"/>
    <x v="222"/>
    <n v="80"/>
    <n v="0"/>
    <n v="0"/>
    <n v="0"/>
    <n v="80"/>
    <s v="Dinheiro"/>
    <x v="0"/>
  </r>
  <r>
    <s v="00531"/>
    <x v="372"/>
    <x v="30"/>
    <s v="11/2025"/>
    <d v="2025-11-10T00:00:00"/>
    <x v="222"/>
    <n v="640"/>
    <n v="0"/>
    <n v="0"/>
    <n v="0"/>
    <n v="640"/>
    <s v="Dinheiro"/>
    <x v="0"/>
  </r>
  <r>
    <s v="00190"/>
    <x v="70"/>
    <x v="30"/>
    <s v="11/2025"/>
    <d v="2025-11-10T00:00:00"/>
    <x v="222"/>
    <n v="3600"/>
    <n v="0"/>
    <n v="0"/>
    <n v="0"/>
    <n v="3600"/>
    <s v="Dinheiro"/>
    <x v="0"/>
  </r>
  <r>
    <s v="00488"/>
    <x v="312"/>
    <x v="30"/>
    <s v="11/2025"/>
    <d v="2025-11-10T00:00:00"/>
    <x v="222"/>
    <n v="1520"/>
    <n v="0"/>
    <n v="0"/>
    <n v="0"/>
    <n v="1520"/>
    <s v="Dinheiro"/>
    <x v="0"/>
  </r>
  <r>
    <s v="00180"/>
    <x v="60"/>
    <x v="30"/>
    <s v="11/2025"/>
    <d v="2025-11-10T00:00:00"/>
    <x v="222"/>
    <n v="2240"/>
    <n v="0"/>
    <n v="0"/>
    <n v="0"/>
    <n v="2240"/>
    <s v="Dinheiro"/>
    <x v="0"/>
  </r>
  <r>
    <s v="00636"/>
    <x v="505"/>
    <x v="30"/>
    <s v="11/2025"/>
    <d v="2025-11-10T00:00:00"/>
    <x v="222"/>
    <n v="2540"/>
    <n v="0"/>
    <n v="0"/>
    <n v="0"/>
    <n v="2540"/>
    <s v="Dinheiro"/>
    <x v="0"/>
  </r>
  <r>
    <s v="00511"/>
    <x v="241"/>
    <x v="8"/>
    <s v="11/2025"/>
    <d v="2025-11-10T00:00:00"/>
    <x v="222"/>
    <n v="75"/>
    <n v="0"/>
    <n v="0"/>
    <n v="0"/>
    <n v="75"/>
    <s v="Dinheiro"/>
    <x v="0"/>
  </r>
  <r>
    <s v="00457"/>
    <x v="219"/>
    <x v="30"/>
    <s v="11/2025"/>
    <d v="2025-11-10T00:00:00"/>
    <x v="222"/>
    <n v="540"/>
    <n v="0"/>
    <n v="0"/>
    <n v="0"/>
    <n v="540"/>
    <s v="Dinheiro"/>
    <x v="0"/>
  </r>
  <r>
    <s v="00134"/>
    <x v="18"/>
    <x v="19"/>
    <s v="11/2025"/>
    <d v="2025-11-10T00:00:00"/>
    <x v="222"/>
    <n v="7625.6100000000006"/>
    <n v="0"/>
    <n v="0"/>
    <n v="0"/>
    <n v="7625.6100000000006"/>
    <s v="Dinheiro"/>
    <x v="0"/>
  </r>
  <r>
    <s v="00521"/>
    <x v="359"/>
    <x v="30"/>
    <s v="11/2025"/>
    <d v="2025-11-10T00:00:00"/>
    <x v="222"/>
    <n v="1440"/>
    <n v="0"/>
    <n v="0"/>
    <n v="0"/>
    <n v="1440"/>
    <s v="Dinheiro"/>
    <x v="0"/>
  </r>
  <r>
    <s v="00564"/>
    <x v="441"/>
    <x v="30"/>
    <s v="11/2025"/>
    <d v="2025-11-10T00:00:00"/>
    <x v="222"/>
    <n v="3680"/>
    <n v="0"/>
    <n v="0"/>
    <n v="0"/>
    <n v="3680"/>
    <s v="Dinheiro"/>
    <x v="0"/>
  </r>
  <r>
    <s v="00522"/>
    <x v="356"/>
    <x v="30"/>
    <s v="11/2025"/>
    <d v="2025-11-10T00:00:00"/>
    <x v="222"/>
    <n v="1840"/>
    <n v="0"/>
    <n v="0"/>
    <n v="0"/>
    <n v="1840"/>
    <s v="Dinheiro"/>
    <x v="0"/>
  </r>
  <r>
    <s v="00478"/>
    <x v="290"/>
    <x v="29"/>
    <s v="11/2025"/>
    <d v="2025-11-11T00:00:00"/>
    <x v="222"/>
    <n v="2160"/>
    <n v="0"/>
    <n v="0"/>
    <n v="0"/>
    <n v="2160"/>
    <s v="Dinheiro"/>
    <x v="0"/>
  </r>
  <r>
    <s v="00228"/>
    <x v="79"/>
    <x v="29"/>
    <s v="11/2025"/>
    <d v="2025-11-11T00:00:00"/>
    <x v="222"/>
    <n v="800"/>
    <n v="0"/>
    <n v="0"/>
    <n v="0"/>
    <n v="800"/>
    <s v="Dinheiro"/>
    <x v="0"/>
  </r>
  <r>
    <s v="00601"/>
    <x v="506"/>
    <x v="29"/>
    <s v="11/2025"/>
    <d v="2025-11-11T00:00:00"/>
    <x v="222"/>
    <n v="1120"/>
    <n v="0"/>
    <n v="0"/>
    <n v="0"/>
    <n v="1120"/>
    <s v="Dinheiro"/>
    <x v="0"/>
  </r>
  <r>
    <s v="00503"/>
    <x v="338"/>
    <x v="29"/>
    <s v="11/2025"/>
    <d v="2025-11-11T00:00:00"/>
    <x v="222"/>
    <n v="1120"/>
    <n v="0"/>
    <n v="0"/>
    <n v="0"/>
    <n v="1120"/>
    <s v="Dinheiro"/>
    <x v="0"/>
  </r>
  <r>
    <s v="00499"/>
    <x v="328"/>
    <x v="29"/>
    <s v="11/2025"/>
    <d v="2025-11-11T00:00:00"/>
    <x v="222"/>
    <n v="1440"/>
    <n v="0"/>
    <n v="0"/>
    <n v="0"/>
    <n v="1440"/>
    <s v="Dinheiro"/>
    <x v="0"/>
  </r>
  <r>
    <s v="00355"/>
    <x v="83"/>
    <x v="29"/>
    <s v="11/2025"/>
    <d v="2025-11-11T00:00:00"/>
    <x v="222"/>
    <n v="2720"/>
    <n v="0"/>
    <n v="0"/>
    <n v="0"/>
    <n v="2720"/>
    <s v="Dinheiro"/>
    <x v="0"/>
  </r>
  <r>
    <s v="00569"/>
    <x v="416"/>
    <x v="29"/>
    <s v="11/2025"/>
    <d v="2025-11-11T00:00:00"/>
    <x v="222"/>
    <n v="400"/>
    <n v="0"/>
    <n v="0"/>
    <n v="0"/>
    <n v="400"/>
    <s v="Dinheiro"/>
    <x v="0"/>
  </r>
  <r>
    <s v="00491"/>
    <x v="315"/>
    <x v="29"/>
    <s v="11/2025"/>
    <d v="2025-11-11T00:00:00"/>
    <x v="222"/>
    <n v="2920"/>
    <n v="0"/>
    <n v="0"/>
    <n v="0"/>
    <n v="2920"/>
    <s v="Dinheiro"/>
    <x v="0"/>
  </r>
  <r>
    <s v="00532"/>
    <x v="373"/>
    <x v="29"/>
    <s v="11/2025"/>
    <d v="2025-11-11T00:00:00"/>
    <x v="222"/>
    <n v="1160"/>
    <n v="0"/>
    <n v="0"/>
    <n v="0"/>
    <n v="1160"/>
    <s v="Dinheiro"/>
    <x v="0"/>
  </r>
  <r>
    <s v="00584"/>
    <x v="459"/>
    <x v="29"/>
    <s v="11/2025"/>
    <d v="2025-11-11T00:00:00"/>
    <x v="222"/>
    <n v="880"/>
    <n v="0"/>
    <n v="0"/>
    <n v="0"/>
    <n v="880"/>
    <s v="Dinheiro"/>
    <x v="0"/>
  </r>
  <r>
    <s v="00560"/>
    <x v="400"/>
    <x v="29"/>
    <s v="11/2025"/>
    <d v="2025-11-11T00:00:00"/>
    <x v="222"/>
    <n v="1520"/>
    <n v="0"/>
    <n v="0"/>
    <n v="0"/>
    <n v="1520"/>
    <s v="Dinheiro"/>
    <x v="0"/>
  </r>
  <r>
    <s v="00616"/>
    <x v="482"/>
    <x v="29"/>
    <s v="11/2025"/>
    <d v="2025-11-11T00:00:00"/>
    <x v="222"/>
    <n v="800"/>
    <n v="0"/>
    <n v="0"/>
    <n v="0"/>
    <n v="800"/>
    <s v="Dinheiro"/>
    <x v="0"/>
  </r>
  <r>
    <s v="00397"/>
    <x v="152"/>
    <x v="29"/>
    <s v="11/2025"/>
    <d v="2025-11-11T00:00:00"/>
    <x v="222"/>
    <n v="1280"/>
    <n v="0"/>
    <n v="0"/>
    <n v="0"/>
    <n v="1280"/>
    <s v="Dinheiro"/>
    <x v="0"/>
  </r>
  <r>
    <s v="00618"/>
    <x v="481"/>
    <x v="29"/>
    <s v="11/2025"/>
    <d v="2025-11-11T00:00:00"/>
    <x v="222"/>
    <n v="400"/>
    <n v="0"/>
    <n v="0"/>
    <n v="0"/>
    <n v="400"/>
    <s v="Dinheiro"/>
    <x v="0"/>
  </r>
  <r>
    <s v="00378"/>
    <x v="87"/>
    <x v="29"/>
    <s v="11/2025"/>
    <d v="2025-11-11T00:00:00"/>
    <x v="222"/>
    <n v="3280"/>
    <n v="0"/>
    <n v="0"/>
    <n v="0"/>
    <n v="3280"/>
    <s v="Dinheiro"/>
    <x v="0"/>
  </r>
  <r>
    <s v="00353"/>
    <x v="61"/>
    <x v="29"/>
    <s v="11/2025"/>
    <d v="2025-11-11T00:00:00"/>
    <x v="222"/>
    <n v="1360"/>
    <n v="0"/>
    <n v="0"/>
    <n v="0"/>
    <n v="1360"/>
    <s v="Dinheiro"/>
    <x v="0"/>
  </r>
  <r>
    <s v="00531"/>
    <x v="372"/>
    <x v="29"/>
    <s v="11/2025"/>
    <d v="2025-11-11T00:00:00"/>
    <x v="222"/>
    <n v="720"/>
    <n v="0"/>
    <n v="0"/>
    <n v="0"/>
    <n v="720"/>
    <s v="Dinheiro"/>
    <x v="0"/>
  </r>
  <r>
    <s v="00355"/>
    <x v="83"/>
    <x v="41"/>
    <s v="11/2025"/>
    <d v="2025-11-10T00:00:00"/>
    <x v="222"/>
    <n v="1360"/>
    <n v="0"/>
    <n v="0"/>
    <n v="0"/>
    <n v="1360"/>
    <s v="Dinheiro"/>
    <x v="0"/>
  </r>
  <r>
    <s v="00614"/>
    <x v="468"/>
    <x v="8"/>
    <s v="11/2025"/>
    <d v="2025-11-10T00:00:00"/>
    <x v="222"/>
    <n v="280"/>
    <n v="0"/>
    <n v="0"/>
    <n v="0"/>
    <n v="280"/>
    <s v="Dinheiro"/>
    <x v="0"/>
  </r>
  <r>
    <s v="00223"/>
    <x v="32"/>
    <x v="8"/>
    <s v="11/2025"/>
    <d v="2025-11-10T00:00:00"/>
    <x v="222"/>
    <n v="1830"/>
    <n v="0"/>
    <n v="0"/>
    <n v="0"/>
    <n v="1830"/>
    <s v="Dinheiro"/>
    <x v="0"/>
  </r>
  <r>
    <s v="00585"/>
    <x v="442"/>
    <x v="29"/>
    <s v="11/2025"/>
    <d v="2025-11-11T00:00:00"/>
    <x v="222"/>
    <n v="240"/>
    <n v="0"/>
    <n v="0"/>
    <n v="0"/>
    <n v="240"/>
    <s v="Dinheiro"/>
    <x v="0"/>
  </r>
  <r>
    <s v="00636"/>
    <x v="505"/>
    <x v="29"/>
    <s v="11/2025"/>
    <d v="2025-11-11T00:00:00"/>
    <x v="222"/>
    <n v="320"/>
    <n v="0"/>
    <n v="0"/>
    <n v="0"/>
    <n v="320"/>
    <s v="Dinheiro"/>
    <x v="0"/>
  </r>
  <r>
    <s v="00304"/>
    <x v="494"/>
    <x v="8"/>
    <s v="11/2025"/>
    <d v="2025-11-10T00:00:00"/>
    <x v="222"/>
    <n v="6"/>
    <n v="0"/>
    <n v="0"/>
    <n v="0"/>
    <n v="6"/>
    <s v="Dinheiro"/>
    <x v="0"/>
  </r>
  <r>
    <s v="00133"/>
    <x v="24"/>
    <x v="8"/>
    <s v="11/2025"/>
    <d v="2025-11-10T00:00:00"/>
    <x v="222"/>
    <n v="6"/>
    <n v="0"/>
    <n v="0"/>
    <n v="0"/>
    <n v="6"/>
    <s v="Dinheiro"/>
    <x v="0"/>
  </r>
  <r>
    <s v="00364"/>
    <x v="16"/>
    <x v="8"/>
    <s v="11/2025"/>
    <d v="2025-11-10T00:00:00"/>
    <x v="222"/>
    <n v="40"/>
    <n v="0"/>
    <n v="0"/>
    <n v="0"/>
    <n v="40"/>
    <s v="Dinheiro"/>
    <x v="0"/>
  </r>
  <r>
    <s v="00454"/>
    <x v="61"/>
    <x v="41"/>
    <s v="11/2025"/>
    <d v="2025-11-06T00:00:00"/>
    <x v="223"/>
    <n v="5000"/>
    <n v="0"/>
    <n v="0"/>
    <n v="0"/>
    <n v="5000"/>
    <s v="Dinheiro"/>
    <x v="0"/>
  </r>
  <r>
    <s v="00454"/>
    <x v="61"/>
    <x v="41"/>
    <s v="11/2025"/>
    <d v="2025-11-06T00:00:00"/>
    <x v="223"/>
    <n v="1000"/>
    <n v="0"/>
    <n v="0"/>
    <n v="0"/>
    <n v="1000"/>
    <s v="Dinheiro"/>
    <x v="0"/>
  </r>
  <r>
    <s v="00416"/>
    <x v="184"/>
    <x v="15"/>
    <s v="11/2025"/>
    <d v="2025-11-06T00:00:00"/>
    <x v="223"/>
    <n v="1212"/>
    <n v="0"/>
    <n v="0"/>
    <n v="0"/>
    <n v="1212"/>
    <s v="Dinheiro"/>
    <x v="0"/>
  </r>
  <r>
    <s v="00349"/>
    <x v="25"/>
    <x v="15"/>
    <s v="11/2025"/>
    <d v="2025-11-06T00:00:00"/>
    <x v="223"/>
    <n v="1636"/>
    <n v="0"/>
    <n v="0"/>
    <n v="0"/>
    <n v="1636"/>
    <s v="Dinheiro"/>
    <x v="0"/>
  </r>
  <r>
    <s v="00351"/>
    <x v="42"/>
    <x v="15"/>
    <s v="11/2025"/>
    <d v="2025-11-06T00:00:00"/>
    <x v="223"/>
    <n v="1572"/>
    <n v="0"/>
    <n v="0"/>
    <n v="0"/>
    <n v="1572"/>
    <s v="Dinheiro"/>
    <x v="0"/>
  </r>
  <r>
    <s v="00285"/>
    <x v="303"/>
    <x v="86"/>
    <s v="11/2025"/>
    <d v="2025-11-11T00:00:00"/>
    <x v="223"/>
    <n v="666"/>
    <n v="0"/>
    <n v="0"/>
    <n v="0"/>
    <n v="666"/>
    <s v="Dinheiro"/>
    <x v="0"/>
  </r>
  <r>
    <s v="00362"/>
    <x v="7"/>
    <x v="3"/>
    <s v="11/2025"/>
    <d v="2025-11-11T00:00:00"/>
    <x v="223"/>
    <n v="14.280000000000001"/>
    <n v="0"/>
    <n v="0"/>
    <n v="0"/>
    <n v="14.280000000000001"/>
    <s v="Dinheiro"/>
    <x v="0"/>
  </r>
  <r>
    <s v="00447"/>
    <x v="247"/>
    <x v="85"/>
    <s v="11/2025"/>
    <d v="2025-11-11T00:00:00"/>
    <x v="223"/>
    <n v="119.03"/>
    <n v="0"/>
    <n v="0"/>
    <n v="0"/>
    <n v="119.03"/>
    <s v="Dinheiro"/>
    <x v="0"/>
  </r>
  <r>
    <s v="00009"/>
    <x v="53"/>
    <x v="24"/>
    <s v="11/2025"/>
    <d v="2025-11-10T00:00:00"/>
    <x v="223"/>
    <n v="29955.31"/>
    <n v="0"/>
    <n v="0"/>
    <n v="0"/>
    <n v="29955.31"/>
    <s v="Dinheiro"/>
    <x v="0"/>
  </r>
  <r>
    <s v="00101"/>
    <x v="171"/>
    <x v="58"/>
    <s v="11/2025"/>
    <d v="2025-11-10T00:00:00"/>
    <x v="223"/>
    <n v="605"/>
    <n v="0"/>
    <n v="0"/>
    <n v="0"/>
    <n v="605"/>
    <s v="Dinheiro"/>
    <x v="0"/>
  </r>
  <r>
    <s v="00546"/>
    <x v="402"/>
    <x v="11"/>
    <s v="11/2025"/>
    <d v="2025-11-10T00:00:00"/>
    <x v="223"/>
    <n v="997.5"/>
    <n v="0"/>
    <n v="0"/>
    <n v="0"/>
    <n v="997.5"/>
    <s v="Dinheiro"/>
    <x v="0"/>
  </r>
  <r>
    <s v="00607"/>
    <x v="52"/>
    <x v="16"/>
    <s v="11/2025"/>
    <d v="2025-11-10T00:00:00"/>
    <x v="223"/>
    <n v="276.60000000000002"/>
    <n v="0"/>
    <n v="0"/>
    <n v="0"/>
    <n v="276.60000000000002"/>
    <s v="Dinheiro"/>
    <x v="0"/>
  </r>
  <r>
    <s v="00509"/>
    <x v="308"/>
    <x v="17"/>
    <s v="11/2025"/>
    <d v="2025-11-10T00:00:00"/>
    <x v="223"/>
    <n v="475.32"/>
    <n v="0"/>
    <n v="0"/>
    <n v="0"/>
    <n v="475.32"/>
    <s v="Dinheiro"/>
    <x v="0"/>
  </r>
  <r>
    <s v="00102"/>
    <x v="84"/>
    <x v="10"/>
    <s v="11/2025"/>
    <d v="2025-11-10T00:00:00"/>
    <x v="223"/>
    <n v="1259.83"/>
    <n v="0"/>
    <n v="0"/>
    <n v="0"/>
    <n v="1259.83"/>
    <s v="Dinheiro"/>
    <x v="0"/>
  </r>
  <r>
    <s v="00085"/>
    <x v="49"/>
    <x v="22"/>
    <s v="11/2025"/>
    <d v="2025-11-10T00:00:00"/>
    <x v="223"/>
    <n v="10765.82"/>
    <n v="0"/>
    <n v="0"/>
    <n v="0"/>
    <n v="10765.82"/>
    <s v="Dinheiro"/>
    <x v="0"/>
  </r>
  <r>
    <s v="00362"/>
    <x v="7"/>
    <x v="34"/>
    <s v="11/2025"/>
    <d v="2025-11-04T00:00:00"/>
    <x v="223"/>
    <n v="5832"/>
    <n v="0"/>
    <n v="0"/>
    <n v="0"/>
    <n v="5832"/>
    <s v="Dinheiro"/>
    <x v="0"/>
  </r>
  <r>
    <s v="00362"/>
    <x v="7"/>
    <x v="3"/>
    <s v="11/2011"/>
    <d v="2011-11-11T00:00:00"/>
    <x v="223"/>
    <n v="40.800000000000004"/>
    <n v="0"/>
    <n v="0"/>
    <n v="0"/>
    <n v="40.800000000000004"/>
    <s v="Dinheiro"/>
    <x v="0"/>
  </r>
  <r>
    <s v="00637"/>
    <x v="507"/>
    <x v="9"/>
    <s v="11/2025"/>
    <d v="2025-11-11T00:00:00"/>
    <x v="223"/>
    <n v="278.11"/>
    <n v="0"/>
    <n v="0"/>
    <n v="0"/>
    <n v="278.11"/>
    <s v="Banco Investimentos"/>
    <x v="0"/>
  </r>
  <r>
    <s v="00332"/>
    <x v="28"/>
    <x v="30"/>
    <s v="11/2025"/>
    <d v="2025-11-10T00:00:00"/>
    <x v="223"/>
    <n v="800"/>
    <n v="0"/>
    <n v="0"/>
    <n v="0"/>
    <n v="800"/>
    <s v="Dinheiro"/>
    <x v="0"/>
  </r>
  <r>
    <s v="00557"/>
    <x v="401"/>
    <x v="30"/>
    <s v="11/2025"/>
    <d v="2025-11-10T00:00:00"/>
    <x v="223"/>
    <n v="100"/>
    <n v="0"/>
    <n v="0"/>
    <n v="0"/>
    <n v="100"/>
    <s v="Dinheiro"/>
    <x v="0"/>
  </r>
  <r>
    <s v="00586"/>
    <x v="398"/>
    <x v="29"/>
    <s v="11/2025"/>
    <d v="2025-11-11T00:00:00"/>
    <x v="223"/>
    <n v="640"/>
    <n v="0"/>
    <n v="0"/>
    <n v="0"/>
    <n v="640"/>
    <s v="Dinheiro"/>
    <x v="0"/>
  </r>
  <r>
    <s v="00223"/>
    <x v="32"/>
    <x v="8"/>
    <s v="11/2025"/>
    <d v="2025-11-10T00:00:00"/>
    <x v="223"/>
    <n v="180"/>
    <n v="0"/>
    <n v="0"/>
    <n v="0"/>
    <n v="180"/>
    <s v="Dinheiro"/>
    <x v="0"/>
  </r>
  <r>
    <s v="00613"/>
    <x v="467"/>
    <x v="8"/>
    <s v="11/2025"/>
    <d v="2025-11-10T00:00:00"/>
    <x v="223"/>
    <n v="360"/>
    <n v="0"/>
    <n v="0"/>
    <n v="0"/>
    <n v="360"/>
    <s v="Dinheiro"/>
    <x v="0"/>
  </r>
  <r>
    <s v="00353"/>
    <x v="61"/>
    <x v="8"/>
    <s v="11/2025"/>
    <d v="2025-11-10T00:00:00"/>
    <x v="223"/>
    <n v="225"/>
    <n v="0"/>
    <n v="0"/>
    <n v="0"/>
    <n v="225"/>
    <s v="Dinheiro"/>
    <x v="0"/>
  </r>
  <r>
    <s v="00502"/>
    <x v="331"/>
    <x v="29"/>
    <s v="11/2025"/>
    <d v="2025-11-11T00:00:00"/>
    <x v="223"/>
    <n v="1220"/>
    <n v="0"/>
    <n v="0"/>
    <n v="0"/>
    <n v="1220"/>
    <s v="Dinheiro"/>
    <x v="0"/>
  </r>
  <r>
    <s v="00190"/>
    <x v="70"/>
    <x v="29"/>
    <s v="11/2025"/>
    <d v="2025-11-11T00:00:00"/>
    <x v="223"/>
    <n v="1040"/>
    <n v="0"/>
    <n v="0"/>
    <n v="0"/>
    <n v="1040"/>
    <s v="Dinheiro"/>
    <x v="0"/>
  </r>
  <r>
    <s v="00622"/>
    <x v="488"/>
    <x v="29"/>
    <s v="11/2025"/>
    <d v="2025-11-11T00:00:00"/>
    <x v="223"/>
    <n v="2320"/>
    <n v="0"/>
    <n v="0"/>
    <n v="0"/>
    <n v="2320"/>
    <s v="Dinheiro"/>
    <x v="0"/>
  </r>
  <r>
    <s v="00613"/>
    <x v="467"/>
    <x v="8"/>
    <s v="11/2025"/>
    <d v="2025-11-11T00:00:00"/>
    <x v="223"/>
    <n v="80"/>
    <n v="0"/>
    <n v="0"/>
    <n v="0"/>
    <n v="80"/>
    <s v="Dinheiro"/>
    <x v="0"/>
  </r>
  <r>
    <s v="00015"/>
    <x v="363"/>
    <x v="23"/>
    <s v="11/2025"/>
    <d v="2025-11-10T00:00:00"/>
    <x v="224"/>
    <n v="173.52"/>
    <n v="0"/>
    <n v="0"/>
    <n v="0"/>
    <n v="173.52"/>
    <s v="Dinheiro"/>
    <x v="0"/>
  </r>
  <r>
    <s v="00015"/>
    <x v="363"/>
    <x v="23"/>
    <s v="10/2025"/>
    <d v="2025-10-10T00:00:00"/>
    <x v="224"/>
    <n v="899.11"/>
    <n v="0"/>
    <n v="0"/>
    <n v="0"/>
    <n v="899.11"/>
    <s v="Dinheiro"/>
    <x v="0"/>
  </r>
  <r>
    <s v="00015"/>
    <x v="363"/>
    <x v="23"/>
    <s v="10/2025"/>
    <d v="2025-10-10T00:00:00"/>
    <x v="224"/>
    <n v="287.49"/>
    <n v="0"/>
    <n v="0"/>
    <n v="0"/>
    <n v="287.49"/>
    <s v="Dinheiro"/>
    <x v="0"/>
  </r>
  <r>
    <s v="00362"/>
    <x v="7"/>
    <x v="3"/>
    <s v="11/2025"/>
    <d v="2025-11-12T00:00:00"/>
    <x v="224"/>
    <n v="2.04"/>
    <n v="0"/>
    <n v="0"/>
    <n v="0"/>
    <n v="2.04"/>
    <s v="Dinheiro"/>
    <x v="0"/>
  </r>
  <r>
    <s v="00362"/>
    <x v="7"/>
    <x v="3"/>
    <s v="11/2025"/>
    <d v="2025-11-13T00:00:00"/>
    <x v="225"/>
    <n v="914"/>
    <n v="0"/>
    <n v="0"/>
    <n v="0"/>
    <n v="914"/>
    <s v="Dinheiro"/>
    <x v="0"/>
  </r>
  <r>
    <s v="00362"/>
    <x v="7"/>
    <x v="3"/>
    <s v="11/2025"/>
    <d v="2025-11-13T00:00:00"/>
    <x v="225"/>
    <n v="2.04"/>
    <n v="0"/>
    <n v="0"/>
    <n v="0"/>
    <n v="2.04"/>
    <s v="Dinheiro"/>
    <x v="0"/>
  </r>
  <r>
    <s v="00285"/>
    <x v="303"/>
    <x v="18"/>
    <s v="11/2025"/>
    <d v="2025-11-14T00:00:00"/>
    <x v="226"/>
    <n v="666"/>
    <n v="0"/>
    <n v="0"/>
    <n v="0"/>
    <n v="666"/>
    <s v="Dinheiro"/>
    <x v="0"/>
  </r>
  <r>
    <s v="00168"/>
    <x v="39"/>
    <x v="8"/>
    <s v="11/2025"/>
    <d v="2025-11-10T00:00:00"/>
    <x v="227"/>
    <n v="900"/>
    <n v="0"/>
    <n v="0"/>
    <n v="0"/>
    <n v="900"/>
    <s v="Dinheiro"/>
    <x v="0"/>
  </r>
  <r>
    <s v="00526"/>
    <x v="368"/>
    <x v="41"/>
    <s v="11/2025"/>
    <d v="2025-11-15T00:00:00"/>
    <x v="227"/>
    <n v="1500"/>
    <n v="0"/>
    <n v="0"/>
    <n v="0"/>
    <n v="1500"/>
    <s v="Dinheiro"/>
    <x v="0"/>
  </r>
  <r>
    <s v="00074"/>
    <x v="54"/>
    <x v="16"/>
    <s v="11/2025"/>
    <d v="2025-11-12T00:00:00"/>
    <x v="227"/>
    <n v="99"/>
    <n v="0"/>
    <n v="0"/>
    <n v="0"/>
    <n v="99"/>
    <s v="Dinheiro"/>
    <x v="0"/>
  </r>
  <r>
    <s v="00274"/>
    <x v="508"/>
    <x v="85"/>
    <s v="11/2025"/>
    <d v="2025-11-13T00:00:00"/>
    <x v="227"/>
    <n v="44.89"/>
    <n v="0"/>
    <n v="0"/>
    <n v="0"/>
    <n v="44.89"/>
    <s v="Dinheiro"/>
    <x v="0"/>
  </r>
  <r>
    <s v="00282"/>
    <x v="11"/>
    <x v="10"/>
    <s v="07/2025"/>
    <d v="2025-07-02T00:00:00"/>
    <x v="227"/>
    <n v="8603.52"/>
    <n v="0"/>
    <n v="0"/>
    <n v="0"/>
    <n v="8603.52"/>
    <s v="Dinheiro"/>
    <x v="0"/>
  </r>
  <r>
    <s v="00530"/>
    <x v="371"/>
    <x v="11"/>
    <s v="11/2025"/>
    <d v="2025-11-17T00:00:00"/>
    <x v="227"/>
    <n v="300"/>
    <n v="0"/>
    <n v="0"/>
    <n v="0"/>
    <n v="300"/>
    <s v="Dinheiro"/>
    <x v="0"/>
  </r>
  <r>
    <s v="00529"/>
    <x v="379"/>
    <x v="11"/>
    <s v="11/2025"/>
    <d v="2025-11-17T00:00:00"/>
    <x v="227"/>
    <n v="340"/>
    <n v="0"/>
    <n v="0"/>
    <n v="0"/>
    <n v="340"/>
    <s v="Dinheiro"/>
    <x v="0"/>
  </r>
  <r>
    <s v="00477"/>
    <x v="288"/>
    <x v="11"/>
    <s v="11/2025"/>
    <d v="2025-11-17T00:00:00"/>
    <x v="227"/>
    <n v="910"/>
    <n v="0"/>
    <n v="0"/>
    <n v="0"/>
    <n v="910"/>
    <s v="Dinheiro"/>
    <x v="0"/>
  </r>
  <r>
    <s v="00024"/>
    <x v="0"/>
    <x v="0"/>
    <s v="11/2025"/>
    <d v="2025-11-17T00:00:00"/>
    <x v="227"/>
    <n v="1334"/>
    <n v="0"/>
    <n v="0"/>
    <n v="0"/>
    <n v="1334"/>
    <s v="Dinheiro"/>
    <x v="0"/>
  </r>
  <r>
    <s v="00193"/>
    <x v="3"/>
    <x v="0"/>
    <s v="11/2025"/>
    <d v="2025-11-17T00:00:00"/>
    <x v="227"/>
    <n v="1166"/>
    <n v="0"/>
    <n v="0"/>
    <n v="0"/>
    <n v="1166"/>
    <s v="Dinheiro"/>
    <x v="0"/>
  </r>
  <r>
    <s v="00024"/>
    <x v="0"/>
    <x v="0"/>
    <s v="11/2025"/>
    <d v="2025-11-17T00:00:00"/>
    <x v="227"/>
    <n v="1685"/>
    <n v="0"/>
    <n v="0"/>
    <n v="0"/>
    <n v="1685"/>
    <s v="Dinheiro"/>
    <x v="0"/>
  </r>
  <r>
    <s v="00193"/>
    <x v="3"/>
    <x v="0"/>
    <s v="11/2025"/>
    <d v="2025-11-17T00:00:00"/>
    <x v="227"/>
    <n v="1514.24"/>
    <n v="0"/>
    <n v="0"/>
    <n v="0"/>
    <n v="1514.24"/>
    <s v="Dinheiro"/>
    <x v="0"/>
  </r>
  <r>
    <s v="00362"/>
    <x v="7"/>
    <x v="3"/>
    <s v="11/2025"/>
    <d v="2025-11-14T00:00:00"/>
    <x v="227"/>
    <n v="12.24"/>
    <n v="0"/>
    <n v="0"/>
    <n v="0"/>
    <n v="12.24"/>
    <s v="Dinheiro"/>
    <x v="0"/>
  </r>
  <r>
    <s v="00362"/>
    <x v="7"/>
    <x v="3"/>
    <s v="11/2025"/>
    <d v="2025-11-17T00:00:00"/>
    <x v="227"/>
    <n v="2.04"/>
    <n v="0"/>
    <n v="0"/>
    <n v="0"/>
    <n v="2.04"/>
    <s v="Dinheiro"/>
    <x v="0"/>
  </r>
  <r>
    <s v="00362"/>
    <x v="7"/>
    <x v="34"/>
    <s v="11/2025"/>
    <d v="2025-11-17T00:00:00"/>
    <x v="227"/>
    <n v="210.38"/>
    <n v="0"/>
    <n v="0"/>
    <n v="0"/>
    <n v="210.38"/>
    <s v="Dinheiro"/>
    <x v="0"/>
  </r>
  <r>
    <s v="00018"/>
    <x v="95"/>
    <x v="16"/>
    <s v="11/2025"/>
    <d v="2025-11-15T00:00:00"/>
    <x v="227"/>
    <n v="745"/>
    <n v="0"/>
    <n v="0"/>
    <n v="0"/>
    <n v="745"/>
    <s v="Dinheiro"/>
    <x v="0"/>
  </r>
  <r>
    <s v="00068"/>
    <x v="98"/>
    <x v="39"/>
    <s v="11/2025"/>
    <d v="2025-11-15T00:00:00"/>
    <x v="227"/>
    <n v="1518"/>
    <n v="0"/>
    <n v="0"/>
    <n v="0"/>
    <n v="1518"/>
    <s v="Dinheiro"/>
    <x v="0"/>
  </r>
  <r>
    <s v="00006"/>
    <x v="137"/>
    <x v="53"/>
    <s v="11/2025"/>
    <d v="2025-11-15T00:00:00"/>
    <x v="227"/>
    <n v="1518"/>
    <n v="0"/>
    <n v="0"/>
    <n v="0"/>
    <n v="1518"/>
    <s v="Dinheiro"/>
    <x v="0"/>
  </r>
  <r>
    <s v="00109"/>
    <x v="90"/>
    <x v="35"/>
    <s v="11/2025"/>
    <d v="2025-11-15T00:00:00"/>
    <x v="227"/>
    <n v="217.76"/>
    <n v="0"/>
    <n v="0"/>
    <n v="0"/>
    <n v="217.76"/>
    <s v="Dinheiro"/>
    <x v="0"/>
  </r>
  <r>
    <s v="00102"/>
    <x v="84"/>
    <x v="10"/>
    <s v="11/2025"/>
    <d v="2025-11-15T00:00:00"/>
    <x v="227"/>
    <n v="700"/>
    <n v="0"/>
    <n v="0"/>
    <n v="0"/>
    <n v="700"/>
    <s v="Dinheiro"/>
    <x v="0"/>
  </r>
  <r>
    <s v="00102"/>
    <x v="84"/>
    <x v="10"/>
    <s v="10/2025"/>
    <d v="2025-10-24T00:00:00"/>
    <x v="227"/>
    <n v="2897.44"/>
    <n v="0"/>
    <n v="0"/>
    <n v="0"/>
    <n v="2897.44"/>
    <s v="Dinheiro"/>
    <x v="0"/>
  </r>
  <r>
    <s v="00102"/>
    <x v="84"/>
    <x v="10"/>
    <s v="11/2025"/>
    <d v="2025-11-15T00:00:00"/>
    <x v="227"/>
    <n v="2519.67"/>
    <n v="0"/>
    <n v="0"/>
    <n v="0"/>
    <n v="2519.67"/>
    <s v="Dinheiro"/>
    <x v="0"/>
  </r>
  <r>
    <s v="00106"/>
    <x v="6"/>
    <x v="61"/>
    <s v="11/2025"/>
    <d v="2025-11-17T00:00:00"/>
    <x v="227"/>
    <n v="900"/>
    <n v="0"/>
    <n v="0"/>
    <n v="0"/>
    <n v="900"/>
    <s v="Dinheiro"/>
    <x v="0"/>
  </r>
  <r>
    <s v="00187"/>
    <x v="71"/>
    <x v="29"/>
    <s v="11/2025"/>
    <d v="2025-11-10T00:00:00"/>
    <x v="227"/>
    <n v="880"/>
    <n v="0"/>
    <n v="0"/>
    <n v="0"/>
    <n v="880"/>
    <s v="Dinheiro"/>
    <x v="0"/>
  </r>
  <r>
    <s v="00557"/>
    <x v="401"/>
    <x v="29"/>
    <s v="11/2025"/>
    <d v="2025-11-10T00:00:00"/>
    <x v="227"/>
    <n v="3440"/>
    <n v="0"/>
    <n v="0"/>
    <n v="0"/>
    <n v="3440"/>
    <s v="Dinheiro"/>
    <x v="0"/>
  </r>
  <r>
    <s v="00642"/>
    <x v="509"/>
    <x v="29"/>
    <s v="11/2025"/>
    <d v="2025-11-10T00:00:00"/>
    <x v="227"/>
    <n v="320"/>
    <n v="0"/>
    <n v="0"/>
    <n v="0"/>
    <n v="320"/>
    <s v="Dinheiro"/>
    <x v="0"/>
  </r>
  <r>
    <s v="00643"/>
    <x v="510"/>
    <x v="29"/>
    <s v="11/2025"/>
    <d v="2025-11-10T00:00:00"/>
    <x v="227"/>
    <n v="400"/>
    <n v="0"/>
    <n v="0"/>
    <n v="0"/>
    <n v="400"/>
    <s v="Dinheiro"/>
    <x v="0"/>
  </r>
  <r>
    <s v="00103"/>
    <x v="97"/>
    <x v="72"/>
    <s v="11/2025"/>
    <d v="2025-11-17T00:00:00"/>
    <x v="228"/>
    <n v="190.68"/>
    <n v="0"/>
    <n v="0"/>
    <n v="0"/>
    <n v="190.68"/>
    <s v="Dinheiro"/>
    <x v="0"/>
  </r>
  <r>
    <s v="00364"/>
    <x v="16"/>
    <x v="8"/>
    <s v="11/2025"/>
    <d v="2025-11-17T00:00:00"/>
    <x v="228"/>
    <n v="40"/>
    <n v="0"/>
    <n v="0"/>
    <n v="0"/>
    <n v="40"/>
    <s v="Dinheiro"/>
    <x v="0"/>
  </r>
  <r>
    <s v="00133"/>
    <x v="24"/>
    <x v="8"/>
    <s v="11/2025"/>
    <d v="2025-11-18T00:00:00"/>
    <x v="228"/>
    <n v="40"/>
    <n v="0"/>
    <n v="0"/>
    <n v="0"/>
    <n v="40"/>
    <s v="Dinheiro"/>
    <x v="0"/>
  </r>
  <r>
    <s v="00613"/>
    <x v="467"/>
    <x v="8"/>
    <s v="11/2025"/>
    <d v="2025-11-17T00:00:00"/>
    <x v="228"/>
    <n v="40"/>
    <n v="0"/>
    <n v="0"/>
    <n v="0"/>
    <n v="40"/>
    <s v="Dinheiro"/>
    <x v="0"/>
  </r>
  <r>
    <s v="00513"/>
    <x v="342"/>
    <x v="8"/>
    <s v="11/2025"/>
    <d v="2025-11-17T00:00:00"/>
    <x v="228"/>
    <n v="60"/>
    <n v="0"/>
    <n v="0"/>
    <n v="0"/>
    <n v="60"/>
    <s v="Dinheiro"/>
    <x v="0"/>
  </r>
  <r>
    <s v="00614"/>
    <x v="468"/>
    <x v="8"/>
    <s v="11/2025"/>
    <d v="2025-11-17T00:00:00"/>
    <x v="228"/>
    <n v="36"/>
    <n v="0"/>
    <n v="0"/>
    <n v="0"/>
    <n v="36"/>
    <s v="Dinheiro"/>
    <x v="0"/>
  </r>
  <r>
    <s v="00075"/>
    <x v="197"/>
    <x v="86"/>
    <s v="11/2025"/>
    <d v="2025-11-13T00:00:00"/>
    <x v="228"/>
    <n v="379.01"/>
    <n v="0"/>
    <n v="0"/>
    <n v="0"/>
    <n v="379.01"/>
    <s v="Dinheiro"/>
    <x v="0"/>
  </r>
  <r>
    <s v="00644"/>
    <x v="511"/>
    <x v="9"/>
    <s v="11/2025"/>
    <d v="2025-11-19T00:00:00"/>
    <x v="236"/>
    <n v="67.37"/>
    <n v="0"/>
    <n v="0"/>
    <n v="0"/>
    <n v="67.37"/>
    <s v="Banco Investimentos"/>
    <x v="0"/>
  </r>
  <r>
    <s v="00022"/>
    <x v="115"/>
    <x v="68"/>
    <s v="11/2025"/>
    <d v="2025-11-19T00:00:00"/>
    <x v="236"/>
    <n v="3104.88"/>
    <n v="0"/>
    <n v="0"/>
    <n v="0"/>
    <n v="3104.88"/>
    <s v="Dinheiro"/>
    <x v="0"/>
  </r>
  <r>
    <s v="00022"/>
    <x v="115"/>
    <x v="68"/>
    <s v="11/2025"/>
    <d v="2025-11-19T00:00:00"/>
    <x v="236"/>
    <n v="824.73"/>
    <n v="0"/>
    <n v="0"/>
    <n v="0"/>
    <n v="824.73"/>
    <s v="Dinheiro"/>
    <x v="0"/>
  </r>
  <r>
    <s v="00133"/>
    <x v="24"/>
    <x v="8"/>
    <s v="11/2025"/>
    <d v="2025-11-21T00:00:00"/>
    <x v="229"/>
    <n v="200"/>
    <n v="0"/>
    <n v="0"/>
    <n v="0"/>
    <n v="200"/>
    <s v="Dinheiro"/>
    <x v="0"/>
  </r>
  <r>
    <s v="00011"/>
    <x v="45"/>
    <x v="16"/>
    <s v="11/2025"/>
    <d v="2025-11-20T00:00:00"/>
    <x v="229"/>
    <n v="791.23"/>
    <n v="0"/>
    <n v="0"/>
    <n v="0"/>
    <n v="791.23"/>
    <s v="Dinheiro"/>
    <x v="0"/>
  </r>
  <r>
    <s v="00362"/>
    <x v="7"/>
    <x v="3"/>
    <s v="11/2025"/>
    <d v="2025-11-21T00:00:00"/>
    <x v="229"/>
    <n v="2.04"/>
    <n v="0"/>
    <n v="0"/>
    <n v="0"/>
    <n v="2.04"/>
    <s v="Dinheiro"/>
    <x v="0"/>
  </r>
  <r>
    <s v="00546"/>
    <x v="402"/>
    <x v="11"/>
    <s v="11/2025"/>
    <d v="2025-11-19T00:00:00"/>
    <x v="230"/>
    <n v="997.5"/>
    <n v="0"/>
    <n v="0"/>
    <n v="0"/>
    <n v="997.5"/>
    <s v="Dinheiro"/>
    <x v="0"/>
  </r>
  <r>
    <s v="00088"/>
    <x v="29"/>
    <x v="62"/>
    <s v="11/2025"/>
    <d v="2025-11-01T00:00:00"/>
    <x v="230"/>
    <n v="129.97"/>
    <n v="0"/>
    <n v="0"/>
    <n v="0"/>
    <n v="129.97"/>
    <s v="Dinheiro"/>
    <x v="0"/>
  </r>
  <r>
    <s v="00072"/>
    <x v="105"/>
    <x v="40"/>
    <s v="11/2025"/>
    <d v="2025-11-19T00:00:00"/>
    <x v="230"/>
    <n v="13086.86"/>
    <n v="0"/>
    <n v="0"/>
    <n v="0"/>
    <n v="13086.86"/>
    <s v="Dinheiro"/>
    <x v="0"/>
  </r>
  <r>
    <s v="00072"/>
    <x v="105"/>
    <x v="43"/>
    <s v="11/2025"/>
    <d v="2025-11-19T00:00:00"/>
    <x v="230"/>
    <n v="2589.25"/>
    <n v="0"/>
    <n v="0"/>
    <n v="0"/>
    <n v="2589.25"/>
    <s v="Dinheiro"/>
    <x v="0"/>
  </r>
  <r>
    <s v="00104"/>
    <x v="380"/>
    <x v="80"/>
    <s v="11/2025"/>
    <d v="2025-11-19T00:00:00"/>
    <x v="230"/>
    <n v="71.56"/>
    <n v="0"/>
    <n v="0"/>
    <n v="0"/>
    <n v="71.56"/>
    <s v="Dinheiro"/>
    <x v="0"/>
  </r>
  <r>
    <s v="00011"/>
    <x v="45"/>
    <x v="16"/>
    <s v="11/2025"/>
    <d v="2025-11-20T00:00:00"/>
    <x v="230"/>
    <n v="941.56000000000006"/>
    <n v="0"/>
    <n v="0"/>
    <n v="0"/>
    <n v="941.56000000000006"/>
    <s v="Dinheiro"/>
    <x v="0"/>
  </r>
  <r>
    <s v="00077"/>
    <x v="237"/>
    <x v="66"/>
    <s v="11/2025"/>
    <d v="2025-11-20T00:00:00"/>
    <x v="230"/>
    <n v="350"/>
    <n v="0"/>
    <n v="0"/>
    <n v="0"/>
    <n v="350"/>
    <s v="Dinheiro"/>
    <x v="0"/>
  </r>
  <r>
    <s v="00645"/>
    <x v="512"/>
    <x v="2"/>
    <s v="11/2025"/>
    <d v="2025-11-24T00:00:00"/>
    <x v="230"/>
    <n v="4500"/>
    <n v="0"/>
    <n v="0"/>
    <n v="0"/>
    <n v="4500"/>
    <s v="Dinheiro"/>
    <x v="0"/>
  </r>
  <r>
    <s v="00362"/>
    <x v="7"/>
    <x v="3"/>
    <s v="11/2025"/>
    <d v="2025-11-24T00:00:00"/>
    <x v="230"/>
    <n v="6.12"/>
    <n v="0"/>
    <n v="0"/>
    <n v="0"/>
    <n v="6.12"/>
    <s v="Dinheiro"/>
    <x v="0"/>
  </r>
  <r>
    <s v="00647"/>
    <x v="513"/>
    <x v="74"/>
    <s v="11/2025"/>
    <d v="2025-11-18T00:00:00"/>
    <x v="231"/>
    <n v="250"/>
    <n v="0"/>
    <n v="0"/>
    <n v="0"/>
    <n v="250"/>
    <s v="Dinheiro"/>
    <x v="0"/>
  </r>
  <r>
    <s v="00613"/>
    <x v="467"/>
    <x v="8"/>
    <s v="11/2025"/>
    <d v="2025-11-24T00:00:00"/>
    <x v="231"/>
    <n v="40"/>
    <n v="0"/>
    <n v="0"/>
    <n v="0"/>
    <n v="40"/>
    <s v="Dinheiro"/>
    <x v="0"/>
  </r>
  <r>
    <s v="00513"/>
    <x v="342"/>
    <x v="8"/>
    <s v="11/2025"/>
    <d v="2025-11-24T00:00:00"/>
    <x v="231"/>
    <n v="212"/>
    <n v="0"/>
    <n v="0"/>
    <n v="0"/>
    <n v="212"/>
    <s v="Dinheiro"/>
    <x v="0"/>
  </r>
  <r>
    <s v="00304"/>
    <x v="494"/>
    <x v="8"/>
    <s v="11/2025"/>
    <d v="2025-11-24T00:00:00"/>
    <x v="231"/>
    <n v="88"/>
    <n v="0"/>
    <n v="0"/>
    <n v="0"/>
    <n v="88"/>
    <s v="Dinheiro"/>
    <x v="0"/>
  </r>
  <r>
    <s v="00626"/>
    <x v="485"/>
    <x v="24"/>
    <s v="11/2025"/>
    <d v="2025-11-24T00:00:00"/>
    <x v="231"/>
    <n v="370"/>
    <n v="0"/>
    <n v="0"/>
    <n v="0"/>
    <n v="370"/>
    <s v="Dinheiro"/>
    <x v="0"/>
  </r>
  <r>
    <s v="00102"/>
    <x v="84"/>
    <x v="36"/>
    <s v="11/2025"/>
    <d v="2025-11-24T00:00:00"/>
    <x v="231"/>
    <n v="2897.44"/>
    <n v="0"/>
    <n v="0"/>
    <n v="0"/>
    <n v="2897.44"/>
    <s v="Dinheiro"/>
    <x v="0"/>
  </r>
  <r>
    <s v="00037"/>
    <x v="177"/>
    <x v="82"/>
    <s v="11/2025"/>
    <d v="2025-11-26T00:00:00"/>
    <x v="232"/>
    <n v="34.99"/>
    <n v="0"/>
    <n v="0"/>
    <n v="0"/>
    <n v="34.99"/>
    <s v="Dinheiro"/>
    <x v="0"/>
  </r>
  <r>
    <s v="00362"/>
    <x v="7"/>
    <x v="3"/>
    <s v="11/2025"/>
    <d v="2025-11-26T00:00:00"/>
    <x v="232"/>
    <n v="5"/>
    <n v="0"/>
    <n v="0"/>
    <n v="0"/>
    <n v="5"/>
    <s v="Dinheiro"/>
    <x v="0"/>
  </r>
  <r>
    <s v="00362"/>
    <x v="7"/>
    <x v="3"/>
    <s v="11/2025"/>
    <d v="2025-11-25T00:00:00"/>
    <x v="232"/>
    <n v="2.04"/>
    <n v="0"/>
    <n v="0"/>
    <n v="0"/>
    <n v="2.04"/>
    <s v="Dinheiro"/>
    <x v="0"/>
  </r>
  <r>
    <s v="00362"/>
    <x v="7"/>
    <x v="3"/>
    <s v="11/2025"/>
    <d v="2025-11-26T00:00:00"/>
    <x v="232"/>
    <n v="2.04"/>
    <n v="0"/>
    <n v="0"/>
    <n v="0"/>
    <n v="2.04"/>
    <s v="Dinheiro"/>
    <x v="0"/>
  </r>
  <r>
    <s v="00381"/>
    <x v="99"/>
    <x v="26"/>
    <s v="11/2025"/>
    <d v="2025-11-25T00:00:00"/>
    <x v="232"/>
    <n v="391.29"/>
    <n v="0"/>
    <n v="0"/>
    <n v="0"/>
    <n v="391.29"/>
    <s v="Dinheiro"/>
    <x v="0"/>
  </r>
  <r>
    <s v="00528"/>
    <x v="321"/>
    <x v="41"/>
    <s v="11/2025"/>
    <d v="2025-11-27T00:00:00"/>
    <x v="232"/>
    <n v="1800"/>
    <n v="0"/>
    <n v="0"/>
    <n v="0"/>
    <n v="1800"/>
    <s v="Dinheiro"/>
    <x v="0"/>
  </r>
  <r>
    <s v="00067"/>
    <x v="132"/>
    <x v="51"/>
    <s v="11/2025"/>
    <d v="2025-11-25T00:00:00"/>
    <x v="232"/>
    <n v="377.43"/>
    <n v="0"/>
    <n v="0"/>
    <n v="0"/>
    <n v="377.43"/>
    <s v="Dinheiro"/>
    <x v="0"/>
  </r>
  <r>
    <s v="00576"/>
    <x v="456"/>
    <x v="11"/>
    <s v="11/2025"/>
    <d v="2025-11-25T00:00:00"/>
    <x v="232"/>
    <n v="1306.54"/>
    <n v="0"/>
    <n v="0"/>
    <n v="0"/>
    <n v="1306.54"/>
    <s v="Dinheiro"/>
    <x v="0"/>
  </r>
  <r>
    <s v="00478"/>
    <x v="290"/>
    <x v="76"/>
    <s v="11/2025"/>
    <d v="2025-11-26T00:00:00"/>
    <x v="232"/>
    <n v="171.19"/>
    <n v="0"/>
    <n v="0"/>
    <n v="0"/>
    <n v="171.19"/>
    <s v="Dinheiro"/>
    <x v="0"/>
  </r>
  <r>
    <s v="00649"/>
    <x v="514"/>
    <x v="38"/>
    <s v="11/2025"/>
    <d v="2025-11-26T00:00:00"/>
    <x v="232"/>
    <n v="15.200000000000001"/>
    <n v="0"/>
    <n v="0"/>
    <n v="0"/>
    <n v="15.200000000000001"/>
    <s v="Dinheiro"/>
    <x v="0"/>
  </r>
  <r>
    <s v="RAD250177"/>
    <x v="515"/>
    <x v="20"/>
    <s v="11/2025"/>
    <d v="2025-11-26T00:00:00"/>
    <x v="232"/>
    <n v="1378"/>
    <n v="0"/>
    <n v="0"/>
    <n v="0"/>
    <n v="1378"/>
    <s v="Dinheiro"/>
    <x v="0"/>
  </r>
  <r>
    <s v="00362"/>
    <x v="7"/>
    <x v="48"/>
    <s v="11/2025"/>
    <d v="2025-11-26T00:00:00"/>
    <x v="232"/>
    <n v="13841.25"/>
    <n v="0"/>
    <n v="0"/>
    <n v="0"/>
    <n v="13841.25"/>
    <s v="Dinheiro"/>
    <x v="0"/>
  </r>
  <r>
    <s v="00362"/>
    <x v="7"/>
    <x v="34"/>
    <s v="11/2025"/>
    <d v="2025-11-26T00:00:00"/>
    <x v="232"/>
    <n v="1619.94"/>
    <n v="0"/>
    <n v="0"/>
    <n v="0"/>
    <n v="1619.94"/>
    <s v="Dinheiro"/>
    <x v="0"/>
  </r>
  <r>
    <s v="00037"/>
    <x v="177"/>
    <x v="38"/>
    <s v="11/2025"/>
    <d v="2025-11-28T00:00:00"/>
    <x v="232"/>
    <n v="16.98"/>
    <n v="0"/>
    <n v="0"/>
    <n v="0"/>
    <n v="16.98"/>
    <s v="Dinheiro"/>
    <x v="0"/>
  </r>
  <r>
    <s v="00536"/>
    <x v="516"/>
    <x v="40"/>
    <s v="11/2025"/>
    <d v="2025-11-26T00:00:00"/>
    <x v="232"/>
    <n v="716.91"/>
    <n v="0"/>
    <n v="0"/>
    <n v="0"/>
    <n v="716.91"/>
    <s v="Dinheiro"/>
    <x v="0"/>
  </r>
  <r>
    <s v="00468"/>
    <x v="236"/>
    <x v="34"/>
    <s v="11/2025"/>
    <d v="2025-11-20T00:00:00"/>
    <x v="232"/>
    <n v="2890"/>
    <n v="0"/>
    <n v="0"/>
    <n v="0"/>
    <n v="2890"/>
    <s v="Dinheiro"/>
    <x v="0"/>
  </r>
  <r>
    <s v="00362"/>
    <x v="7"/>
    <x v="3"/>
    <s v="11/2025"/>
    <d v="2025-11-26T00:00:00"/>
    <x v="233"/>
    <n v="2.04"/>
    <n v="0"/>
    <n v="0"/>
    <n v="0"/>
    <n v="2.04"/>
    <s v="Dinheiro"/>
    <x v="0"/>
  </r>
  <r>
    <s v="00362"/>
    <x v="7"/>
    <x v="3"/>
    <s v="11/2025"/>
    <d v="2025-11-26T00:00:00"/>
    <x v="233"/>
    <n v="2.04"/>
    <n v="0"/>
    <n v="0"/>
    <n v="0"/>
    <n v="2.04"/>
    <s v="Dinheiro"/>
    <x v="0"/>
  </r>
  <r>
    <s v="00648"/>
    <x v="517"/>
    <x v="38"/>
    <s v="11/2025"/>
    <d v="2025-11-26T00:00:00"/>
    <x v="233"/>
    <n v="16.46"/>
    <n v="0"/>
    <n v="0"/>
    <n v="0"/>
    <n v="16.46"/>
    <s v="Dinheiro"/>
    <x v="0"/>
  </r>
  <r>
    <s v="00416"/>
    <x v="184"/>
    <x v="55"/>
    <s v="11/2025"/>
    <d v="2025-11-28T00:00:00"/>
    <x v="233"/>
    <n v="509"/>
    <n v="0"/>
    <n v="0"/>
    <n v="0"/>
    <n v="509"/>
    <s v="Dinheiro"/>
    <x v="0"/>
  </r>
  <r>
    <s v="00474"/>
    <x v="298"/>
    <x v="55"/>
    <s v="11/2025"/>
    <d v="2025-11-28T00:00:00"/>
    <x v="233"/>
    <n v="532"/>
    <n v="0"/>
    <n v="0"/>
    <n v="0"/>
    <n v="532"/>
    <s v="Dinheiro"/>
    <x v="0"/>
  </r>
  <r>
    <s v="00349"/>
    <x v="25"/>
    <x v="55"/>
    <s v="11/2025"/>
    <d v="2025-11-28T00:00:00"/>
    <x v="233"/>
    <n v="608"/>
    <n v="0"/>
    <n v="0"/>
    <n v="0"/>
    <n v="608"/>
    <s v="Dinheiro"/>
    <x v="0"/>
  </r>
  <r>
    <s v="00160"/>
    <x v="31"/>
    <x v="55"/>
    <s v="11/2025"/>
    <d v="2025-11-28T00:00:00"/>
    <x v="233"/>
    <n v="911"/>
    <n v="0"/>
    <n v="0"/>
    <n v="0"/>
    <n v="911"/>
    <s v="Dinheiro"/>
    <x v="0"/>
  </r>
  <r>
    <s v="00448"/>
    <x v="269"/>
    <x v="55"/>
    <s v="11/2025"/>
    <d v="2025-11-28T00:00:00"/>
    <x v="233"/>
    <n v="608"/>
    <n v="0"/>
    <n v="0"/>
    <n v="0"/>
    <n v="608"/>
    <s v="Dinheiro"/>
    <x v="0"/>
  </r>
  <r>
    <s v="00351"/>
    <x v="42"/>
    <x v="55"/>
    <s v="11/2025"/>
    <d v="2025-11-28T00:00:00"/>
    <x v="233"/>
    <n v="684"/>
    <n v="0"/>
    <n v="0"/>
    <n v="0"/>
    <n v="684"/>
    <s v="Dinheiro"/>
    <x v="0"/>
  </r>
  <r>
    <s v="00316"/>
    <x v="17"/>
    <x v="55"/>
    <s v="11/2025"/>
    <d v="2025-11-28T00:00:00"/>
    <x v="233"/>
    <n v="911"/>
    <n v="0"/>
    <n v="0"/>
    <n v="0"/>
    <n v="911"/>
    <s v="Dinheiro"/>
    <x v="0"/>
  </r>
  <r>
    <s v="00223"/>
    <x v="32"/>
    <x v="55"/>
    <s v="11/2025"/>
    <d v="2025-11-28T00:00:00"/>
    <x v="233"/>
    <n v="1318"/>
    <n v="0"/>
    <n v="0"/>
    <n v="0"/>
    <n v="1318"/>
    <s v="Dinheiro"/>
    <x v="0"/>
  </r>
  <r>
    <s v="00478"/>
    <x v="290"/>
    <x v="55"/>
    <s v="11/2025"/>
    <d v="2025-11-28T00:00:00"/>
    <x v="233"/>
    <n v="456"/>
    <n v="0"/>
    <n v="0"/>
    <n v="0"/>
    <n v="456"/>
    <s v="Dinheiro"/>
    <x v="0"/>
  </r>
  <r>
    <s v="00513"/>
    <x v="342"/>
    <x v="55"/>
    <s v="11/2025"/>
    <d v="2025-11-28T00:00:00"/>
    <x v="233"/>
    <n v="380"/>
    <n v="0"/>
    <n v="0"/>
    <n v="0"/>
    <n v="380"/>
    <s v="Dinheiro"/>
    <x v="0"/>
  </r>
  <r>
    <s v="00447"/>
    <x v="247"/>
    <x v="55"/>
    <s v="11/2025"/>
    <d v="2025-11-28T00:00:00"/>
    <x v="233"/>
    <n v="684"/>
    <n v="0"/>
    <n v="0"/>
    <n v="0"/>
    <n v="684"/>
    <s v="Dinheiro"/>
    <x v="0"/>
  </r>
  <r>
    <s v="00289"/>
    <x v="20"/>
    <x v="55"/>
    <s v="11/2025"/>
    <d v="2025-11-28T00:00:00"/>
    <x v="233"/>
    <n v="911"/>
    <n v="0"/>
    <n v="0"/>
    <n v="0"/>
    <n v="911"/>
    <s v="Dinheiro"/>
    <x v="0"/>
  </r>
  <r>
    <s v="00613"/>
    <x v="467"/>
    <x v="55"/>
    <s v="11/2025"/>
    <d v="2025-11-28T00:00:00"/>
    <x v="233"/>
    <n v="152"/>
    <n v="0"/>
    <n v="0"/>
    <n v="0"/>
    <n v="152"/>
    <s v="Dinheiro"/>
    <x v="0"/>
  </r>
  <r>
    <s v="00397"/>
    <x v="152"/>
    <x v="55"/>
    <s v="11/2025"/>
    <d v="2025-11-28T00:00:00"/>
    <x v="233"/>
    <n v="760"/>
    <n v="0"/>
    <n v="0"/>
    <n v="0"/>
    <n v="760"/>
    <s v="Dinheiro"/>
    <x v="0"/>
  </r>
  <r>
    <s v="00498"/>
    <x v="242"/>
    <x v="55"/>
    <s v="11/2025"/>
    <d v="2025-11-28T00:00:00"/>
    <x v="233"/>
    <n v="1054"/>
    <n v="0"/>
    <n v="0"/>
    <n v="0"/>
    <n v="1054"/>
    <s v="Dinheiro"/>
    <x v="0"/>
  </r>
  <r>
    <s v="00411"/>
    <x v="181"/>
    <x v="55"/>
    <s v="11/2025"/>
    <d v="2025-11-28T00:00:00"/>
    <x v="233"/>
    <n v="684"/>
    <n v="0"/>
    <n v="0"/>
    <n v="0"/>
    <n v="684"/>
    <s v="Dinheiro"/>
    <x v="0"/>
  </r>
  <r>
    <s v="00364"/>
    <x v="16"/>
    <x v="55"/>
    <s v="11/2025"/>
    <d v="2025-11-28T00:00:00"/>
    <x v="233"/>
    <n v="760"/>
    <n v="0"/>
    <n v="0"/>
    <n v="0"/>
    <n v="760"/>
    <s v="Dinheiro"/>
    <x v="0"/>
  </r>
  <r>
    <s v="00291"/>
    <x v="35"/>
    <x v="55"/>
    <s v="11/2025"/>
    <d v="2025-11-28T00:00:00"/>
    <x v="233"/>
    <n v="76"/>
    <n v="0"/>
    <n v="0"/>
    <n v="0"/>
    <n v="76"/>
    <s v="Dinheiro"/>
    <x v="0"/>
  </r>
  <r>
    <s v="00581"/>
    <x v="426"/>
    <x v="55"/>
    <s v="11/2025"/>
    <d v="2025-11-28T00:00:00"/>
    <x v="233"/>
    <n v="228"/>
    <n v="0"/>
    <n v="0"/>
    <n v="0"/>
    <n v="228"/>
    <s v="Dinheiro"/>
    <x v="0"/>
  </r>
  <r>
    <s v="00511"/>
    <x v="241"/>
    <x v="55"/>
    <s v="11/2025"/>
    <d v="2025-11-28T00:00:00"/>
    <x v="233"/>
    <n v="750"/>
    <n v="0"/>
    <n v="0"/>
    <n v="0"/>
    <n v="750"/>
    <s v="Dinheiro"/>
    <x v="0"/>
  </r>
  <r>
    <s v="00614"/>
    <x v="468"/>
    <x v="55"/>
    <s v="11/2025"/>
    <d v="2025-11-28T00:00:00"/>
    <x v="233"/>
    <n v="152"/>
    <n v="0"/>
    <n v="0"/>
    <n v="0"/>
    <n v="152"/>
    <s v="Dinheiro"/>
    <x v="0"/>
  </r>
  <r>
    <s v="00168"/>
    <x v="39"/>
    <x v="55"/>
    <s v="11/2025"/>
    <d v="2025-11-28T00:00:00"/>
    <x v="233"/>
    <n v="1054"/>
    <n v="0"/>
    <n v="0"/>
    <n v="0"/>
    <n v="1054"/>
    <s v="Dinheiro"/>
    <x v="0"/>
  </r>
  <r>
    <s v="00133"/>
    <x v="24"/>
    <x v="55"/>
    <s v="11/2025"/>
    <d v="2025-11-28T00:00:00"/>
    <x v="233"/>
    <n v="911"/>
    <n v="0"/>
    <n v="0"/>
    <n v="0"/>
    <n v="911"/>
    <s v="Dinheiro"/>
    <x v="0"/>
  </r>
  <r>
    <s v="00403"/>
    <x v="160"/>
    <x v="9"/>
    <s v="12/2025"/>
    <d v="2025-12-11T00:00:00"/>
    <x v="237"/>
    <n v="240"/>
    <n v="0"/>
    <n v="0"/>
    <n v="0"/>
    <n v="240"/>
    <s v="Dinheiro"/>
    <x v="0"/>
  </r>
  <r>
    <s v="00111"/>
    <x v="39"/>
    <x v="90"/>
    <s v="10/2025"/>
    <d v="2025-12-12T00:00:00"/>
    <x v="238"/>
    <n v="400"/>
    <n v="0"/>
    <n v="0"/>
    <n v="0"/>
    <n v="400"/>
    <s v="Dinheiro"/>
    <x v="0"/>
  </r>
  <r>
    <s v="00363"/>
    <x v="290"/>
    <x v="90"/>
    <s v="12/2025"/>
    <d v="2025-12-12T00:00:00"/>
    <x v="238"/>
    <n v="400"/>
    <n v="0"/>
    <n v="0"/>
    <n v="0"/>
    <n v="400"/>
    <s v="Dinheiro"/>
    <x v="0"/>
  </r>
  <r>
    <s v="00190"/>
    <x v="32"/>
    <x v="90"/>
    <s v="12/2025"/>
    <d v="2025-12-12T00:00:00"/>
    <x v="238"/>
    <n v="400"/>
    <n v="0"/>
    <n v="0"/>
    <n v="0"/>
    <n v="400"/>
    <s v="Dinheiro"/>
    <x v="0"/>
  </r>
  <r>
    <s v="00223"/>
    <x v="518"/>
    <x v="45"/>
    <s v="12/2025"/>
    <d v="2025-12-12T00:00:00"/>
    <x v="238"/>
    <n v="28.990000000000002"/>
    <n v="0"/>
    <n v="0"/>
    <n v="0"/>
    <n v="28.990000000000002"/>
    <s v="Dinheiro"/>
    <x v="0"/>
  </r>
  <r>
    <s v="00396"/>
    <x v="119"/>
    <x v="9"/>
    <s v="12/2025"/>
    <d v="2025-12-12T00:00:00"/>
    <x v="238"/>
    <n v="48"/>
    <n v="0"/>
    <n v="0"/>
    <n v="0"/>
    <n v="48"/>
    <s v="Dinheiro"/>
    <x v="0"/>
  </r>
  <r>
    <s v="00397"/>
    <x v="111"/>
    <x v="9"/>
    <s v="12/2025"/>
    <d v="2025-12-12T00:00:00"/>
    <x v="238"/>
    <n v="62.5"/>
    <n v="0"/>
    <n v="0"/>
    <n v="0"/>
    <n v="62.5"/>
    <s v="Dinheiro"/>
    <x v="0"/>
  </r>
  <r>
    <s v="00281"/>
    <x v="421"/>
    <x v="76"/>
    <s v="12/2025"/>
    <d v="2025-12-12T00:00:00"/>
    <x v="238"/>
    <n v="8"/>
    <n v="0"/>
    <n v="0"/>
    <n v="0"/>
    <n v="8"/>
    <s v="Dinheiro"/>
    <x v="0"/>
  </r>
  <r>
    <s v="00275"/>
    <x v="42"/>
    <x v="8"/>
    <s v="12/2025"/>
    <d v="2025-12-12T00:00:00"/>
    <x v="238"/>
    <n v="200"/>
    <n v="0"/>
    <n v="0"/>
    <n v="0"/>
    <n v="200"/>
    <s v="Dinheiro"/>
    <x v="0"/>
  </r>
  <r>
    <s v="00398"/>
    <x v="519"/>
    <x v="29"/>
    <s v="12/2025"/>
    <d v="2025-12-12T00:00:00"/>
    <x v="238"/>
    <n v="240"/>
    <n v="0"/>
    <n v="0"/>
    <n v="0"/>
    <n v="240"/>
    <s v="Dinheiro"/>
    <x v="0"/>
  </r>
  <r>
    <s v="00272"/>
    <x v="520"/>
    <x v="8"/>
    <s v="12/2025"/>
    <d v="2025-12-12T00:00:00"/>
    <x v="238"/>
    <n v="70"/>
    <n v="0"/>
    <n v="0"/>
    <n v="0"/>
    <n v="70"/>
    <s v="Dinheiro"/>
    <x v="0"/>
  </r>
  <r>
    <s v="00363"/>
    <x v="290"/>
    <x v="90"/>
    <s v="12/2025"/>
    <d v="2025-12-12T00:00:00"/>
    <x v="238"/>
    <n v="23.56"/>
    <n v="0"/>
    <n v="0"/>
    <n v="0"/>
    <n v="23.56"/>
    <s v="Dinheiro"/>
    <x v="0"/>
  </r>
  <r>
    <s v="PWB250001"/>
    <x v="521"/>
    <x v="20"/>
    <s v="12/2025"/>
    <d v="2025-12-12T00:00:00"/>
    <x v="238"/>
    <n v="397.5"/>
    <n v="0"/>
    <n v="0"/>
    <n v="0"/>
    <n v="397.5"/>
    <s v="Dinheiro"/>
    <x v="0"/>
  </r>
  <r>
    <s v="00133"/>
    <x v="24"/>
    <x v="8"/>
    <s v="12/2025"/>
    <d v="2025-12-01T00:00:00"/>
    <x v="239"/>
    <n v="196"/>
    <n v="0"/>
    <n v="0"/>
    <n v="0"/>
    <n v="196"/>
    <s v="Dinheiro"/>
    <x v="0"/>
  </r>
  <r>
    <s v="00613"/>
    <x v="467"/>
    <x v="8"/>
    <s v="12/2025"/>
    <d v="2025-12-01T00:00:00"/>
    <x v="239"/>
    <n v="210"/>
    <n v="0"/>
    <n v="0"/>
    <n v="0"/>
    <n v="210"/>
    <s v="Dinheiro"/>
    <x v="0"/>
  </r>
  <r>
    <s v="00614"/>
    <x v="468"/>
    <x v="8"/>
    <s v="12/2025"/>
    <d v="2025-12-01T00:00:00"/>
    <x v="239"/>
    <n v="242"/>
    <n v="0"/>
    <n v="0"/>
    <n v="0"/>
    <n v="242"/>
    <s v="Dinheiro"/>
    <x v="0"/>
  </r>
  <r>
    <s v="00316"/>
    <x v="17"/>
    <x v="8"/>
    <s v="12/2025"/>
    <d v="2025-12-01T00:00:00"/>
    <x v="239"/>
    <n v="214"/>
    <n v="0"/>
    <n v="0"/>
    <n v="0"/>
    <n v="214"/>
    <s v="Dinheiro"/>
    <x v="0"/>
  </r>
  <r>
    <s v="00058"/>
    <x v="88"/>
    <x v="9"/>
    <s v="12/2025"/>
    <d v="2025-12-02T00:00:00"/>
    <x v="240"/>
    <n v="129.96"/>
    <n v="0"/>
    <n v="0"/>
    <n v="0"/>
    <n v="129.96"/>
    <s v="Dinheiro"/>
    <x v="0"/>
  </r>
  <r>
    <s v="00650"/>
    <x v="522"/>
    <x v="1"/>
    <s v="12/2025"/>
    <d v="2025-12-02T00:00:00"/>
    <x v="240"/>
    <n v="11.6"/>
    <n v="0"/>
    <n v="0"/>
    <n v="0"/>
    <n v="11.6"/>
    <s v="Dinheiro"/>
    <x v="0"/>
  </r>
  <r>
    <s v="00365"/>
    <x v="57"/>
    <x v="12"/>
    <s v="12/2025"/>
    <d v="2025-12-03T00:00:00"/>
    <x v="241"/>
    <n v="30"/>
    <n v="0"/>
    <n v="0"/>
    <n v="0"/>
    <n v="30"/>
    <s v="Dinheiro"/>
    <x v="0"/>
  </r>
  <r>
    <s v="00365"/>
    <x v="57"/>
    <x v="91"/>
    <s v="12/2025"/>
    <d v="2025-12-03T00:00:00"/>
    <x v="241"/>
    <n v="84.94"/>
    <n v="0"/>
    <n v="0"/>
    <n v="0"/>
    <n v="84.94"/>
    <s v="Dinheiro"/>
    <x v="0"/>
  </r>
  <r>
    <s v="00036"/>
    <x v="109"/>
    <x v="91"/>
    <s v="12/2025"/>
    <d v="2025-12-03T00:00:00"/>
    <x v="241"/>
    <n v="28.8"/>
    <n v="0"/>
    <n v="0"/>
    <n v="0"/>
    <n v="28.8"/>
    <s v="Dinheiro"/>
    <x v="0"/>
  </r>
  <r>
    <s v="00119"/>
    <x v="523"/>
    <x v="59"/>
    <s v="12/2025"/>
    <d v="2025-12-03T00:00:00"/>
    <x v="241"/>
    <n v="59.96"/>
    <n v="0"/>
    <n v="0"/>
    <n v="0"/>
    <n v="59.96"/>
    <s v="Dinheiro"/>
    <x v="0"/>
  </r>
  <r>
    <s v="00651"/>
    <x v="524"/>
    <x v="59"/>
    <s v="12/2025"/>
    <d v="2025-12-03T00:00:00"/>
    <x v="241"/>
    <n v="29.96"/>
    <n v="0"/>
    <n v="0"/>
    <n v="0"/>
    <n v="29.96"/>
    <s v="Dinheiro"/>
    <x v="0"/>
  </r>
  <r>
    <s v="00650"/>
    <x v="522"/>
    <x v="1"/>
    <s v="12/2025"/>
    <d v="2025-12-03T00:00:00"/>
    <x v="241"/>
    <n v="104.4"/>
    <n v="0"/>
    <n v="0"/>
    <n v="0"/>
    <n v="104.4"/>
    <s v="Dinheiro"/>
    <x v="0"/>
  </r>
  <r>
    <s v="00330"/>
    <x v="14"/>
    <x v="13"/>
    <s v="12/2025"/>
    <d v="2025-12-03T00:00:00"/>
    <x v="241"/>
    <n v="550"/>
    <n v="0"/>
    <n v="0"/>
    <n v="0"/>
    <n v="550"/>
    <s v="Dinheiro"/>
    <x v="0"/>
  </r>
  <r>
    <s v="00610"/>
    <x v="463"/>
    <x v="74"/>
    <s v="12/2025"/>
    <d v="2025-12-04T00:00:00"/>
    <x v="242"/>
    <n v="11.9"/>
    <n v="0"/>
    <n v="0"/>
    <n v="0"/>
    <n v="11.9"/>
    <s v="Dinheiro"/>
    <x v="0"/>
  </r>
  <r>
    <s v="00612"/>
    <x v="466"/>
    <x v="14"/>
    <s v="12/2025"/>
    <d v="2025-12-05T00:00:00"/>
    <x v="243"/>
    <n v="120.95"/>
    <n v="0"/>
    <n v="0"/>
    <n v="0"/>
    <n v="120.95"/>
    <s v="Dinheiro"/>
    <x v="0"/>
  </r>
  <r>
    <s v="00403"/>
    <x v="160"/>
    <x v="9"/>
    <s v="12/2025"/>
    <d v="2025-12-05T00:00:00"/>
    <x v="243"/>
    <n v="700"/>
    <n v="0"/>
    <n v="0"/>
    <n v="0"/>
    <n v="700"/>
    <s v="Dinheiro"/>
    <x v="0"/>
  </r>
  <r>
    <s v="00416"/>
    <x v="184"/>
    <x v="15"/>
    <s v="12/2025"/>
    <d v="2025-12-05T00:00:00"/>
    <x v="243"/>
    <n v="767"/>
    <n v="0"/>
    <n v="0"/>
    <n v="0"/>
    <n v="767"/>
    <s v="Dinheiro"/>
    <x v="0"/>
  </r>
  <r>
    <s v="00261"/>
    <x v="175"/>
    <x v="38"/>
    <s v="12/2025"/>
    <d v="2025-12-04T00:00:00"/>
    <x v="243"/>
    <n v="34"/>
    <n v="0"/>
    <n v="0"/>
    <n v="0"/>
    <n v="34"/>
    <s v="Dinheiro"/>
    <x v="0"/>
  </r>
  <r>
    <s v="00364"/>
    <x v="16"/>
    <x v="8"/>
    <s v="12/2025"/>
    <d v="2025-12-08T00:00:00"/>
    <x v="244"/>
    <n v="40"/>
    <n v="0"/>
    <n v="0"/>
    <n v="0"/>
    <n v="40"/>
    <s v="Dinheiro"/>
    <x v="0"/>
  </r>
  <r>
    <s v="00316"/>
    <x v="17"/>
    <x v="8"/>
    <s v="12/2025"/>
    <d v="2025-12-08T00:00:00"/>
    <x v="244"/>
    <n v="36"/>
    <n v="0"/>
    <n v="0"/>
    <n v="0"/>
    <n v="36"/>
    <s v="Dinheiro"/>
    <x v="0"/>
  </r>
  <r>
    <s v="00614"/>
    <x v="468"/>
    <x v="8"/>
    <s v="12/2025"/>
    <d v="2025-12-08T00:00:00"/>
    <x v="244"/>
    <n v="260"/>
    <n v="0"/>
    <n v="0"/>
    <n v="0"/>
    <n v="260"/>
    <s v="Dinheiro"/>
    <x v="0"/>
  </r>
  <r>
    <s v="00502"/>
    <x v="331"/>
    <x v="15"/>
    <s v="12/2025"/>
    <d v="2025-12-08T00:00:00"/>
    <x v="244"/>
    <n v="100"/>
    <n v="0"/>
    <n v="0"/>
    <n v="0"/>
    <n v="100"/>
    <s v="Dinheiro"/>
    <x v="0"/>
  </r>
  <r>
    <s v="00613"/>
    <x v="467"/>
    <x v="8"/>
    <s v="12/2025"/>
    <d v="2025-12-08T00:00:00"/>
    <x v="244"/>
    <n v="40"/>
    <n v="0"/>
    <n v="0"/>
    <n v="0"/>
    <n v="40"/>
    <s v="Dinheiro"/>
    <x v="0"/>
  </r>
  <r>
    <s v="00027"/>
    <x v="58"/>
    <x v="45"/>
    <s v="12/2025"/>
    <d v="2025-12-08T00:00:00"/>
    <x v="244"/>
    <n v="37.49"/>
    <n v="0"/>
    <n v="0"/>
    <n v="0"/>
    <n v="37.49"/>
    <s v="Dinheiro"/>
    <x v="0"/>
  </r>
  <r>
    <s v="00610"/>
    <x v="463"/>
    <x v="25"/>
    <s v="12/2025"/>
    <d v="2025-12-09T00:00:00"/>
    <x v="245"/>
    <n v="28.85"/>
    <n v="0"/>
    <n v="0"/>
    <n v="0"/>
    <n v="28.85"/>
    <s v="Dinheiro"/>
    <x v="0"/>
  </r>
  <r>
    <s v="00656"/>
    <x v="525"/>
    <x v="1"/>
    <s v="12/2025"/>
    <d v="2025-12-09T00:00:00"/>
    <x v="245"/>
    <n v="127.60000000000001"/>
    <n v="0"/>
    <n v="0"/>
    <n v="0"/>
    <n v="127.60000000000001"/>
    <s v="Dinheiro"/>
    <x v="0"/>
  </r>
  <r>
    <s v="00119"/>
    <x v="523"/>
    <x v="76"/>
    <s v="12/2025"/>
    <d v="2025-12-09T00:00:00"/>
    <x v="245"/>
    <n v="90"/>
    <n v="0"/>
    <n v="0"/>
    <n v="0"/>
    <n v="90"/>
    <s v="Dinheiro"/>
    <x v="0"/>
  </r>
  <r>
    <s v="00365"/>
    <x v="57"/>
    <x v="76"/>
    <s v="12/2025"/>
    <d v="2025-12-09T00:00:00"/>
    <x v="245"/>
    <n v="31.98"/>
    <n v="0"/>
    <n v="0"/>
    <n v="0"/>
    <n v="31.98"/>
    <s v="Dinheiro"/>
    <x v="0"/>
  </r>
  <r>
    <s v="00610"/>
    <x v="463"/>
    <x v="25"/>
    <s v="12/2025"/>
    <d v="2025-12-09T00:00:00"/>
    <x v="245"/>
    <n v="177.8"/>
    <n v="0"/>
    <n v="0"/>
    <n v="0"/>
    <n v="177.8"/>
    <s v="Dinheiro"/>
    <x v="0"/>
  </r>
  <r>
    <s v="00119"/>
    <x v="523"/>
    <x v="76"/>
    <s v="12/2025"/>
    <d v="2025-12-09T00:00:00"/>
    <x v="245"/>
    <n v="24"/>
    <n v="0"/>
    <n v="0"/>
    <n v="0"/>
    <n v="24"/>
    <s v="Dinheiro"/>
    <x v="0"/>
  </r>
  <r>
    <s v="00467"/>
    <x v="275"/>
    <x v="37"/>
    <s v="12/2025"/>
    <d v="2025-12-11T00:00:00"/>
    <x v="237"/>
    <n v="72"/>
    <n v="0"/>
    <n v="0"/>
    <n v="0"/>
    <n v="72"/>
    <s v="Dinheiro"/>
    <x v="0"/>
  </r>
  <r>
    <s v="00039"/>
    <x v="231"/>
    <x v="9"/>
    <s v="12/2025"/>
    <d v="2025-12-11T00:00:00"/>
    <x v="237"/>
    <n v="42.88"/>
    <n v="0"/>
    <n v="0"/>
    <n v="0"/>
    <n v="42.88"/>
    <s v="Dinheiro"/>
    <x v="0"/>
  </r>
  <r>
    <s v="00058"/>
    <x v="88"/>
    <x v="9"/>
    <s v="12/2025"/>
    <d v="2025-12-11T00:00:00"/>
    <x v="237"/>
    <n v="6.99"/>
    <n v="0"/>
    <n v="0"/>
    <n v="0"/>
    <n v="6.99"/>
    <s v="Dinheiro"/>
    <x v="0"/>
  </r>
  <r>
    <s v="00503"/>
    <x v="338"/>
    <x v="29"/>
    <s v="12/2025"/>
    <d v="2025-12-10T00:00:00"/>
    <x v="237"/>
    <n v="960"/>
    <n v="0"/>
    <n v="0"/>
    <n v="0"/>
    <n v="960"/>
    <s v="Dinheiro"/>
    <x v="0"/>
  </r>
  <r>
    <s v="00654"/>
    <x v="526"/>
    <x v="29"/>
    <s v="12/2025"/>
    <d v="2025-12-09T00:00:00"/>
    <x v="237"/>
    <n v="240"/>
    <n v="0"/>
    <n v="0"/>
    <n v="0"/>
    <n v="240"/>
    <s v="Dinheiro"/>
    <x v="0"/>
  </r>
  <r>
    <s v="00133"/>
    <x v="24"/>
    <x v="8"/>
    <s v="12/2025"/>
    <d v="2025-12-11T00:00:00"/>
    <x v="237"/>
    <n v="1250"/>
    <n v="0"/>
    <n v="0"/>
    <n v="0"/>
    <n v="1250"/>
    <s v="Dinheiro"/>
    <x v="0"/>
  </r>
  <r>
    <s v="00614"/>
    <x v="468"/>
    <x v="8"/>
    <s v="12/2025"/>
    <d v="2025-12-11T00:00:00"/>
    <x v="237"/>
    <n v="1300"/>
    <n v="0"/>
    <n v="0"/>
    <n v="0"/>
    <n v="1300"/>
    <s v="Dinheiro"/>
    <x v="0"/>
  </r>
  <r>
    <s v="00613"/>
    <x v="467"/>
    <x v="8"/>
    <s v="12/2025"/>
    <d v="2025-12-11T00:00:00"/>
    <x v="237"/>
    <n v="1250"/>
    <n v="0"/>
    <n v="0"/>
    <n v="0"/>
    <n v="1250"/>
    <s v="Dinheiro"/>
    <x v="0"/>
  </r>
  <r>
    <s v="00634"/>
    <x v="496"/>
    <x v="30"/>
    <s v="12/2025"/>
    <d v="2025-12-11T00:00:00"/>
    <x v="237"/>
    <n v="1600"/>
    <n v="0"/>
    <n v="0"/>
    <n v="0"/>
    <n v="1600"/>
    <s v="Dinheiro"/>
    <x v="0"/>
  </r>
  <r>
    <s v="00632"/>
    <x v="493"/>
    <x v="30"/>
    <s v="12/2025"/>
    <d v="2025-12-11T00:00:00"/>
    <x v="237"/>
    <n v="1600"/>
    <n v="0"/>
    <n v="0"/>
    <n v="0"/>
    <n v="1600"/>
    <s v="Dinheiro"/>
    <x v="0"/>
  </r>
  <r>
    <s v="00168"/>
    <x v="39"/>
    <x v="38"/>
    <s v="12/2025"/>
    <d v="2025-12-11T00:00:00"/>
    <x v="237"/>
    <n v="150"/>
    <n v="0"/>
    <n v="0"/>
    <n v="0"/>
    <n v="150"/>
    <s v="Dinheiro"/>
    <x v="0"/>
  </r>
  <r>
    <s v="00349"/>
    <x v="25"/>
    <x v="38"/>
    <s v="12/2025"/>
    <d v="2025-12-11T00:00:00"/>
    <x v="237"/>
    <n v="155"/>
    <n v="0"/>
    <n v="0"/>
    <n v="0"/>
    <n v="155"/>
    <s v="Dinheiro"/>
    <x v="0"/>
  </r>
  <r>
    <s v="00313"/>
    <x v="10"/>
    <x v="38"/>
    <s v="12/2025"/>
    <d v="2025-12-11T00:00:00"/>
    <x v="237"/>
    <n v="55"/>
    <n v="0"/>
    <n v="0"/>
    <n v="0"/>
    <n v="55"/>
    <s v="Dinheiro"/>
    <x v="0"/>
  </r>
  <r>
    <s v="00058"/>
    <x v="88"/>
    <x v="9"/>
    <s v="12/2025"/>
    <d v="2025-12-11T00:00:00"/>
    <x v="237"/>
    <n v="28.97"/>
    <n v="0"/>
    <n v="0"/>
    <n v="0"/>
    <n v="28.97"/>
    <s v="Dinheiro"/>
    <x v="0"/>
  </r>
  <r>
    <s v="00032"/>
    <x v="120"/>
    <x v="27"/>
    <s v="12/2025"/>
    <d v="2025-12-11T00:00:00"/>
    <x v="237"/>
    <n v="200"/>
    <n v="0"/>
    <n v="0"/>
    <n v="0"/>
    <n v="200"/>
    <s v="Dinheiro"/>
    <x v="0"/>
  </r>
  <r>
    <s v="00349"/>
    <x v="25"/>
    <x v="27"/>
    <s v="12/2025"/>
    <d v="2025-12-11T00:00:00"/>
    <x v="237"/>
    <n v="19.900000000000002"/>
    <n v="0"/>
    <n v="0"/>
    <n v="0"/>
    <n v="19.900000000000002"/>
    <s v="Dinheiro"/>
    <x v="0"/>
  </r>
  <r>
    <s v="00039"/>
    <x v="231"/>
    <x v="9"/>
    <s v="12/2025"/>
    <d v="2025-12-11T00:00:00"/>
    <x v="237"/>
    <n v="6.9"/>
    <n v="0"/>
    <n v="0"/>
    <n v="0"/>
    <n v="6.9"/>
    <s v="Dinheiro"/>
    <x v="0"/>
  </r>
  <r>
    <s v="00464"/>
    <x v="273"/>
    <x v="92"/>
    <s v="12/2025"/>
    <d v="2025-12-11T00:00:00"/>
    <x v="237"/>
    <n v="48"/>
    <n v="0"/>
    <n v="0"/>
    <n v="0"/>
    <n v="48"/>
    <s v="Dinheiro"/>
    <x v="0"/>
  </r>
  <r>
    <s v="00657"/>
    <x v="527"/>
    <x v="30"/>
    <s v="12/2025"/>
    <d v="2025-12-11T00:00:00"/>
    <x v="237"/>
    <n v="320"/>
    <n v="0"/>
    <n v="0"/>
    <n v="0"/>
    <n v="320"/>
    <s v="Dinheiro"/>
    <x v="0"/>
  </r>
  <r>
    <s v="00613"/>
    <x v="467"/>
    <x v="8"/>
    <s v="12/2025"/>
    <d v="2025-12-11T00:00:00"/>
    <x v="237"/>
    <n v="100"/>
    <n v="0"/>
    <n v="0"/>
    <n v="0"/>
    <n v="100"/>
    <s v="Dinheiro"/>
    <x v="0"/>
  </r>
  <r>
    <s v="00614"/>
    <x v="468"/>
    <x v="8"/>
    <s v="12/2025"/>
    <d v="2025-12-11T00:00:00"/>
    <x v="237"/>
    <n v="100"/>
    <n v="0"/>
    <n v="0"/>
    <n v="0"/>
    <n v="100"/>
    <s v="Pix"/>
    <x v="0"/>
  </r>
  <r>
    <s v="00150"/>
    <x v="378"/>
    <x v="9"/>
    <s v="12/2025"/>
    <d v="2025-12-11T00:00:00"/>
    <x v="237"/>
    <n v="100"/>
    <n v="0"/>
    <n v="0"/>
    <n v="0"/>
    <n v="100"/>
    <s v="Dinheiro"/>
    <x v="0"/>
  </r>
  <r>
    <s v="00046"/>
    <x v="469"/>
    <x v="8"/>
    <s v="12/2025"/>
    <d v="2025-12-11T00:00:00"/>
    <x v="237"/>
    <n v="53.160000000000004"/>
    <n v="0"/>
    <n v="0"/>
    <n v="0"/>
    <n v="53.160000000000004"/>
    <s v="Dinheiro"/>
    <x v="0"/>
  </r>
  <r>
    <s v="00666"/>
    <x v="528"/>
    <x v="1"/>
    <s v="12/2025"/>
    <d v="2025-12-16T00:00:00"/>
    <x v="246"/>
    <n v="40.6"/>
    <n v="0"/>
    <n v="0"/>
    <n v="0"/>
    <n v="40.6"/>
    <s v="Dinheiro"/>
    <x v="0"/>
  </r>
  <r>
    <s v="00650"/>
    <x v="522"/>
    <x v="1"/>
    <s v="12/2025"/>
    <d v="2025-12-16T00:00:00"/>
    <x v="246"/>
    <n v="46.4"/>
    <n v="0"/>
    <n v="0"/>
    <n v="0"/>
    <n v="46.4"/>
    <s v="Dinheiro"/>
    <x v="0"/>
  </r>
  <r>
    <s v="00351"/>
    <x v="42"/>
    <x v="87"/>
    <s v="12/2025"/>
    <d v="2025-12-17T00:00:00"/>
    <x v="247"/>
    <n v="50"/>
    <n v="0"/>
    <n v="0"/>
    <n v="0"/>
    <n v="50"/>
    <s v="Dinheiro"/>
    <x v="0"/>
  </r>
  <r>
    <s v="00498"/>
    <x v="242"/>
    <x v="87"/>
    <s v="12/2025"/>
    <d v="2025-12-17T00:00:00"/>
    <x v="247"/>
    <n v="50"/>
    <n v="0"/>
    <n v="0"/>
    <n v="0"/>
    <n v="50"/>
    <s v="Dinheiro"/>
    <x v="0"/>
  </r>
  <r>
    <s v="00511"/>
    <x v="241"/>
    <x v="38"/>
    <s v="12/2025"/>
    <d v="2025-12-17T00:00:00"/>
    <x v="247"/>
    <n v="90"/>
    <n v="0"/>
    <n v="0"/>
    <n v="0"/>
    <n v="90"/>
    <s v="Dinheiro"/>
    <x v="0"/>
  </r>
  <r>
    <s v="00027"/>
    <x v="58"/>
    <x v="45"/>
    <s v="12/2025"/>
    <d v="2025-12-17T00:00:00"/>
    <x v="247"/>
    <n v="36.480000000000004"/>
    <n v="0"/>
    <n v="0"/>
    <n v="0"/>
    <n v="36.480000000000004"/>
    <s v="Dinheiro"/>
    <x v="0"/>
  </r>
  <r>
    <s v="00036"/>
    <x v="109"/>
    <x v="59"/>
    <s v="12/2025"/>
    <d v="2025-12-17T00:00:00"/>
    <x v="247"/>
    <n v="16.5"/>
    <n v="0"/>
    <n v="0"/>
    <n v="0"/>
    <n v="16.5"/>
    <s v="Dinheiro"/>
    <x v="0"/>
  </r>
  <r>
    <s v="00454"/>
    <x v="61"/>
    <x v="87"/>
    <s v="12/2025"/>
    <d v="2025-12-17T00:00:00"/>
    <x v="247"/>
    <n v="150"/>
    <n v="0"/>
    <n v="0"/>
    <n v="0"/>
    <n v="150"/>
    <s v="Dinheiro"/>
    <x v="0"/>
  </r>
  <r>
    <s v="00650"/>
    <x v="522"/>
    <x v="1"/>
    <s v="12/2025"/>
    <d v="2025-12-17T00:00:00"/>
    <x v="247"/>
    <n v="46.4"/>
    <n v="0"/>
    <n v="0"/>
    <n v="0"/>
    <n v="46.4"/>
    <s v="Dinheiro"/>
    <x v="0"/>
  </r>
  <r>
    <s v="00355"/>
    <x v="83"/>
    <x v="87"/>
    <s v="12/2025"/>
    <d v="2025-12-17T00:00:00"/>
    <x v="247"/>
    <n v="50"/>
    <n v="0"/>
    <n v="0"/>
    <n v="0"/>
    <n v="50"/>
    <s v="Dinheiro"/>
    <x v="0"/>
  </r>
  <r>
    <s v="00032"/>
    <x v="120"/>
    <x v="59"/>
    <s v="12/2025"/>
    <d v="2025-12-18T00:00:00"/>
    <x v="248"/>
    <n v="26.95"/>
    <n v="0"/>
    <n v="0"/>
    <n v="0"/>
    <n v="26.95"/>
    <s v="Dinheiro"/>
    <x v="0"/>
  </r>
  <r>
    <s v="00292"/>
    <x v="278"/>
    <x v="5"/>
    <s v="12/2025"/>
    <d v="2025-12-19T00:00:00"/>
    <x v="249"/>
    <n v="35"/>
    <n v="0"/>
    <n v="0"/>
    <n v="0"/>
    <n v="35"/>
    <s v="Dinheiro"/>
    <x v="0"/>
  </r>
  <r>
    <s v="00498"/>
    <x v="242"/>
    <x v="38"/>
    <s v="12/2025"/>
    <d v="2025-12-19T00:00:00"/>
    <x v="249"/>
    <n v="35.619999999999997"/>
    <n v="0"/>
    <n v="0"/>
    <n v="0"/>
    <n v="35.619999999999997"/>
    <s v="Dinheiro"/>
    <x v="0"/>
  </r>
  <r>
    <s v="00046"/>
    <x v="469"/>
    <x v="76"/>
    <s v="12/2025"/>
    <d v="2025-12-19T00:00:00"/>
    <x v="249"/>
    <n v="20.990000000000002"/>
    <n v="0"/>
    <n v="0"/>
    <n v="0"/>
    <n v="20.990000000000002"/>
    <s v="Dinheiro"/>
    <x v="0"/>
  </r>
  <r>
    <s v="00036"/>
    <x v="109"/>
    <x v="76"/>
    <s v="12/2025"/>
    <d v="2025-12-19T00:00:00"/>
    <x v="249"/>
    <n v="10.85"/>
    <n v="0"/>
    <n v="0"/>
    <n v="0"/>
    <n v="10.85"/>
    <s v="Dinheiro"/>
    <x v="0"/>
  </r>
  <r>
    <s v="00028"/>
    <x v="108"/>
    <x v="76"/>
    <s v="12/2025"/>
    <d v="2025-12-19T00:00:00"/>
    <x v="249"/>
    <n v="85"/>
    <n v="0"/>
    <n v="0"/>
    <n v="0"/>
    <n v="85"/>
    <s v="Dinheiro"/>
    <x v="0"/>
  </r>
  <r>
    <s v="00027"/>
    <x v="58"/>
    <x v="76"/>
    <s v="12/2025"/>
    <d v="2025-12-19T00:00:00"/>
    <x v="249"/>
    <n v="97.73"/>
    <n v="0"/>
    <n v="0"/>
    <n v="0"/>
    <n v="97.73"/>
    <s v="Dinheiro"/>
    <x v="0"/>
  </r>
  <r>
    <s v="00498"/>
    <x v="242"/>
    <x v="76"/>
    <s v="12/2025"/>
    <d v="2025-12-19T00:00:00"/>
    <x v="249"/>
    <n v="42.5"/>
    <n v="0"/>
    <n v="0"/>
    <n v="0"/>
    <n v="42.5"/>
    <s v="Dinheiro"/>
    <x v="0"/>
  </r>
  <r>
    <s v="00039"/>
    <x v="231"/>
    <x v="9"/>
    <s v="12/2025"/>
    <d v="2025-12-22T00:00:00"/>
    <x v="250"/>
    <n v="79.900000000000006"/>
    <n v="0"/>
    <n v="0"/>
    <n v="0"/>
    <n v="79.900000000000006"/>
    <s v="Dinheiro"/>
    <x v="0"/>
  </r>
  <r>
    <s v="00613"/>
    <x v="467"/>
    <x v="8"/>
    <s v="12/2025"/>
    <d v="2025-12-22T00:00:00"/>
    <x v="250"/>
    <n v="40"/>
    <n v="0"/>
    <n v="0"/>
    <n v="0"/>
    <n v="40"/>
    <s v="Dinheiro"/>
    <x v="0"/>
  </r>
  <r>
    <s v="00403"/>
    <x v="160"/>
    <x v="9"/>
    <s v="12/2025"/>
    <d v="2025-12-22T00:00:00"/>
    <x v="250"/>
    <n v="200"/>
    <n v="0"/>
    <n v="0"/>
    <n v="0"/>
    <n v="200"/>
    <s v="Banco Investimentos"/>
    <x v="0"/>
  </r>
  <r>
    <s v="00133"/>
    <x v="24"/>
    <x v="8"/>
    <s v="12/2025"/>
    <d v="2025-12-22T00:00:00"/>
    <x v="250"/>
    <n v="106"/>
    <n v="0"/>
    <n v="0"/>
    <n v="0"/>
    <n v="106"/>
    <s v="Dinheiro"/>
    <x v="0"/>
  </r>
  <r>
    <s v="00614"/>
    <x v="468"/>
    <x v="8"/>
    <s v="12/2025"/>
    <d v="2025-12-22T00:00:00"/>
    <x v="250"/>
    <n v="40"/>
    <n v="0"/>
    <n v="0"/>
    <n v="0"/>
    <n v="40"/>
    <s v="Dinheiro"/>
    <x v="0"/>
  </r>
  <r>
    <s v="00027"/>
    <x v="58"/>
    <x v="45"/>
    <s v="12/2025"/>
    <d v="2025-12-29T00:00:00"/>
    <x v="251"/>
    <n v="6.2700000000000005"/>
    <n v="0"/>
    <n v="0"/>
    <n v="0"/>
    <n v="6.2700000000000005"/>
    <s v="Dinheiro"/>
    <x v="0"/>
  </r>
  <r>
    <s v="00666"/>
    <x v="528"/>
    <x v="1"/>
    <s v="12/2025"/>
    <d v="2025-12-29T00:00:00"/>
    <x v="251"/>
    <n v="40.6"/>
    <n v="0"/>
    <n v="0"/>
    <n v="0"/>
    <n v="40.6"/>
    <s v="Dinheiro"/>
    <x v="0"/>
  </r>
  <r>
    <s v="00168"/>
    <x v="39"/>
    <x v="32"/>
    <s v="12/2025"/>
    <d v="2025-12-01T00:00:00"/>
    <x v="239"/>
    <n v="255.42000000000002"/>
    <n v="0"/>
    <n v="0"/>
    <n v="0"/>
    <n v="255.42000000000002"/>
    <s v="Dinheiro"/>
    <x v="0"/>
  </r>
  <r>
    <s v="00037"/>
    <x v="177"/>
    <x v="82"/>
    <s v="12/2025"/>
    <d v="2025-12-01T00:00:00"/>
    <x v="239"/>
    <n v="20.990000000000002"/>
    <n v="0"/>
    <n v="0"/>
    <n v="0"/>
    <n v="20.990000000000002"/>
    <s v="Dinheiro"/>
    <x v="0"/>
  </r>
  <r>
    <s v="00502"/>
    <x v="331"/>
    <x v="1"/>
    <s v="12/2025"/>
    <d v="2025-12-01T00:00:00"/>
    <x v="239"/>
    <n v="254.8"/>
    <n v="0"/>
    <n v="0"/>
    <n v="0"/>
    <n v="254.8"/>
    <s v="Dinheiro"/>
    <x v="0"/>
  </r>
  <r>
    <s v="00464"/>
    <x v="273"/>
    <x v="1"/>
    <s v="12/2025"/>
    <d v="2025-12-01T00:00:00"/>
    <x v="239"/>
    <n v="220.4"/>
    <n v="0"/>
    <n v="0"/>
    <n v="0"/>
    <n v="220.4"/>
    <s v="Dinheiro"/>
    <x v="0"/>
  </r>
  <r>
    <s v="00612"/>
    <x v="466"/>
    <x v="1"/>
    <s v="12/2025"/>
    <d v="2025-12-01T00:00:00"/>
    <x v="239"/>
    <n v="58"/>
    <n v="0"/>
    <n v="0"/>
    <n v="0"/>
    <n v="58"/>
    <s v="Dinheiro"/>
    <x v="0"/>
  </r>
  <r>
    <s v="00133"/>
    <x v="24"/>
    <x v="1"/>
    <s v="12/2025"/>
    <d v="2025-12-01T00:00:00"/>
    <x v="239"/>
    <n v="235.6"/>
    <n v="0"/>
    <n v="0"/>
    <n v="0"/>
    <n v="235.6"/>
    <s v="Dinheiro"/>
    <x v="0"/>
  </r>
  <r>
    <s v="00622"/>
    <x v="488"/>
    <x v="1"/>
    <s v="12/2025"/>
    <d v="2025-12-01T00:00:00"/>
    <x v="239"/>
    <n v="273"/>
    <n v="0"/>
    <n v="0"/>
    <n v="0"/>
    <n v="273"/>
    <s v="Dinheiro"/>
    <x v="0"/>
  </r>
  <r>
    <s v="00466"/>
    <x v="529"/>
    <x v="1"/>
    <s v="12/2025"/>
    <d v="2025-12-01T00:00:00"/>
    <x v="239"/>
    <n v="367.2"/>
    <n v="0"/>
    <n v="0"/>
    <n v="0"/>
    <n v="367.2"/>
    <s v="Dinheiro"/>
    <x v="0"/>
  </r>
  <r>
    <s v="00478"/>
    <x v="290"/>
    <x v="1"/>
    <s v="12/2025"/>
    <d v="2025-12-01T00:00:00"/>
    <x v="239"/>
    <n v="236.6"/>
    <n v="0"/>
    <n v="0"/>
    <n v="0"/>
    <n v="236.6"/>
    <s v="Dinheiro"/>
    <x v="0"/>
  </r>
  <r>
    <s v="00513"/>
    <x v="342"/>
    <x v="1"/>
    <s v="12/2025"/>
    <d v="2025-12-01T00:00:00"/>
    <x v="239"/>
    <n v="209.1"/>
    <n v="0"/>
    <n v="0"/>
    <n v="0"/>
    <n v="209.1"/>
    <s v="Dinheiro"/>
    <x v="0"/>
  </r>
  <r>
    <s v="00474"/>
    <x v="298"/>
    <x v="1"/>
    <s v="12/2025"/>
    <d v="2025-12-01T00:00:00"/>
    <x v="239"/>
    <n v="197.20000000000002"/>
    <n v="0"/>
    <n v="0"/>
    <n v="0"/>
    <n v="197.20000000000002"/>
    <s v="Dinheiro"/>
    <x v="0"/>
  </r>
  <r>
    <s v="00168"/>
    <x v="39"/>
    <x v="1"/>
    <s v="12/2025"/>
    <d v="2025-12-01T00:00:00"/>
    <x v="239"/>
    <n v="367.2"/>
    <n v="0"/>
    <n v="0"/>
    <n v="0"/>
    <n v="367.2"/>
    <s v="Dinheiro"/>
    <x v="0"/>
  </r>
  <r>
    <s v="00351"/>
    <x v="42"/>
    <x v="1"/>
    <s v="12/2025"/>
    <d v="2025-12-01T00:00:00"/>
    <x v="239"/>
    <n v="345.8"/>
    <n v="0"/>
    <n v="0"/>
    <n v="0"/>
    <n v="345.8"/>
    <s v="Dinheiro"/>
    <x v="0"/>
  </r>
  <r>
    <s v="00511"/>
    <x v="241"/>
    <x v="1"/>
    <s v="12/2025"/>
    <d v="2025-12-01T00:00:00"/>
    <x v="239"/>
    <n v="338.2"/>
    <n v="0"/>
    <n v="0"/>
    <n v="0"/>
    <n v="338.2"/>
    <s v="Dinheiro"/>
    <x v="0"/>
  </r>
  <r>
    <s v="00223"/>
    <x v="32"/>
    <x v="1"/>
    <s v="12/2025"/>
    <d v="2025-12-01T00:00:00"/>
    <x v="239"/>
    <n v="428.40000000000003"/>
    <n v="0"/>
    <n v="0"/>
    <n v="0"/>
    <n v="428.40000000000003"/>
    <s v="Dinheiro"/>
    <x v="0"/>
  </r>
  <r>
    <s v="00614"/>
    <x v="468"/>
    <x v="1"/>
    <s v="12/2025"/>
    <d v="2025-12-01T00:00:00"/>
    <x v="239"/>
    <n v="327.60000000000002"/>
    <n v="0"/>
    <n v="0"/>
    <n v="0"/>
    <n v="327.60000000000002"/>
    <s v="Dinheiro"/>
    <x v="0"/>
  </r>
  <r>
    <s v="00581"/>
    <x v="426"/>
    <x v="1"/>
    <s v="12/2025"/>
    <d v="2025-12-01T00:00:00"/>
    <x v="239"/>
    <n v="232"/>
    <n v="0"/>
    <n v="0"/>
    <n v="0"/>
    <n v="232"/>
    <s v="Dinheiro"/>
    <x v="0"/>
  </r>
  <r>
    <s v="00364"/>
    <x v="16"/>
    <x v="1"/>
    <s v="12/2025"/>
    <d v="2025-12-01T00:00:00"/>
    <x v="239"/>
    <n v="358.40000000000003"/>
    <n v="0"/>
    <n v="0"/>
    <n v="0"/>
    <n v="358.40000000000003"/>
    <s v="Dinheiro"/>
    <x v="0"/>
  </r>
  <r>
    <s v="00349"/>
    <x v="25"/>
    <x v="1"/>
    <s v="12/2025"/>
    <d v="2025-12-01T00:00:00"/>
    <x v="239"/>
    <n v="448.8"/>
    <n v="0"/>
    <n v="0"/>
    <n v="0"/>
    <n v="448.8"/>
    <s v="Dinheiro"/>
    <x v="0"/>
  </r>
  <r>
    <s v="00631"/>
    <x v="492"/>
    <x v="1"/>
    <s v="12/2025"/>
    <d v="2025-12-01T00:00:00"/>
    <x v="239"/>
    <n v="197.20000000000002"/>
    <n v="0"/>
    <n v="0"/>
    <n v="0"/>
    <n v="197.20000000000002"/>
    <s v="Dinheiro"/>
    <x v="0"/>
  </r>
  <r>
    <s v="00613"/>
    <x v="467"/>
    <x v="1"/>
    <s v="12/2025"/>
    <d v="2025-12-01T00:00:00"/>
    <x v="239"/>
    <n v="327.60000000000002"/>
    <n v="0"/>
    <n v="0"/>
    <n v="0"/>
    <n v="327.60000000000002"/>
    <s v="Dinheiro"/>
    <x v="0"/>
  </r>
  <r>
    <s v="00037"/>
    <x v="177"/>
    <x v="82"/>
    <s v="12/2025"/>
    <d v="2025-12-01T00:00:00"/>
    <x v="239"/>
    <n v="13.99"/>
    <n v="0"/>
    <n v="0"/>
    <n v="0"/>
    <n v="13.99"/>
    <s v="Dinheiro"/>
    <x v="0"/>
  </r>
  <r>
    <s v="00037"/>
    <x v="177"/>
    <x v="82"/>
    <s v="12/2025"/>
    <d v="2025-12-01T00:00:00"/>
    <x v="239"/>
    <n v="11.98"/>
    <n v="0"/>
    <n v="0"/>
    <n v="0"/>
    <n v="11.98"/>
    <s v="Dinheiro"/>
    <x v="0"/>
  </r>
  <r>
    <s v="00160"/>
    <x v="31"/>
    <x v="1"/>
    <s v="12/2025"/>
    <d v="2025-12-01T00:00:00"/>
    <x v="239"/>
    <n v="243.6"/>
    <n v="0"/>
    <n v="0"/>
    <n v="0"/>
    <n v="243.6"/>
    <s v="Dinheiro"/>
    <x v="0"/>
  </r>
  <r>
    <s v="00304"/>
    <x v="494"/>
    <x v="1"/>
    <s v="12/2025"/>
    <d v="2025-12-01T00:00:00"/>
    <x v="239"/>
    <n v="321"/>
    <n v="0"/>
    <n v="0"/>
    <n v="0"/>
    <n v="321"/>
    <s v="Dinheiro"/>
    <x v="0"/>
  </r>
  <r>
    <s v="00397"/>
    <x v="152"/>
    <x v="1"/>
    <s v="12/2025"/>
    <d v="2025-12-01T00:00:00"/>
    <x v="239"/>
    <n v="291.2"/>
    <n v="0"/>
    <n v="0"/>
    <n v="0"/>
    <n v="291.2"/>
    <s v="Dinheiro"/>
    <x v="0"/>
  </r>
  <r>
    <s v="00411"/>
    <x v="181"/>
    <x v="1"/>
    <s v="12/2025"/>
    <d v="2025-12-01T00:00:00"/>
    <x v="239"/>
    <n v="220.4"/>
    <n v="0"/>
    <n v="0"/>
    <n v="0"/>
    <n v="220.4"/>
    <s v="Dinheiro"/>
    <x v="0"/>
  </r>
  <r>
    <s v="00448"/>
    <x v="269"/>
    <x v="1"/>
    <s v="12/2025"/>
    <d v="2025-12-01T00:00:00"/>
    <x v="239"/>
    <n v="338.2"/>
    <n v="0"/>
    <n v="0"/>
    <n v="0"/>
    <n v="338.2"/>
    <s v="Dinheiro"/>
    <x v="0"/>
  </r>
  <r>
    <s v="00289"/>
    <x v="20"/>
    <x v="1"/>
    <s v="12/2025"/>
    <d v="2025-12-01T00:00:00"/>
    <x v="239"/>
    <n v="448"/>
    <n v="0"/>
    <n v="0"/>
    <n v="0"/>
    <n v="448"/>
    <s v="Dinheiro"/>
    <x v="0"/>
  </r>
  <r>
    <s v="00416"/>
    <x v="184"/>
    <x v="1"/>
    <s v="12/2025"/>
    <d v="2025-12-01T00:00:00"/>
    <x v="239"/>
    <n v="104.4"/>
    <n v="0"/>
    <n v="0"/>
    <n v="0"/>
    <n v="104.4"/>
    <s v="Dinheiro"/>
    <x v="0"/>
  </r>
  <r>
    <s v="00447"/>
    <x v="247"/>
    <x v="1"/>
    <s v="12/2025"/>
    <d v="2025-12-01T00:00:00"/>
    <x v="239"/>
    <n v="457.68"/>
    <n v="0"/>
    <n v="0"/>
    <n v="0"/>
    <n v="457.68"/>
    <s v="Dinheiro"/>
    <x v="0"/>
  </r>
  <r>
    <s v="00362"/>
    <x v="7"/>
    <x v="3"/>
    <s v="12/2025"/>
    <d v="2025-12-01T00:00:00"/>
    <x v="239"/>
    <n v="4.08"/>
    <n v="0"/>
    <n v="0"/>
    <n v="0"/>
    <n v="4.08"/>
    <s v="Dinheiro"/>
    <x v="0"/>
  </r>
  <r>
    <s v="00362"/>
    <x v="7"/>
    <x v="3"/>
    <s v="12/2025"/>
    <d v="2025-12-01T00:00:00"/>
    <x v="239"/>
    <n v="20.34"/>
    <n v="0"/>
    <n v="0"/>
    <n v="0"/>
    <n v="20.34"/>
    <s v="Dinheiro"/>
    <x v="0"/>
  </r>
  <r>
    <s v="00037"/>
    <x v="177"/>
    <x v="1"/>
    <s v="12/2025"/>
    <d v="2025-12-01T00:00:00"/>
    <x v="239"/>
    <n v="14.99"/>
    <n v="0"/>
    <n v="0"/>
    <n v="0"/>
    <n v="14.99"/>
    <s v="Dinheiro"/>
    <x v="0"/>
  </r>
  <r>
    <s v="00622"/>
    <x v="488"/>
    <x v="32"/>
    <s v="12/2025"/>
    <d v="2025-12-01T00:00:00"/>
    <x v="239"/>
    <n v="255.42000000000002"/>
    <n v="0"/>
    <n v="0"/>
    <n v="0"/>
    <n v="255.42000000000002"/>
    <s v="Dinheiro"/>
    <x v="0"/>
  </r>
  <r>
    <s v="00349"/>
    <x v="25"/>
    <x v="32"/>
    <s v="12/2025"/>
    <d v="2025-12-01T00:00:00"/>
    <x v="239"/>
    <n v="255.42000000000002"/>
    <n v="0"/>
    <n v="0"/>
    <n v="0"/>
    <n v="255.42000000000002"/>
    <s v="Dinheiro"/>
    <x v="0"/>
  </r>
  <r>
    <s v="00083"/>
    <x v="5"/>
    <x v="32"/>
    <s v="12/2025"/>
    <d v="2025-12-01T00:00:00"/>
    <x v="239"/>
    <n v="5240.08"/>
    <n v="0"/>
    <n v="0"/>
    <n v="0"/>
    <n v="5240.08"/>
    <s v="Dinheiro"/>
    <x v="0"/>
  </r>
  <r>
    <s v="00037"/>
    <x v="177"/>
    <x v="82"/>
    <s v="12/2025"/>
    <d v="2025-12-01T00:00:00"/>
    <x v="239"/>
    <n v="16.97"/>
    <n v="0"/>
    <n v="0"/>
    <n v="0"/>
    <n v="16.97"/>
    <s v="Dinheiro"/>
    <x v="0"/>
  </r>
  <r>
    <s v="00285"/>
    <x v="303"/>
    <x v="18"/>
    <s v="10/2025"/>
    <d v="2025-11-28T00:00:00"/>
    <x v="239"/>
    <n v="743"/>
    <n v="0"/>
    <n v="0"/>
    <n v="0"/>
    <n v="743"/>
    <s v="Dinheiro"/>
    <x v="0"/>
  </r>
  <r>
    <s v="00362"/>
    <x v="7"/>
    <x v="3"/>
    <s v="12/2025"/>
    <d v="2025-12-01T00:00:00"/>
    <x v="239"/>
    <n v="4.08"/>
    <n v="0"/>
    <n v="0"/>
    <n v="0"/>
    <n v="4.08"/>
    <s v="Dinheiro"/>
    <x v="0"/>
  </r>
  <r>
    <s v="00362"/>
    <x v="7"/>
    <x v="4"/>
    <s v="12/2025"/>
    <d v="2025-12-02T00:00:00"/>
    <x v="240"/>
    <n v="120.32000000000001"/>
    <n v="0"/>
    <n v="0"/>
    <n v="0"/>
    <n v="120.32000000000001"/>
    <s v="Dinheiro"/>
    <x v="0"/>
  </r>
  <r>
    <s v="00362"/>
    <x v="7"/>
    <x v="4"/>
    <s v="12/2025"/>
    <d v="2025-12-02T00:00:00"/>
    <x v="240"/>
    <n v="235.84"/>
    <n v="0"/>
    <n v="0"/>
    <n v="0"/>
    <n v="235.84"/>
    <s v="Dinheiro"/>
    <x v="0"/>
  </r>
  <r>
    <s v="00037"/>
    <x v="177"/>
    <x v="82"/>
    <s v="12/2025"/>
    <d v="2025-12-01T00:00:00"/>
    <x v="240"/>
    <n v="17.990000000000002"/>
    <n v="0"/>
    <n v="0"/>
    <n v="0"/>
    <n v="17.990000000000002"/>
    <s v="Dinheiro"/>
    <x v="0"/>
  </r>
  <r>
    <s v="00193"/>
    <x v="3"/>
    <x v="0"/>
    <s v="12/2025"/>
    <d v="2025-12-17T00:00:00"/>
    <x v="240"/>
    <n v="1650.9"/>
    <n v="0"/>
    <n v="0"/>
    <n v="0"/>
    <n v="1650.9"/>
    <s v="Dinheiro"/>
    <x v="0"/>
  </r>
  <r>
    <s v="00024"/>
    <x v="0"/>
    <x v="0"/>
    <s v="12/2025"/>
    <d v="2025-12-02T00:00:00"/>
    <x v="240"/>
    <n v="1349.1000000000001"/>
    <n v="0"/>
    <n v="0"/>
    <n v="0"/>
    <n v="1349.1000000000001"/>
    <s v="Dinheiro"/>
    <x v="0"/>
  </r>
  <r>
    <s v="00193"/>
    <x v="3"/>
    <x v="0"/>
    <s v="12/2025"/>
    <d v="2025-12-02T00:00:00"/>
    <x v="240"/>
    <n v="1000"/>
    <n v="0"/>
    <n v="0"/>
    <n v="0"/>
    <n v="1000"/>
    <s v="Dinheiro"/>
    <x v="0"/>
  </r>
  <r>
    <s v="00024"/>
    <x v="0"/>
    <x v="0"/>
    <s v="12/2025"/>
    <d v="2025-12-02T00:00:00"/>
    <x v="240"/>
    <n v="1000"/>
    <n v="0"/>
    <n v="0"/>
    <n v="0"/>
    <n v="1000"/>
    <s v="Dinheiro"/>
    <x v="0"/>
  </r>
  <r>
    <s v="00615"/>
    <x v="487"/>
    <x v="25"/>
    <s v="11/2025"/>
    <d v="2025-11-26T00:00:00"/>
    <x v="240"/>
    <n v="1432.7"/>
    <n v="0"/>
    <n v="0"/>
    <n v="0"/>
    <n v="1432.7"/>
    <s v="Dinheiro"/>
    <x v="0"/>
  </r>
  <r>
    <s v="00277"/>
    <x v="47"/>
    <x v="16"/>
    <s v="12/2025"/>
    <d v="2025-12-02T00:00:00"/>
    <x v="240"/>
    <n v="389.11"/>
    <n v="0"/>
    <n v="0"/>
    <n v="0"/>
    <n v="389.11"/>
    <s v="Dinheiro"/>
    <x v="0"/>
  </r>
  <r>
    <s v="00362"/>
    <x v="7"/>
    <x v="6"/>
    <s v="12/2025"/>
    <d v="2025-12-02T00:00:00"/>
    <x v="240"/>
    <n v="506.53000000000003"/>
    <n v="0"/>
    <n v="0"/>
    <n v="0"/>
    <n v="506.53000000000003"/>
    <s v="Dinheiro"/>
    <x v="0"/>
  </r>
  <r>
    <s v="00362"/>
    <x v="7"/>
    <x v="6"/>
    <s v="12/2025"/>
    <d v="2025-12-02T00:00:00"/>
    <x v="240"/>
    <n v="8.16"/>
    <n v="0"/>
    <n v="0"/>
    <n v="0"/>
    <n v="8.16"/>
    <s v="Dinheiro"/>
    <x v="0"/>
  </r>
  <r>
    <s v="00362"/>
    <x v="7"/>
    <x v="6"/>
    <s v="12/2025"/>
    <d v="2025-12-02T00:00:00"/>
    <x v="240"/>
    <n v="392.07"/>
    <n v="0"/>
    <n v="0"/>
    <n v="0"/>
    <n v="392.07"/>
    <s v="Dinheiro"/>
    <x v="0"/>
  </r>
  <r>
    <s v="00362"/>
    <x v="7"/>
    <x v="3"/>
    <s v="12/2025"/>
    <d v="2025-12-02T00:00:00"/>
    <x v="240"/>
    <n v="2.04"/>
    <n v="0"/>
    <n v="0"/>
    <n v="0"/>
    <n v="2.04"/>
    <s v="Dinheiro"/>
    <x v="0"/>
  </r>
  <r>
    <s v="00362"/>
    <x v="7"/>
    <x v="4"/>
    <s v="12/2025"/>
    <d v="2025-12-02T00:00:00"/>
    <x v="240"/>
    <n v="221.21"/>
    <n v="0"/>
    <n v="0"/>
    <n v="0"/>
    <n v="221.21"/>
    <s v="Dinheiro"/>
    <x v="0"/>
  </r>
  <r>
    <s v="00362"/>
    <x v="7"/>
    <x v="34"/>
    <s v="12/2025"/>
    <d v="2025-12-03T00:00:00"/>
    <x v="241"/>
    <n v="4459.78"/>
    <n v="0"/>
    <n v="0"/>
    <n v="0"/>
    <n v="4459.78"/>
    <s v="Dinheiro"/>
    <x v="0"/>
  </r>
  <r>
    <s v="00362"/>
    <x v="7"/>
    <x v="3"/>
    <s v="12/2025"/>
    <d v="2025-12-03T00:00:00"/>
    <x v="241"/>
    <n v="4.08"/>
    <n v="0"/>
    <n v="0"/>
    <n v="0"/>
    <n v="4.08"/>
    <s v="Dinheiro"/>
    <x v="0"/>
  </r>
  <r>
    <s v="00403"/>
    <x v="160"/>
    <x v="9"/>
    <s v="12/2025"/>
    <d v="2025-12-03T00:00:00"/>
    <x v="241"/>
    <n v="3000"/>
    <n v="0"/>
    <n v="0"/>
    <n v="0"/>
    <n v="3000"/>
    <s v="Banco Investimentos"/>
    <x v="0"/>
  </r>
  <r>
    <s v="00362"/>
    <x v="7"/>
    <x v="3"/>
    <s v="12/2025"/>
    <d v="2025-12-03T00:00:00"/>
    <x v="241"/>
    <n v="22.44"/>
    <n v="0"/>
    <n v="0"/>
    <n v="0"/>
    <n v="22.44"/>
    <s v="Dinheiro"/>
    <x v="0"/>
  </r>
  <r>
    <s v="00644"/>
    <x v="511"/>
    <x v="9"/>
    <s v="12/2025"/>
    <d v="2025-12-03T00:00:00"/>
    <x v="241"/>
    <n v="39.9"/>
    <n v="0"/>
    <n v="0"/>
    <n v="0"/>
    <n v="39.9"/>
    <s v="Banco Investimentos"/>
    <x v="0"/>
  </r>
  <r>
    <s v="00302"/>
    <x v="96"/>
    <x v="38"/>
    <s v="12/2025"/>
    <d v="2025-12-03T00:00:00"/>
    <x v="241"/>
    <n v="188"/>
    <n v="0"/>
    <n v="0"/>
    <n v="0"/>
    <n v="188"/>
    <s v="Dinheiro"/>
    <x v="0"/>
  </r>
  <r>
    <s v="00319"/>
    <x v="27"/>
    <x v="16"/>
    <s v="02/2026"/>
    <d v="2025-12-01T00:00:00"/>
    <x v="241"/>
    <n v="1381.38"/>
    <n v="0"/>
    <n v="0"/>
    <n v="0"/>
    <n v="1381.38"/>
    <s v="Dinheiro"/>
    <x v="0"/>
  </r>
  <r>
    <s v="00088"/>
    <x v="29"/>
    <x v="62"/>
    <s v="12/2025"/>
    <d v="2025-12-01T00:00:00"/>
    <x v="241"/>
    <n v="129.97"/>
    <n v="0"/>
    <n v="0"/>
    <n v="0"/>
    <n v="129.97"/>
    <s v="Dinheiro"/>
    <x v="0"/>
  </r>
  <r>
    <s v="00497"/>
    <x v="324"/>
    <x v="47"/>
    <s v="12/2025"/>
    <d v="2025-12-04T00:00:00"/>
    <x v="242"/>
    <n v="111.89"/>
    <n v="0"/>
    <n v="0"/>
    <n v="0"/>
    <n v="111.89"/>
    <s v="Dinheiro"/>
    <x v="0"/>
  </r>
  <r>
    <s v="00362"/>
    <x v="7"/>
    <x v="3"/>
    <s v="12/2025"/>
    <d v="2025-12-04T00:00:00"/>
    <x v="242"/>
    <n v="4.08"/>
    <n v="0"/>
    <n v="0"/>
    <n v="0"/>
    <n v="4.08"/>
    <s v="Dinheiro"/>
    <x v="0"/>
  </r>
  <r>
    <s v="00362"/>
    <x v="7"/>
    <x v="3"/>
    <s v="12/2025"/>
    <d v="2025-12-04T00:00:00"/>
    <x v="242"/>
    <n v="48.96"/>
    <n v="0"/>
    <n v="0"/>
    <n v="0"/>
    <n v="48.96"/>
    <s v="Dinheiro"/>
    <x v="0"/>
  </r>
  <r>
    <s v="00661"/>
    <x v="530"/>
    <x v="27"/>
    <s v="12/2025"/>
    <d v="2025-12-05T00:00:00"/>
    <x v="243"/>
    <n v="10"/>
    <n v="0"/>
    <n v="0"/>
    <n v="0"/>
    <n v="10"/>
    <s v="Dinheiro"/>
    <x v="0"/>
  </r>
  <r>
    <s v="00662"/>
    <x v="531"/>
    <x v="47"/>
    <s v="12/2025"/>
    <d v="2025-12-05T00:00:00"/>
    <x v="243"/>
    <n v="35"/>
    <n v="0"/>
    <n v="0"/>
    <n v="0"/>
    <n v="35"/>
    <s v="Dinheiro"/>
    <x v="0"/>
  </r>
  <r>
    <s v="00168"/>
    <x v="39"/>
    <x v="14"/>
    <s v="12/2025"/>
    <d v="2025-12-05T00:00:00"/>
    <x v="243"/>
    <n v="1000"/>
    <n v="0"/>
    <n v="0"/>
    <n v="0"/>
    <n v="1000"/>
    <s v="Dinheiro"/>
    <x v="0"/>
  </r>
  <r>
    <s v="00454"/>
    <x v="61"/>
    <x v="41"/>
    <s v="12/2025"/>
    <d v="2025-12-05T00:00:00"/>
    <x v="243"/>
    <n v="1000"/>
    <n v="0"/>
    <n v="0"/>
    <n v="0"/>
    <n v="1000"/>
    <s v="Dinheiro"/>
    <x v="0"/>
  </r>
  <r>
    <s v="00454"/>
    <x v="61"/>
    <x v="41"/>
    <s v="12/2025"/>
    <d v="2025-12-05T00:00:00"/>
    <x v="243"/>
    <n v="5000"/>
    <n v="0"/>
    <n v="0"/>
    <n v="0"/>
    <n v="5000"/>
    <s v="Dinheiro"/>
    <x v="0"/>
  </r>
  <r>
    <s v="00388"/>
    <x v="122"/>
    <x v="62"/>
    <s v="12/2025"/>
    <d v="2025-12-05T00:00:00"/>
    <x v="243"/>
    <n v="750"/>
    <n v="0"/>
    <n v="0"/>
    <n v="0"/>
    <n v="750"/>
    <s v="Dinheiro"/>
    <x v="0"/>
  </r>
  <r>
    <s v="00502"/>
    <x v="331"/>
    <x v="15"/>
    <s v="12/2025"/>
    <d v="2025-12-05T00:00:00"/>
    <x v="243"/>
    <n v="2000"/>
    <n v="0"/>
    <n v="0"/>
    <n v="0"/>
    <n v="2000"/>
    <s v="Dinheiro"/>
    <x v="0"/>
  </r>
  <r>
    <s v="00622"/>
    <x v="488"/>
    <x v="41"/>
    <s v="12/2025"/>
    <d v="2025-12-05T00:00:00"/>
    <x v="243"/>
    <n v="382.23"/>
    <n v="0"/>
    <n v="0"/>
    <n v="0"/>
    <n v="382.23"/>
    <s v="Dinheiro"/>
    <x v="0"/>
  </r>
  <r>
    <s v="00464"/>
    <x v="273"/>
    <x v="62"/>
    <s v="12/2025"/>
    <d v="2025-12-05T00:00:00"/>
    <x v="243"/>
    <n v="900"/>
    <n v="0"/>
    <n v="0"/>
    <n v="0"/>
    <n v="900"/>
    <s v="Dinheiro"/>
    <x v="0"/>
  </r>
  <r>
    <s v="00160"/>
    <x v="31"/>
    <x v="15"/>
    <s v="12/2025"/>
    <d v="2025-12-05T00:00:00"/>
    <x v="243"/>
    <n v="1057"/>
    <n v="0"/>
    <n v="0"/>
    <n v="0"/>
    <n v="1057"/>
    <s v="Dinheiro"/>
    <x v="0"/>
  </r>
  <r>
    <s v="00316"/>
    <x v="17"/>
    <x v="15"/>
    <s v="12/2025"/>
    <d v="2025-12-05T00:00:00"/>
    <x v="243"/>
    <n v="1571"/>
    <n v="0"/>
    <n v="0"/>
    <n v="0"/>
    <n v="1571"/>
    <s v="Dinheiro"/>
    <x v="0"/>
  </r>
  <r>
    <s v="00349"/>
    <x v="25"/>
    <x v="15"/>
    <s v="12/2025"/>
    <d v="2025-12-05T00:00:00"/>
    <x v="243"/>
    <n v="1636"/>
    <n v="0"/>
    <n v="0"/>
    <n v="0"/>
    <n v="1636"/>
    <s v="Dinheiro"/>
    <x v="0"/>
  </r>
  <r>
    <s v="00351"/>
    <x v="42"/>
    <x v="15"/>
    <s v="12/2025"/>
    <d v="2025-12-05T00:00:00"/>
    <x v="243"/>
    <n v="1571"/>
    <n v="0"/>
    <n v="0"/>
    <n v="0"/>
    <n v="1571"/>
    <s v="Dinheiro"/>
    <x v="0"/>
  </r>
  <r>
    <s v="00320"/>
    <x v="240"/>
    <x v="69"/>
    <s v="12/2025"/>
    <d v="2025-12-05T00:00:00"/>
    <x v="243"/>
    <n v="248.91"/>
    <n v="0"/>
    <n v="0"/>
    <n v="0"/>
    <n v="248.91"/>
    <s v="Dinheiro"/>
    <x v="0"/>
  </r>
  <r>
    <s v="00362"/>
    <x v="7"/>
    <x v="3"/>
    <s v="12/2025"/>
    <d v="2025-12-05T00:00:00"/>
    <x v="243"/>
    <n v="135.52000000000001"/>
    <n v="0"/>
    <n v="0"/>
    <n v="0"/>
    <n v="135.52000000000001"/>
    <s v="Dinheiro"/>
    <x v="0"/>
  </r>
  <r>
    <s v="00362"/>
    <x v="7"/>
    <x v="3"/>
    <s v="12/2025"/>
    <d v="2025-12-05T00:00:00"/>
    <x v="243"/>
    <n v="2.04"/>
    <n v="0"/>
    <n v="0"/>
    <n v="0"/>
    <n v="2.04"/>
    <s v="Dinheiro"/>
    <x v="0"/>
  </r>
  <r>
    <s v="00168"/>
    <x v="39"/>
    <x v="15"/>
    <s v="12/202"/>
    <d v="2025-12-05T00:00:00"/>
    <x v="243"/>
    <n v="1814"/>
    <n v="0"/>
    <n v="0"/>
    <n v="0"/>
    <n v="1814"/>
    <s v="Dinheiro"/>
    <x v="0"/>
  </r>
  <r>
    <s v="00223"/>
    <x v="32"/>
    <x v="15"/>
    <s v="12/2025"/>
    <d v="2025-12-05T00:00:00"/>
    <x v="243"/>
    <n v="2261"/>
    <n v="0"/>
    <n v="0"/>
    <n v="0"/>
    <n v="2261"/>
    <s v="Dinheiro"/>
    <x v="0"/>
  </r>
  <r>
    <s v="00478"/>
    <x v="290"/>
    <x v="15"/>
    <s v="12/2025"/>
    <d v="2025-12-05T00:00:00"/>
    <x v="243"/>
    <n v="1461"/>
    <n v="0"/>
    <n v="0"/>
    <n v="0"/>
    <n v="1461"/>
    <s v="Dinheiro"/>
    <x v="0"/>
  </r>
  <r>
    <s v="00513"/>
    <x v="342"/>
    <x v="15"/>
    <s v="12/2025"/>
    <d v="2025-12-05T00:00:00"/>
    <x v="243"/>
    <n v="835"/>
    <n v="0"/>
    <n v="0"/>
    <n v="0"/>
    <n v="835"/>
    <s v="Dinheiro"/>
    <x v="0"/>
  </r>
  <r>
    <s v="00447"/>
    <x v="247"/>
    <x v="15"/>
    <s v="12/2025"/>
    <d v="2025-12-05T00:00:00"/>
    <x v="243"/>
    <n v="1384"/>
    <n v="0"/>
    <n v="0"/>
    <n v="0"/>
    <n v="1384"/>
    <s v="Dinheiro"/>
    <x v="0"/>
  </r>
  <r>
    <s v="00448"/>
    <x v="269"/>
    <x v="15"/>
    <s v="12/2025"/>
    <d v="2025-12-05T00:00:00"/>
    <x v="243"/>
    <n v="1571"/>
    <n v="0"/>
    <n v="0"/>
    <n v="0"/>
    <n v="1571"/>
    <s v="Dinheiro"/>
    <x v="0"/>
  </r>
  <r>
    <s v="00474"/>
    <x v="298"/>
    <x v="15"/>
    <s v="12/2025"/>
    <d v="2025-12-05T00:00:00"/>
    <x v="243"/>
    <n v="1542"/>
    <n v="0"/>
    <n v="0"/>
    <n v="0"/>
    <n v="1542"/>
    <s v="Dinheiro"/>
    <x v="0"/>
  </r>
  <r>
    <s v="00289"/>
    <x v="20"/>
    <x v="15"/>
    <s v="12/2025"/>
    <d v="2025-12-05T00:00:00"/>
    <x v="243"/>
    <n v="278"/>
    <n v="0"/>
    <n v="0"/>
    <n v="0"/>
    <n v="278"/>
    <s v="Dinheiro"/>
    <x v="0"/>
  </r>
  <r>
    <s v="00613"/>
    <x v="467"/>
    <x v="15"/>
    <s v="12/2025"/>
    <d v="2025-12-05T00:00:00"/>
    <x v="243"/>
    <n v="1571"/>
    <n v="0"/>
    <n v="0"/>
    <n v="0"/>
    <n v="1571"/>
    <s v="Dinheiro"/>
    <x v="0"/>
  </r>
  <r>
    <s v="00397"/>
    <x v="152"/>
    <x v="15"/>
    <s v="12/2025"/>
    <d v="2025-12-05T00:00:00"/>
    <x v="243"/>
    <n v="1571"/>
    <n v="0"/>
    <n v="0"/>
    <n v="0"/>
    <n v="1571"/>
    <s v="Dinheiro"/>
    <x v="0"/>
  </r>
  <r>
    <s v="00498"/>
    <x v="242"/>
    <x v="15"/>
    <s v="12/2025"/>
    <d v="2025-12-05T00:00:00"/>
    <x v="243"/>
    <n v="1815"/>
    <n v="0"/>
    <n v="0"/>
    <n v="0"/>
    <n v="1815"/>
    <s v="Dinheiro"/>
    <x v="0"/>
  </r>
  <r>
    <s v="00411"/>
    <x v="181"/>
    <x v="15"/>
    <s v="12/2025"/>
    <d v="2025-12-05T00:00:00"/>
    <x v="243"/>
    <n v="1535"/>
    <n v="0"/>
    <n v="0"/>
    <n v="0"/>
    <n v="1535"/>
    <s v="Dinheiro"/>
    <x v="0"/>
  </r>
  <r>
    <s v="00364"/>
    <x v="16"/>
    <x v="15"/>
    <s v="12/2025"/>
    <d v="2025-12-05T00:00:00"/>
    <x v="243"/>
    <n v="1304"/>
    <n v="0"/>
    <n v="0"/>
    <n v="0"/>
    <n v="1304"/>
    <s v="Dinheiro"/>
    <x v="0"/>
  </r>
  <r>
    <s v="00581"/>
    <x v="426"/>
    <x v="15"/>
    <s v="12/2025"/>
    <d v="2025-12-05T00:00:00"/>
    <x v="243"/>
    <n v="1701"/>
    <n v="0"/>
    <n v="0"/>
    <n v="0"/>
    <n v="1701"/>
    <s v="Dinheiro"/>
    <x v="0"/>
  </r>
  <r>
    <s v="00133"/>
    <x v="24"/>
    <x v="15"/>
    <s v="12/2025"/>
    <d v="2025-12-05T00:00:00"/>
    <x v="243"/>
    <n v="1371"/>
    <n v="0"/>
    <n v="0"/>
    <n v="0"/>
    <n v="1371"/>
    <s v="Dinheiro"/>
    <x v="0"/>
  </r>
  <r>
    <s v="00614"/>
    <x v="468"/>
    <x v="15"/>
    <s v="12/2025"/>
    <d v="2025-12-05T00:00:00"/>
    <x v="243"/>
    <n v="1556"/>
    <n v="0"/>
    <n v="0"/>
    <n v="0"/>
    <n v="1556"/>
    <s v="Dinheiro"/>
    <x v="0"/>
  </r>
  <r>
    <s v="00511"/>
    <x v="241"/>
    <x v="15"/>
    <s v="12/2025"/>
    <d v="2025-12-05T00:00:00"/>
    <x v="243"/>
    <n v="1723"/>
    <n v="0"/>
    <n v="0"/>
    <n v="0"/>
    <n v="1723"/>
    <s v="Dinheiro"/>
    <x v="0"/>
  </r>
  <r>
    <s v="00362"/>
    <x v="7"/>
    <x v="3"/>
    <s v="12/2025"/>
    <d v="2025-12-05T00:00:00"/>
    <x v="243"/>
    <n v="30.6"/>
    <n v="0"/>
    <n v="0"/>
    <n v="0"/>
    <n v="30.6"/>
    <s v="Dinheiro"/>
    <x v="0"/>
  </r>
  <r>
    <s v="00014"/>
    <x v="187"/>
    <x v="50"/>
    <s v="12/2025"/>
    <d v="2025-12-01T00:00:00"/>
    <x v="244"/>
    <n v="3876.28"/>
    <n v="0"/>
    <n v="0"/>
    <n v="0"/>
    <n v="3876.28"/>
    <s v="Dinheiro"/>
    <x v="0"/>
  </r>
  <r>
    <s v="00005"/>
    <x v="532"/>
    <x v="18"/>
    <s v="12/2025"/>
    <d v="2025-12-05T00:00:00"/>
    <x v="244"/>
    <n v="2000.7"/>
    <n v="0"/>
    <n v="0"/>
    <n v="0"/>
    <n v="2000.7"/>
    <s v="Dinheiro"/>
    <x v="0"/>
  </r>
  <r>
    <s v="00662"/>
    <x v="531"/>
    <x v="88"/>
    <s v="12/2025"/>
    <d v="2025-12-08T00:00:00"/>
    <x v="244"/>
    <n v="45.9"/>
    <n v="0"/>
    <n v="0"/>
    <n v="0"/>
    <n v="45.9"/>
    <s v="Dinheiro"/>
    <x v="0"/>
  </r>
  <r>
    <s v="00362"/>
    <x v="7"/>
    <x v="3"/>
    <s v="12/2025"/>
    <d v="2025-12-08T00:00:00"/>
    <x v="244"/>
    <n v="91.8"/>
    <n v="0"/>
    <n v="0"/>
    <n v="0"/>
    <n v="91.8"/>
    <s v="Dinheiro"/>
    <x v="0"/>
  </r>
  <r>
    <s v="00362"/>
    <x v="7"/>
    <x v="3"/>
    <s v="12/2025"/>
    <d v="2025-12-09T00:00:00"/>
    <x v="245"/>
    <n v="6.12"/>
    <n v="0"/>
    <n v="0"/>
    <n v="0"/>
    <n v="6.12"/>
    <s v="Dinheiro"/>
    <x v="0"/>
  </r>
  <r>
    <s v="00507"/>
    <x v="339"/>
    <x v="78"/>
    <s v="12/2025"/>
    <d v="2025-12-09T00:00:00"/>
    <x v="245"/>
    <n v="8.61"/>
    <n v="0"/>
    <n v="0"/>
    <n v="0"/>
    <n v="8.61"/>
    <s v="Dinheiro"/>
    <x v="0"/>
  </r>
  <r>
    <s v="00362"/>
    <x v="7"/>
    <x v="3"/>
    <s v="12/2025"/>
    <d v="2025-12-09T00:00:00"/>
    <x v="245"/>
    <n v="53.04"/>
    <n v="0"/>
    <n v="0"/>
    <n v="0"/>
    <n v="53.04"/>
    <s v="Dinheiro"/>
    <x v="0"/>
  </r>
  <r>
    <s v="00362"/>
    <x v="7"/>
    <x v="3"/>
    <s v="12/2025"/>
    <d v="2025-12-09T00:00:00"/>
    <x v="245"/>
    <n v="871.08"/>
    <n v="0"/>
    <n v="0"/>
    <n v="0"/>
    <n v="871.08"/>
    <s v="Dinheiro"/>
    <x v="0"/>
  </r>
  <r>
    <s v="00039"/>
    <x v="231"/>
    <x v="9"/>
    <s v="12/2025"/>
    <d v="2025-12-10T00:00:00"/>
    <x v="252"/>
    <n v="49.800000000000004"/>
    <n v="0"/>
    <n v="0"/>
    <n v="0"/>
    <n v="49.800000000000004"/>
    <s v="Banco Investimentos"/>
    <x v="0"/>
  </r>
  <r>
    <s v="00380"/>
    <x v="91"/>
    <x v="30"/>
    <s v="12/2025"/>
    <d v="2025-12-10T00:00:00"/>
    <x v="252"/>
    <n v="1440"/>
    <n v="0"/>
    <n v="0"/>
    <n v="0"/>
    <n v="1440"/>
    <s v="Dinheiro"/>
    <x v="0"/>
  </r>
  <r>
    <s v="00513"/>
    <x v="342"/>
    <x v="8"/>
    <s v="12/2025"/>
    <d v="2025-12-10T00:00:00"/>
    <x v="252"/>
    <n v="480"/>
    <n v="0"/>
    <n v="0"/>
    <n v="0"/>
    <n v="480"/>
    <s v="Dinheiro"/>
    <x v="0"/>
  </r>
  <r>
    <s v="00564"/>
    <x v="441"/>
    <x v="30"/>
    <s v="12/2025"/>
    <d v="2025-12-10T00:00:00"/>
    <x v="252"/>
    <n v="3760"/>
    <n v="0"/>
    <n v="0"/>
    <n v="0"/>
    <n v="3760"/>
    <s v="Dinheiro"/>
    <x v="0"/>
  </r>
  <r>
    <s v="00237"/>
    <x v="80"/>
    <x v="30"/>
    <s v="12/2025"/>
    <d v="2025-12-10T00:00:00"/>
    <x v="252"/>
    <n v="120"/>
    <n v="0"/>
    <n v="0"/>
    <n v="0"/>
    <n v="120"/>
    <s v="Dinheiro"/>
    <x v="0"/>
  </r>
  <r>
    <s v="00364"/>
    <x v="16"/>
    <x v="8"/>
    <s v="12/2025"/>
    <d v="2025-12-10T00:00:00"/>
    <x v="252"/>
    <n v="360"/>
    <n v="0"/>
    <n v="0"/>
    <n v="0"/>
    <n v="360"/>
    <s v="Dinheiro"/>
    <x v="0"/>
  </r>
  <r>
    <s v="00223"/>
    <x v="32"/>
    <x v="8"/>
    <s v="12/2025"/>
    <d v="2025-12-10T00:00:00"/>
    <x v="252"/>
    <n v="4660"/>
    <n v="0"/>
    <n v="0"/>
    <n v="0"/>
    <n v="4660"/>
    <s v="Dinheiro"/>
    <x v="0"/>
  </r>
  <r>
    <s v="00488"/>
    <x v="312"/>
    <x v="30"/>
    <s v="12/2025"/>
    <d v="2025-12-10T00:00:00"/>
    <x v="252"/>
    <n v="1560"/>
    <n v="0"/>
    <n v="0"/>
    <n v="0"/>
    <n v="1560"/>
    <s v="Dinheiro"/>
    <x v="0"/>
  </r>
  <r>
    <s v="00491"/>
    <x v="315"/>
    <x v="30"/>
    <s v="12/2025"/>
    <d v="2025-12-10T00:00:00"/>
    <x v="252"/>
    <n v="880"/>
    <n v="0"/>
    <n v="0"/>
    <n v="0"/>
    <n v="880"/>
    <s v="Dinheiro"/>
    <x v="0"/>
  </r>
  <r>
    <s v="00454"/>
    <x v="61"/>
    <x v="30"/>
    <s v="12/2025"/>
    <d v="2025-12-10T00:00:00"/>
    <x v="252"/>
    <n v="120"/>
    <n v="0"/>
    <n v="0"/>
    <n v="0"/>
    <n v="120"/>
    <s v="Dinheiro"/>
    <x v="0"/>
  </r>
  <r>
    <s v="00522"/>
    <x v="356"/>
    <x v="30"/>
    <s v="12/2025"/>
    <d v="2025-12-10T00:00:00"/>
    <x v="252"/>
    <n v="2480"/>
    <n v="0"/>
    <n v="0"/>
    <n v="0"/>
    <n v="2480"/>
    <s v="Dinheiro"/>
    <x v="0"/>
  </r>
  <r>
    <s v="00532"/>
    <x v="373"/>
    <x v="29"/>
    <s v="12/2025"/>
    <d v="2025-12-10T00:00:00"/>
    <x v="252"/>
    <n v="240"/>
    <n v="0"/>
    <n v="0"/>
    <n v="0"/>
    <n v="240"/>
    <s v="Dinheiro"/>
    <x v="0"/>
  </r>
  <r>
    <s v="00332"/>
    <x v="28"/>
    <x v="30"/>
    <s v="12/2025"/>
    <d v="2025-12-10T00:00:00"/>
    <x v="252"/>
    <n v="800"/>
    <n v="0"/>
    <n v="0"/>
    <n v="0"/>
    <n v="800"/>
    <s v="Dinheiro"/>
    <x v="0"/>
  </r>
  <r>
    <s v="00190"/>
    <x v="70"/>
    <x v="30"/>
    <s v="12/2025"/>
    <d v="2025-12-10T00:00:00"/>
    <x v="252"/>
    <n v="3120"/>
    <n v="0"/>
    <n v="0"/>
    <n v="0"/>
    <n v="3120"/>
    <s v="Dinheiro"/>
    <x v="0"/>
  </r>
  <r>
    <s v="00432"/>
    <x v="213"/>
    <x v="30"/>
    <s v="12/2025"/>
    <d v="2025-12-10T00:00:00"/>
    <x v="252"/>
    <n v="1200"/>
    <n v="0"/>
    <n v="0"/>
    <n v="0"/>
    <n v="1200"/>
    <s v="Dinheiro"/>
    <x v="0"/>
  </r>
  <r>
    <s v="00278"/>
    <x v="316"/>
    <x v="30"/>
    <s v="12/2025"/>
    <d v="2025-12-10T00:00:00"/>
    <x v="252"/>
    <n v="1200"/>
    <n v="0"/>
    <n v="0"/>
    <n v="0"/>
    <n v="1200"/>
    <s v="Dinheiro"/>
    <x v="0"/>
  </r>
  <r>
    <s v="00316"/>
    <x v="17"/>
    <x v="8"/>
    <s v="12/2025"/>
    <d v="2025-12-10T00:00:00"/>
    <x v="252"/>
    <n v="880"/>
    <n v="0"/>
    <n v="0"/>
    <n v="0"/>
    <n v="880"/>
    <s v="Dinheiro"/>
    <x v="0"/>
  </r>
  <r>
    <s v="00557"/>
    <x v="401"/>
    <x v="30"/>
    <s v="12/2025"/>
    <d v="2025-12-10T00:00:00"/>
    <x v="252"/>
    <n v="1140"/>
    <n v="0"/>
    <n v="0"/>
    <n v="0"/>
    <n v="1140"/>
    <s v="Dinheiro"/>
    <x v="0"/>
  </r>
  <r>
    <s v="00378"/>
    <x v="87"/>
    <x v="30"/>
    <s v="12/2025"/>
    <d v="2025-12-10T00:00:00"/>
    <x v="252"/>
    <n v="240"/>
    <n v="0"/>
    <n v="0"/>
    <n v="0"/>
    <n v="240"/>
    <s v="Dinheiro"/>
    <x v="0"/>
  </r>
  <r>
    <s v="00653"/>
    <x v="533"/>
    <x v="30"/>
    <s v="12/2025"/>
    <d v="2025-12-10T00:00:00"/>
    <x v="252"/>
    <n v="2260"/>
    <n v="0"/>
    <n v="0"/>
    <n v="0"/>
    <n v="2260"/>
    <s v="Dinheiro"/>
    <x v="0"/>
  </r>
  <r>
    <s v="00457"/>
    <x v="219"/>
    <x v="30"/>
    <s v="12/2025"/>
    <d v="2025-12-10T00:00:00"/>
    <x v="252"/>
    <n v="900"/>
    <n v="0"/>
    <n v="0"/>
    <n v="0"/>
    <n v="900"/>
    <s v="Dinheiro"/>
    <x v="0"/>
  </r>
  <r>
    <s v="00478"/>
    <x v="290"/>
    <x v="29"/>
    <s v="12/2025"/>
    <d v="2025-12-10T00:00:00"/>
    <x v="252"/>
    <n v="2240"/>
    <n v="0"/>
    <n v="0"/>
    <n v="0"/>
    <n v="2240"/>
    <s v="Dinheiro"/>
    <x v="0"/>
  </r>
  <r>
    <s v="00521"/>
    <x v="359"/>
    <x v="30"/>
    <s v="12/2025"/>
    <d v="2025-12-10T00:00:00"/>
    <x v="252"/>
    <n v="2680"/>
    <n v="0"/>
    <n v="0"/>
    <n v="0"/>
    <n v="2680"/>
    <s v="Dinheiro"/>
    <x v="0"/>
  </r>
  <r>
    <s v="00636"/>
    <x v="505"/>
    <x v="30"/>
    <s v="12/2025"/>
    <d v="2025-12-10T00:00:00"/>
    <x v="252"/>
    <n v="1840"/>
    <n v="0"/>
    <n v="0"/>
    <n v="0"/>
    <n v="1840"/>
    <s v="Dinheiro"/>
    <x v="0"/>
  </r>
  <r>
    <s v="00601"/>
    <x v="506"/>
    <x v="29"/>
    <s v="12/2025"/>
    <d v="2025-12-10T00:00:00"/>
    <x v="252"/>
    <n v="800"/>
    <n v="0"/>
    <n v="0"/>
    <n v="0"/>
    <n v="800"/>
    <s v="Dinheiro"/>
    <x v="0"/>
  </r>
  <r>
    <s v="00228"/>
    <x v="79"/>
    <x v="29"/>
    <s v="11/2025"/>
    <d v="2025-12-10T00:00:00"/>
    <x v="252"/>
    <n v="480"/>
    <n v="0"/>
    <n v="0"/>
    <n v="0"/>
    <n v="480"/>
    <s v="Dinheiro"/>
    <x v="0"/>
  </r>
  <r>
    <s v="00499"/>
    <x v="328"/>
    <x v="29"/>
    <s v="12/2025"/>
    <d v="2025-12-10T00:00:00"/>
    <x v="252"/>
    <n v="880"/>
    <n v="0"/>
    <n v="0"/>
    <n v="0"/>
    <n v="880"/>
    <s v="Dinheiro"/>
    <x v="0"/>
  </r>
  <r>
    <s v="00235"/>
    <x v="86"/>
    <x v="29"/>
    <s v="12/2025"/>
    <d v="2025-12-10T00:00:00"/>
    <x v="252"/>
    <n v="2640"/>
    <n v="0"/>
    <n v="0"/>
    <n v="0"/>
    <n v="2640"/>
    <s v="Dinheiro"/>
    <x v="0"/>
  </r>
  <r>
    <s v="00187"/>
    <x v="71"/>
    <x v="29"/>
    <s v="12/2025"/>
    <d v="2025-12-10T00:00:00"/>
    <x v="252"/>
    <n v="720"/>
    <n v="0"/>
    <n v="0"/>
    <n v="0"/>
    <n v="720"/>
    <s v="Dinheiro"/>
    <x v="0"/>
  </r>
  <r>
    <s v="00491"/>
    <x v="315"/>
    <x v="29"/>
    <s v="12/2025"/>
    <d v="2025-12-10T00:00:00"/>
    <x v="252"/>
    <n v="2280"/>
    <n v="0"/>
    <n v="0"/>
    <n v="0"/>
    <n v="2280"/>
    <s v="Dinheiro"/>
    <x v="0"/>
  </r>
  <r>
    <s v="00569"/>
    <x v="416"/>
    <x v="29"/>
    <s v="12/2025"/>
    <d v="2025-12-10T00:00:00"/>
    <x v="252"/>
    <n v="160"/>
    <n v="0"/>
    <n v="0"/>
    <n v="0"/>
    <n v="160"/>
    <s v="Dinheiro"/>
    <x v="0"/>
  </r>
  <r>
    <s v="00355"/>
    <x v="83"/>
    <x v="29"/>
    <s v="12/2025"/>
    <d v="2025-12-10T00:00:00"/>
    <x v="252"/>
    <n v="1760"/>
    <n v="0"/>
    <n v="0"/>
    <n v="0"/>
    <n v="1760"/>
    <s v="Dinheiro"/>
    <x v="0"/>
  </r>
  <r>
    <s v="00397"/>
    <x v="152"/>
    <x v="29"/>
    <s v="12/2025"/>
    <d v="2025-12-10T00:00:00"/>
    <x v="252"/>
    <n v="1440"/>
    <n v="0"/>
    <n v="0"/>
    <n v="0"/>
    <n v="1440"/>
    <s v="Dinheiro"/>
    <x v="0"/>
  </r>
  <r>
    <s v="00616"/>
    <x v="482"/>
    <x v="29"/>
    <s v="12/2025"/>
    <d v="2025-12-10T00:00:00"/>
    <x v="252"/>
    <n v="800"/>
    <n v="0"/>
    <n v="0"/>
    <n v="0"/>
    <n v="800"/>
    <s v="Dinheiro"/>
    <x v="0"/>
  </r>
  <r>
    <s v="00560"/>
    <x v="400"/>
    <x v="29"/>
    <s v="12/2025"/>
    <d v="2025-12-10T00:00:00"/>
    <x v="252"/>
    <n v="480"/>
    <n v="0"/>
    <n v="0"/>
    <n v="0"/>
    <n v="480"/>
    <s v="Dinheiro"/>
    <x v="0"/>
  </r>
  <r>
    <s v="00584"/>
    <x v="459"/>
    <x v="29"/>
    <s v="12/2025"/>
    <d v="2025-12-10T00:00:00"/>
    <x v="252"/>
    <n v="720"/>
    <n v="0"/>
    <n v="0"/>
    <n v="0"/>
    <n v="720"/>
    <s v="Dinheiro"/>
    <x v="0"/>
  </r>
  <r>
    <s v="00378"/>
    <x v="87"/>
    <x v="29"/>
    <s v="12/2025"/>
    <d v="2025-12-10T00:00:00"/>
    <x v="252"/>
    <n v="1920"/>
    <n v="0"/>
    <n v="0"/>
    <n v="0"/>
    <n v="1920"/>
    <s v="Dinheiro"/>
    <x v="0"/>
  </r>
  <r>
    <s v="00618"/>
    <x v="481"/>
    <x v="29"/>
    <s v="12/2025"/>
    <d v="2025-12-10T00:00:00"/>
    <x v="252"/>
    <n v="720"/>
    <n v="0"/>
    <n v="0"/>
    <n v="0"/>
    <n v="720"/>
    <s v="Dinheiro"/>
    <x v="0"/>
  </r>
  <r>
    <s v="00643"/>
    <x v="510"/>
    <x v="29"/>
    <s v="12/2025"/>
    <d v="2025-12-10T00:00:00"/>
    <x v="252"/>
    <n v="480"/>
    <n v="0"/>
    <n v="0"/>
    <n v="0"/>
    <n v="480"/>
    <s v="Dinheiro"/>
    <x v="0"/>
  </r>
  <r>
    <s v="00652"/>
    <x v="534"/>
    <x v="29"/>
    <s v="12/2025"/>
    <d v="2025-12-10T00:00:00"/>
    <x v="252"/>
    <n v="320"/>
    <n v="0"/>
    <n v="0"/>
    <n v="0"/>
    <n v="320"/>
    <s v="Dinheiro"/>
    <x v="0"/>
  </r>
  <r>
    <s v="00636"/>
    <x v="505"/>
    <x v="29"/>
    <s v="12/2025"/>
    <d v="2025-12-10T00:00:00"/>
    <x v="252"/>
    <n v="960"/>
    <n v="0"/>
    <n v="0"/>
    <n v="0"/>
    <n v="960"/>
    <s v="Dinheiro"/>
    <x v="0"/>
  </r>
  <r>
    <s v="00502"/>
    <x v="331"/>
    <x v="29"/>
    <s v="12/2025"/>
    <d v="2025-12-10T00:00:00"/>
    <x v="252"/>
    <n v="520"/>
    <n v="0"/>
    <n v="0"/>
    <n v="0"/>
    <n v="520"/>
    <s v="Dinheiro"/>
    <x v="0"/>
  </r>
  <r>
    <s v="00586"/>
    <x v="398"/>
    <x v="29"/>
    <s v="12/2025"/>
    <d v="2025-12-10T00:00:00"/>
    <x v="252"/>
    <n v="960"/>
    <n v="0"/>
    <n v="0"/>
    <n v="0"/>
    <n v="960"/>
    <s v="Dinheiro"/>
    <x v="0"/>
  </r>
  <r>
    <s v="00585"/>
    <x v="442"/>
    <x v="29"/>
    <s v="12/2025"/>
    <d v="2025-12-10T00:00:00"/>
    <x v="252"/>
    <n v="320"/>
    <n v="0"/>
    <n v="0"/>
    <n v="0"/>
    <n v="320"/>
    <s v="Dinheiro"/>
    <x v="0"/>
  </r>
  <r>
    <s v="00653"/>
    <x v="533"/>
    <x v="29"/>
    <s v="12/2025"/>
    <d v="2025-12-10T00:00:00"/>
    <x v="252"/>
    <n v="400"/>
    <n v="0"/>
    <n v="0"/>
    <n v="0"/>
    <n v="400"/>
    <s v="Dinheiro"/>
    <x v="0"/>
  </r>
  <r>
    <s v="00622"/>
    <x v="488"/>
    <x v="29"/>
    <s v="12/2025"/>
    <d v="2025-12-10T00:00:00"/>
    <x v="252"/>
    <n v="1600"/>
    <n v="0"/>
    <n v="0"/>
    <n v="0"/>
    <n v="1600"/>
    <s v="Dinheiro"/>
    <x v="0"/>
  </r>
  <r>
    <s v="00454"/>
    <x v="61"/>
    <x v="29"/>
    <s v="12/2025"/>
    <d v="2025-12-10T00:00:00"/>
    <x v="252"/>
    <n v="1120"/>
    <n v="0"/>
    <n v="0"/>
    <n v="0"/>
    <n v="1120"/>
    <s v="Dinheiro"/>
    <x v="0"/>
  </r>
  <r>
    <s v="00532"/>
    <x v="373"/>
    <x v="30"/>
    <s v="12/2025"/>
    <d v="2025-12-10T00:00:00"/>
    <x v="252"/>
    <n v="240"/>
    <n v="0"/>
    <n v="0"/>
    <n v="0"/>
    <n v="240"/>
    <s v="Dinheiro"/>
    <x v="0"/>
  </r>
  <r>
    <s v="00531"/>
    <x v="372"/>
    <x v="29"/>
    <s v="12/2025"/>
    <d v="2025-12-10T00:00:00"/>
    <x v="252"/>
    <n v="80"/>
    <n v="0"/>
    <n v="0"/>
    <n v="0"/>
    <n v="80"/>
    <s v="Dinheiro"/>
    <x v="0"/>
  </r>
  <r>
    <s v="00190"/>
    <x v="70"/>
    <x v="29"/>
    <s v="12/2025"/>
    <d v="2025-12-10T00:00:00"/>
    <x v="252"/>
    <n v="880"/>
    <n v="0"/>
    <n v="0"/>
    <n v="0"/>
    <n v="880"/>
    <s v="Dinheiro"/>
    <x v="0"/>
  </r>
  <r>
    <s v="00101"/>
    <x v="171"/>
    <x v="58"/>
    <s v="12/2025"/>
    <d v="2025-12-10T00:00:00"/>
    <x v="252"/>
    <n v="605"/>
    <n v="0"/>
    <n v="0"/>
    <n v="0"/>
    <n v="605"/>
    <s v="Dinheiro"/>
    <x v="0"/>
  </r>
  <r>
    <s v="00009"/>
    <x v="53"/>
    <x v="24"/>
    <s v="12/2025"/>
    <d v="2025-12-10T00:00:00"/>
    <x v="252"/>
    <n v="29955.31"/>
    <n v="0"/>
    <n v="0"/>
    <n v="0"/>
    <n v="29955.31"/>
    <s v="Dinheiro"/>
    <x v="0"/>
  </r>
  <r>
    <s v="00509"/>
    <x v="308"/>
    <x v="17"/>
    <s v="12/2025"/>
    <d v="2025-12-10T00:00:00"/>
    <x v="252"/>
    <n v="475.32"/>
    <n v="0"/>
    <n v="0"/>
    <n v="0"/>
    <n v="475.32"/>
    <s v="Dinheiro"/>
    <x v="0"/>
  </r>
  <r>
    <s v="00607"/>
    <x v="52"/>
    <x v="16"/>
    <s v="12/2025"/>
    <d v="2025-12-10T00:00:00"/>
    <x v="252"/>
    <n v="276.26"/>
    <n v="0"/>
    <n v="0"/>
    <n v="0"/>
    <n v="276.26"/>
    <s v="Dinheiro"/>
    <x v="0"/>
  </r>
  <r>
    <s v="00468"/>
    <x v="236"/>
    <x v="34"/>
    <s v="12/2025"/>
    <d v="2025-12-11T00:00:00"/>
    <x v="252"/>
    <n v="2890"/>
    <n v="0"/>
    <n v="0"/>
    <n v="0"/>
    <n v="2890"/>
    <s v="Dinheiro"/>
    <x v="0"/>
  </r>
  <r>
    <s v="00662"/>
    <x v="531"/>
    <x v="59"/>
    <s v="12/2025"/>
    <d v="2025-12-08T00:00:00"/>
    <x v="252"/>
    <n v="77.989999999999995"/>
    <n v="0"/>
    <n v="0"/>
    <n v="0"/>
    <n v="77.989999999999995"/>
    <s v="Dinheiro"/>
    <x v="0"/>
  </r>
  <r>
    <s v="00302"/>
    <x v="96"/>
    <x v="38"/>
    <s v="12/2025"/>
    <d v="2025-12-12T00:00:00"/>
    <x v="252"/>
    <n v="290"/>
    <n v="0"/>
    <n v="0"/>
    <n v="0"/>
    <n v="290"/>
    <s v="Dinheiro"/>
    <x v="0"/>
  </r>
  <r>
    <s v="00454"/>
    <x v="61"/>
    <x v="14"/>
    <s v="12/2025"/>
    <d v="2025-12-10T00:00:00"/>
    <x v="252"/>
    <n v="500"/>
    <n v="0"/>
    <n v="0"/>
    <n v="0"/>
    <n v="500"/>
    <s v="Dinheiro"/>
    <x v="0"/>
  </r>
  <r>
    <s v="00102"/>
    <x v="84"/>
    <x v="10"/>
    <s v="12/2025"/>
    <d v="2025-12-10T00:00:00"/>
    <x v="252"/>
    <n v="1542.38"/>
    <n v="0"/>
    <n v="0"/>
    <n v="0"/>
    <n v="1542.38"/>
    <s v="Dinheiro"/>
    <x v="0"/>
  </r>
  <r>
    <s v="00085"/>
    <x v="49"/>
    <x v="22"/>
    <s v="12/2025"/>
    <d v="2025-12-10T00:00:00"/>
    <x v="252"/>
    <n v="10312.460000000001"/>
    <n v="0"/>
    <n v="0"/>
    <n v="0"/>
    <n v="10312.460000000001"/>
    <s v="Dinheiro"/>
    <x v="0"/>
  </r>
  <r>
    <s v="00663"/>
    <x v="535"/>
    <x v="9"/>
    <s v="12/2025"/>
    <d v="2025-12-10T00:00:00"/>
    <x v="252"/>
    <n v="127.60000000000001"/>
    <n v="0"/>
    <n v="0"/>
    <n v="0"/>
    <n v="127.60000000000001"/>
    <s v="Dinheiro"/>
    <x v="0"/>
  </r>
  <r>
    <s v="00362"/>
    <x v="7"/>
    <x v="34"/>
    <s v="12/2025"/>
    <d v="2025-12-11T00:00:00"/>
    <x v="237"/>
    <n v="2732"/>
    <n v="0"/>
    <n v="0"/>
    <n v="0"/>
    <n v="2732"/>
    <s v="Dinheiro"/>
    <x v="0"/>
  </r>
  <r>
    <s v="00658"/>
    <x v="536"/>
    <x v="59"/>
    <s v="12/2025"/>
    <d v="2025-12-09T00:00:00"/>
    <x v="238"/>
    <n v="18"/>
    <n v="0"/>
    <n v="0"/>
    <n v="0"/>
    <n v="18"/>
    <s v="Dinheiro"/>
    <x v="0"/>
  </r>
  <r>
    <s v="00353"/>
    <x v="61"/>
    <x v="90"/>
    <s v="12/2025"/>
    <d v="2025-12-12T00:00:00"/>
    <x v="238"/>
    <n v="495.6"/>
    <n v="0"/>
    <n v="0"/>
    <n v="0"/>
    <n v="495.6"/>
    <s v="Dinheiro"/>
    <x v="0"/>
  </r>
  <r>
    <s v="00662"/>
    <x v="531"/>
    <x v="85"/>
    <s v="12/2025"/>
    <d v="2025-12-12T00:00:00"/>
    <x v="238"/>
    <n v="274.86"/>
    <n v="0"/>
    <n v="0"/>
    <n v="0"/>
    <n v="274.86"/>
    <s v="Dinheiro"/>
    <x v="0"/>
  </r>
  <r>
    <s v="00168"/>
    <x v="39"/>
    <x v="27"/>
    <s v="12/2025"/>
    <d v="2025-12-12T00:00:00"/>
    <x v="238"/>
    <n v="57"/>
    <n v="0"/>
    <n v="0"/>
    <n v="0"/>
    <n v="57"/>
    <s v="Dinheiro"/>
    <x v="0"/>
  </r>
  <r>
    <s v="00258"/>
    <x v="43"/>
    <x v="0"/>
    <s v="12/2025"/>
    <d v="2025-12-05T00:00:00"/>
    <x v="238"/>
    <n v="1919.04"/>
    <n v="0"/>
    <n v="0"/>
    <n v="0"/>
    <n v="1919.04"/>
    <s v="Dinheiro"/>
    <x v="0"/>
  </r>
  <r>
    <s v="00355"/>
    <x v="83"/>
    <x v="41"/>
    <s v="12/2025"/>
    <d v="2025-12-12T00:00:00"/>
    <x v="238"/>
    <n v="880"/>
    <n v="0"/>
    <n v="0"/>
    <n v="0"/>
    <n v="880"/>
    <s v="Dinheiro"/>
    <x v="0"/>
  </r>
  <r>
    <s v="00511"/>
    <x v="241"/>
    <x v="8"/>
    <s v="12/2025"/>
    <d v="2025-12-12T00:00:00"/>
    <x v="238"/>
    <n v="300"/>
    <n v="0"/>
    <n v="0"/>
    <n v="0"/>
    <n v="300"/>
    <s v="Dinheiro"/>
    <x v="0"/>
  </r>
  <r>
    <s v="00168"/>
    <x v="39"/>
    <x v="8"/>
    <s v="12/2025"/>
    <d v="2025-12-12T00:00:00"/>
    <x v="238"/>
    <n v="600"/>
    <n v="0"/>
    <n v="0"/>
    <n v="0"/>
    <n v="600"/>
    <s v="Dinheiro"/>
    <x v="0"/>
  </r>
  <r>
    <s v="00015"/>
    <x v="363"/>
    <x v="23"/>
    <s v="12/2025"/>
    <d v="2025-12-10T00:00:00"/>
    <x v="238"/>
    <n v="1147.55"/>
    <n v="0"/>
    <n v="0"/>
    <n v="0"/>
    <n v="1147.55"/>
    <s v="Dinheiro"/>
    <x v="0"/>
  </r>
  <r>
    <s v="00546"/>
    <x v="402"/>
    <x v="11"/>
    <s v="12/2025"/>
    <d v="2025-12-10T00:00:00"/>
    <x v="238"/>
    <n v="997.5"/>
    <n v="0"/>
    <n v="0"/>
    <n v="0"/>
    <n v="997.5"/>
    <s v="Dinheiro"/>
    <x v="0"/>
  </r>
  <r>
    <s v="00349"/>
    <x v="25"/>
    <x v="8"/>
    <s v="12/2025"/>
    <d v="2025-12-12T00:00:00"/>
    <x v="238"/>
    <n v="200"/>
    <n v="0"/>
    <n v="0"/>
    <n v="0"/>
    <n v="200"/>
    <s v="Dinheiro"/>
    <x v="0"/>
  </r>
  <r>
    <s v="00074"/>
    <x v="54"/>
    <x v="16"/>
    <s v="12/2025"/>
    <d v="2025-12-12T00:00:00"/>
    <x v="238"/>
    <n v="99"/>
    <n v="0"/>
    <n v="0"/>
    <n v="0"/>
    <n v="99"/>
    <s v="Dinheiro"/>
    <x v="0"/>
  </r>
  <r>
    <s v="00464"/>
    <x v="273"/>
    <x v="8"/>
    <s v="12/2025"/>
    <d v="2025-12-12T00:00:00"/>
    <x v="238"/>
    <n v="100"/>
    <n v="0"/>
    <n v="0"/>
    <n v="0"/>
    <n v="100"/>
    <s v="Dinheiro"/>
    <x v="0"/>
  </r>
  <r>
    <s v="00349"/>
    <x v="25"/>
    <x v="8"/>
    <s v="12/2025"/>
    <d v="2025-12-12T00:00:00"/>
    <x v="238"/>
    <n v="200"/>
    <n v="0"/>
    <n v="0"/>
    <n v="0"/>
    <n v="150"/>
    <s v="Dinheiro"/>
    <x v="0"/>
  </r>
  <r>
    <s v="00154"/>
    <x v="12"/>
    <x v="33"/>
    <s v="12/2025"/>
    <d v="2025-12-12T00:00:00"/>
    <x v="238"/>
    <n v="6000"/>
    <n v="0"/>
    <n v="0"/>
    <n v="0"/>
    <n v="6000"/>
    <s v="Dinheiro"/>
    <x v="0"/>
  </r>
  <r>
    <s v="00526"/>
    <x v="368"/>
    <x v="41"/>
    <s v="12/2025"/>
    <d v="2025-12-15T00:00:00"/>
    <x v="238"/>
    <n v="1500"/>
    <n v="0"/>
    <n v="0"/>
    <n v="0"/>
    <n v="1500"/>
    <s v="Dinheiro"/>
    <x v="0"/>
  </r>
  <r>
    <s v="00362"/>
    <x v="7"/>
    <x v="3"/>
    <s v="12/2025"/>
    <d v="2025-12-12T00:00:00"/>
    <x v="238"/>
    <n v="1773.16"/>
    <n v="0"/>
    <n v="0"/>
    <n v="0"/>
    <n v="1773.16"/>
    <s v="Dinheiro"/>
    <x v="0"/>
  </r>
  <r>
    <s v="00665"/>
    <x v="537"/>
    <x v="45"/>
    <s v="12/2025"/>
    <d v="2025-12-12T00:00:00"/>
    <x v="238"/>
    <n v="7.49"/>
    <n v="0"/>
    <n v="0"/>
    <n v="0"/>
    <n v="7.49"/>
    <s v="Dinheiro"/>
    <x v="0"/>
  </r>
  <r>
    <s v="00478"/>
    <x v="290"/>
    <x v="90"/>
    <s v="12/2025"/>
    <d v="2025-12-12T00:00:00"/>
    <x v="238"/>
    <n v="23.56"/>
    <n v="0"/>
    <n v="0"/>
    <n v="0"/>
    <n v="23.56"/>
    <s v="Dinheiro"/>
    <x v="0"/>
  </r>
  <r>
    <s v="00362"/>
    <x v="7"/>
    <x v="3"/>
    <s v="12/2025"/>
    <d v="2025-12-15T00:00:00"/>
    <x v="253"/>
    <n v="210.38"/>
    <n v="0"/>
    <n v="0"/>
    <n v="0"/>
    <n v="210.38"/>
    <s v="Dinheiro"/>
    <x v="0"/>
  </r>
  <r>
    <s v="00530"/>
    <x v="371"/>
    <x v="11"/>
    <s v="12/2025"/>
    <d v="2025-12-15T00:00:00"/>
    <x v="253"/>
    <n v="400"/>
    <n v="0"/>
    <n v="0"/>
    <n v="0"/>
    <n v="400"/>
    <s v="Dinheiro"/>
    <x v="0"/>
  </r>
  <r>
    <s v="00498"/>
    <x v="242"/>
    <x v="1"/>
    <s v="12/2025"/>
    <d v="2025-12-01T00:00:00"/>
    <x v="253"/>
    <n v="273"/>
    <n v="0"/>
    <n v="0"/>
    <n v="0"/>
    <n v="273"/>
    <s v="Dinheiro"/>
    <x v="0"/>
  </r>
  <r>
    <s v="00397"/>
    <x v="152"/>
    <x v="8"/>
    <s v="12/2025"/>
    <d v="2025-12-15T00:00:00"/>
    <x v="253"/>
    <n v="250"/>
    <n v="0"/>
    <n v="0"/>
    <n v="0"/>
    <n v="250"/>
    <s v="Dinheiro"/>
    <x v="0"/>
  </r>
  <r>
    <s v="00351"/>
    <x v="42"/>
    <x v="8"/>
    <s v="12/2025"/>
    <d v="2025-12-15T00:00:00"/>
    <x v="253"/>
    <n v="250"/>
    <n v="0"/>
    <n v="0"/>
    <n v="0"/>
    <n v="250"/>
    <s v="Dinheiro"/>
    <x v="0"/>
  </r>
  <r>
    <s v="00454"/>
    <x v="61"/>
    <x v="8"/>
    <s v="12/2025"/>
    <d v="2025-12-15T00:00:00"/>
    <x v="253"/>
    <n v="450"/>
    <n v="0"/>
    <n v="0"/>
    <n v="0"/>
    <n v="450"/>
    <s v="Dinheiro"/>
    <x v="0"/>
  </r>
  <r>
    <s v="00416"/>
    <x v="184"/>
    <x v="8"/>
    <s v="12/2025"/>
    <d v="2025-12-15T00:00:00"/>
    <x v="253"/>
    <n v="330"/>
    <n v="0"/>
    <n v="0"/>
    <n v="0"/>
    <n v="330"/>
    <s v="Dinheiro"/>
    <x v="0"/>
  </r>
  <r>
    <s v="00362"/>
    <x v="7"/>
    <x v="3"/>
    <s v="12/2025"/>
    <d v="2025-12-16T00:00:00"/>
    <x v="246"/>
    <n v="8.16"/>
    <n v="0"/>
    <n v="0"/>
    <n v="0"/>
    <n v="8.16"/>
    <s v="Dinheiro"/>
    <x v="0"/>
  </r>
  <r>
    <s v="00285"/>
    <x v="303"/>
    <x v="86"/>
    <s v="12/2025"/>
    <d v="2025-12-15T00:00:00"/>
    <x v="246"/>
    <n v="666"/>
    <n v="0"/>
    <n v="0"/>
    <n v="0"/>
    <n v="666"/>
    <s v="Dinheiro"/>
    <x v="0"/>
  </r>
  <r>
    <s v="00102"/>
    <x v="84"/>
    <x v="10"/>
    <s v="12/2025"/>
    <d v="2025-12-15T00:00:00"/>
    <x v="246"/>
    <n v="714.03"/>
    <n v="0"/>
    <n v="0"/>
    <n v="0"/>
    <n v="714.03"/>
    <s v="Dinheiro"/>
    <x v="0"/>
  </r>
  <r>
    <s v="00103"/>
    <x v="97"/>
    <x v="72"/>
    <s v="12/2025"/>
    <d v="2025-12-15T00:00:00"/>
    <x v="246"/>
    <n v="132"/>
    <n v="0"/>
    <n v="0"/>
    <n v="0"/>
    <n v="134.72999999999999"/>
    <s v="Dinheiro"/>
    <x v="0"/>
  </r>
  <r>
    <s v="00109"/>
    <x v="90"/>
    <x v="35"/>
    <s v="12/2025"/>
    <d v="2025-12-15T00:00:00"/>
    <x v="246"/>
    <n v="217.76"/>
    <n v="0"/>
    <n v="0"/>
    <n v="0"/>
    <n v="217.83"/>
    <s v="Dinheiro"/>
    <x v="0"/>
  </r>
  <r>
    <s v="00614"/>
    <x v="468"/>
    <x v="8"/>
    <s v="12/2025"/>
    <d v="2025-12-16T00:00:00"/>
    <x v="246"/>
    <n v="40"/>
    <n v="0"/>
    <n v="0"/>
    <n v="0"/>
    <n v="40"/>
    <s v="Dinheiro"/>
    <x v="0"/>
  </r>
  <r>
    <s v="00006"/>
    <x v="137"/>
    <x v="53"/>
    <s v="12/2025"/>
    <d v="2025-12-15T00:00:00"/>
    <x v="246"/>
    <n v="1518"/>
    <n v="0"/>
    <n v="0"/>
    <n v="0"/>
    <n v="1524.01"/>
    <s v="Dinheiro"/>
    <x v="0"/>
  </r>
  <r>
    <s v="00581"/>
    <x v="426"/>
    <x v="8"/>
    <s v="12/2025"/>
    <d v="2025-12-12T00:00:00"/>
    <x v="246"/>
    <n v="200"/>
    <n v="0"/>
    <n v="0"/>
    <n v="0"/>
    <n v="200"/>
    <s v="Dinheiro"/>
    <x v="0"/>
  </r>
  <r>
    <s v="00018"/>
    <x v="95"/>
    <x v="16"/>
    <s v="12/2025"/>
    <d v="2025-12-16T00:00:00"/>
    <x v="246"/>
    <n v="650"/>
    <n v="0"/>
    <n v="0"/>
    <n v="0"/>
    <n v="650"/>
    <s v="Dinheiro"/>
    <x v="0"/>
  </r>
  <r>
    <s v="00364"/>
    <x v="16"/>
    <x v="8"/>
    <s v="12/2025"/>
    <d v="2025-12-16T00:00:00"/>
    <x v="246"/>
    <n v="70"/>
    <n v="0"/>
    <n v="0"/>
    <n v="0"/>
    <n v="70"/>
    <s v="Dinheiro"/>
    <x v="0"/>
  </r>
  <r>
    <s v="00106"/>
    <x v="6"/>
    <x v="61"/>
    <s v="12/2025"/>
    <d v="2025-12-15T00:00:00"/>
    <x v="246"/>
    <n v="900"/>
    <n v="0"/>
    <n v="0"/>
    <n v="0"/>
    <n v="900"/>
    <s v="Dinheiro"/>
    <x v="0"/>
  </r>
  <r>
    <s v="00068"/>
    <x v="98"/>
    <x v="39"/>
    <s v="12/2025"/>
    <d v="2025-12-15T00:00:00"/>
    <x v="246"/>
    <n v="1518"/>
    <n v="0"/>
    <n v="0"/>
    <n v="0"/>
    <n v="1548.8600000000001"/>
    <s v="Dinheiro"/>
    <x v="0"/>
  </r>
  <r>
    <s v="00613"/>
    <x v="467"/>
    <x v="8"/>
    <s v="12/2025"/>
    <d v="2025-12-16T00:00:00"/>
    <x v="246"/>
    <n v="40"/>
    <n v="0"/>
    <n v="0"/>
    <n v="0"/>
    <n v="40"/>
    <s v="Dinheiro"/>
    <x v="0"/>
  </r>
  <r>
    <s v="00660"/>
    <x v="538"/>
    <x v="1"/>
    <s v="12/2025"/>
    <d v="2025-12-15T00:00:00"/>
    <x v="246"/>
    <n v="242"/>
    <n v="0"/>
    <n v="0"/>
    <n v="0"/>
    <n v="242"/>
    <s v="Dinheiro"/>
    <x v="0"/>
  </r>
  <r>
    <s v="00447"/>
    <x v="247"/>
    <x v="8"/>
    <s v="12/2025"/>
    <d v="2025-12-16T00:00:00"/>
    <x v="246"/>
    <n v="150"/>
    <n v="0"/>
    <n v="0"/>
    <n v="0"/>
    <n v="150"/>
    <s v="Dinheiro"/>
    <x v="0"/>
  </r>
  <r>
    <s v="00362"/>
    <x v="7"/>
    <x v="3"/>
    <s v="12/2025"/>
    <d v="2025-12-16T00:00:00"/>
    <x v="246"/>
    <n v="2.04"/>
    <n v="0"/>
    <n v="0"/>
    <n v="0"/>
    <n v="2.04"/>
    <s v="Dinheiro"/>
    <x v="0"/>
  </r>
  <r>
    <s v="00466"/>
    <x v="529"/>
    <x v="8"/>
    <s v="12/2025"/>
    <d v="2025-12-16T00:00:00"/>
    <x v="246"/>
    <n v="200"/>
    <n v="0"/>
    <n v="0"/>
    <n v="0"/>
    <n v="200"/>
    <s v="Dinheiro"/>
    <x v="0"/>
  </r>
  <r>
    <s v="00664"/>
    <x v="539"/>
    <x v="9"/>
    <s v="12/2025"/>
    <d v="2025-12-10T00:00:00"/>
    <x v="246"/>
    <n v="32"/>
    <n v="0"/>
    <n v="0"/>
    <n v="0"/>
    <n v="32"/>
    <s v="Banco Investimentos"/>
    <x v="0"/>
  </r>
  <r>
    <s v="00168"/>
    <x v="39"/>
    <x v="90"/>
    <s v="12/2025"/>
    <d v="2025-12-12T00:00:00"/>
    <x v="246"/>
    <n v="110"/>
    <n v="0"/>
    <n v="0"/>
    <n v="0"/>
    <n v="110"/>
    <s v="Dinheiro"/>
    <x v="0"/>
  </r>
  <r>
    <s v="00454"/>
    <x v="61"/>
    <x v="88"/>
    <s v="12/2025"/>
    <d v="2025-12-12T00:00:00"/>
    <x v="246"/>
    <n v="116.2"/>
    <n v="0"/>
    <n v="0"/>
    <n v="0"/>
    <n v="116.2"/>
    <s v="Dinheiro"/>
    <x v="0"/>
  </r>
  <r>
    <s v="00005"/>
    <x v="532"/>
    <x v="18"/>
    <s v="11/2025"/>
    <d v="2025-11-05T00:00:00"/>
    <x v="247"/>
    <n v="1950"/>
    <n v="0"/>
    <n v="0"/>
    <n v="0"/>
    <n v="1950"/>
    <s v="Dinheiro"/>
    <x v="0"/>
  </r>
  <r>
    <s v="00477"/>
    <x v="288"/>
    <x v="11"/>
    <s v="12/2025"/>
    <d v="2025-12-17T00:00:00"/>
    <x v="247"/>
    <n v="770"/>
    <n v="0"/>
    <n v="0"/>
    <n v="0"/>
    <n v="770"/>
    <s v="Dinheiro"/>
    <x v="0"/>
  </r>
  <r>
    <s v="00024"/>
    <x v="0"/>
    <x v="0"/>
    <s v="12/2025"/>
    <d v="2025-12-17T00:00:00"/>
    <x v="247"/>
    <n v="1000"/>
    <n v="0"/>
    <n v="0"/>
    <n v="0"/>
    <n v="1000"/>
    <s v="Dinheiro"/>
    <x v="0"/>
  </r>
  <r>
    <s v="00193"/>
    <x v="3"/>
    <x v="0"/>
    <s v="12/2025"/>
    <d v="2025-12-17T00:00:00"/>
    <x v="247"/>
    <n v="1832.1000000000001"/>
    <n v="0"/>
    <n v="0"/>
    <n v="0"/>
    <n v="1832.1000000000001"/>
    <s v="Dinheiro"/>
    <x v="0"/>
  </r>
  <r>
    <s v="00193"/>
    <x v="3"/>
    <x v="0"/>
    <s v="12/2025"/>
    <d v="2025-12-17T00:00:00"/>
    <x v="247"/>
    <n v="1000"/>
    <n v="0"/>
    <n v="0"/>
    <n v="0"/>
    <n v="1000"/>
    <s v="Dinheiro"/>
    <x v="0"/>
  </r>
  <r>
    <s v="00362"/>
    <x v="7"/>
    <x v="34"/>
    <s v="12/2025"/>
    <d v="2025-12-17T00:00:00"/>
    <x v="247"/>
    <n v="5381.79"/>
    <n v="0"/>
    <n v="0"/>
    <n v="0"/>
    <n v="5381.79"/>
    <s v="Dinheiro"/>
    <x v="0"/>
  </r>
  <r>
    <s v="00024"/>
    <x v="0"/>
    <x v="0"/>
    <s v="12/2025"/>
    <d v="2025-12-17T00:00:00"/>
    <x v="247"/>
    <n v="1167.9000000000001"/>
    <n v="0"/>
    <n v="0"/>
    <n v="0"/>
    <n v="1167.9000000000001"/>
    <s v="Dinheiro"/>
    <x v="0"/>
  </r>
  <r>
    <s v="00362"/>
    <x v="7"/>
    <x v="3"/>
    <s v="12/2025"/>
    <d v="2025-12-10T00:00:00"/>
    <x v="247"/>
    <n v="4.08"/>
    <n v="0"/>
    <n v="0"/>
    <n v="0"/>
    <n v="4.08"/>
    <s v="Dinheiro"/>
    <x v="0"/>
  </r>
  <r>
    <s v="00667"/>
    <x v="540"/>
    <x v="28"/>
    <s v="12/2025"/>
    <d v="2025-12-18T00:00:00"/>
    <x v="248"/>
    <n v="99"/>
    <n v="0"/>
    <n v="0"/>
    <n v="0"/>
    <n v="99"/>
    <s v="Dinheiro"/>
    <x v="0"/>
  </r>
  <r>
    <s v="00316"/>
    <x v="17"/>
    <x v="31"/>
    <s v="12/2025"/>
    <d v="2025-12-18T00:00:00"/>
    <x v="248"/>
    <n v="2245.16"/>
    <n v="0"/>
    <n v="0"/>
    <n v="0"/>
    <n v="2245.16"/>
    <s v="Dinheiro"/>
    <x v="0"/>
  </r>
  <r>
    <n v="668"/>
    <x v="541"/>
    <x v="93"/>
    <d v="2025-12-01T00:00:00"/>
    <d v="2025-12-19T00:00:00"/>
    <x v="249"/>
    <n v="333"/>
    <n v="0"/>
    <n v="0"/>
    <n v="0"/>
    <n v="333"/>
    <s v="Dinheiro"/>
    <x v="0"/>
  </r>
  <r>
    <s v="00351"/>
    <x v="42"/>
    <x v="55"/>
    <s v="12/2025"/>
    <d v="2025-12-19T00:00:00"/>
    <x v="249"/>
    <n v="580"/>
    <n v="0"/>
    <n v="0"/>
    <n v="0"/>
    <n v="580"/>
    <s v="Dinheiro"/>
    <x v="0"/>
  </r>
  <r>
    <s v="00349"/>
    <x v="25"/>
    <x v="55"/>
    <s v="12/2025"/>
    <d v="2025-12-19T00:00:00"/>
    <x v="249"/>
    <n v="516"/>
    <n v="0"/>
    <n v="0"/>
    <n v="0"/>
    <n v="516"/>
    <s v="Dinheiro"/>
    <x v="0"/>
  </r>
  <r>
    <s v="00160"/>
    <x v="31"/>
    <x v="55"/>
    <s v="12/2025"/>
    <d v="2025-12-19T00:00:00"/>
    <x v="249"/>
    <n v="770"/>
    <n v="0"/>
    <n v="0"/>
    <n v="0"/>
    <n v="770"/>
    <s v="Dinheiro"/>
    <x v="0"/>
  </r>
  <r>
    <s v="00416"/>
    <x v="184"/>
    <x v="55"/>
    <s v="12/2025"/>
    <d v="2025-12-19T00:00:00"/>
    <x v="249"/>
    <n v="580"/>
    <n v="0"/>
    <n v="0"/>
    <n v="0"/>
    <n v="580"/>
    <s v="Dinheiro"/>
    <x v="0"/>
  </r>
  <r>
    <s v="00104"/>
    <x v="380"/>
    <x v="43"/>
    <s v="12/2025"/>
    <d v="2025-12-19T00:00:00"/>
    <x v="249"/>
    <n v="2506.2200000000003"/>
    <n v="0"/>
    <n v="0"/>
    <n v="0"/>
    <n v="2506.2200000000003"/>
    <s v="Dinheiro"/>
    <x v="0"/>
  </r>
  <r>
    <s v="00104"/>
    <x v="380"/>
    <x v="43"/>
    <s v="12/2025"/>
    <d v="2025-12-19T00:00:00"/>
    <x v="249"/>
    <n v="2340.96"/>
    <n v="0"/>
    <n v="0"/>
    <n v="0"/>
    <n v="2340.96"/>
    <s v="Dinheiro"/>
    <x v="0"/>
  </r>
  <r>
    <s v="00104"/>
    <x v="380"/>
    <x v="80"/>
    <s v="12/2025"/>
    <d v="2025-12-19T00:00:00"/>
    <x v="249"/>
    <n v="74.48"/>
    <n v="0"/>
    <n v="0"/>
    <n v="0"/>
    <n v="74.48"/>
    <s v="Dinheiro"/>
    <x v="0"/>
  </r>
  <r>
    <s v="00072"/>
    <x v="105"/>
    <x v="40"/>
    <s v="12/2025"/>
    <d v="2025-12-19T00:00:00"/>
    <x v="249"/>
    <n v="14220.970000000001"/>
    <n v="0"/>
    <n v="0"/>
    <n v="0"/>
    <n v="14220.970000000001"/>
    <s v="Dinheiro"/>
    <x v="0"/>
  </r>
  <r>
    <s v="00364"/>
    <x v="16"/>
    <x v="55"/>
    <s v="12/2025"/>
    <d v="2025-12-19T00:00:00"/>
    <x v="249"/>
    <n v="645"/>
    <n v="0"/>
    <n v="0"/>
    <n v="0"/>
    <n v="645"/>
    <s v="Dinheiro"/>
    <x v="0"/>
  </r>
  <r>
    <s v="00291"/>
    <x v="35"/>
    <x v="55"/>
    <s v="12/2025"/>
    <d v="2025-12-19T00:00:00"/>
    <x v="249"/>
    <n v="65"/>
    <n v="0"/>
    <n v="0"/>
    <n v="0"/>
    <n v="65"/>
    <s v="Dinheiro"/>
    <x v="0"/>
  </r>
  <r>
    <s v="00606"/>
    <x v="457"/>
    <x v="55"/>
    <s v="12/2025"/>
    <d v="2025-12-19T00:00:00"/>
    <x v="249"/>
    <n v="194"/>
    <n v="0"/>
    <n v="0"/>
    <n v="0"/>
    <n v="194"/>
    <s v="Dinheiro"/>
    <x v="0"/>
  </r>
  <r>
    <s v="00511"/>
    <x v="241"/>
    <x v="55"/>
    <s v="12/2025"/>
    <d v="2025-12-19T00:00:00"/>
    <x v="249"/>
    <n v="638"/>
    <n v="0"/>
    <n v="0"/>
    <n v="0"/>
    <n v="638"/>
    <s v="Dinheiro"/>
    <x v="0"/>
  </r>
  <r>
    <s v="00614"/>
    <x v="468"/>
    <x v="55"/>
    <s v="12/2025"/>
    <d v="2025-12-19T00:00:00"/>
    <x v="249"/>
    <n v="129"/>
    <n v="0"/>
    <n v="0"/>
    <n v="0"/>
    <n v="129"/>
    <s v="Dinheiro"/>
    <x v="0"/>
  </r>
  <r>
    <s v="00133"/>
    <x v="24"/>
    <x v="55"/>
    <s v="12/2025"/>
    <d v="2025-12-19T00:00:00"/>
    <x v="249"/>
    <n v="770"/>
    <n v="0"/>
    <n v="0"/>
    <n v="0"/>
    <n v="770"/>
    <s v="Dinheiro"/>
    <x v="0"/>
  </r>
  <r>
    <s v="00168"/>
    <x v="39"/>
    <x v="55"/>
    <s v="12/2025"/>
    <d v="2025-12-19T00:00:00"/>
    <x v="249"/>
    <n v="887"/>
    <n v="0"/>
    <n v="0"/>
    <n v="0"/>
    <n v="887"/>
    <s v="Dinheiro"/>
    <x v="0"/>
  </r>
  <r>
    <s v="00411"/>
    <x v="181"/>
    <x v="55"/>
    <s v="12/2025"/>
    <d v="2025-12-19T00:00:00"/>
    <x v="249"/>
    <n v="580"/>
    <n v="0"/>
    <n v="0"/>
    <n v="0"/>
    <n v="580"/>
    <s v="Dinheiro"/>
    <x v="0"/>
  </r>
  <r>
    <s v="00498"/>
    <x v="242"/>
    <x v="55"/>
    <s v="12/2025"/>
    <d v="2025-12-19T00:00:00"/>
    <x v="249"/>
    <n v="887"/>
    <n v="0"/>
    <n v="0"/>
    <n v="0"/>
    <n v="887"/>
    <s v="Dinheiro"/>
    <x v="0"/>
  </r>
  <r>
    <s v="00397"/>
    <x v="152"/>
    <x v="55"/>
    <s v="12/2025"/>
    <d v="2025-12-19T00:00:00"/>
    <x v="249"/>
    <n v="645"/>
    <n v="0"/>
    <n v="0"/>
    <n v="0"/>
    <n v="645"/>
    <s v="Dinheiro"/>
    <x v="0"/>
  </r>
  <r>
    <s v="00613"/>
    <x v="467"/>
    <x v="55"/>
    <s v="12/2025"/>
    <d v="2025-12-19T00:00:00"/>
    <x v="249"/>
    <n v="129"/>
    <n v="0"/>
    <n v="0"/>
    <n v="0"/>
    <n v="129"/>
    <s v="Dinheiro"/>
    <x v="0"/>
  </r>
  <r>
    <s v="00289"/>
    <x v="20"/>
    <x v="55"/>
    <s v="12/2025"/>
    <d v="2025-12-19T00:00:00"/>
    <x v="249"/>
    <n v="770"/>
    <n v="0"/>
    <n v="0"/>
    <n v="0"/>
    <n v="770"/>
    <s v="Dinheiro"/>
    <x v="0"/>
  </r>
  <r>
    <s v="00474"/>
    <x v="298"/>
    <x v="55"/>
    <s v="12/2025"/>
    <d v="2025-12-19T00:00:00"/>
    <x v="249"/>
    <n v="451"/>
    <n v="0"/>
    <n v="0"/>
    <n v="0"/>
    <n v="451"/>
    <s v="Dinheiro"/>
    <x v="0"/>
  </r>
  <r>
    <s v="00304"/>
    <x v="494"/>
    <x v="55"/>
    <s v="12/2025"/>
    <d v="2025-12-19T00:00:00"/>
    <x v="249"/>
    <n v="770"/>
    <n v="0"/>
    <n v="0"/>
    <n v="0"/>
    <n v="770"/>
    <s v="Dinheiro"/>
    <x v="0"/>
  </r>
  <r>
    <s v="00223"/>
    <x v="32"/>
    <x v="55"/>
    <s v="12/2025"/>
    <d v="2025-12-19T00:00:00"/>
    <x v="249"/>
    <n v="1102"/>
    <n v="0"/>
    <n v="0"/>
    <n v="0"/>
    <n v="1102"/>
    <s v="Dinheiro"/>
    <x v="0"/>
  </r>
  <r>
    <s v="00478"/>
    <x v="290"/>
    <x v="55"/>
    <s v="12/2025"/>
    <d v="2025-12-19T00:00:00"/>
    <x v="249"/>
    <n v="387"/>
    <n v="0"/>
    <n v="0"/>
    <n v="0"/>
    <n v="387"/>
    <s v="Dinheiro"/>
    <x v="0"/>
  </r>
  <r>
    <s v="00513"/>
    <x v="342"/>
    <x v="55"/>
    <s v="12/2025"/>
    <d v="2025-12-19T00:00:00"/>
    <x v="249"/>
    <n v="323"/>
    <n v="0"/>
    <n v="0"/>
    <n v="0"/>
    <n v="323"/>
    <s v="Dinheiro"/>
    <x v="0"/>
  </r>
  <r>
    <s v="00447"/>
    <x v="247"/>
    <x v="55"/>
    <s v="12/2025"/>
    <d v="2025-12-19T00:00:00"/>
    <x v="249"/>
    <n v="580"/>
    <n v="0"/>
    <n v="0"/>
    <n v="0"/>
    <n v="580"/>
    <s v="Dinheiro"/>
    <x v="0"/>
  </r>
  <r>
    <s v="00448"/>
    <x v="269"/>
    <x v="55"/>
    <s v="12/2025"/>
    <d v="2025-12-19T00:00:00"/>
    <x v="249"/>
    <n v="516"/>
    <n v="0"/>
    <n v="0"/>
    <n v="0"/>
    <n v="516"/>
    <s v="Dinheiro"/>
    <x v="0"/>
  </r>
  <r>
    <s v="00362"/>
    <x v="7"/>
    <x v="3"/>
    <s v="12/2025"/>
    <d v="2025-12-22T00:00:00"/>
    <x v="250"/>
    <n v="2.04"/>
    <n v="0"/>
    <n v="0"/>
    <n v="0"/>
    <n v="2.04"/>
    <s v="Dinheiro"/>
    <x v="0"/>
  </r>
  <r>
    <s v="00448"/>
    <x v="269"/>
    <x v="8"/>
    <s v="12/2025"/>
    <d v="2025-12-16T00:00:00"/>
    <x v="250"/>
    <n v="150"/>
    <n v="0"/>
    <n v="0"/>
    <n v="0"/>
    <n v="150"/>
    <s v="Dinheiro"/>
    <x v="0"/>
  </r>
  <r>
    <s v="00669"/>
    <x v="542"/>
    <x v="9"/>
    <s v="12/2025"/>
    <d v="2025-12-22T00:00:00"/>
    <x v="250"/>
    <n v="648"/>
    <n v="0"/>
    <n v="0"/>
    <n v="0"/>
    <n v="648"/>
    <s v="Banco Investimentos"/>
    <x v="0"/>
  </r>
  <r>
    <s v="00447"/>
    <x v="247"/>
    <x v="9"/>
    <s v="12/2025"/>
    <d v="2025-12-22T00:00:00"/>
    <x v="250"/>
    <n v="369.8"/>
    <n v="0"/>
    <n v="0"/>
    <n v="0"/>
    <n v="369.8"/>
    <s v="Banco Investimentos"/>
    <x v="0"/>
  </r>
  <r>
    <s v="00528"/>
    <x v="321"/>
    <x v="41"/>
    <s v="12/2025"/>
    <d v="2025-12-22T00:00:00"/>
    <x v="250"/>
    <n v="1500"/>
    <n v="0"/>
    <n v="0"/>
    <n v="0"/>
    <n v="1500"/>
    <s v="Dinheiro"/>
    <x v="0"/>
  </r>
  <r>
    <s v="00403"/>
    <x v="160"/>
    <x v="9"/>
    <s v="12/2025"/>
    <d v="2025-12-22T00:00:00"/>
    <x v="250"/>
    <n v="500"/>
    <n v="0"/>
    <n v="0"/>
    <n v="0"/>
    <n v="500"/>
    <s v="Banco Investimentos"/>
    <x v="0"/>
  </r>
  <r>
    <s v="00022"/>
    <x v="115"/>
    <x v="68"/>
    <s v="12/2025"/>
    <d v="2025-12-19T00:00:00"/>
    <x v="250"/>
    <n v="4714.87"/>
    <n v="0"/>
    <n v="0"/>
    <n v="0"/>
    <n v="4714.87"/>
    <s v="Dinheiro"/>
    <x v="0"/>
  </r>
  <r>
    <s v="00022"/>
    <x v="115"/>
    <x v="68"/>
    <s v="12/2025"/>
    <d v="2025-12-22T00:00:00"/>
    <x v="250"/>
    <n v="252.06"/>
    <n v="0"/>
    <n v="0"/>
    <n v="0"/>
    <n v="252.06"/>
    <s v="Dinheiro"/>
    <x v="0"/>
  </r>
  <r>
    <s v="00403"/>
    <x v="160"/>
    <x v="38"/>
    <s v="12/2025"/>
    <d v="2025-12-22T00:00:00"/>
    <x v="250"/>
    <n v="150"/>
    <n v="0"/>
    <n v="0"/>
    <n v="0"/>
    <n v="150"/>
    <s v="Banco Investimentos"/>
    <x v="0"/>
  </r>
  <r>
    <s v="00362"/>
    <x v="7"/>
    <x v="3"/>
    <s v="12/2025"/>
    <d v="2025-12-23T00:00:00"/>
    <x v="254"/>
    <n v="8.16"/>
    <n v="0"/>
    <n v="0"/>
    <n v="0"/>
    <n v="8.16"/>
    <s v="Dinheiro"/>
    <x v="0"/>
  </r>
  <r>
    <s v="00576"/>
    <x v="456"/>
    <x v="11"/>
    <s v="12/2025"/>
    <d v="2025-12-23T00:00:00"/>
    <x v="254"/>
    <n v="81.72"/>
    <n v="0"/>
    <n v="0"/>
    <n v="0"/>
    <n v="81.72"/>
    <s v="Dinheiro"/>
    <x v="0"/>
  </r>
  <r>
    <s v="00011"/>
    <x v="45"/>
    <x v="16"/>
    <s v="12/2025"/>
    <d v="2025-12-23T00:00:00"/>
    <x v="254"/>
    <n v="960.42000000000007"/>
    <n v="0"/>
    <n v="0"/>
    <n v="0"/>
    <n v="960.42000000000007"/>
    <s v="Dinheiro"/>
    <x v="0"/>
  </r>
  <r>
    <s v="00011"/>
    <x v="45"/>
    <x v="16"/>
    <s v="12/2025"/>
    <d v="2025-12-23T00:00:00"/>
    <x v="254"/>
    <n v="807.08"/>
    <n v="0"/>
    <n v="0"/>
    <n v="0"/>
    <n v="807.08"/>
    <s v="Dinheiro"/>
    <x v="0"/>
  </r>
  <r>
    <s v="00011"/>
    <x v="45"/>
    <x v="16"/>
    <s v="12/2025"/>
    <d v="2025-12-23T00:00:00"/>
    <x v="254"/>
    <n v="586.44000000000005"/>
    <n v="0"/>
    <n v="0"/>
    <n v="0"/>
    <n v="586.44000000000005"/>
    <s v="Dinheiro"/>
    <x v="0"/>
  </r>
  <r>
    <s v="RAD250266"/>
    <x v="543"/>
    <x v="28"/>
    <s v="12/2025"/>
    <d v="2025-12-24T00:00:00"/>
    <x v="255"/>
    <n v="99"/>
    <n v="0"/>
    <n v="0"/>
    <n v="0"/>
    <n v="99"/>
    <s v="Dinheiro"/>
    <x v="0"/>
  </r>
  <r>
    <s v="00362"/>
    <x v="7"/>
    <x v="3"/>
    <s v="12/2025"/>
    <d v="2025-12-24T00:00:00"/>
    <x v="255"/>
    <n v="2.04"/>
    <n v="0"/>
    <n v="0"/>
    <n v="0"/>
    <n v="2.04"/>
    <s v="Dinheiro"/>
    <x v="0"/>
  </r>
  <r>
    <s v="00362"/>
    <x v="7"/>
    <x v="3"/>
    <s v="12/2025"/>
    <d v="2025-12-24T00:00:00"/>
    <x v="255"/>
    <n v="4.08"/>
    <n v="0"/>
    <n v="0"/>
    <n v="0"/>
    <n v="4.08"/>
    <s v="Dinheiro"/>
    <x v="0"/>
  </r>
  <r>
    <s v="00362"/>
    <x v="7"/>
    <x v="3"/>
    <s v="12/2025"/>
    <d v="2025-12-26T00:00:00"/>
    <x v="256"/>
    <n v="2.04"/>
    <n v="0"/>
    <n v="0"/>
    <n v="0"/>
    <n v="2.04"/>
    <s v="Dinheiro"/>
    <x v="0"/>
  </r>
  <r>
    <s v="00362"/>
    <x v="7"/>
    <x v="34"/>
    <s v="12/2025"/>
    <d v="2025-12-26T00:00:00"/>
    <x v="256"/>
    <n v="1953"/>
    <n v="0"/>
    <n v="0"/>
    <n v="0"/>
    <n v="1953"/>
    <s v="Dinheiro"/>
    <x v="0"/>
  </r>
  <r>
    <s v="00362"/>
    <x v="7"/>
    <x v="34"/>
    <s v="12/2025"/>
    <d v="2025-12-26T00:00:00"/>
    <x v="256"/>
    <n v="2215.25"/>
    <n v="0"/>
    <n v="0"/>
    <n v="0"/>
    <n v="2215.25"/>
    <s v="Dinheiro"/>
    <x v="0"/>
  </r>
  <r>
    <s v="00022"/>
    <x v="115"/>
    <x v="68"/>
    <s v="12/2025"/>
    <d v="2025-12-22T00:00:00"/>
    <x v="251"/>
    <n v="547.38"/>
    <n v="0"/>
    <n v="0"/>
    <n v="0"/>
    <n v="547.38"/>
    <s v="Dinheiro"/>
    <x v="0"/>
  </r>
  <r>
    <s v="00381"/>
    <x v="99"/>
    <x v="26"/>
    <s v="12/2025"/>
    <d v="2025-12-25T00:00:00"/>
    <x v="251"/>
    <n v="390"/>
    <n v="0"/>
    <n v="0"/>
    <n v="0"/>
    <n v="434.19"/>
    <s v="Dinheiro"/>
    <x v="0"/>
  </r>
  <r>
    <s v="00122"/>
    <x v="381"/>
    <x v="17"/>
    <s v="12/2025"/>
    <d v="2025-12-20T00:00:00"/>
    <x v="251"/>
    <n v="1000"/>
    <n v="0"/>
    <n v="0"/>
    <n v="0"/>
    <n v="1126.6400000000001"/>
    <s v="Dinheiro"/>
    <x v="0"/>
  </r>
  <r>
    <s v="00067"/>
    <x v="132"/>
    <x v="51"/>
    <s v="12/2025"/>
    <d v="2025-12-25T00:00:00"/>
    <x v="251"/>
    <n v="370"/>
    <n v="0"/>
    <n v="0"/>
    <n v="0"/>
    <n v="377.22"/>
    <s v="Dinheiro"/>
    <x v="0"/>
  </r>
  <r>
    <s v="00077"/>
    <x v="237"/>
    <x v="66"/>
    <s v="12/2025"/>
    <d v="2025-12-20T00:00:00"/>
    <x v="251"/>
    <n v="350"/>
    <n v="0"/>
    <n v="0"/>
    <n v="0"/>
    <n v="359.07"/>
    <s v="Dinheiro"/>
    <x v="0"/>
  </r>
  <r>
    <s v="00662"/>
    <x v="531"/>
    <x v="25"/>
    <s v="12/2025"/>
    <d v="2025-12-29T00:00:00"/>
    <x v="251"/>
    <n v="55.1"/>
    <n v="0"/>
    <n v="0"/>
    <n v="0"/>
    <n v="55.1"/>
    <s v="Dinheiro"/>
    <x v="0"/>
  </r>
  <r>
    <s v="00362"/>
    <x v="7"/>
    <x v="3"/>
    <s v="12/2025"/>
    <d v="2025-12-29T00:00:00"/>
    <x v="251"/>
    <n v="4.08"/>
    <n v="0"/>
    <n v="0"/>
    <n v="0"/>
    <n v="4.08"/>
    <s v="Dinheiro"/>
    <x v="0"/>
  </r>
  <r>
    <s v="00362"/>
    <x v="7"/>
    <x v="3"/>
    <s v="12/2025"/>
    <d v="2025-12-29T00:00:00"/>
    <x v="251"/>
    <n v="14.280000000000001"/>
    <n v="0"/>
    <n v="0"/>
    <n v="0"/>
    <n v="14.280000000000001"/>
    <s v="Dinheiro"/>
    <x v="0"/>
  </r>
  <r>
    <s v="RAD250141"/>
    <x v="544"/>
    <x v="20"/>
    <s v="12/2025"/>
    <d v="2025-12-29T00:00:00"/>
    <x v="251"/>
    <n v="345.90000000000003"/>
    <n v="0"/>
    <n v="0"/>
    <n v="0"/>
    <n v="345.90000000000003"/>
    <s v="Dinheiro"/>
    <x v="0"/>
  </r>
  <r>
    <s v="00362"/>
    <x v="7"/>
    <x v="48"/>
    <s v="12/2025"/>
    <d v="2025-12-30T00:00:00"/>
    <x v="257"/>
    <n v="13710.130000000001"/>
    <n v="0"/>
    <n v="0"/>
    <n v="0"/>
    <n v="11910"/>
    <s v="Dinheiro"/>
    <x v="0"/>
  </r>
  <r>
    <s v="00065"/>
    <x v="92"/>
    <x v="36"/>
    <s v="12/2025"/>
    <d v="2025-12-15T00:00:00"/>
    <x v="257"/>
    <n v="10312.460000000001"/>
    <n v="0"/>
    <n v="0"/>
    <n v="0"/>
    <n v="10312.460000000001"/>
    <s v="Dinheiro"/>
    <x v="0"/>
  </r>
  <r>
    <s v="00102"/>
    <x v="84"/>
    <x v="10"/>
    <s v="12/2025"/>
    <d v="2025-12-15T00:00:00"/>
    <x v="257"/>
    <n v="3084.76"/>
    <n v="0"/>
    <n v="0"/>
    <n v="0"/>
    <n v="3084.76"/>
    <s v="Dinheiro"/>
    <x v="0"/>
  </r>
  <r>
    <s v="00362"/>
    <x v="7"/>
    <x v="3"/>
    <s v="12/2025"/>
    <d v="2025-12-29T00:00:00"/>
    <x v="257"/>
    <n v="12.24"/>
    <n v="0"/>
    <n v="0"/>
    <n v="0"/>
    <n v="12.24"/>
    <s v="Dinheiro"/>
    <x v="0"/>
  </r>
  <r>
    <s v="00039"/>
    <x v="231"/>
    <x v="9"/>
    <s v="12/2025"/>
    <d v="2025-12-30T00:00:00"/>
    <x v="257"/>
    <n v="36.880000000000003"/>
    <n v="0"/>
    <n v="0"/>
    <n v="0"/>
    <n v="36.880000000000003"/>
    <s v="Banco Investimentos"/>
    <x v="0"/>
  </r>
  <r>
    <s v="00036"/>
    <x v="109"/>
    <x v="45"/>
    <s v="12/2025"/>
    <d v="2025-12-30T00:00:00"/>
    <x v="257"/>
    <n v="38.950000000000003"/>
    <n v="0"/>
    <n v="0"/>
    <n v="0"/>
    <n v="38.950000000000003"/>
    <s v="Dinheiro"/>
    <x v="0"/>
  </r>
  <r>
    <s v="00168"/>
    <x v="39"/>
    <x v="27"/>
    <s v="12/2025"/>
    <d v="2025-12-30T00:00:00"/>
    <x v="257"/>
    <n v="160"/>
    <n v="0"/>
    <n v="0"/>
    <n v="0"/>
    <n v="160"/>
    <s v="Dinheiro"/>
    <x v="0"/>
  </r>
  <r>
    <s v="00072"/>
    <x v="105"/>
    <x v="40"/>
    <s v="12/2025"/>
    <d v="2025-12-30T00:00:00"/>
    <x v="257"/>
    <n v="723.57"/>
    <n v="0"/>
    <n v="0"/>
    <n v="0"/>
    <n v="723.57"/>
    <s v="Dinheiro"/>
    <x v="0"/>
  </r>
  <r>
    <s v="00403"/>
    <x v="160"/>
    <x v="9"/>
    <s v="01/2026"/>
    <d v="2025-12-30T00:00:00"/>
    <x v="257"/>
    <n v="500"/>
    <n v="0"/>
    <n v="0"/>
    <n v="0"/>
    <n v="500"/>
    <s v="Banco Investimentos"/>
    <x v="0"/>
  </r>
  <r>
    <s v="00285"/>
    <x v="303"/>
    <x v="18"/>
    <s v="12/2025"/>
    <d v="2025-12-30T00:00:00"/>
    <x v="258"/>
    <n v="743"/>
    <n v="0"/>
    <n v="0"/>
    <n v="0"/>
    <n v="743"/>
    <s v="Dinheiro"/>
    <x v="0"/>
  </r>
  <r>
    <s v="00362"/>
    <x v="7"/>
    <x v="48"/>
    <s v="12/2025"/>
    <d v="2025-12-30T00:00:00"/>
    <x v="257"/>
    <n v="13710.130000000001"/>
    <n v="0"/>
    <n v="0"/>
    <n v="0"/>
    <n v="1800"/>
    <s v="Banco Investimentos"/>
    <x v="0"/>
  </r>
  <r>
    <n v="154"/>
    <x v="172"/>
    <x v="38"/>
    <d v="2026-01-01T00:00:00"/>
    <d v="2026-01-08T00:00:00"/>
    <x v="259"/>
    <n v="47"/>
    <n v="0"/>
    <n v="0"/>
    <n v="0"/>
    <n v="47"/>
    <s v="Dinheiro"/>
    <x v="1"/>
  </r>
  <r>
    <n v="111"/>
    <x v="39"/>
    <x v="8"/>
    <d v="2026-01-01T00:00:00"/>
    <d v="2026-01-09T00:00:00"/>
    <x v="260"/>
    <n v="550"/>
    <n v="0"/>
    <n v="0"/>
    <n v="0"/>
    <n v="550"/>
    <s v="Dinheiro"/>
    <x v="1"/>
  </r>
  <r>
    <n v="331"/>
    <x v="241"/>
    <x v="8"/>
    <d v="2026-01-01T00:00:00"/>
    <d v="2026-01-09T00:00:00"/>
    <x v="260"/>
    <n v="275"/>
    <n v="0"/>
    <n v="0"/>
    <n v="0"/>
    <n v="275"/>
    <s v="Dinheiro"/>
    <x v="1"/>
  </r>
  <r>
    <n v="398"/>
    <x v="519"/>
    <x v="29"/>
    <d v="2026-01-01T00:00:00"/>
    <d v="2026-01-10T00:00:00"/>
    <x v="261"/>
    <n v="320"/>
    <n v="0"/>
    <n v="0"/>
    <n v="0"/>
    <n v="320"/>
    <s v="Dinheiro"/>
    <x v="1"/>
  </r>
  <r>
    <n v="409"/>
    <x v="545"/>
    <x v="1"/>
    <d v="2026-01-01T00:00:00"/>
    <d v="2026-01-20T00:00:00"/>
    <x v="262"/>
    <n v="240"/>
    <n v="0"/>
    <n v="0"/>
    <n v="0"/>
    <n v="240"/>
    <s v="Dinheiro"/>
    <x v="1"/>
  </r>
  <r>
    <s v="00039"/>
    <x v="231"/>
    <x v="9"/>
    <s v="01/2026"/>
    <d v="2026-01-02T00:00:00"/>
    <x v="263"/>
    <n v="42"/>
    <n v="0"/>
    <n v="0"/>
    <n v="0"/>
    <n v="42"/>
    <s v="Dinheiro"/>
    <x v="1"/>
  </r>
  <r>
    <s v="00663"/>
    <x v="535"/>
    <x v="1"/>
    <s v="01/2026"/>
    <d v="2026-01-02T00:00:00"/>
    <x v="263"/>
    <n v="11"/>
    <n v="0"/>
    <n v="0"/>
    <n v="0"/>
    <n v="11"/>
    <s v="Dinheiro"/>
    <x v="1"/>
  </r>
  <r>
    <s v="00039"/>
    <x v="231"/>
    <x v="9"/>
    <s v="01/2026"/>
    <d v="2026-01-05T00:00:00"/>
    <x v="264"/>
    <n v="48.7"/>
    <n v="0"/>
    <n v="0"/>
    <n v="0"/>
    <n v="48.7"/>
    <s v="Dinheiro"/>
    <x v="1"/>
  </r>
  <r>
    <s v="00613"/>
    <x v="467"/>
    <x v="8"/>
    <s v="01/2026"/>
    <d v="2026-01-05T00:00:00"/>
    <x v="264"/>
    <n v="40"/>
    <n v="0"/>
    <n v="0"/>
    <n v="0"/>
    <n v="40"/>
    <s v="Dinheiro"/>
    <x v="1"/>
  </r>
  <r>
    <s v="00364"/>
    <x v="16"/>
    <x v="8"/>
    <s v="01/2026"/>
    <d v="2026-01-05T00:00:00"/>
    <x v="264"/>
    <n v="66"/>
    <n v="0"/>
    <n v="0"/>
    <n v="0"/>
    <n v="66"/>
    <s v="Dinheiro"/>
    <x v="1"/>
  </r>
  <r>
    <s v="00467"/>
    <x v="275"/>
    <x v="37"/>
    <s v="01/2026"/>
    <d v="2026-01-06T00:00:00"/>
    <x v="265"/>
    <n v="12"/>
    <n v="0"/>
    <n v="0"/>
    <n v="0"/>
    <n v="12"/>
    <s v="Dinheiro"/>
    <x v="1"/>
  </r>
  <r>
    <s v="00036"/>
    <x v="109"/>
    <x v="76"/>
    <s v="01/2026"/>
    <d v="2026-01-06T00:00:00"/>
    <x v="265"/>
    <n v="13.99"/>
    <n v="0"/>
    <n v="0"/>
    <n v="0"/>
    <n v="13.99"/>
    <s v="Dinheiro"/>
    <x v="1"/>
  </r>
  <r>
    <s v="00292"/>
    <x v="278"/>
    <x v="5"/>
    <s v="01/2026"/>
    <d v="2026-01-06T00:00:00"/>
    <x v="265"/>
    <n v="35"/>
    <n v="0"/>
    <n v="0"/>
    <n v="0"/>
    <n v="35"/>
    <s v="Dinheiro"/>
    <x v="1"/>
  </r>
  <r>
    <s v="00027"/>
    <x v="58"/>
    <x v="45"/>
    <s v="01/2026"/>
    <d v="2026-01-06T00:00:00"/>
    <x v="265"/>
    <n v="14.47"/>
    <n v="0"/>
    <n v="0"/>
    <n v="0"/>
    <n v="14.47"/>
    <s v="Dinheiro"/>
    <x v="1"/>
  </r>
  <r>
    <s v="00032"/>
    <x v="120"/>
    <x v="27"/>
    <s v="01/2026"/>
    <d v="2026-01-06T00:00:00"/>
    <x v="265"/>
    <n v="26.97"/>
    <n v="0"/>
    <n v="0"/>
    <n v="0"/>
    <n v="26.97"/>
    <s v="Dinheiro"/>
    <x v="1"/>
  </r>
  <r>
    <s v="00536"/>
    <x v="516"/>
    <x v="78"/>
    <s v="01/2026"/>
    <d v="2026-01-06T00:00:00"/>
    <x v="265"/>
    <n v="8.61"/>
    <n v="0"/>
    <n v="0"/>
    <n v="0"/>
    <n v="8.61"/>
    <s v="Dinheiro"/>
    <x v="1"/>
  </r>
  <r>
    <s v="00403"/>
    <x v="160"/>
    <x v="9"/>
    <s v="01/2026"/>
    <d v="2026-01-02T00:00:00"/>
    <x v="265"/>
    <n v="200"/>
    <n v="0"/>
    <n v="0"/>
    <n v="0"/>
    <n v="200"/>
    <s v="Dinheiro"/>
    <x v="1"/>
  </r>
  <r>
    <s v="00292"/>
    <x v="278"/>
    <x v="5"/>
    <s v="01/2026"/>
    <d v="2026-01-06T00:00:00"/>
    <x v="265"/>
    <n v="70"/>
    <n v="0"/>
    <n v="0"/>
    <n v="0"/>
    <n v="70"/>
    <s v="Dinheiro"/>
    <x v="1"/>
  </r>
  <r>
    <s v="00507"/>
    <x v="339"/>
    <x v="78"/>
    <s v="01/2026"/>
    <d v="2026-01-07T00:00:00"/>
    <x v="266"/>
    <n v="8.61"/>
    <n v="0"/>
    <n v="0"/>
    <n v="0"/>
    <n v="8.61"/>
    <s v="Dinheiro"/>
    <x v="1"/>
  </r>
  <r>
    <s v="00349"/>
    <x v="25"/>
    <x v="8"/>
    <s v="01/2026"/>
    <d v="2026-01-08T00:00:00"/>
    <x v="259"/>
    <n v="200"/>
    <n v="0"/>
    <n v="0"/>
    <n v="0"/>
    <n v="200"/>
    <s v="Dinheiro"/>
    <x v="1"/>
  </r>
  <r>
    <s v="00039"/>
    <x v="231"/>
    <x v="9"/>
    <s v="01/2026"/>
    <d v="2026-01-08T00:00:00"/>
    <x v="259"/>
    <n v="422.2"/>
    <n v="0"/>
    <n v="0"/>
    <n v="0"/>
    <n v="140"/>
    <s v="Dinheiro"/>
    <x v="1"/>
  </r>
  <r>
    <s v="00610"/>
    <x v="463"/>
    <x v="25"/>
    <s v="01/2026"/>
    <d v="2026-01-09T00:00:00"/>
    <x v="260"/>
    <n v="8.25"/>
    <n v="0"/>
    <n v="0"/>
    <n v="0"/>
    <n v="8.25"/>
    <s v="Dinheiro"/>
    <x v="1"/>
  </r>
  <r>
    <s v="00037"/>
    <x v="177"/>
    <x v="38"/>
    <s v="01/2026"/>
    <d v="2026-01-09T00:00:00"/>
    <x v="260"/>
    <n v="13.51"/>
    <n v="0"/>
    <n v="0"/>
    <n v="0"/>
    <n v="13.51"/>
    <s v="Dinheiro"/>
    <x v="1"/>
  </r>
  <r>
    <s v="00223"/>
    <x v="32"/>
    <x v="8"/>
    <s v="01/2026"/>
    <d v="2026-01-09T00:00:00"/>
    <x v="260"/>
    <n v="1770"/>
    <n v="0"/>
    <n v="0"/>
    <n v="0"/>
    <n v="1770"/>
    <s v="Dinheiro"/>
    <x v="1"/>
  </r>
  <r>
    <s v="00513"/>
    <x v="342"/>
    <x v="8"/>
    <s v="01/2026"/>
    <d v="2026-01-09T00:00:00"/>
    <x v="260"/>
    <n v="200"/>
    <n v="0"/>
    <n v="0"/>
    <n v="0"/>
    <n v="200"/>
    <s v="Dinheiro"/>
    <x v="1"/>
  </r>
  <r>
    <s v="00613"/>
    <x v="467"/>
    <x v="8"/>
    <s v="01/2026"/>
    <d v="2026-01-09T00:00:00"/>
    <x v="260"/>
    <n v="360"/>
    <n v="0"/>
    <n v="0"/>
    <n v="0"/>
    <n v="360"/>
    <s v="Dinheiro"/>
    <x v="1"/>
  </r>
  <r>
    <s v="00388"/>
    <x v="122"/>
    <x v="8"/>
    <s v="01/2026"/>
    <d v="2026-01-09T00:00:00"/>
    <x v="260"/>
    <n v="40"/>
    <n v="0"/>
    <n v="0"/>
    <n v="0"/>
    <n v="40"/>
    <s v="Dinheiro"/>
    <x v="1"/>
  </r>
  <r>
    <s v="00364"/>
    <x v="16"/>
    <x v="8"/>
    <s v="01/2026"/>
    <d v="2026-01-09T00:00:00"/>
    <x v="260"/>
    <n v="440"/>
    <n v="0"/>
    <n v="0"/>
    <n v="0"/>
    <n v="440"/>
    <s v="Dinheiro"/>
    <x v="1"/>
  </r>
  <r>
    <s v="00614"/>
    <x v="468"/>
    <x v="8"/>
    <s v="01/2026"/>
    <d v="2026-01-09T00:00:00"/>
    <x v="260"/>
    <n v="800"/>
    <n v="0"/>
    <n v="0"/>
    <n v="0"/>
    <n v="800"/>
    <s v="Dinheiro"/>
    <x v="1"/>
  </r>
  <r>
    <s v="00133"/>
    <x v="24"/>
    <x v="8"/>
    <s v="01/2026"/>
    <d v="2026-01-09T00:00:00"/>
    <x v="260"/>
    <n v="360"/>
    <n v="0"/>
    <n v="0"/>
    <n v="0"/>
    <n v="360"/>
    <s v="Dinheiro"/>
    <x v="1"/>
  </r>
  <r>
    <s v="00464"/>
    <x v="273"/>
    <x v="8"/>
    <s v="01/2026"/>
    <d v="2026-01-09T00:00:00"/>
    <x v="260"/>
    <n v="120"/>
    <n v="0"/>
    <n v="0"/>
    <n v="0"/>
    <n v="120"/>
    <s v="Dinheiro"/>
    <x v="1"/>
  </r>
  <r>
    <s v="00448"/>
    <x v="282"/>
    <x v="8"/>
    <s v="01/2026"/>
    <d v="2026-01-09T00:00:00"/>
    <x v="260"/>
    <n v="120"/>
    <n v="0"/>
    <n v="0"/>
    <n v="0"/>
    <n v="120"/>
    <s v="Dinheiro"/>
    <x v="1"/>
  </r>
  <r>
    <s v="00353"/>
    <x v="61"/>
    <x v="8"/>
    <s v="01/2026"/>
    <d v="2026-01-10T00:00:00"/>
    <x v="260"/>
    <n v="550"/>
    <n v="0"/>
    <n v="0"/>
    <n v="0"/>
    <n v="550"/>
    <s v="Dinheiro"/>
    <x v="1"/>
  </r>
  <r>
    <s v="00353"/>
    <x v="61"/>
    <x v="14"/>
    <s v="01/2026"/>
    <d v="2026-01-10T00:00:00"/>
    <x v="260"/>
    <n v="500"/>
    <n v="0"/>
    <n v="0"/>
    <n v="0"/>
    <n v="500"/>
    <s v="Dinheiro"/>
    <x v="1"/>
  </r>
  <r>
    <s v="00254"/>
    <x v="22"/>
    <x v="8"/>
    <s v="01/2026"/>
    <d v="2026-01-10T00:00:00"/>
    <x v="260"/>
    <n v="150"/>
    <n v="0"/>
    <n v="0"/>
    <n v="0"/>
    <n v="150"/>
    <s v="Dinheiro"/>
    <x v="1"/>
  </r>
  <r>
    <s v="00397"/>
    <x v="152"/>
    <x v="8"/>
    <s v="01/2026"/>
    <d v="2026-01-09T00:00:00"/>
    <x v="260"/>
    <n v="200"/>
    <n v="0"/>
    <n v="0"/>
    <n v="0"/>
    <n v="200"/>
    <s v="Dinheiro"/>
    <x v="1"/>
  </r>
  <r>
    <s v="00349"/>
    <x v="25"/>
    <x v="8"/>
    <s v="01/2026"/>
    <d v="2026-01-12T00:00:00"/>
    <x v="267"/>
    <n v="120"/>
    <n v="0"/>
    <n v="0"/>
    <n v="0"/>
    <n v="120"/>
    <s v="Dinheiro"/>
    <x v="1"/>
  </r>
  <r>
    <s v="00447"/>
    <x v="247"/>
    <x v="8"/>
    <s v="01/2026"/>
    <d v="2026-01-12T00:00:00"/>
    <x v="267"/>
    <n v="150"/>
    <n v="0"/>
    <n v="0"/>
    <n v="0"/>
    <n v="150"/>
    <s v="Dinheiro"/>
    <x v="1"/>
  </r>
  <r>
    <s v="00036"/>
    <x v="109"/>
    <x v="76"/>
    <s v="01/2026"/>
    <d v="2026-01-12T00:00:00"/>
    <x v="267"/>
    <n v="13.99"/>
    <n v="0"/>
    <n v="0"/>
    <n v="0"/>
    <n v="13.99"/>
    <s v="Dinheiro"/>
    <x v="1"/>
  </r>
  <r>
    <s v="00467"/>
    <x v="275"/>
    <x v="37"/>
    <s v="01/2026"/>
    <d v="2026-01-12T00:00:00"/>
    <x v="267"/>
    <n v="24"/>
    <n v="0"/>
    <n v="0"/>
    <n v="0"/>
    <n v="24"/>
    <s v="Dinheiro"/>
    <x v="1"/>
  </r>
  <r>
    <s v="00540"/>
    <x v="352"/>
    <x v="37"/>
    <s v="01/2026"/>
    <d v="2026-01-12T00:00:00"/>
    <x v="267"/>
    <n v="24"/>
    <n v="0"/>
    <n v="0"/>
    <n v="0"/>
    <n v="24"/>
    <s v="Dinheiro"/>
    <x v="1"/>
  </r>
  <r>
    <s v="00678"/>
    <x v="546"/>
    <x v="76"/>
    <s v="01/2026"/>
    <d v="2026-01-12T00:00:00"/>
    <x v="267"/>
    <n v="50"/>
    <n v="0"/>
    <n v="0"/>
    <n v="0"/>
    <n v="50"/>
    <s v="Dinheiro"/>
    <x v="1"/>
  </r>
  <r>
    <s v="00036"/>
    <x v="109"/>
    <x v="76"/>
    <s v="01/2026"/>
    <d v="2026-01-12T00:00:00"/>
    <x v="267"/>
    <n v="14.8"/>
    <n v="0"/>
    <n v="0"/>
    <n v="0"/>
    <n v="14.8"/>
    <s v="Dinheiro"/>
    <x v="1"/>
  </r>
  <r>
    <s v="00503"/>
    <x v="338"/>
    <x v="29"/>
    <s v="01/2026"/>
    <d v="2026-01-10T00:00:00"/>
    <x v="267"/>
    <n v="720"/>
    <n v="0"/>
    <n v="0"/>
    <n v="0"/>
    <n v="720"/>
    <s v="Dinheiro"/>
    <x v="1"/>
  </r>
  <r>
    <s v="00657"/>
    <x v="527"/>
    <x v="29"/>
    <s v="01/2026"/>
    <d v="2026-01-10T00:00:00"/>
    <x v="267"/>
    <n v="480"/>
    <n v="0"/>
    <n v="0"/>
    <n v="0"/>
    <n v="480"/>
    <s v="Dinheiro"/>
    <x v="1"/>
  </r>
  <r>
    <s v="00351"/>
    <x v="42"/>
    <x v="8"/>
    <s v="01/2026"/>
    <d v="2026-01-12T00:00:00"/>
    <x v="267"/>
    <n v="200"/>
    <n v="0"/>
    <n v="0"/>
    <n v="0"/>
    <n v="200"/>
    <s v="Dinheiro"/>
    <x v="1"/>
  </r>
  <r>
    <s v="00533"/>
    <x v="345"/>
    <x v="17"/>
    <s v="01/2026"/>
    <d v="2026-01-12T00:00:00"/>
    <x v="267"/>
    <n v="27"/>
    <n v="0"/>
    <n v="0"/>
    <n v="0"/>
    <n v="27"/>
    <s v="Dinheiro"/>
    <x v="1"/>
  </r>
  <r>
    <s v="00133"/>
    <x v="24"/>
    <x v="8"/>
    <s v="01/2026"/>
    <d v="2026-01-12T00:00:00"/>
    <x v="267"/>
    <n v="276"/>
    <n v="0"/>
    <n v="0"/>
    <n v="0"/>
    <n v="276"/>
    <s v="Dinheiro"/>
    <x v="1"/>
  </r>
  <r>
    <s v="00364"/>
    <x v="16"/>
    <x v="8"/>
    <s v="01/2026"/>
    <d v="2026-01-12T00:00:00"/>
    <x v="267"/>
    <n v="384"/>
    <n v="0"/>
    <n v="0"/>
    <n v="0"/>
    <n v="384"/>
    <s v="Dinheiro"/>
    <x v="1"/>
  </r>
  <r>
    <s v="00613"/>
    <x v="467"/>
    <x v="8"/>
    <s v="01/2026"/>
    <d v="2026-01-12T00:00:00"/>
    <x v="267"/>
    <n v="356"/>
    <n v="0"/>
    <n v="0"/>
    <n v="0"/>
    <n v="356"/>
    <s v="Dinheiro"/>
    <x v="1"/>
  </r>
  <r>
    <s v="00351"/>
    <x v="42"/>
    <x v="8"/>
    <s v="01/2026"/>
    <d v="2026-01-12T00:00:00"/>
    <x v="267"/>
    <n v="200"/>
    <n v="0"/>
    <n v="0"/>
    <n v="0"/>
    <n v="200"/>
    <s v="Dinheiro"/>
    <x v="1"/>
  </r>
  <r>
    <s v="00614"/>
    <x v="468"/>
    <x v="8"/>
    <s v="01/2026"/>
    <d v="2026-01-13T00:00:00"/>
    <x v="261"/>
    <n v="276"/>
    <n v="0"/>
    <n v="0"/>
    <n v="0"/>
    <n v="276"/>
    <s v="Dinheiro"/>
    <x v="1"/>
  </r>
  <r>
    <s v="00032"/>
    <x v="120"/>
    <x v="27"/>
    <s v="01/2026"/>
    <d v="2026-01-13T00:00:00"/>
    <x v="261"/>
    <n v="41.7"/>
    <n v="0"/>
    <n v="0"/>
    <n v="0"/>
    <n v="41.7"/>
    <s v="Dinheiro"/>
    <x v="1"/>
  </r>
  <r>
    <s v="00507"/>
    <x v="339"/>
    <x v="78"/>
    <s v="01/2026"/>
    <d v="2026-01-13T00:00:00"/>
    <x v="261"/>
    <n v="8.93"/>
    <n v="0"/>
    <n v="0"/>
    <n v="0"/>
    <n v="8.93"/>
    <s v="Dinheiro"/>
    <x v="1"/>
  </r>
  <r>
    <s v="00632"/>
    <x v="493"/>
    <x v="30"/>
    <s v="01/2026"/>
    <d v="2026-01-10T00:00:00"/>
    <x v="261"/>
    <n v="1200"/>
    <n v="0"/>
    <n v="0"/>
    <n v="0"/>
    <n v="1200"/>
    <s v="Dinheiro"/>
    <x v="1"/>
  </r>
  <r>
    <s v="00634"/>
    <x v="496"/>
    <x v="30"/>
    <s v="01/2026"/>
    <d v="2026-01-10T00:00:00"/>
    <x v="268"/>
    <n v="1200"/>
    <n v="0"/>
    <n v="0"/>
    <n v="0"/>
    <n v="1200"/>
    <s v="Dinheiro"/>
    <x v="1"/>
  </r>
  <r>
    <s v="00447"/>
    <x v="247"/>
    <x v="88"/>
    <s v="01/2026"/>
    <d v="2026-01-14T00:00:00"/>
    <x v="268"/>
    <n v="5.4"/>
    <n v="0"/>
    <n v="0"/>
    <n v="0"/>
    <n v="5.4"/>
    <s v="Dinheiro"/>
    <x v="1"/>
  </r>
  <r>
    <s v="00447"/>
    <x v="247"/>
    <x v="88"/>
    <s v="01/2026"/>
    <d v="2026-01-14T00:00:00"/>
    <x v="268"/>
    <n v="5.4"/>
    <n v="0"/>
    <n v="0"/>
    <n v="0"/>
    <n v="5.4"/>
    <s v="Dinheiro"/>
    <x v="1"/>
  </r>
  <r>
    <s v="00447"/>
    <x v="247"/>
    <x v="88"/>
    <s v="01/2026"/>
    <d v="2026-01-14T00:00:00"/>
    <x v="268"/>
    <n v="16.5"/>
    <n v="0"/>
    <n v="0"/>
    <n v="0"/>
    <n v="16.5"/>
    <s v="Dinheiro"/>
    <x v="1"/>
  </r>
  <r>
    <s v="00447"/>
    <x v="247"/>
    <x v="88"/>
    <s v="01/2026"/>
    <d v="2026-01-14T00:00:00"/>
    <x v="268"/>
    <n v="13.950000000000001"/>
    <n v="0"/>
    <n v="0"/>
    <n v="0"/>
    <n v="13.950000000000001"/>
    <s v="Dinheiro"/>
    <x v="1"/>
  </r>
  <r>
    <s v="00498"/>
    <x v="242"/>
    <x v="38"/>
    <s v="01/2026"/>
    <d v="2026-01-15T00:00:00"/>
    <x v="269"/>
    <n v="21.900000000000002"/>
    <n v="0"/>
    <n v="0"/>
    <n v="0"/>
    <n v="21.900000000000002"/>
    <s v="Dinheiro"/>
    <x v="1"/>
  </r>
  <r>
    <s v="ADM250080"/>
    <x v="547"/>
    <x v="87"/>
    <s v="01/2026"/>
    <d v="2026-01-15T00:00:00"/>
    <x v="269"/>
    <n v="50"/>
    <n v="0"/>
    <n v="0"/>
    <n v="0"/>
    <n v="50"/>
    <s v="Dinheiro"/>
    <x v="1"/>
  </r>
  <r>
    <s v="00679"/>
    <x v="548"/>
    <x v="27"/>
    <s v="01/2026"/>
    <d v="2026-01-15T00:00:00"/>
    <x v="269"/>
    <n v="35"/>
    <n v="0"/>
    <n v="0"/>
    <n v="0"/>
    <n v="35"/>
    <s v="Dinheiro"/>
    <x v="1"/>
  </r>
  <r>
    <s v="00416"/>
    <x v="184"/>
    <x v="46"/>
    <s v="01/2026"/>
    <d v="2026-01-16T00:00:00"/>
    <x v="270"/>
    <n v="99.25"/>
    <n v="0"/>
    <n v="0"/>
    <n v="0"/>
    <n v="99.25"/>
    <s v="Dinheiro"/>
    <x v="1"/>
  </r>
  <r>
    <s v="00027"/>
    <x v="58"/>
    <x v="45"/>
    <s v="01/2026"/>
    <d v="2026-01-19T00:00:00"/>
    <x v="271"/>
    <n v="38.980000000000004"/>
    <n v="0"/>
    <n v="0"/>
    <n v="0"/>
    <n v="38.980000000000004"/>
    <s v="Dinheiro"/>
    <x v="1"/>
  </r>
  <r>
    <s v="00610"/>
    <x v="463"/>
    <x v="25"/>
    <s v="01/2026"/>
    <d v="2026-01-19T00:00:00"/>
    <x v="271"/>
    <n v="84.600000000000009"/>
    <n v="0"/>
    <n v="0"/>
    <n v="0"/>
    <n v="84.600000000000009"/>
    <s v="Dinheiro"/>
    <x v="1"/>
  </r>
  <r>
    <s v="00613"/>
    <x v="467"/>
    <x v="8"/>
    <s v="01/2026"/>
    <d v="2026-01-19T00:00:00"/>
    <x v="271"/>
    <n v="236"/>
    <n v="0"/>
    <n v="0"/>
    <n v="0"/>
    <n v="236"/>
    <s v="Dinheiro"/>
    <x v="1"/>
  </r>
  <r>
    <s v="00614"/>
    <x v="468"/>
    <x v="8"/>
    <s v="01/2026"/>
    <d v="2026-01-19T00:00:00"/>
    <x v="271"/>
    <n v="40"/>
    <n v="0"/>
    <n v="0"/>
    <n v="0"/>
    <n v="40"/>
    <s v="Dinheiro"/>
    <x v="1"/>
  </r>
  <r>
    <s v="00513"/>
    <x v="342"/>
    <x v="8"/>
    <s v="01/2026"/>
    <d v="2026-01-19T00:00:00"/>
    <x v="271"/>
    <n v="272"/>
    <n v="0"/>
    <n v="0"/>
    <n v="0"/>
    <n v="272"/>
    <s v="Dinheiro"/>
    <x v="1"/>
  </r>
  <r>
    <s v="00133"/>
    <x v="24"/>
    <x v="8"/>
    <s v="01/2026"/>
    <d v="2026-01-19T00:00:00"/>
    <x v="271"/>
    <n v="400"/>
    <n v="0"/>
    <n v="0"/>
    <n v="0"/>
    <n v="400"/>
    <s v="Dinheiro"/>
    <x v="1"/>
  </r>
  <r>
    <s v="00684"/>
    <x v="549"/>
    <x v="38"/>
    <s v="01/2026"/>
    <d v="2026-01-19T00:00:00"/>
    <x v="271"/>
    <n v="122"/>
    <n v="0"/>
    <n v="0"/>
    <n v="0"/>
    <n v="122"/>
    <s v="Dinheiro"/>
    <x v="1"/>
  </r>
  <r>
    <s v="00364"/>
    <x v="16"/>
    <x v="8"/>
    <s v="01/2026"/>
    <d v="2026-01-19T00:00:00"/>
    <x v="271"/>
    <n v="178"/>
    <n v="0"/>
    <n v="0"/>
    <n v="0"/>
    <n v="178"/>
    <s v="Dinheiro"/>
    <x v="1"/>
  </r>
  <r>
    <s v="00365"/>
    <x v="57"/>
    <x v="12"/>
    <s v="01/2026"/>
    <d v="2026-01-20T00:00:00"/>
    <x v="262"/>
    <n v="50"/>
    <n v="0"/>
    <n v="0"/>
    <n v="0"/>
    <n v="50"/>
    <s v="Dinheiro"/>
    <x v="1"/>
  </r>
  <r>
    <s v="00261"/>
    <x v="175"/>
    <x v="38"/>
    <s v="01/2026"/>
    <d v="2026-01-21T00:00:00"/>
    <x v="272"/>
    <n v="23.39"/>
    <n v="0"/>
    <n v="0"/>
    <n v="0"/>
    <n v="23.39"/>
    <s v="Dinheiro"/>
    <x v="1"/>
  </r>
  <r>
    <s v="00610"/>
    <x v="463"/>
    <x v="25"/>
    <s v="01/2026"/>
    <d v="2026-01-22T00:00:00"/>
    <x v="273"/>
    <n v="23.8"/>
    <n v="0"/>
    <n v="0"/>
    <n v="0"/>
    <n v="23.8"/>
    <s v="Dinheiro"/>
    <x v="1"/>
  </r>
  <r>
    <s v="00328"/>
    <x v="270"/>
    <x v="45"/>
    <s v="01/2026"/>
    <d v="2026-01-22T00:00:00"/>
    <x v="273"/>
    <n v="34.78"/>
    <n v="0"/>
    <n v="0"/>
    <n v="0"/>
    <n v="34.78"/>
    <s v="Dinheiro"/>
    <x v="1"/>
  </r>
  <r>
    <s v="00046"/>
    <x v="469"/>
    <x v="76"/>
    <s v="01/2026"/>
    <d v="2026-01-23T00:00:00"/>
    <x v="274"/>
    <n v="12.99"/>
    <n v="0"/>
    <n v="0"/>
    <n v="0"/>
    <n v="12.99"/>
    <s v="Dinheiro"/>
    <x v="1"/>
  </r>
  <r>
    <s v="00028"/>
    <x v="108"/>
    <x v="76"/>
    <s v="01/2026"/>
    <d v="2026-01-23T00:00:00"/>
    <x v="274"/>
    <n v="40"/>
    <n v="0"/>
    <n v="0"/>
    <n v="0"/>
    <n v="40"/>
    <s v="Dinheiro"/>
    <x v="1"/>
  </r>
  <r>
    <s v="00687"/>
    <x v="550"/>
    <x v="78"/>
    <s v="01/2026"/>
    <d v="2026-01-23T00:00:00"/>
    <x v="274"/>
    <n v="8.93"/>
    <n v="0"/>
    <n v="0"/>
    <n v="0"/>
    <n v="8.93"/>
    <s v="Dinheiro"/>
    <x v="1"/>
  </r>
  <r>
    <s v="00261"/>
    <x v="175"/>
    <x v="38"/>
    <s v="01/2026"/>
    <d v="2026-01-23T00:00:00"/>
    <x v="274"/>
    <n v="22.650000000000002"/>
    <n v="0"/>
    <n v="0"/>
    <n v="0"/>
    <n v="22.650000000000002"/>
    <s v="Dinheiro"/>
    <x v="1"/>
  </r>
  <r>
    <s v="00037"/>
    <x v="177"/>
    <x v="38"/>
    <s v="01/2026"/>
    <d v="2026-01-23T00:00:00"/>
    <x v="274"/>
    <n v="9"/>
    <n v="0"/>
    <n v="0"/>
    <n v="0"/>
    <n v="9"/>
    <s v="Dinheiro"/>
    <x v="1"/>
  </r>
  <r>
    <s v="00039"/>
    <x v="231"/>
    <x v="9"/>
    <s v="01/2026"/>
    <d v="2026-01-08T00:00:00"/>
    <x v="275"/>
    <n v="422.2"/>
    <n v="0"/>
    <n v="0"/>
    <n v="0"/>
    <n v="282.2"/>
    <s v="Dinheiro"/>
    <x v="1"/>
  </r>
  <r>
    <s v="00328"/>
    <x v="270"/>
    <x v="45"/>
    <s v="01/2026"/>
    <d v="2026-01-26T00:00:00"/>
    <x v="275"/>
    <n v="35.480000000000004"/>
    <n v="0"/>
    <n v="0"/>
    <n v="0"/>
    <n v="35.480000000000004"/>
    <s v="Dinheiro"/>
    <x v="1"/>
  </r>
  <r>
    <s v="00513"/>
    <x v="342"/>
    <x v="8"/>
    <s v="01/2026"/>
    <d v="2026-01-26T00:00:00"/>
    <x v="275"/>
    <n v="60"/>
    <n v="0"/>
    <n v="0"/>
    <n v="0"/>
    <n v="60"/>
    <s v="Dinheiro"/>
    <x v="1"/>
  </r>
  <r>
    <s v="00133"/>
    <x v="24"/>
    <x v="8"/>
    <s v="01/2026"/>
    <d v="2026-01-26T00:00:00"/>
    <x v="275"/>
    <n v="236"/>
    <n v="0"/>
    <n v="0"/>
    <n v="0"/>
    <n v="236"/>
    <s v="Dinheiro"/>
    <x v="1"/>
  </r>
  <r>
    <s v="00613"/>
    <x v="467"/>
    <x v="8"/>
    <s v="01/2026"/>
    <d v="2026-01-26T00:00:00"/>
    <x v="275"/>
    <n v="296"/>
    <n v="0"/>
    <n v="0"/>
    <n v="0"/>
    <n v="296"/>
    <s v="Dinheiro"/>
    <x v="1"/>
  </r>
  <r>
    <s v="00610"/>
    <x v="463"/>
    <x v="25"/>
    <s v="01/2026"/>
    <d v="2026-01-28T00:00:00"/>
    <x v="276"/>
    <n v="23.8"/>
    <n v="0"/>
    <n v="0"/>
    <n v="0"/>
    <n v="23.8"/>
    <s v="Dinheiro"/>
    <x v="1"/>
  </r>
  <r>
    <s v="00039"/>
    <x v="231"/>
    <x v="9"/>
    <s v="01/2026"/>
    <d v="2026-01-28T00:00:00"/>
    <x v="276"/>
    <n v="38.300000000000004"/>
    <n v="0"/>
    <n v="0"/>
    <n v="0"/>
    <n v="38.300000000000004"/>
    <s v="Dinheiro"/>
    <x v="1"/>
  </r>
  <r>
    <s v="00328"/>
    <x v="270"/>
    <x v="45"/>
    <s v="01/2026"/>
    <d v="2026-01-28T00:00:00"/>
    <x v="276"/>
    <n v="4.49"/>
    <n v="0"/>
    <n v="0"/>
    <n v="0"/>
    <n v="4.49"/>
    <s v="Dinheiro"/>
    <x v="1"/>
  </r>
  <r>
    <s v="00610"/>
    <x v="463"/>
    <x v="25"/>
    <s v="01/2026"/>
    <d v="2026-01-28T00:00:00"/>
    <x v="276"/>
    <n v="20.5"/>
    <n v="0"/>
    <n v="0"/>
    <n v="0"/>
    <n v="20.5"/>
    <s v="Dinheiro"/>
    <x v="1"/>
  </r>
  <r>
    <s v="00353"/>
    <x v="61"/>
    <x v="45"/>
    <s v="01/2026"/>
    <d v="2026-01-30T00:00:00"/>
    <x v="277"/>
    <n v="216.86"/>
    <n v="0"/>
    <n v="0"/>
    <n v="0"/>
    <n v="216.86"/>
    <s v="Dinheiro"/>
    <x v="1"/>
  </r>
  <r>
    <s v="00036"/>
    <x v="109"/>
    <x v="76"/>
    <s v="01/2026"/>
    <d v="2026-01-30T00:00:00"/>
    <x v="277"/>
    <n v="19.059999999999999"/>
    <n v="0"/>
    <n v="0"/>
    <n v="0"/>
    <n v="19.059999999999999"/>
    <s v="Dinheiro"/>
    <x v="1"/>
  </r>
  <r>
    <s v="00028"/>
    <x v="108"/>
    <x v="76"/>
    <s v="01/2026"/>
    <d v="2026-01-30T00:00:00"/>
    <x v="277"/>
    <n v="40"/>
    <n v="0"/>
    <n v="0"/>
    <n v="0"/>
    <n v="40"/>
    <s v="Dinheiro"/>
    <x v="1"/>
  </r>
  <r>
    <s v="00482"/>
    <x v="307"/>
    <x v="64"/>
    <s v="01/2026"/>
    <d v="2026-01-30T00:00:00"/>
    <x v="277"/>
    <n v="79"/>
    <n v="0"/>
    <n v="0"/>
    <n v="0"/>
    <n v="79"/>
    <s v="Dinheiro"/>
    <x v="1"/>
  </r>
  <r>
    <s v="00464"/>
    <x v="273"/>
    <x v="1"/>
    <s v="01/2026"/>
    <d v="2026-01-30T00:00:00"/>
    <x v="277"/>
    <n v="12.200000000000001"/>
    <n v="0"/>
    <n v="0"/>
    <n v="0"/>
    <n v="12.200000000000001"/>
    <s v="Dinheiro"/>
    <x v="1"/>
  </r>
  <r>
    <s v="00690"/>
    <x v="545"/>
    <x v="1"/>
    <s v="01/2026"/>
    <d v="2026-01-30T00:00:00"/>
    <x v="277"/>
    <n v="410.40000000000003"/>
    <n v="0"/>
    <n v="0"/>
    <n v="0"/>
    <n v="410.40000000000003"/>
    <s v="Dinheiro"/>
    <x v="1"/>
  </r>
  <r>
    <s v="00349"/>
    <x v="25"/>
    <x v="32"/>
    <s v="01/2026"/>
    <d v="2026-01-02T00:00:00"/>
    <x v="278"/>
    <n v="90.53"/>
    <n v="0"/>
    <n v="0"/>
    <n v="0"/>
    <n v="90.53"/>
    <s v="Dinheiro"/>
    <x v="1"/>
  </r>
  <r>
    <s v="00168"/>
    <x v="39"/>
    <x v="32"/>
    <s v="01/2026"/>
    <d v="2026-01-02T00:00:00"/>
    <x v="278"/>
    <n v="255.42000000000002"/>
    <n v="0"/>
    <n v="0"/>
    <n v="0"/>
    <n v="255.42000000000002"/>
    <s v="Dinheiro"/>
    <x v="1"/>
  </r>
  <r>
    <s v="00223"/>
    <x v="32"/>
    <x v="32"/>
    <s v="01/2026"/>
    <d v="2026-01-02T00:00:00"/>
    <x v="278"/>
    <n v="255.42000000000002"/>
    <n v="0"/>
    <n v="0"/>
    <n v="0"/>
    <n v="255.42000000000002"/>
    <s v="Dinheiro"/>
    <x v="1"/>
  </r>
  <r>
    <s v="00660"/>
    <x v="538"/>
    <x v="32"/>
    <s v="01/2026"/>
    <d v="2026-01-02T00:00:00"/>
    <x v="278"/>
    <n v="255.42000000000002"/>
    <n v="0"/>
    <n v="0"/>
    <n v="0"/>
    <n v="255.42000000000002"/>
    <s v="Dinheiro"/>
    <x v="1"/>
  </r>
  <r>
    <s v="00513"/>
    <x v="342"/>
    <x v="32"/>
    <s v="12/2025"/>
    <d v="2025-12-30T00:00:00"/>
    <x v="278"/>
    <n v="100"/>
    <n v="0"/>
    <n v="0"/>
    <n v="0"/>
    <n v="100"/>
    <s v="Dinheiro"/>
    <x v="1"/>
  </r>
  <r>
    <s v="00193"/>
    <x v="3"/>
    <x v="0"/>
    <s v="01/2025"/>
    <d v="2025-01-02T00:00:00"/>
    <x v="263"/>
    <n v="2125.9"/>
    <n v="0"/>
    <n v="0"/>
    <n v="0"/>
    <n v="2125.9"/>
    <s v="Dinheiro"/>
    <x v="1"/>
  </r>
  <r>
    <s v="00193"/>
    <x v="3"/>
    <x v="0"/>
    <s v="01/2026"/>
    <d v="2026-01-02T00:00:00"/>
    <x v="263"/>
    <n v="1208"/>
    <n v="0"/>
    <n v="0"/>
    <n v="0"/>
    <n v="1208"/>
    <s v="Dinheiro"/>
    <x v="1"/>
  </r>
  <r>
    <s v="00024"/>
    <x v="0"/>
    <x v="0"/>
    <s v="01/2026"/>
    <d v="2026-01-02T00:00:00"/>
    <x v="263"/>
    <n v="1374.1000000000001"/>
    <n v="0"/>
    <n v="0"/>
    <n v="0"/>
    <n v="1374.1000000000001"/>
    <s v="Dinheiro"/>
    <x v="1"/>
  </r>
  <r>
    <s v="00468"/>
    <x v="236"/>
    <x v="34"/>
    <s v="01/2026"/>
    <d v="2025-12-20T00:00:00"/>
    <x v="279"/>
    <n v="2890"/>
    <n v="0"/>
    <n v="0"/>
    <n v="0"/>
    <n v="2890"/>
    <s v="Dinheiro"/>
    <x v="0"/>
  </r>
  <r>
    <s v="00362"/>
    <x v="7"/>
    <x v="3"/>
    <s v="01/2026"/>
    <d v="2026-01-02T00:00:00"/>
    <x v="263"/>
    <n v="6.12"/>
    <n v="0"/>
    <n v="0"/>
    <n v="0"/>
    <n v="6.12"/>
    <s v="Dinheiro"/>
    <x v="1"/>
  </r>
  <r>
    <s v="00362"/>
    <x v="7"/>
    <x v="3"/>
    <s v="01/2026"/>
    <d v="2026-01-02T00:00:00"/>
    <x v="263"/>
    <n v="22.44"/>
    <n v="0"/>
    <n v="0"/>
    <n v="0"/>
    <n v="22.44"/>
    <s v="Dinheiro"/>
    <x v="1"/>
  </r>
  <r>
    <s v="00083"/>
    <x v="5"/>
    <x v="1"/>
    <s v="01/2026"/>
    <d v="2026-01-02T00:00:00"/>
    <x v="263"/>
    <n v="5127.7"/>
    <n v="0"/>
    <n v="0"/>
    <n v="0"/>
    <n v="5127.7"/>
    <s v="Dinheiro"/>
    <x v="1"/>
  </r>
  <r>
    <s v="00083"/>
    <x v="5"/>
    <x v="32"/>
    <s v="01/2026"/>
    <d v="2026-01-02T00:00:00"/>
    <x v="263"/>
    <n v="4340.8999999999996"/>
    <n v="0"/>
    <n v="0"/>
    <n v="0"/>
    <n v="4340.8999999999996"/>
    <s v="Dinheiro"/>
    <x v="1"/>
  </r>
  <r>
    <s v="00656"/>
    <x v="525"/>
    <x v="1"/>
    <s v="01/2026"/>
    <d v="2026-01-02T00:00:00"/>
    <x v="263"/>
    <n v="243.6"/>
    <n v="0"/>
    <n v="0"/>
    <n v="0"/>
    <n v="243.6"/>
    <s v="Dinheiro"/>
    <x v="1"/>
  </r>
  <r>
    <s v="00660"/>
    <x v="538"/>
    <x v="1"/>
    <s v="01/2026"/>
    <d v="2026-01-02T00:00:00"/>
    <x v="263"/>
    <n v="264"/>
    <n v="0"/>
    <n v="0"/>
    <n v="0"/>
    <n v="264"/>
    <s v="Dinheiro"/>
    <x v="1"/>
  </r>
  <r>
    <s v="00388"/>
    <x v="122"/>
    <x v="1"/>
    <s v="01/2026"/>
    <d v="2026-01-02T00:00:00"/>
    <x v="263"/>
    <n v="448.8"/>
    <n v="0"/>
    <n v="0"/>
    <n v="0"/>
    <n v="448.8"/>
    <s v="Dinheiro"/>
    <x v="1"/>
  </r>
  <r>
    <s v="00223"/>
    <x v="32"/>
    <x v="1"/>
    <s v="01/2026"/>
    <d v="2026-01-02T00:00:00"/>
    <x v="263"/>
    <n v="469.2"/>
    <n v="0"/>
    <n v="0"/>
    <n v="0"/>
    <n v="469.2"/>
    <s v="Dinheiro"/>
    <x v="1"/>
  </r>
  <r>
    <s v="00411"/>
    <x v="181"/>
    <x v="1"/>
    <s v="01/2026"/>
    <d v="2026-01-02T00:00:00"/>
    <x v="263"/>
    <n v="290"/>
    <n v="0"/>
    <n v="0"/>
    <n v="0"/>
    <n v="290"/>
    <s v="Dinheiro"/>
    <x v="1"/>
  </r>
  <r>
    <s v="00666"/>
    <x v="528"/>
    <x v="1"/>
    <s v="01/2026"/>
    <d v="2026-01-02T00:00:00"/>
    <x v="263"/>
    <n v="243.6"/>
    <n v="0"/>
    <n v="0"/>
    <n v="0"/>
    <n v="243.6"/>
    <s v="Dinheiro"/>
    <x v="1"/>
  </r>
  <r>
    <s v="00160"/>
    <x v="31"/>
    <x v="1"/>
    <s v="01/2026"/>
    <d v="2026-01-02T00:00:00"/>
    <x v="263"/>
    <n v="290"/>
    <n v="0"/>
    <n v="0"/>
    <n v="0"/>
    <n v="290"/>
    <s v="Dinheiro"/>
    <x v="1"/>
  </r>
  <r>
    <s v="00631"/>
    <x v="492"/>
    <x v="1"/>
    <s v="01/2026"/>
    <d v="2026-01-02T00:00:00"/>
    <x v="263"/>
    <n v="232"/>
    <n v="0"/>
    <n v="0"/>
    <n v="0"/>
    <n v="232"/>
    <s v="Dinheiro"/>
    <x v="1"/>
  </r>
  <r>
    <s v="00349"/>
    <x v="25"/>
    <x v="1"/>
    <s v="01/2026"/>
    <d v="2026-01-02T00:00:00"/>
    <x v="263"/>
    <n v="235.62"/>
    <n v="0"/>
    <n v="0"/>
    <n v="0"/>
    <n v="235.62"/>
    <s v="Dinheiro"/>
    <x v="1"/>
  </r>
  <r>
    <s v="00474"/>
    <x v="298"/>
    <x v="1"/>
    <s v="01/2026"/>
    <d v="2026-01-02T00:00:00"/>
    <x v="263"/>
    <n v="301.60000000000002"/>
    <n v="0"/>
    <n v="0"/>
    <n v="0"/>
    <n v="301.60000000000002"/>
    <s v="Dinheiro"/>
    <x v="1"/>
  </r>
  <r>
    <s v="00464"/>
    <x v="273"/>
    <x v="1"/>
    <s v="01/2026"/>
    <d v="2026-01-02T00:00:00"/>
    <x v="263"/>
    <n v="266.8"/>
    <n v="0"/>
    <n v="0"/>
    <n v="0"/>
    <n v="266.8"/>
    <s v="Dinheiro"/>
    <x v="1"/>
  </r>
  <r>
    <s v="00650"/>
    <x v="522"/>
    <x v="1"/>
    <s v="01/2026"/>
    <d v="2026-01-02T00:00:00"/>
    <x v="263"/>
    <n v="232"/>
    <n v="0"/>
    <n v="0"/>
    <n v="0"/>
    <n v="232"/>
    <s v="Dinheiro"/>
    <x v="1"/>
  </r>
  <r>
    <s v="00351"/>
    <x v="42"/>
    <x v="1"/>
    <s v="01/2026"/>
    <d v="2026-01-02T00:00:00"/>
    <x v="263"/>
    <n v="568.1"/>
    <n v="0"/>
    <n v="0"/>
    <n v="0"/>
    <n v="568.1"/>
    <s v="Dinheiro"/>
    <x v="1"/>
  </r>
  <r>
    <s v="00168"/>
    <x v="39"/>
    <x v="1"/>
    <s v="01/2026"/>
    <d v="2026-01-02T00:00:00"/>
    <x v="263"/>
    <n v="406.8"/>
    <n v="0"/>
    <n v="0"/>
    <n v="0"/>
    <n v="406.8"/>
    <s v="Dinheiro"/>
    <x v="1"/>
  </r>
  <r>
    <s v="00362"/>
    <x v="7"/>
    <x v="34"/>
    <s v="01/2026"/>
    <d v="2026-01-02T00:00:00"/>
    <x v="263"/>
    <n v="10.67"/>
    <n v="0"/>
    <n v="0"/>
    <n v="0"/>
    <n v="10.67"/>
    <s v="Dinheiro"/>
    <x v="1"/>
  </r>
  <r>
    <s v="00662"/>
    <x v="531"/>
    <x v="25"/>
    <s v="01/2026"/>
    <d v="2026-01-05T00:00:00"/>
    <x v="264"/>
    <n v="26.89"/>
    <n v="0"/>
    <n v="0"/>
    <n v="0"/>
    <n v="26.89"/>
    <s v="Dinheiro"/>
    <x v="1"/>
  </r>
  <r>
    <s v="00497"/>
    <x v="324"/>
    <x v="59"/>
    <s v="01/2026"/>
    <d v="2026-01-05T00:00:00"/>
    <x v="264"/>
    <n v="139.99"/>
    <n v="0"/>
    <n v="0"/>
    <n v="0"/>
    <n v="139.99"/>
    <s v="Dinheiro"/>
    <x v="1"/>
  </r>
  <r>
    <s v="00058"/>
    <x v="88"/>
    <x v="9"/>
    <s v="01/2026"/>
    <d v="2026-01-05T00:00:00"/>
    <x v="264"/>
    <n v="58.9"/>
    <n v="0"/>
    <n v="0"/>
    <n v="0"/>
    <n v="58.9"/>
    <s v="Banco Investimentos"/>
    <x v="1"/>
  </r>
  <r>
    <s v="00362"/>
    <x v="7"/>
    <x v="4"/>
    <s v="01/2026"/>
    <d v="2026-01-05T00:00:00"/>
    <x v="264"/>
    <n v="207.41"/>
    <n v="0"/>
    <n v="0"/>
    <n v="0"/>
    <n v="207.41"/>
    <s v="Dinheiro"/>
    <x v="1"/>
  </r>
  <r>
    <s v="00362"/>
    <x v="7"/>
    <x v="3"/>
    <s v="01/2026"/>
    <d v="2026-01-05T00:00:00"/>
    <x v="264"/>
    <n v="135.52000000000001"/>
    <n v="0"/>
    <n v="0"/>
    <n v="0"/>
    <n v="135.52000000000001"/>
    <s v="Dinheiro"/>
    <x v="1"/>
  </r>
  <r>
    <s v="00362"/>
    <x v="7"/>
    <x v="3"/>
    <s v="01/2026"/>
    <d v="2026-01-05T00:00:00"/>
    <x v="264"/>
    <n v="18.36"/>
    <n v="0"/>
    <n v="0"/>
    <n v="0"/>
    <n v="18.36"/>
    <s v="Dinheiro"/>
    <x v="1"/>
  </r>
  <r>
    <s v="00362"/>
    <x v="7"/>
    <x v="3"/>
    <s v="01/2026"/>
    <d v="2026-01-05T00:00:00"/>
    <x v="264"/>
    <n v="526.14"/>
    <n v="0"/>
    <n v="0"/>
    <n v="0"/>
    <n v="526.14"/>
    <s v="Dinheiro"/>
    <x v="1"/>
  </r>
  <r>
    <s v="00362"/>
    <x v="7"/>
    <x v="3"/>
    <s v="01/2026"/>
    <d v="2026-01-05T00:00:00"/>
    <x v="264"/>
    <n v="195.84"/>
    <n v="0"/>
    <n v="0"/>
    <n v="0"/>
    <n v="195.84"/>
    <s v="Dinheiro"/>
    <x v="1"/>
  </r>
  <r>
    <s v="00362"/>
    <x v="7"/>
    <x v="4"/>
    <s v="01/2026"/>
    <d v="2026-01-05T00:00:00"/>
    <x v="264"/>
    <n v="159.75"/>
    <n v="0"/>
    <n v="0"/>
    <n v="0"/>
    <n v="159.75"/>
    <s v="Dinheiro"/>
    <x v="1"/>
  </r>
  <r>
    <s v="00362"/>
    <x v="7"/>
    <x v="4"/>
    <s v="01/2026"/>
    <d v="2026-01-05T00:00:00"/>
    <x v="264"/>
    <n v="186.69"/>
    <n v="0"/>
    <n v="0"/>
    <n v="0"/>
    <n v="186.69"/>
    <s v="Dinheiro"/>
    <x v="1"/>
  </r>
  <r>
    <s v="00362"/>
    <x v="7"/>
    <x v="3"/>
    <s v="01/2026"/>
    <d v="2026-01-05T00:00:00"/>
    <x v="264"/>
    <n v="67.320000000000007"/>
    <n v="0"/>
    <n v="0"/>
    <n v="0"/>
    <n v="67.320000000000007"/>
    <s v="Dinheiro"/>
    <x v="1"/>
  </r>
  <r>
    <s v="00403"/>
    <x v="160"/>
    <x v="9"/>
    <s v="01/2026"/>
    <d v="2026-01-07T00:00:00"/>
    <x v="265"/>
    <n v="2000"/>
    <n v="0"/>
    <n v="0"/>
    <n v="0"/>
    <n v="2000"/>
    <s v="Banco Investimentos"/>
    <x v="1"/>
  </r>
  <r>
    <s v="00403"/>
    <x v="160"/>
    <x v="9"/>
    <s v="01/2026"/>
    <d v="2026-01-08T00:00:00"/>
    <x v="265"/>
    <n v="2000"/>
    <n v="0"/>
    <n v="0"/>
    <n v="0"/>
    <n v="2000"/>
    <s v="Banco Investimentos"/>
    <x v="1"/>
  </r>
  <r>
    <s v="00258"/>
    <x v="43"/>
    <x v="0"/>
    <s v="01/2026"/>
    <d v="2026-01-05T00:00:00"/>
    <x v="265"/>
    <n v="1915.32"/>
    <n v="0"/>
    <n v="0"/>
    <n v="0"/>
    <n v="1915.32"/>
    <s v="Dinheiro"/>
    <x v="1"/>
  </r>
  <r>
    <s v="00022"/>
    <x v="115"/>
    <x v="46"/>
    <s v="01/2026"/>
    <d v="2026-01-06T00:00:00"/>
    <x v="265"/>
    <n v="131.62"/>
    <n v="0"/>
    <n v="0"/>
    <n v="0"/>
    <n v="131.62"/>
    <s v="Dinheiro"/>
    <x v="1"/>
  </r>
  <r>
    <s v="00154"/>
    <x v="12"/>
    <x v="33"/>
    <s v="01/2026"/>
    <d v="2026-01-07T00:00:00"/>
    <x v="265"/>
    <n v="6000"/>
    <n v="0"/>
    <n v="0"/>
    <n v="0"/>
    <n v="6000"/>
    <s v="Dinheiro"/>
    <x v="1"/>
  </r>
  <r>
    <s v="00672"/>
    <x v="551"/>
    <x v="1"/>
    <s v="01/2026"/>
    <d v="2026-01-06T00:00:00"/>
    <x v="265"/>
    <n v="216"/>
    <n v="0"/>
    <n v="0"/>
    <n v="0"/>
    <n v="216"/>
    <s v="Dinheiro"/>
    <x v="1"/>
  </r>
  <r>
    <s v="00672"/>
    <x v="551"/>
    <x v="32"/>
    <s v="01/2026"/>
    <d v="2026-01-06T00:00:00"/>
    <x v="265"/>
    <n v="164.78"/>
    <n v="0"/>
    <n v="0"/>
    <n v="0"/>
    <n v="164.78"/>
    <s v="Dinheiro"/>
    <x v="1"/>
  </r>
  <r>
    <s v="00362"/>
    <x v="7"/>
    <x v="3"/>
    <s v="01/2026"/>
    <d v="2026-01-06T00:00:00"/>
    <x v="265"/>
    <n v="195.84"/>
    <n v="0"/>
    <n v="0"/>
    <n v="0"/>
    <n v="195.84"/>
    <s v="Dinheiro"/>
    <x v="1"/>
  </r>
  <r>
    <s v="00581"/>
    <x v="426"/>
    <x v="46"/>
    <s v="01/2026"/>
    <d v="2026-01-06T00:00:00"/>
    <x v="265"/>
    <n v="2248.5700000000002"/>
    <n v="0"/>
    <n v="0"/>
    <n v="0"/>
    <n v="2248.5700000000002"/>
    <s v="Dinheiro"/>
    <x v="1"/>
  </r>
  <r>
    <s v="00362"/>
    <x v="7"/>
    <x v="3"/>
    <s v="01/2026"/>
    <d v="2026-01-06T00:00:00"/>
    <x v="265"/>
    <n v="811.92000000000007"/>
    <n v="0"/>
    <n v="0"/>
    <n v="0"/>
    <n v="811.92000000000007"/>
    <s v="Dinheiro"/>
    <x v="1"/>
  </r>
  <r>
    <s v="00027"/>
    <x v="58"/>
    <x v="45"/>
    <s v="01/2026"/>
    <d v="2026-01-06T00:00:00"/>
    <x v="265"/>
    <n v="69.98"/>
    <n v="0"/>
    <n v="0"/>
    <n v="0"/>
    <n v="69.98"/>
    <s v="Dinheiro"/>
    <x v="1"/>
  </r>
  <r>
    <s v="00448"/>
    <x v="282"/>
    <x v="15"/>
    <s v="01/2026"/>
    <d v="2026-01-07T00:00:00"/>
    <x v="266"/>
    <n v="1571"/>
    <n v="0"/>
    <n v="0"/>
    <n v="0"/>
    <n v="1571"/>
    <s v="Dinheiro"/>
    <x v="1"/>
  </r>
  <r>
    <s v="00474"/>
    <x v="298"/>
    <x v="15"/>
    <s v="01/2026"/>
    <d v="2026-01-07T00:00:00"/>
    <x v="266"/>
    <n v="1571"/>
    <n v="0"/>
    <n v="0"/>
    <n v="0"/>
    <n v="1571"/>
    <s v="Dinheiro"/>
    <x v="1"/>
  </r>
  <r>
    <s v="00289"/>
    <x v="20"/>
    <x v="15"/>
    <s v="01/2026"/>
    <d v="2026-01-07T00:00:00"/>
    <x v="266"/>
    <n v="1701"/>
    <n v="0"/>
    <n v="0"/>
    <n v="0"/>
    <n v="1701"/>
    <s v="Dinheiro"/>
    <x v="1"/>
  </r>
  <r>
    <s v="00613"/>
    <x v="467"/>
    <x v="15"/>
    <s v="01/2026"/>
    <d v="2026-01-07T00:00:00"/>
    <x v="266"/>
    <n v="1571"/>
    <n v="0"/>
    <n v="0"/>
    <n v="0"/>
    <n v="1571"/>
    <s v="Dinheiro"/>
    <x v="1"/>
  </r>
  <r>
    <s v="00397"/>
    <x v="152"/>
    <x v="15"/>
    <s v="01/2026"/>
    <d v="2026-01-07T00:00:00"/>
    <x v="266"/>
    <n v="1571"/>
    <n v="0"/>
    <n v="0"/>
    <n v="0"/>
    <n v="1571"/>
    <s v="Dinheiro"/>
    <x v="1"/>
  </r>
  <r>
    <s v="00498"/>
    <x v="242"/>
    <x v="15"/>
    <s v="01/2026"/>
    <d v="2026-01-07T00:00:00"/>
    <x v="266"/>
    <n v="1813"/>
    <n v="0"/>
    <n v="0"/>
    <n v="0"/>
    <n v="1813"/>
    <s v="Dinheiro"/>
    <x v="1"/>
  </r>
  <r>
    <s v="00349"/>
    <x v="25"/>
    <x v="15"/>
    <s v="01/2026"/>
    <d v="2026-01-07T00:00:00"/>
    <x v="266"/>
    <n v="1636"/>
    <n v="0"/>
    <n v="0"/>
    <n v="0"/>
    <n v="1636"/>
    <s v="Dinheiro"/>
    <x v="1"/>
  </r>
  <r>
    <s v="00411"/>
    <x v="181"/>
    <x v="15"/>
    <s v="01/2026"/>
    <d v="2026-01-07T00:00:00"/>
    <x v="266"/>
    <n v="1701"/>
    <n v="0"/>
    <n v="0"/>
    <n v="0"/>
    <n v="1701"/>
    <s v="Dinheiro"/>
    <x v="1"/>
  </r>
  <r>
    <s v="00364"/>
    <x v="16"/>
    <x v="15"/>
    <s v="01/2026"/>
    <d v="2026-01-07T00:00:00"/>
    <x v="266"/>
    <n v="1291"/>
    <n v="0"/>
    <n v="0"/>
    <n v="0"/>
    <n v="1291"/>
    <s v="Dinheiro"/>
    <x v="1"/>
  </r>
  <r>
    <s v="00511"/>
    <x v="241"/>
    <x v="15"/>
    <s v="01/2026"/>
    <d v="2026-01-07T00:00:00"/>
    <x v="266"/>
    <n v="1757"/>
    <n v="0"/>
    <n v="0"/>
    <n v="0"/>
    <n v="1757"/>
    <s v="Dinheiro"/>
    <x v="1"/>
  </r>
  <r>
    <s v="00614"/>
    <x v="468"/>
    <x v="15"/>
    <s v="01/2026"/>
    <d v="2026-01-07T00:00:00"/>
    <x v="266"/>
    <n v="1571"/>
    <n v="0"/>
    <n v="0"/>
    <n v="0"/>
    <n v="1571"/>
    <s v="Dinheiro"/>
    <x v="1"/>
  </r>
  <r>
    <s v="00168"/>
    <x v="39"/>
    <x v="15"/>
    <s v="01/2026"/>
    <d v="2026-01-07T00:00:00"/>
    <x v="266"/>
    <n v="1814"/>
    <n v="0"/>
    <n v="0"/>
    <n v="0"/>
    <n v="1814"/>
    <s v="Dinheiro"/>
    <x v="1"/>
  </r>
  <r>
    <s v="00464"/>
    <x v="273"/>
    <x v="15"/>
    <s v="01/2026"/>
    <d v="2026-01-07T00:00:00"/>
    <x v="266"/>
    <n v="900"/>
    <n v="0"/>
    <n v="0"/>
    <n v="0"/>
    <n v="900"/>
    <s v="Dinheiro"/>
    <x v="1"/>
  </r>
  <r>
    <s v="00133"/>
    <x v="24"/>
    <x v="15"/>
    <s v="01/2026"/>
    <d v="2026-01-07T00:00:00"/>
    <x v="266"/>
    <n v="1571"/>
    <n v="0"/>
    <n v="0"/>
    <n v="0"/>
    <n v="1571"/>
    <s v="Dinheiro"/>
    <x v="1"/>
  </r>
  <r>
    <s v="00502"/>
    <x v="331"/>
    <x v="15"/>
    <s v="01/2026"/>
    <d v="2026-01-07T00:00:00"/>
    <x v="266"/>
    <n v="2472"/>
    <n v="0"/>
    <n v="0"/>
    <n v="0"/>
    <n v="2472"/>
    <s v="Dinheiro"/>
    <x v="1"/>
  </r>
  <r>
    <s v="00447"/>
    <x v="247"/>
    <x v="15"/>
    <s v="01/2026"/>
    <d v="2026-01-07T00:00:00"/>
    <x v="266"/>
    <n v="1384"/>
    <n v="0"/>
    <n v="0"/>
    <n v="0"/>
    <n v="1384"/>
    <s v="Dinheiro"/>
    <x v="1"/>
  </r>
  <r>
    <s v="00513"/>
    <x v="342"/>
    <x v="15"/>
    <s v="01/2026"/>
    <d v="2026-01-07T00:00:00"/>
    <x v="266"/>
    <n v="1165"/>
    <n v="0"/>
    <n v="0"/>
    <n v="0"/>
    <n v="1165"/>
    <s v="Dinheiro"/>
    <x v="1"/>
  </r>
  <r>
    <s v="00478"/>
    <x v="290"/>
    <x v="15"/>
    <s v="01/2026"/>
    <d v="2026-01-07T00:00:00"/>
    <x v="266"/>
    <n v="1571"/>
    <n v="0"/>
    <n v="0"/>
    <n v="0"/>
    <n v="1571"/>
    <s v="Dinheiro"/>
    <x v="1"/>
  </r>
  <r>
    <s v="00160"/>
    <x v="31"/>
    <x v="15"/>
    <s v="01/2026"/>
    <d v="2026-01-07T00:00:00"/>
    <x v="266"/>
    <n v="1057"/>
    <n v="0"/>
    <n v="0"/>
    <n v="0"/>
    <n v="1057"/>
    <s v="Dinheiro"/>
    <x v="1"/>
  </r>
  <r>
    <s v="00223"/>
    <x v="32"/>
    <x v="15"/>
    <s v="01/2026"/>
    <d v="2026-01-07T00:00:00"/>
    <x v="266"/>
    <n v="1784"/>
    <n v="0"/>
    <n v="0"/>
    <n v="0"/>
    <n v="1784"/>
    <s v="Dinheiro"/>
    <x v="1"/>
  </r>
  <r>
    <s v="00316"/>
    <x v="17"/>
    <x v="15"/>
    <s v="01/2026"/>
    <d v="2026-01-07T00:00:00"/>
    <x v="266"/>
    <n v="1059"/>
    <n v="0"/>
    <n v="0"/>
    <n v="0"/>
    <n v="1059"/>
    <s v="Dinheiro"/>
    <x v="1"/>
  </r>
  <r>
    <s v="00351"/>
    <x v="42"/>
    <x v="15"/>
    <s v="01/2026"/>
    <d v="2026-01-07T00:00:00"/>
    <x v="266"/>
    <n v="1571"/>
    <n v="0"/>
    <n v="0"/>
    <n v="0"/>
    <n v="1571"/>
    <s v="Dinheiro"/>
    <x v="1"/>
  </r>
  <r>
    <s v="00388"/>
    <x v="122"/>
    <x v="62"/>
    <s v="01/2026"/>
    <d v="2026-01-07T00:00:00"/>
    <x v="266"/>
    <n v="750"/>
    <n v="0"/>
    <n v="0"/>
    <n v="0"/>
    <n v="750"/>
    <s v="Dinheiro"/>
    <x v="1"/>
  </r>
  <r>
    <s v="00168"/>
    <x v="39"/>
    <x v="14"/>
    <s v="01/2026"/>
    <d v="2026-01-07T00:00:00"/>
    <x v="266"/>
    <n v="1000"/>
    <n v="0"/>
    <n v="0"/>
    <n v="0"/>
    <n v="1000"/>
    <s v="Dinheiro"/>
    <x v="1"/>
  </r>
  <r>
    <s v="00416"/>
    <x v="184"/>
    <x v="19"/>
    <s v="01/2026"/>
    <d v="2026-01-07T00:00:00"/>
    <x v="266"/>
    <n v="1016.14"/>
    <n v="0"/>
    <n v="0"/>
    <n v="0"/>
    <n v="1016.14"/>
    <s v="Dinheiro"/>
    <x v="1"/>
  </r>
  <r>
    <s v="00022"/>
    <x v="115"/>
    <x v="46"/>
    <s v="01/2026"/>
    <d v="2026-01-07T00:00:00"/>
    <x v="266"/>
    <n v="228.32"/>
    <n v="0"/>
    <n v="0"/>
    <n v="0"/>
    <n v="228.32"/>
    <s v="Dinheiro"/>
    <x v="1"/>
  </r>
  <r>
    <s v="00014"/>
    <x v="187"/>
    <x v="50"/>
    <s v="12/2025"/>
    <d v="2025-12-30T00:00:00"/>
    <x v="266"/>
    <n v="4397.03"/>
    <n v="0"/>
    <n v="0"/>
    <n v="0"/>
    <n v="4397.03"/>
    <s v="Dinheiro"/>
    <x v="1"/>
  </r>
  <r>
    <s v="00353"/>
    <x v="61"/>
    <x v="41"/>
    <s v="01/2026"/>
    <d v="2026-01-07T00:00:00"/>
    <x v="266"/>
    <n v="5000"/>
    <n v="0"/>
    <n v="0"/>
    <n v="0"/>
    <n v="5000"/>
    <s v="Dinheiro"/>
    <x v="1"/>
  </r>
  <r>
    <s v="00353"/>
    <x v="61"/>
    <x v="41"/>
    <s v="01/2026"/>
    <d v="2026-01-07T00:00:00"/>
    <x v="266"/>
    <n v="1000"/>
    <n v="0"/>
    <n v="0"/>
    <n v="0"/>
    <n v="1000"/>
    <s v="Dinheiro"/>
    <x v="1"/>
  </r>
  <r>
    <s v="ADM250047"/>
    <x v="552"/>
    <x v="28"/>
    <s v="01/2026"/>
    <d v="2026-01-07T00:00:00"/>
    <x v="266"/>
    <n v="99"/>
    <n v="0"/>
    <n v="0"/>
    <n v="0"/>
    <n v="99"/>
    <s v="Dinheiro"/>
    <x v="1"/>
  </r>
  <r>
    <s v="00362"/>
    <x v="7"/>
    <x v="3"/>
    <s v="01/2026"/>
    <d v="2026-01-07T00:00:00"/>
    <x v="266"/>
    <n v="22.44"/>
    <n v="0"/>
    <n v="0"/>
    <n v="0"/>
    <n v="22.44"/>
    <s v="Dinheiro"/>
    <x v="1"/>
  </r>
  <r>
    <s v="00674"/>
    <x v="553"/>
    <x v="74"/>
    <s v="01/2026"/>
    <d v="2026-01-07T00:00:00"/>
    <x v="266"/>
    <n v="280"/>
    <n v="0"/>
    <n v="0"/>
    <n v="0"/>
    <n v="280"/>
    <s v="Dinheiro"/>
    <x v="1"/>
  </r>
  <r>
    <s v="00362"/>
    <x v="7"/>
    <x v="3"/>
    <s v="01/2026"/>
    <d v="2026-01-07T00:00:00"/>
    <x v="266"/>
    <n v="95.88"/>
    <n v="0"/>
    <n v="0"/>
    <n v="0"/>
    <n v="95.88"/>
    <s v="Dinheiro"/>
    <x v="1"/>
  </r>
  <r>
    <s v="00102"/>
    <x v="84"/>
    <x v="10"/>
    <s v="12/2025"/>
    <d v="2025-12-23T00:00:00"/>
    <x v="266"/>
    <n v="2898.51"/>
    <n v="0"/>
    <n v="0"/>
    <n v="0"/>
    <n v="2898.51"/>
    <s v="Dinheiro"/>
    <x v="1"/>
  </r>
  <r>
    <s v="00102"/>
    <x v="84"/>
    <x v="10"/>
    <s v="12/2025"/>
    <d v="2025-12-29T00:00:00"/>
    <x v="266"/>
    <n v="1588.2"/>
    <n v="0"/>
    <n v="0"/>
    <n v="0"/>
    <n v="186.23"/>
    <s v="Dinheiro"/>
    <x v="1"/>
  </r>
  <r>
    <s v="00005"/>
    <x v="532"/>
    <x v="18"/>
    <s v="01/2026"/>
    <d v="2026-01-06T00:00:00"/>
    <x v="259"/>
    <n v="1996.8"/>
    <n v="0"/>
    <n v="0"/>
    <n v="0"/>
    <n v="1996.8"/>
    <s v="Dinheiro"/>
    <x v="1"/>
  </r>
  <r>
    <s v="00576"/>
    <x v="456"/>
    <x v="94"/>
    <s v="01/2026"/>
    <d v="2026-01-08T00:00:00"/>
    <x v="259"/>
    <n v="1249.06"/>
    <n v="0"/>
    <n v="0"/>
    <n v="0"/>
    <n v="1249.06"/>
    <s v="Dinheiro"/>
    <x v="1"/>
  </r>
  <r>
    <s v="00006"/>
    <x v="137"/>
    <x v="53"/>
    <s v="12/2025"/>
    <d v="2025-12-20T00:00:00"/>
    <x v="259"/>
    <n v="1542.22"/>
    <n v="0"/>
    <n v="0"/>
    <n v="0"/>
    <n v="1542.22"/>
    <s v="Dinheiro"/>
    <x v="1"/>
  </r>
  <r>
    <s v="00615"/>
    <x v="487"/>
    <x v="25"/>
    <s v="01/2026"/>
    <d v="2026-01-06T00:00:00"/>
    <x v="259"/>
    <n v="1533.3700000000001"/>
    <n v="0"/>
    <n v="0"/>
    <n v="0"/>
    <n v="1533.3700000000001"/>
    <s v="Dinheiro"/>
    <x v="1"/>
  </r>
  <r>
    <s v="00016"/>
    <x v="185"/>
    <x v="12"/>
    <s v="01/2026"/>
    <d v="2026-01-08T00:00:00"/>
    <x v="259"/>
    <n v="35"/>
    <n v="0"/>
    <n v="0"/>
    <n v="0"/>
    <n v="35"/>
    <s v="Dinheiro"/>
    <x v="1"/>
  </r>
  <r>
    <s v="00362"/>
    <x v="7"/>
    <x v="3"/>
    <s v="01/2026"/>
    <d v="2026-01-08T00:00:00"/>
    <x v="259"/>
    <n v="16.32"/>
    <n v="0"/>
    <n v="0"/>
    <n v="0"/>
    <n v="16.32"/>
    <s v="Dinheiro"/>
    <x v="1"/>
  </r>
  <r>
    <s v="00077"/>
    <x v="237"/>
    <x v="66"/>
    <s v="01/2026"/>
    <d v="2026-01-08T00:00:00"/>
    <x v="259"/>
    <n v="1400"/>
    <n v="0"/>
    <n v="0"/>
    <n v="0"/>
    <n v="1400"/>
    <s v="Dinheiro"/>
    <x v="1"/>
  </r>
  <r>
    <s v="00673"/>
    <x v="554"/>
    <x v="59"/>
    <s v="01/2026"/>
    <d v="2026-01-08T00:00:00"/>
    <x v="259"/>
    <n v="640"/>
    <n v="0"/>
    <n v="0"/>
    <n v="0"/>
    <n v="640"/>
    <s v="Dinheiro"/>
    <x v="1"/>
  </r>
  <r>
    <s v="00362"/>
    <x v="7"/>
    <x v="3"/>
    <s v="01/2026"/>
    <d v="2026-01-08T00:00:00"/>
    <x v="259"/>
    <n v="79.56"/>
    <n v="0"/>
    <n v="0"/>
    <n v="0"/>
    <n v="79.56"/>
    <s v="Dinheiro"/>
    <x v="1"/>
  </r>
  <r>
    <s v="00328"/>
    <x v="270"/>
    <x v="45"/>
    <s v="01/2026"/>
    <d v="2026-01-08T00:00:00"/>
    <x v="259"/>
    <n v="69.98"/>
    <n v="0"/>
    <n v="0"/>
    <n v="0"/>
    <n v="69.98"/>
    <s v="Dinheiro"/>
    <x v="1"/>
  </r>
  <r>
    <s v="00622"/>
    <x v="488"/>
    <x v="29"/>
    <s v="01/2026"/>
    <d v="2026-01-10T00:00:00"/>
    <x v="260"/>
    <n v="1720"/>
    <n v="0"/>
    <n v="0"/>
    <n v="0"/>
    <n v="1720"/>
    <s v="Dinheiro"/>
    <x v="1"/>
  </r>
  <r>
    <s v="00355"/>
    <x v="83"/>
    <x v="41"/>
    <s v="01/2026"/>
    <d v="2026-01-09T00:00:00"/>
    <x v="260"/>
    <n v="760"/>
    <n v="0"/>
    <n v="0"/>
    <n v="0"/>
    <n v="760"/>
    <s v="Dinheiro"/>
    <x v="1"/>
  </r>
  <r>
    <s v="00362"/>
    <x v="7"/>
    <x v="3"/>
    <s v="01/2026"/>
    <d v="2026-01-09T00:00:00"/>
    <x v="260"/>
    <n v="2.04"/>
    <n v="0"/>
    <n v="0"/>
    <n v="0"/>
    <n v="2.04"/>
    <s v="Dinheiro"/>
    <x v="1"/>
  </r>
  <r>
    <s v="00667"/>
    <x v="540"/>
    <x v="95"/>
    <s v="01/2026"/>
    <d v="2026-01-10T00:00:00"/>
    <x v="260"/>
    <n v="475.32"/>
    <n v="0"/>
    <n v="0"/>
    <n v="0"/>
    <n v="475.32"/>
    <s v="Dinheiro"/>
    <x v="1"/>
  </r>
  <r>
    <s v="00085"/>
    <x v="555"/>
    <x v="22"/>
    <s v="01/2026"/>
    <d v="2026-01-10T00:00:00"/>
    <x v="260"/>
    <n v="983.63"/>
    <n v="0"/>
    <n v="0"/>
    <n v="0"/>
    <n v="983.63"/>
    <s v="Dinheiro"/>
    <x v="1"/>
  </r>
  <r>
    <s v="00086"/>
    <x v="556"/>
    <x v="22"/>
    <s v="01/2026"/>
    <d v="2026-01-10T00:00:00"/>
    <x v="260"/>
    <n v="7692.56"/>
    <n v="0"/>
    <n v="0"/>
    <n v="0"/>
    <n v="7692.56"/>
    <s v="Dinheiro"/>
    <x v="1"/>
  </r>
  <r>
    <s v="00607"/>
    <x v="52"/>
    <x v="16"/>
    <s v="01/2026"/>
    <d v="2026-01-10T00:00:00"/>
    <x v="260"/>
    <n v="276.26"/>
    <n v="0"/>
    <n v="0"/>
    <n v="0"/>
    <n v="276.26"/>
    <s v="Dinheiro"/>
    <x v="1"/>
  </r>
  <r>
    <s v="00546"/>
    <x v="402"/>
    <x v="11"/>
    <s v="01/2026"/>
    <d v="2026-01-10T00:00:00"/>
    <x v="260"/>
    <n v="997.5"/>
    <n v="0"/>
    <n v="0"/>
    <n v="0"/>
    <n v="997.5"/>
    <s v="Dinheiro"/>
    <x v="1"/>
  </r>
  <r>
    <s v="00009"/>
    <x v="53"/>
    <x v="24"/>
    <s v="01/2026"/>
    <d v="2026-01-10T00:00:00"/>
    <x v="260"/>
    <n v="27343.18"/>
    <n v="0"/>
    <n v="0"/>
    <n v="0"/>
    <n v="27343.18"/>
    <s v="Dinheiro"/>
    <x v="1"/>
  </r>
  <r>
    <s v="00101"/>
    <x v="171"/>
    <x v="58"/>
    <s v="01/2026"/>
    <d v="2026-01-10T00:00:00"/>
    <x v="260"/>
    <n v="605"/>
    <n v="0"/>
    <n v="0"/>
    <n v="0"/>
    <n v="605"/>
    <s v="Dinheiro"/>
    <x v="1"/>
  </r>
  <r>
    <s v="00478"/>
    <x v="290"/>
    <x v="29"/>
    <s v="01/2026"/>
    <d v="2026-01-10T00:00:00"/>
    <x v="260"/>
    <n v="800"/>
    <n v="0"/>
    <n v="0"/>
    <n v="0"/>
    <n v="800"/>
    <s v="Dinheiro"/>
    <x v="1"/>
  </r>
  <r>
    <s v="00235"/>
    <x v="86"/>
    <x v="29"/>
    <s v="01/2026"/>
    <d v="2026-01-10T00:00:00"/>
    <x v="260"/>
    <n v="2160"/>
    <n v="0"/>
    <n v="0"/>
    <n v="0"/>
    <n v="2160"/>
    <s v="Dinheiro"/>
    <x v="1"/>
  </r>
  <r>
    <s v="00601"/>
    <x v="506"/>
    <x v="29"/>
    <s v="01/2026"/>
    <d v="2026-01-10T00:00:00"/>
    <x v="260"/>
    <n v="800"/>
    <n v="0"/>
    <n v="0"/>
    <n v="0"/>
    <n v="800"/>
    <s v="Dinheiro"/>
    <x v="1"/>
  </r>
  <r>
    <s v="00499"/>
    <x v="328"/>
    <x v="29"/>
    <s v="01/2026"/>
    <d v="2026-01-10T00:00:00"/>
    <x v="260"/>
    <n v="560"/>
    <n v="0"/>
    <n v="0"/>
    <n v="0"/>
    <n v="560"/>
    <s v="Dinheiro"/>
    <x v="1"/>
  </r>
  <r>
    <s v="00355"/>
    <x v="83"/>
    <x v="29"/>
    <s v="01/2026"/>
    <d v="2026-01-10T00:00:00"/>
    <x v="260"/>
    <n v="1520"/>
    <n v="0"/>
    <n v="0"/>
    <n v="0"/>
    <n v="1520"/>
    <s v="Dinheiro"/>
    <x v="1"/>
  </r>
  <r>
    <s v="00491"/>
    <x v="315"/>
    <x v="29"/>
    <s v="01/2026"/>
    <d v="2026-01-10T00:00:00"/>
    <x v="260"/>
    <n v="1440"/>
    <n v="0"/>
    <n v="0"/>
    <n v="0"/>
    <n v="1440"/>
    <s v="Dinheiro"/>
    <x v="1"/>
  </r>
  <r>
    <s v="00397"/>
    <x v="152"/>
    <x v="29"/>
    <s v="01/2026"/>
    <d v="2026-01-10T00:00:00"/>
    <x v="260"/>
    <n v="960"/>
    <n v="0"/>
    <n v="0"/>
    <n v="0"/>
    <n v="960"/>
    <s v="Dinheiro"/>
    <x v="1"/>
  </r>
  <r>
    <s v="00618"/>
    <x v="481"/>
    <x v="29"/>
    <s v="01/2026"/>
    <d v="2026-01-10T00:00:00"/>
    <x v="260"/>
    <n v="640"/>
    <n v="0"/>
    <n v="0"/>
    <n v="0"/>
    <n v="640"/>
    <s v="Dinheiro"/>
    <x v="1"/>
  </r>
  <r>
    <s v="00378"/>
    <x v="87"/>
    <x v="29"/>
    <s v="01/2026"/>
    <d v="2026-01-10T00:00:00"/>
    <x v="260"/>
    <n v="2080"/>
    <n v="0"/>
    <n v="0"/>
    <n v="0"/>
    <n v="2080"/>
    <s v="Dinheiro"/>
    <x v="1"/>
  </r>
  <r>
    <s v="00454"/>
    <x v="61"/>
    <x v="29"/>
    <s v="01/2026"/>
    <d v="2026-01-10T00:00:00"/>
    <x v="260"/>
    <n v="560"/>
    <n v="0"/>
    <n v="0"/>
    <n v="0"/>
    <n v="560"/>
    <s v="Dinheiro"/>
    <x v="1"/>
  </r>
  <r>
    <s v="00502"/>
    <x v="331"/>
    <x v="29"/>
    <s v="01/2026"/>
    <d v="2026-01-10T00:00:00"/>
    <x v="260"/>
    <n v="300"/>
    <n v="0"/>
    <n v="0"/>
    <n v="0"/>
    <n v="300"/>
    <s v="Dinheiro"/>
    <x v="1"/>
  </r>
  <r>
    <s v="00190"/>
    <x v="70"/>
    <x v="29"/>
    <s v="01/2026"/>
    <d v="2026-01-10T00:00:00"/>
    <x v="260"/>
    <n v="720"/>
    <n v="0"/>
    <n v="0"/>
    <n v="0"/>
    <n v="720"/>
    <s v="Dinheiro"/>
    <x v="1"/>
  </r>
  <r>
    <s v="00652"/>
    <x v="534"/>
    <x v="29"/>
    <s v="01/2026"/>
    <d v="2026-01-10T00:00:00"/>
    <x v="260"/>
    <n v="640"/>
    <n v="0"/>
    <n v="0"/>
    <n v="0"/>
    <n v="640"/>
    <s v="Dinheiro"/>
    <x v="1"/>
  </r>
  <r>
    <s v="00432"/>
    <x v="213"/>
    <x v="30"/>
    <s v="01/2026"/>
    <d v="2026-01-10T00:00:00"/>
    <x v="260"/>
    <n v="480"/>
    <n v="0"/>
    <n v="0"/>
    <n v="0"/>
    <n v="480"/>
    <s v="Dinheiro"/>
    <x v="1"/>
  </r>
  <r>
    <s v="00378"/>
    <x v="87"/>
    <x v="30"/>
    <s v="01/2026"/>
    <d v="2026-01-10T00:00:00"/>
    <x v="260"/>
    <n v="180"/>
    <n v="0"/>
    <n v="0"/>
    <n v="0"/>
    <n v="180"/>
    <s v="Dinheiro"/>
    <x v="1"/>
  </r>
  <r>
    <s v="00653"/>
    <x v="533"/>
    <x v="29"/>
    <s v="01/2026"/>
    <d v="2026-01-10T00:00:00"/>
    <x v="260"/>
    <n v="480"/>
    <n v="0"/>
    <n v="0"/>
    <n v="0"/>
    <n v="480"/>
    <s v="Dinheiro"/>
    <x v="1"/>
  </r>
  <r>
    <s v="00654"/>
    <x v="526"/>
    <x v="29"/>
    <s v="01/2026"/>
    <d v="2026-01-10T00:00:00"/>
    <x v="260"/>
    <n v="400"/>
    <n v="0"/>
    <n v="0"/>
    <n v="0"/>
    <n v="400"/>
    <s v="Dinheiro"/>
    <x v="1"/>
  </r>
  <r>
    <s v="00636"/>
    <x v="505"/>
    <x v="29"/>
    <s v="01/2026"/>
    <d v="2026-01-10T00:00:00"/>
    <x v="260"/>
    <n v="640"/>
    <n v="0"/>
    <n v="0"/>
    <n v="0"/>
    <n v="640"/>
    <s v="Dinheiro"/>
    <x v="1"/>
  </r>
  <r>
    <s v="00659"/>
    <x v="557"/>
    <x v="29"/>
    <s v="01/2026"/>
    <d v="2026-01-10T00:00:00"/>
    <x v="260"/>
    <n v="320"/>
    <n v="0"/>
    <n v="0"/>
    <n v="0"/>
    <n v="320"/>
    <s v="Dinheiro"/>
    <x v="1"/>
  </r>
  <r>
    <s v="00677"/>
    <x v="558"/>
    <x v="29"/>
    <s v="01/2026"/>
    <d v="2026-01-10T00:00:00"/>
    <x v="260"/>
    <n v="240"/>
    <n v="0"/>
    <n v="0"/>
    <n v="0"/>
    <n v="240"/>
    <s v="Dinheiro"/>
    <x v="1"/>
  </r>
  <r>
    <s v="00190"/>
    <x v="70"/>
    <x v="30"/>
    <s v="01/2026"/>
    <d v="2026-01-10T00:00:00"/>
    <x v="260"/>
    <n v="1760"/>
    <n v="0"/>
    <n v="0"/>
    <n v="0"/>
    <n v="1760"/>
    <s v="Dinheiro"/>
    <x v="1"/>
  </r>
  <r>
    <s v="00332"/>
    <x v="28"/>
    <x v="30"/>
    <s v="01/2026"/>
    <d v="2026-01-10T00:00:00"/>
    <x v="260"/>
    <n v="600"/>
    <n v="0"/>
    <n v="0"/>
    <n v="0"/>
    <n v="600"/>
    <s v="Dinheiro"/>
    <x v="1"/>
  </r>
  <r>
    <s v="00522"/>
    <x v="356"/>
    <x v="30"/>
    <s v="01/2026"/>
    <d v="2026-01-10T00:00:00"/>
    <x v="260"/>
    <n v="1980"/>
    <n v="0"/>
    <n v="0"/>
    <n v="0"/>
    <n v="1980"/>
    <s v="Dinheiro"/>
    <x v="1"/>
  </r>
  <r>
    <s v="00564"/>
    <x v="441"/>
    <x v="30"/>
    <s v="01/2026"/>
    <d v="2026-01-10T00:00:00"/>
    <x v="260"/>
    <n v="1120"/>
    <n v="0"/>
    <n v="0"/>
    <n v="0"/>
    <n v="1120"/>
    <s v="Dinheiro"/>
    <x v="1"/>
  </r>
  <r>
    <s v="00636"/>
    <x v="505"/>
    <x v="30"/>
    <s v="01/2026"/>
    <d v="2026-01-10T00:00:00"/>
    <x v="260"/>
    <n v="80"/>
    <n v="0"/>
    <n v="0"/>
    <n v="0"/>
    <n v="80"/>
    <s v="Dinheiro"/>
    <x v="1"/>
  </r>
  <r>
    <s v="00521"/>
    <x v="359"/>
    <x v="30"/>
    <s v="01/2026"/>
    <d v="2026-01-10T00:00:00"/>
    <x v="260"/>
    <n v="2040"/>
    <n v="0"/>
    <n v="0"/>
    <n v="0"/>
    <n v="2040"/>
    <s v="Dinheiro"/>
    <x v="1"/>
  </r>
  <r>
    <s v="00330"/>
    <x v="14"/>
    <x v="13"/>
    <s v="01/2026"/>
    <d v="2026-01-07T00:00:00"/>
    <x v="260"/>
    <n v="550"/>
    <n v="0"/>
    <n v="0"/>
    <n v="0"/>
    <n v="550"/>
    <s v="Dinheiro"/>
    <x v="1"/>
  </r>
  <r>
    <s v="00024"/>
    <x v="0"/>
    <x v="0"/>
    <s v="01/2026"/>
    <d v="2026-01-02T00:00:00"/>
    <x v="280"/>
    <n v="792"/>
    <n v="0"/>
    <n v="0"/>
    <n v="0"/>
    <n v="792"/>
    <s v="Dinheiro"/>
    <x v="1"/>
  </r>
  <r>
    <s v="00447"/>
    <x v="247"/>
    <x v="9"/>
    <s v="01/2026"/>
    <d v="2026-01-05T00:00:00"/>
    <x v="280"/>
    <n v="350"/>
    <n v="0"/>
    <n v="0"/>
    <n v="0"/>
    <n v="350"/>
    <s v="Banco Investimentos"/>
    <x v="1"/>
  </r>
  <r>
    <s v="00644"/>
    <x v="511"/>
    <x v="9"/>
    <s v="01/2026"/>
    <d v="2026-01-08T00:00:00"/>
    <x v="280"/>
    <n v="46.9"/>
    <n v="0"/>
    <n v="0"/>
    <n v="0"/>
    <n v="46.9"/>
    <s v="Banco Investimentos"/>
    <x v="1"/>
  </r>
  <r>
    <s v="00362"/>
    <x v="7"/>
    <x v="34"/>
    <s v="01/2026"/>
    <d v="2026-01-05T00:00:00"/>
    <x v="280"/>
    <n v="4511.7"/>
    <n v="0"/>
    <n v="0"/>
    <n v="0"/>
    <n v="4511.7"/>
    <s v="Dinheiro"/>
    <x v="1"/>
  </r>
  <r>
    <s v="00362"/>
    <x v="7"/>
    <x v="48"/>
    <s v="01/2026"/>
    <d v="2026-01-07T00:00:00"/>
    <x v="280"/>
    <n v="1834.98"/>
    <n v="0"/>
    <n v="0"/>
    <n v="0"/>
    <n v="1834.98"/>
    <s v="Dinheiro"/>
    <x v="1"/>
  </r>
  <r>
    <s v="00316"/>
    <x v="17"/>
    <x v="8"/>
    <s v="01/2026"/>
    <d v="2026-01-09T00:00:00"/>
    <x v="280"/>
    <n v="200"/>
    <n v="0"/>
    <n v="0"/>
    <n v="0"/>
    <n v="200"/>
    <s v="Dinheiro"/>
    <x v="1"/>
  </r>
  <r>
    <s v="00668"/>
    <x v="541"/>
    <x v="93"/>
    <s v="01/2026"/>
    <d v="2026-01-20T00:00:00"/>
    <x v="267"/>
    <n v="333"/>
    <n v="0"/>
    <n v="0"/>
    <n v="0"/>
    <n v="333"/>
    <s v="Dinheiro"/>
    <x v="1"/>
  </r>
  <r>
    <s v="00680"/>
    <x v="559"/>
    <x v="22"/>
    <s v="01/2026"/>
    <d v="2026-01-12T00:00:00"/>
    <x v="267"/>
    <n v="2564.19"/>
    <n v="0"/>
    <n v="0"/>
    <n v="0"/>
    <n v="2564.19"/>
    <s v="Dinheiro"/>
    <x v="1"/>
  </r>
  <r>
    <s v="00529"/>
    <x v="379"/>
    <x v="11"/>
    <s v="01/2026"/>
    <d v="2026-01-12T00:00:00"/>
    <x v="267"/>
    <n v="1020"/>
    <n v="0"/>
    <n v="0"/>
    <n v="0"/>
    <n v="1020"/>
    <s v="Dinheiro"/>
    <x v="1"/>
  </r>
  <r>
    <s v="00278"/>
    <x v="316"/>
    <x v="30"/>
    <s v="01/2026"/>
    <d v="2026-01-10T00:00:00"/>
    <x v="267"/>
    <n v="640"/>
    <n v="0"/>
    <n v="0"/>
    <n v="0"/>
    <n v="640"/>
    <s v="Dinheiro"/>
    <x v="1"/>
  </r>
  <r>
    <s v="00586"/>
    <x v="398"/>
    <x v="29"/>
    <s v="01/2026"/>
    <d v="2026-01-10T00:00:00"/>
    <x v="267"/>
    <n v="240"/>
    <n v="0"/>
    <n v="0"/>
    <n v="0"/>
    <n v="240"/>
    <s v="Dinheiro"/>
    <x v="1"/>
  </r>
  <r>
    <s v="00488"/>
    <x v="312"/>
    <x v="30"/>
    <s v="01/2026"/>
    <d v="2026-01-10T00:00:00"/>
    <x v="267"/>
    <n v="400"/>
    <n v="0"/>
    <n v="0"/>
    <n v="0"/>
    <n v="400"/>
    <s v="Dinheiro"/>
    <x v="1"/>
  </r>
  <r>
    <s v="00671"/>
    <x v="560"/>
    <x v="29"/>
    <s v="01/2026"/>
    <d v="2026-01-10T00:00:00"/>
    <x v="267"/>
    <n v="720"/>
    <n v="0"/>
    <n v="0"/>
    <n v="0"/>
    <n v="720"/>
    <s v="Dinheiro"/>
    <x v="1"/>
  </r>
  <r>
    <s v="00616"/>
    <x v="482"/>
    <x v="29"/>
    <s v="01/2026"/>
    <d v="2026-01-10T00:00:00"/>
    <x v="267"/>
    <n v="560"/>
    <n v="0"/>
    <n v="0"/>
    <n v="0"/>
    <n v="560"/>
    <s v="Dinheiro"/>
    <x v="1"/>
  </r>
  <r>
    <s v="RAD250222"/>
    <x v="561"/>
    <x v="28"/>
    <s v="01/2026"/>
    <d v="2026-01-12T00:00:00"/>
    <x v="267"/>
    <n v="69"/>
    <n v="0"/>
    <n v="0"/>
    <n v="0"/>
    <n v="69"/>
    <s v="Dinheiro"/>
    <x v="1"/>
  </r>
  <r>
    <s v="00015"/>
    <x v="363"/>
    <x v="23"/>
    <s v="01/2026"/>
    <d v="2026-01-10T00:00:00"/>
    <x v="267"/>
    <n v="2250.5300000000002"/>
    <n v="0"/>
    <n v="0"/>
    <n v="0"/>
    <n v="2250.5300000000002"/>
    <s v="Dinheiro"/>
    <x v="1"/>
  </r>
  <r>
    <s v="00530"/>
    <x v="371"/>
    <x v="11"/>
    <s v="01/2026"/>
    <d v="2026-01-12T00:00:00"/>
    <x v="267"/>
    <n v="300"/>
    <n v="0"/>
    <n v="0"/>
    <n v="0"/>
    <n v="300"/>
    <s v="Dinheiro"/>
    <x v="1"/>
  </r>
  <r>
    <s v="00362"/>
    <x v="7"/>
    <x v="3"/>
    <s v="01/2026"/>
    <d v="2026-01-12T00:00:00"/>
    <x v="267"/>
    <n v="1674.66"/>
    <n v="0"/>
    <n v="0"/>
    <n v="0"/>
    <n v="1674.66"/>
    <s v="Dinheiro"/>
    <x v="1"/>
  </r>
  <r>
    <s v="00403"/>
    <x v="160"/>
    <x v="9"/>
    <s v="01/2026"/>
    <d v="2026-01-13T00:00:00"/>
    <x v="267"/>
    <n v="700"/>
    <n v="0"/>
    <n v="0"/>
    <n v="0"/>
    <n v="700"/>
    <s v="Dinheiro"/>
    <x v="1"/>
  </r>
  <r>
    <s v="00584"/>
    <x v="459"/>
    <x v="29"/>
    <s v="01/2026"/>
    <d v="2026-01-10T00:00:00"/>
    <x v="267"/>
    <n v="880"/>
    <n v="0"/>
    <n v="0"/>
    <n v="0"/>
    <n v="880"/>
    <s v="Dinheiro"/>
    <x v="1"/>
  </r>
  <r>
    <s v="00362"/>
    <x v="7"/>
    <x v="34"/>
    <s v="01/2026"/>
    <d v="2026-01-12T00:00:00"/>
    <x v="267"/>
    <n v="1093.5"/>
    <n v="0"/>
    <n v="0"/>
    <n v="0"/>
    <n v="1093.5"/>
    <s v="Dinheiro"/>
    <x v="1"/>
  </r>
  <r>
    <s v="00362"/>
    <x v="7"/>
    <x v="3"/>
    <s v="01/2026"/>
    <d v="2026-01-13T00:00:00"/>
    <x v="261"/>
    <n v="2.04"/>
    <n v="0"/>
    <n v="0"/>
    <n v="0"/>
    <n v="2.04"/>
    <s v="Dinheiro"/>
    <x v="1"/>
  </r>
  <r>
    <s v="00362"/>
    <x v="7"/>
    <x v="3"/>
    <s v="01/2026"/>
    <d v="2026-01-13T00:00:00"/>
    <x v="261"/>
    <n v="6.12"/>
    <n v="0"/>
    <n v="0"/>
    <n v="0"/>
    <n v="6.12"/>
    <s v="Dinheiro"/>
    <x v="1"/>
  </r>
  <r>
    <s v="00682"/>
    <x v="562"/>
    <x v="38"/>
    <s v="01/2026"/>
    <d v="2026-01-14T00:00:00"/>
    <x v="268"/>
    <n v="8.1"/>
    <n v="0"/>
    <n v="0"/>
    <n v="0"/>
    <n v="8.1"/>
    <s v="Dinheiro"/>
    <x v="1"/>
  </r>
  <r>
    <s v="00068"/>
    <x v="98"/>
    <x v="39"/>
    <s v="01/2026"/>
    <d v="2026-01-15T00:00:00"/>
    <x v="269"/>
    <n v="1621"/>
    <n v="0"/>
    <n v="0"/>
    <n v="0"/>
    <n v="1621"/>
    <s v="Dinheiro"/>
    <x v="1"/>
  </r>
  <r>
    <s v="00526"/>
    <x v="368"/>
    <x v="41"/>
    <s v="01/2026"/>
    <d v="2026-01-15T00:00:00"/>
    <x v="269"/>
    <n v="1500"/>
    <n v="0"/>
    <n v="0"/>
    <n v="0"/>
    <n v="1500"/>
    <s v="Dinheiro"/>
    <x v="1"/>
  </r>
  <r>
    <s v="00668"/>
    <x v="541"/>
    <x v="93"/>
    <s v="01/2026"/>
    <d v="2026-01-15T00:00:00"/>
    <x v="269"/>
    <n v="2000"/>
    <n v="0"/>
    <n v="0"/>
    <n v="0"/>
    <n v="2000"/>
    <s v="Dinheiro"/>
    <x v="1"/>
  </r>
  <r>
    <s v="00676"/>
    <x v="563"/>
    <x v="30"/>
    <s v="01/2026"/>
    <d v="2026-01-10T00:00:00"/>
    <x v="269"/>
    <n v="1200"/>
    <n v="0"/>
    <n v="0"/>
    <n v="0"/>
    <n v="1200"/>
    <s v="Dinheiro"/>
    <x v="1"/>
  </r>
  <r>
    <s v="00477"/>
    <x v="288"/>
    <x v="11"/>
    <s v="01/2026"/>
    <d v="2026-01-15T00:00:00"/>
    <x v="269"/>
    <n v="910"/>
    <n v="0"/>
    <n v="0"/>
    <n v="0"/>
    <n v="910"/>
    <s v="Dinheiro"/>
    <x v="1"/>
  </r>
  <r>
    <s v="00193"/>
    <x v="3"/>
    <x v="0"/>
    <s v="01/2026"/>
    <d v="2026-01-16T00:00:00"/>
    <x v="269"/>
    <n v="2319.81"/>
    <n v="0"/>
    <n v="0"/>
    <n v="0"/>
    <n v="2319.81"/>
    <s v="Dinheiro"/>
    <x v="1"/>
  </r>
  <r>
    <s v="00018"/>
    <x v="95"/>
    <x v="16"/>
    <s v="01/2026"/>
    <d v="2026-01-15T00:00:00"/>
    <x v="269"/>
    <n v="650"/>
    <n v="0"/>
    <n v="0"/>
    <n v="0"/>
    <n v="650"/>
    <s v="Dinheiro"/>
    <x v="1"/>
  </r>
  <r>
    <s v="00103"/>
    <x v="97"/>
    <x v="72"/>
    <s v="01/2026"/>
    <d v="2026-01-15T00:00:00"/>
    <x v="269"/>
    <n v="132"/>
    <n v="0"/>
    <n v="0"/>
    <n v="0"/>
    <n v="132"/>
    <s v="Dinheiro"/>
    <x v="1"/>
  </r>
  <r>
    <s v="00102"/>
    <x v="84"/>
    <x v="16"/>
    <s v="01/2026"/>
    <d v="2026-01-15T00:00:00"/>
    <x v="269"/>
    <n v="700"/>
    <n v="0"/>
    <n v="0"/>
    <n v="0"/>
    <n v="700"/>
    <s v="Dinheiro"/>
    <x v="1"/>
  </r>
  <r>
    <s v="00102"/>
    <x v="84"/>
    <x v="10"/>
    <s v="12/2025"/>
    <d v="2025-12-29T00:00:00"/>
    <x v="269"/>
    <n v="1588.2"/>
    <n v="0"/>
    <n v="0"/>
    <n v="0"/>
    <n v="1371.97"/>
    <s v="Dinheiro"/>
    <x v="1"/>
  </r>
  <r>
    <s v="00109"/>
    <x v="90"/>
    <x v="35"/>
    <s v="01/2026"/>
    <d v="2026-01-15T00:00:00"/>
    <x v="269"/>
    <n v="217.76"/>
    <n v="0"/>
    <n v="0"/>
    <n v="0"/>
    <n v="217.76"/>
    <s v="Dinheiro"/>
    <x v="1"/>
  </r>
  <r>
    <s v="00282"/>
    <x v="11"/>
    <x v="10"/>
    <s v="09/2025"/>
    <d v="2025-09-15T00:00:00"/>
    <x v="269"/>
    <n v="10698.66"/>
    <n v="0"/>
    <n v="0"/>
    <n v="0"/>
    <n v="10698.66"/>
    <s v="Dinheiro"/>
    <x v="1"/>
  </r>
  <r>
    <s v="00106"/>
    <x v="6"/>
    <x v="61"/>
    <s v="01/2026"/>
    <d v="2026-01-15T00:00:00"/>
    <x v="269"/>
    <n v="900"/>
    <n v="0"/>
    <n v="0"/>
    <n v="0"/>
    <n v="900"/>
    <s v="Dinheiro"/>
    <x v="1"/>
  </r>
  <r>
    <s v="00006"/>
    <x v="137"/>
    <x v="53"/>
    <s v="01/2026"/>
    <d v="2026-01-15T00:00:00"/>
    <x v="269"/>
    <n v="1518"/>
    <n v="0"/>
    <n v="0"/>
    <n v="0"/>
    <n v="1518"/>
    <s v="Dinheiro"/>
    <x v="1"/>
  </r>
  <r>
    <s v="00362"/>
    <x v="7"/>
    <x v="3"/>
    <s v="01/2026"/>
    <d v="2026-01-15T00:00:00"/>
    <x v="269"/>
    <n v="210.38"/>
    <n v="0"/>
    <n v="0"/>
    <n v="0"/>
    <n v="210.38"/>
    <s v="Dinheiro"/>
    <x v="1"/>
  </r>
  <r>
    <s v="00362"/>
    <x v="7"/>
    <x v="3"/>
    <s v="01/2026"/>
    <d v="2026-01-15T00:00:00"/>
    <x v="269"/>
    <n v="2.04"/>
    <n v="0"/>
    <n v="0"/>
    <n v="0"/>
    <n v="2.04"/>
    <s v="Dinheiro"/>
    <x v="1"/>
  </r>
  <r>
    <s v="00683"/>
    <x v="564"/>
    <x v="22"/>
    <s v="01/2026"/>
    <d v="2026-01-16T00:00:00"/>
    <x v="270"/>
    <n v="327.88"/>
    <n v="0"/>
    <n v="0"/>
    <n v="0"/>
    <n v="327.88"/>
    <s v="Dinheiro"/>
    <x v="1"/>
  </r>
  <r>
    <s v="00349"/>
    <x v="25"/>
    <x v="31"/>
    <s v="01/2026"/>
    <d v="2026-01-16T00:00:00"/>
    <x v="270"/>
    <n v="2243.96"/>
    <n v="0"/>
    <n v="0"/>
    <n v="0"/>
    <n v="2243.96"/>
    <s v="Dinheiro"/>
    <x v="1"/>
  </r>
  <r>
    <s v="00302"/>
    <x v="96"/>
    <x v="38"/>
    <s v="01/2026"/>
    <d v="2026-01-16T00:00:00"/>
    <x v="270"/>
    <n v="330"/>
    <n v="0"/>
    <n v="0"/>
    <n v="0"/>
    <n v="330"/>
    <s v="Dinheiro"/>
    <x v="1"/>
  </r>
  <r>
    <s v="00681"/>
    <x v="565"/>
    <x v="29"/>
    <s v="01/2026"/>
    <d v="2026-01-10T00:00:00"/>
    <x v="270"/>
    <n v="1040"/>
    <n v="0"/>
    <n v="0"/>
    <n v="0"/>
    <n v="1040"/>
    <s v="Dinheiro"/>
    <x v="1"/>
  </r>
  <r>
    <s v="00102"/>
    <x v="84"/>
    <x v="10"/>
    <s v="12/2025"/>
    <d v="2025-12-29T00:00:00"/>
    <x v="270"/>
    <n v="1588.2"/>
    <n v="0"/>
    <n v="0"/>
    <n v="0"/>
    <n v="30"/>
    <s v="Dinheiro"/>
    <x v="1"/>
  </r>
  <r>
    <s v="00193"/>
    <x v="3"/>
    <x v="0"/>
    <s v="01/2026"/>
    <d v="2026-01-16T00:00:00"/>
    <x v="270"/>
    <n v="826.65"/>
    <n v="0"/>
    <n v="0"/>
    <n v="0"/>
    <n v="826.65"/>
    <s v="Dinheiro"/>
    <x v="1"/>
  </r>
  <r>
    <s v="00024"/>
    <x v="0"/>
    <x v="0"/>
    <s v="01/2026"/>
    <d v="2026-01-16T00:00:00"/>
    <x v="270"/>
    <n v="994.2"/>
    <n v="0"/>
    <n v="0"/>
    <n v="0"/>
    <n v="994.2"/>
    <s v="Dinheiro"/>
    <x v="1"/>
  </r>
  <r>
    <s v="00024"/>
    <x v="0"/>
    <x v="0"/>
    <s v="01/2026"/>
    <d v="2026-01-16T00:00:00"/>
    <x v="270"/>
    <n v="354.28000000000003"/>
    <n v="0"/>
    <n v="0"/>
    <n v="0"/>
    <n v="354.28000000000003"/>
    <s v="Dinheiro"/>
    <x v="1"/>
  </r>
  <r>
    <s v="00386"/>
    <x v="127"/>
    <x v="17"/>
    <s v="01/2026"/>
    <d v="2026-01-17T00:00:00"/>
    <x v="281"/>
    <n v="386.36"/>
    <n v="0"/>
    <n v="0"/>
    <n v="0"/>
    <n v="386.36"/>
    <s v="Dinheiro"/>
    <x v="1"/>
  </r>
  <r>
    <s v="00362"/>
    <x v="7"/>
    <x v="34"/>
    <s v="01/2026"/>
    <d v="2026-01-17T00:00:00"/>
    <x v="281"/>
    <n v="5381.79"/>
    <n v="0"/>
    <n v="0"/>
    <n v="0"/>
    <n v="5381.79"/>
    <s v="Dinheiro"/>
    <x v="1"/>
  </r>
  <r>
    <s v="00313"/>
    <x v="10"/>
    <x v="38"/>
    <s v="01/2026"/>
    <d v="2026-01-19T00:00:00"/>
    <x v="271"/>
    <n v="210"/>
    <n v="0"/>
    <n v="0"/>
    <n v="0"/>
    <n v="210"/>
    <s v="Dinheiro"/>
    <x v="1"/>
  </r>
  <r>
    <s v="00362"/>
    <x v="7"/>
    <x v="3"/>
    <s v="01/2026"/>
    <d v="2026-01-19T00:00:00"/>
    <x v="271"/>
    <n v="2.04"/>
    <n v="0"/>
    <n v="0"/>
    <n v="0"/>
    <n v="2.04"/>
    <s v="Dinheiro"/>
    <x v="1"/>
  </r>
  <r>
    <s v="00104"/>
    <x v="380"/>
    <x v="80"/>
    <s v="01/2026"/>
    <d v="2026-01-20T00:00:00"/>
    <x v="262"/>
    <n v="73.540000000000006"/>
    <n v="0"/>
    <n v="0"/>
    <n v="0"/>
    <n v="73.540000000000006"/>
    <s v="Dinheiro"/>
    <x v="1"/>
  </r>
  <r>
    <s v="00011"/>
    <x v="45"/>
    <x v="16"/>
    <s v="01/2026"/>
    <d v="2026-01-20T00:00:00"/>
    <x v="262"/>
    <n v="1055.17"/>
    <n v="0"/>
    <n v="0"/>
    <n v="0"/>
    <n v="1055.17"/>
    <s v="Dinheiro"/>
    <x v="1"/>
  </r>
  <r>
    <s v="00011"/>
    <x v="45"/>
    <x v="16"/>
    <s v="01/2026"/>
    <d v="2026-01-20T00:00:00"/>
    <x v="262"/>
    <n v="791.23"/>
    <n v="0"/>
    <n v="0"/>
    <n v="0"/>
    <n v="791.23"/>
    <s v="Dinheiro"/>
    <x v="1"/>
  </r>
  <r>
    <s v="00104"/>
    <x v="380"/>
    <x v="43"/>
    <s v="01/2026"/>
    <d v="2026-01-20T00:00:00"/>
    <x v="262"/>
    <n v="2587.6"/>
    <n v="0"/>
    <n v="0"/>
    <n v="0"/>
    <n v="2587.6"/>
    <s v="Dinheiro"/>
    <x v="1"/>
  </r>
  <r>
    <s v="00022"/>
    <x v="115"/>
    <x v="68"/>
    <s v="01/2026"/>
    <d v="2026-01-20T00:00:00"/>
    <x v="262"/>
    <n v="1220.3700000000001"/>
    <n v="0"/>
    <n v="0"/>
    <n v="0"/>
    <n v="1220.3700000000001"/>
    <s v="Dinheiro"/>
    <x v="1"/>
  </r>
  <r>
    <s v="00022"/>
    <x v="115"/>
    <x v="68"/>
    <s v="01/2026"/>
    <d v="2026-01-20T00:00:00"/>
    <x v="262"/>
    <n v="3112.65"/>
    <n v="0"/>
    <n v="0"/>
    <n v="0"/>
    <n v="3112.65"/>
    <s v="Dinheiro"/>
    <x v="1"/>
  </r>
  <r>
    <s v="00122"/>
    <x v="381"/>
    <x v="17"/>
    <s v="01/2026"/>
    <d v="2026-01-20T00:00:00"/>
    <x v="262"/>
    <n v="1000"/>
    <n v="0"/>
    <n v="0"/>
    <n v="0"/>
    <n v="1000"/>
    <s v="Dinheiro"/>
    <x v="1"/>
  </r>
  <r>
    <s v="00072"/>
    <x v="105"/>
    <x v="40"/>
    <s v="01/2026"/>
    <d v="2026-01-20T00:00:00"/>
    <x v="262"/>
    <n v="20047.670000000002"/>
    <n v="0"/>
    <n v="0"/>
    <n v="0"/>
    <n v="20047.670000000002"/>
    <s v="Dinheiro"/>
    <x v="1"/>
  </r>
  <r>
    <s v="00077"/>
    <x v="237"/>
    <x v="66"/>
    <s v="01/2026"/>
    <d v="2026-01-20T00:00:00"/>
    <x v="262"/>
    <n v="350"/>
    <n v="0"/>
    <n v="0"/>
    <n v="0"/>
    <n v="350"/>
    <s v="Dinheiro"/>
    <x v="1"/>
  </r>
  <r>
    <s v="00022"/>
    <x v="115"/>
    <x v="68"/>
    <s v="01/2026"/>
    <d v="2026-01-20T00:00:00"/>
    <x v="262"/>
    <n v="1443.3700000000001"/>
    <n v="0"/>
    <n v="0"/>
    <n v="0"/>
    <n v="1443.3700000000001"/>
    <s v="Dinheiro"/>
    <x v="1"/>
  </r>
  <r>
    <s v="00468"/>
    <x v="236"/>
    <x v="34"/>
    <s v="01/2026"/>
    <d v="2026-01-20T00:00:00"/>
    <x v="262"/>
    <n v="7266"/>
    <n v="0"/>
    <n v="0"/>
    <n v="0"/>
    <n v="7266"/>
    <s v="Dinheiro"/>
    <x v="1"/>
  </r>
  <r>
    <s v="00065"/>
    <x v="92"/>
    <x v="36"/>
    <s v="07/2025"/>
    <d v="2025-07-15T00:00:00"/>
    <x v="262"/>
    <n v="10094.52"/>
    <n v="0"/>
    <n v="0"/>
    <n v="0"/>
    <n v="10094.52"/>
    <s v="Dinheiro"/>
    <x v="1"/>
  </r>
  <r>
    <s v="00362"/>
    <x v="7"/>
    <x v="3"/>
    <s v="01/2026"/>
    <d v="2026-01-20T00:00:00"/>
    <x v="262"/>
    <n v="4.08"/>
    <n v="0"/>
    <n v="0"/>
    <n v="0"/>
    <n v="4.08"/>
    <s v="Dinheiro"/>
    <x v="1"/>
  </r>
  <r>
    <s v="00362"/>
    <x v="7"/>
    <x v="3"/>
    <s v="01/2026"/>
    <d v="2026-01-21T00:00:00"/>
    <x v="272"/>
    <n v="2.04"/>
    <n v="0"/>
    <n v="0"/>
    <n v="0"/>
    <n v="2.04"/>
    <s v="Dinheiro"/>
    <x v="1"/>
  </r>
  <r>
    <s v="00403"/>
    <x v="160"/>
    <x v="9"/>
    <s v="01/2026"/>
    <d v="2026-01-21T00:00:00"/>
    <x v="272"/>
    <n v="420"/>
    <n v="0"/>
    <n v="0"/>
    <n v="0"/>
    <n v="420"/>
    <s v="Banco Investimentos"/>
    <x v="1"/>
  </r>
  <r>
    <s v="00102"/>
    <x v="84"/>
    <x v="36"/>
    <s v="01/2026"/>
    <d v="2026-01-15T00:00:00"/>
    <x v="272"/>
    <n v="2623.02"/>
    <n v="0"/>
    <n v="0"/>
    <n v="0"/>
    <n v="2623.02"/>
    <s v="Dinheiro"/>
    <x v="1"/>
  </r>
  <r>
    <s v="00362"/>
    <x v="7"/>
    <x v="3"/>
    <s v="01/2026"/>
    <d v="2026-01-23T00:00:00"/>
    <x v="274"/>
    <n v="2.04"/>
    <n v="0"/>
    <n v="0"/>
    <n v="0"/>
    <n v="2.04"/>
    <s v="Dinheiro"/>
    <x v="1"/>
  </r>
  <r>
    <s v="00302"/>
    <x v="96"/>
    <x v="38"/>
    <s v="01/2026"/>
    <d v="2026-01-23T00:00:00"/>
    <x v="274"/>
    <n v="150"/>
    <n v="0"/>
    <n v="0"/>
    <n v="0"/>
    <n v="150"/>
    <s v="Dinheiro"/>
    <x v="1"/>
  </r>
  <r>
    <s v="ADM260004"/>
    <x v="566"/>
    <x v="28"/>
    <s v="01/2026"/>
    <d v="2026-01-23T00:00:00"/>
    <x v="274"/>
    <n v="100"/>
    <n v="0"/>
    <n v="0"/>
    <n v="0"/>
    <n v="100"/>
    <s v="Dinheiro"/>
    <x v="1"/>
  </r>
  <r>
    <s v="00320"/>
    <x v="240"/>
    <x v="69"/>
    <s v="01/2026"/>
    <d v="2026-01-23T00:00:00"/>
    <x v="274"/>
    <n v="254.44"/>
    <n v="0"/>
    <n v="0"/>
    <n v="0"/>
    <n v="254.44"/>
    <s v="Dinheiro"/>
    <x v="1"/>
  </r>
  <r>
    <s v="00190"/>
    <x v="70"/>
    <x v="29"/>
    <s v="01/2026"/>
    <d v="2026-01-26T00:00:00"/>
    <x v="274"/>
    <n v="500"/>
    <n v="0"/>
    <n v="0"/>
    <n v="0"/>
    <n v="500"/>
    <s v="Dinheiro"/>
    <x v="1"/>
  </r>
  <r>
    <s v="ENF250432"/>
    <x v="567"/>
    <x v="28"/>
    <s v="01/2026"/>
    <d v="2026-01-26T00:00:00"/>
    <x v="274"/>
    <n v="50"/>
    <n v="0"/>
    <n v="0"/>
    <n v="0"/>
    <n v="50"/>
    <s v="Dinheiro"/>
    <x v="1"/>
  </r>
  <r>
    <s v="00362"/>
    <x v="7"/>
    <x v="48"/>
    <s v="01/2026"/>
    <d v="2026-01-26T00:00:00"/>
    <x v="275"/>
    <n v="9942.880000000001"/>
    <n v="0"/>
    <n v="0"/>
    <n v="0"/>
    <n v="9942.880000000001"/>
    <s v="Dinheiro"/>
    <x v="1"/>
  </r>
  <r>
    <s v="00362"/>
    <x v="7"/>
    <x v="3"/>
    <s v="01/2026"/>
    <d v="2026-01-26T00:00:00"/>
    <x v="275"/>
    <n v="2.04"/>
    <n v="0"/>
    <n v="0"/>
    <n v="0"/>
    <n v="2.04"/>
    <s v="Dinheiro"/>
    <x v="1"/>
  </r>
  <r>
    <s v="00067"/>
    <x v="132"/>
    <x v="51"/>
    <s v="01/2026"/>
    <d v="2026-01-26T00:00:00"/>
    <x v="275"/>
    <n v="370"/>
    <n v="0"/>
    <n v="0"/>
    <n v="0"/>
    <n v="370"/>
    <s v="Dinheiro"/>
    <x v="1"/>
  </r>
  <r>
    <s v="00381"/>
    <x v="99"/>
    <x v="26"/>
    <s v="01/2026"/>
    <d v="2026-01-25T00:00:00"/>
    <x v="275"/>
    <n v="390"/>
    <n v="0"/>
    <n v="0"/>
    <n v="0"/>
    <n v="390"/>
    <s v="Dinheiro"/>
    <x v="1"/>
  </r>
  <r>
    <s v="00074"/>
    <x v="54"/>
    <x v="16"/>
    <s v="01/2026"/>
    <d v="2026-01-17T00:00:00"/>
    <x v="275"/>
    <n v="99"/>
    <n v="0"/>
    <n v="0"/>
    <n v="0"/>
    <n v="99"/>
    <s v="Dinheiro"/>
    <x v="1"/>
  </r>
  <r>
    <s v="00362"/>
    <x v="7"/>
    <x v="3"/>
    <s v="01/2026"/>
    <d v="2026-01-26T00:00:00"/>
    <x v="275"/>
    <n v="751.98"/>
    <n v="0"/>
    <n v="0"/>
    <n v="0"/>
    <n v="751.98"/>
    <s v="Dinheiro"/>
    <x v="1"/>
  </r>
  <r>
    <s v="00362"/>
    <x v="7"/>
    <x v="34"/>
    <s v="01/2026"/>
    <d v="2026-01-26T00:00:00"/>
    <x v="275"/>
    <n v="1092.19"/>
    <n v="0"/>
    <n v="0"/>
    <n v="0"/>
    <n v="1092.19"/>
    <s v="Dinheiro"/>
    <x v="1"/>
  </r>
  <r>
    <s v="00362"/>
    <x v="7"/>
    <x v="3"/>
    <s v="01/2026"/>
    <d v="2026-01-27T00:00:00"/>
    <x v="282"/>
    <n v="2.04"/>
    <n v="0"/>
    <n v="0"/>
    <n v="0"/>
    <n v="2.04"/>
    <s v="Dinheiro"/>
    <x v="1"/>
  </r>
  <r>
    <s v="00670"/>
    <x v="568"/>
    <x v="95"/>
    <s v="01/2026"/>
    <d v="2026-01-25T00:00:00"/>
    <x v="276"/>
    <n v="431"/>
    <n v="0"/>
    <n v="0"/>
    <n v="0"/>
    <n v="431"/>
    <s v="Dinheiro"/>
    <x v="1"/>
  </r>
  <r>
    <s v="00362"/>
    <x v="7"/>
    <x v="3"/>
    <s v="01/2026"/>
    <d v="2026-01-28T00:00:00"/>
    <x v="276"/>
    <n v="4.08"/>
    <n v="0"/>
    <n v="0"/>
    <n v="0"/>
    <n v="4.08"/>
    <s v="Dinheiro"/>
    <x v="1"/>
  </r>
  <r>
    <s v="RAD250222"/>
    <x v="561"/>
    <x v="28"/>
    <s v="01/2026"/>
    <d v="2026-01-29T00:00:00"/>
    <x v="283"/>
    <n v="69"/>
    <n v="0"/>
    <n v="0"/>
    <n v="0"/>
    <n v="69"/>
    <s v="Dinheiro"/>
    <x v="1"/>
  </r>
  <r>
    <s v="00088"/>
    <x v="29"/>
    <x v="62"/>
    <s v="01/2026"/>
    <d v="2026-01-29T00:00:00"/>
    <x v="283"/>
    <n v="133.85"/>
    <n v="0"/>
    <n v="0"/>
    <n v="0"/>
    <n v="133.85"/>
    <s v="Dinheiro"/>
    <x v="1"/>
  </r>
  <r>
    <s v="00362"/>
    <x v="7"/>
    <x v="3"/>
    <s v="01/2026"/>
    <d v="2026-01-30T00:00:00"/>
    <x v="277"/>
    <n v="18.36"/>
    <n v="0"/>
    <n v="0"/>
    <n v="0"/>
    <n v="18.36"/>
    <s v="Dinheiro"/>
    <x v="1"/>
  </r>
  <r>
    <s v="00072"/>
    <x v="105"/>
    <x v="40"/>
    <s v="01/2026"/>
    <d v="2026-01-30T00:00:00"/>
    <x v="277"/>
    <n v="731.30000000000007"/>
    <n v="0"/>
    <n v="0"/>
    <n v="0"/>
    <n v="731.30000000000007"/>
    <s v="Dinheiro"/>
    <x v="1"/>
  </r>
  <r>
    <s v="00362"/>
    <x v="7"/>
    <x v="3"/>
    <s v="01/2026"/>
    <d v="2026-01-30T00:00:00"/>
    <x v="277"/>
    <n v="4.08"/>
    <n v="0"/>
    <n v="0"/>
    <n v="0"/>
    <n v="4.08"/>
    <s v="Dinheiro"/>
    <x v="1"/>
  </r>
  <r>
    <s v="00154"/>
    <x v="12"/>
    <x v="33"/>
    <s v="01/2026"/>
    <d v="2026-01-31T00:00:00"/>
    <x v="284"/>
    <n v="6000"/>
    <n v="0"/>
    <n v="0"/>
    <n v="0"/>
    <n v="6000"/>
    <s v="Dinheiro"/>
    <x v="1"/>
  </r>
  <r>
    <s v="00036"/>
    <x v="109"/>
    <x v="27"/>
    <s v="02/2026"/>
    <d v="2026-02-02T00:00:00"/>
    <x v="285"/>
    <n v="2.4500000000000002"/>
    <n v="0"/>
    <n v="0"/>
    <n v="0"/>
    <n v="2.4500000000000002"/>
    <s v="Dinheiro"/>
    <x v="1"/>
  </r>
  <r>
    <s v="00133"/>
    <x v="24"/>
    <x v="8"/>
    <s v="02/2026"/>
    <d v="2026-02-02T00:00:00"/>
    <x v="285"/>
    <n v="228"/>
    <n v="0"/>
    <n v="0"/>
    <n v="0"/>
    <n v="228"/>
    <s v="Dinheiro"/>
    <x v="1"/>
  </r>
  <r>
    <s v="00513"/>
    <x v="342"/>
    <x v="8"/>
    <s v="02/2026"/>
    <d v="2026-02-02T00:00:00"/>
    <x v="285"/>
    <n v="248"/>
    <n v="0"/>
    <n v="0"/>
    <n v="0"/>
    <n v="248"/>
    <s v="Dinheiro"/>
    <x v="1"/>
  </r>
  <r>
    <s v="00614"/>
    <x v="468"/>
    <x v="8"/>
    <s v="02/2026"/>
    <d v="2026-02-02T00:00:00"/>
    <x v="285"/>
    <n v="346"/>
    <n v="0"/>
    <n v="0"/>
    <n v="0"/>
    <n v="346"/>
    <s v="Dinheiro"/>
    <x v="1"/>
  </r>
  <r>
    <s v="00613"/>
    <x v="467"/>
    <x v="8"/>
    <s v="02/2026"/>
    <d v="2026-02-02T00:00:00"/>
    <x v="285"/>
    <n v="236"/>
    <n v="0"/>
    <n v="0"/>
    <n v="0"/>
    <n v="236"/>
    <s v="Dinheiro"/>
    <x v="1"/>
  </r>
  <r>
    <s v="00364"/>
    <x v="16"/>
    <x v="8"/>
    <s v="02/2026"/>
    <d v="2026-02-02T00:00:00"/>
    <x v="285"/>
    <n v="186"/>
    <n v="0"/>
    <n v="0"/>
    <n v="0"/>
    <n v="186"/>
    <s v="Dinheiro"/>
    <x v="1"/>
  </r>
  <r>
    <s v="00328"/>
    <x v="270"/>
    <x v="45"/>
    <s v="02/2026"/>
    <d v="2026-02-02T00:00:00"/>
    <x v="285"/>
    <n v="4.49"/>
    <n v="0"/>
    <n v="0"/>
    <n v="0"/>
    <n v="4.49"/>
    <s v="Dinheiro"/>
    <x v="1"/>
  </r>
  <r>
    <s v="00200"/>
    <x v="119"/>
    <x v="50"/>
    <s v="02/2026"/>
    <d v="2026-02-04T00:00:00"/>
    <x v="286"/>
    <n v="26"/>
    <n v="0"/>
    <n v="0"/>
    <n v="0"/>
    <n v="26"/>
    <s v="Dinheiro"/>
    <x v="1"/>
  </r>
  <r>
    <s v="00200"/>
    <x v="119"/>
    <x v="50"/>
    <s v="02/2026"/>
    <d v="2026-02-04T00:00:00"/>
    <x v="286"/>
    <n v="25"/>
    <n v="0"/>
    <n v="0"/>
    <n v="0"/>
    <n v="25"/>
    <s v="Dinheiro"/>
    <x v="1"/>
  </r>
  <r>
    <s v="00120"/>
    <x v="111"/>
    <x v="9"/>
    <s v="02/2026"/>
    <d v="2026-02-04T00:00:00"/>
    <x v="286"/>
    <n v="5.2"/>
    <n v="0"/>
    <n v="0"/>
    <n v="0"/>
    <n v="5.2"/>
    <s v="Dinheiro"/>
    <x v="1"/>
  </r>
  <r>
    <s v="00328"/>
    <x v="270"/>
    <x v="25"/>
    <s v="02/2026"/>
    <d v="2026-02-04T00:00:00"/>
    <x v="286"/>
    <n v="10.99"/>
    <n v="0"/>
    <n v="0"/>
    <n v="0"/>
    <n v="10.99"/>
    <s v="Dinheiro"/>
    <x v="1"/>
  </r>
  <r>
    <s v="00093"/>
    <x v="119"/>
    <x v="50"/>
    <s v="02/2026"/>
    <d v="2026-02-04T00:00:00"/>
    <x v="286"/>
    <n v="10"/>
    <n v="0"/>
    <n v="0"/>
    <n v="0"/>
    <n v="10"/>
    <s v="Dinheiro"/>
    <x v="1"/>
  </r>
  <r>
    <s v="00403"/>
    <x v="160"/>
    <x v="9"/>
    <s v="02/2026"/>
    <d v="2026-02-05T00:00:00"/>
    <x v="287"/>
    <n v="700"/>
    <n v="0"/>
    <n v="0"/>
    <n v="0"/>
    <n v="700"/>
    <s v="Dinheiro"/>
    <x v="1"/>
  </r>
  <r>
    <s v="00403"/>
    <x v="160"/>
    <x v="9"/>
    <s v="02/2026"/>
    <d v="2026-02-05T00:00:00"/>
    <x v="287"/>
    <n v="150"/>
    <n v="0"/>
    <n v="0"/>
    <n v="0"/>
    <n v="150"/>
    <s v="Dinheiro"/>
    <x v="1"/>
  </r>
  <r>
    <s v="00330"/>
    <x v="14"/>
    <x v="13"/>
    <s v="02/2026"/>
    <d v="2026-02-06T00:00:00"/>
    <x v="288"/>
    <n v="550"/>
    <n v="0"/>
    <n v="0"/>
    <n v="0"/>
    <n v="550"/>
    <s v="Dinheiro"/>
    <x v="1"/>
  </r>
  <r>
    <s v="00037"/>
    <x v="177"/>
    <x v="38"/>
    <s v="02/2026"/>
    <d v="2026-02-06T00:00:00"/>
    <x v="288"/>
    <n v="30"/>
    <n v="0"/>
    <n v="0"/>
    <n v="0"/>
    <n v="30"/>
    <s v="Dinheiro"/>
    <x v="1"/>
  </r>
  <r>
    <s v="00168"/>
    <x v="39"/>
    <x v="38"/>
    <s v="02/2026"/>
    <d v="2026-02-06T00:00:00"/>
    <x v="288"/>
    <n v="60"/>
    <n v="0"/>
    <n v="0"/>
    <n v="0"/>
    <n v="60"/>
    <s v="Dinheiro"/>
    <x v="1"/>
  </r>
  <r>
    <s v="00692"/>
    <x v="569"/>
    <x v="14"/>
    <s v="02/2026"/>
    <d v="2026-02-07T00:00:00"/>
    <x v="289"/>
    <n v="30"/>
    <n v="0"/>
    <n v="0"/>
    <n v="0"/>
    <n v="30"/>
    <s v="Dinheiro"/>
    <x v="1"/>
  </r>
  <r>
    <s v="00693"/>
    <x v="570"/>
    <x v="2"/>
    <s v="02/2026"/>
    <d v="2026-02-07T00:00:00"/>
    <x v="289"/>
    <n v="150"/>
    <n v="0"/>
    <n v="0"/>
    <n v="0"/>
    <n v="150"/>
    <s v="Dinheiro"/>
    <x v="1"/>
  </r>
  <r>
    <s v="00261"/>
    <x v="175"/>
    <x v="38"/>
    <s v="02/2026"/>
    <d v="2026-02-09T00:00:00"/>
    <x v="290"/>
    <n v="50"/>
    <n v="0"/>
    <n v="0"/>
    <n v="0"/>
    <n v="50"/>
    <s v="Dinheiro"/>
    <x v="1"/>
  </r>
  <r>
    <s v="00349"/>
    <x v="25"/>
    <x v="8"/>
    <s v="02/2026"/>
    <d v="2026-02-06T00:00:00"/>
    <x v="290"/>
    <n v="200"/>
    <n v="0"/>
    <n v="0"/>
    <n v="0"/>
    <n v="200"/>
    <s v="Dinheiro"/>
    <x v="1"/>
  </r>
  <r>
    <s v="00316"/>
    <x v="17"/>
    <x v="8"/>
    <s v="02/2026"/>
    <d v="2026-02-09T00:00:00"/>
    <x v="290"/>
    <n v="36"/>
    <n v="0"/>
    <n v="0"/>
    <n v="0"/>
    <n v="36"/>
    <s v="Dinheiro"/>
    <x v="1"/>
  </r>
  <r>
    <s v="00133"/>
    <x v="24"/>
    <x v="8"/>
    <s v="02/2026"/>
    <d v="2026-02-09T00:00:00"/>
    <x v="290"/>
    <n v="228"/>
    <n v="0"/>
    <n v="0"/>
    <n v="0"/>
    <n v="228"/>
    <s v="Dinheiro"/>
    <x v="1"/>
  </r>
  <r>
    <s v="00614"/>
    <x v="468"/>
    <x v="8"/>
    <s v="02/2026"/>
    <d v="2026-02-09T00:00:00"/>
    <x v="290"/>
    <n v="160"/>
    <n v="0"/>
    <n v="0"/>
    <n v="0"/>
    <n v="160"/>
    <s v="Dinheiro"/>
    <x v="1"/>
  </r>
  <r>
    <s v="00613"/>
    <x v="467"/>
    <x v="8"/>
    <s v="02/2026"/>
    <d v="2026-02-09T00:00:00"/>
    <x v="290"/>
    <n v="106"/>
    <n v="0"/>
    <n v="0"/>
    <n v="0"/>
    <n v="106"/>
    <s v="Dinheiro"/>
    <x v="1"/>
  </r>
  <r>
    <s v="00692"/>
    <x v="569"/>
    <x v="14"/>
    <s v="02/2026"/>
    <d v="2026-02-09T00:00:00"/>
    <x v="290"/>
    <n v="30"/>
    <n v="0"/>
    <n v="0"/>
    <n v="0"/>
    <n v="30"/>
    <s v="Dinheiro"/>
    <x v="1"/>
  </r>
  <r>
    <s v="00365"/>
    <x v="57"/>
    <x v="12"/>
    <s v="02/2026"/>
    <d v="2026-02-10T00:00:00"/>
    <x v="291"/>
    <n v="100"/>
    <n v="0"/>
    <n v="0"/>
    <n v="0"/>
    <n v="100"/>
    <s v="Dinheiro"/>
    <x v="1"/>
  </r>
  <r>
    <s v="00692"/>
    <x v="569"/>
    <x v="14"/>
    <s v="02/2026"/>
    <d v="2026-02-10T00:00:00"/>
    <x v="291"/>
    <n v="150"/>
    <n v="0"/>
    <n v="0"/>
    <n v="0"/>
    <n v="150"/>
    <s v="Dinheiro"/>
    <x v="1"/>
  </r>
  <r>
    <s v="00448"/>
    <x v="282"/>
    <x v="8"/>
    <s v="02/2026"/>
    <d v="2026-02-10T00:00:00"/>
    <x v="291"/>
    <n v="150"/>
    <n v="0"/>
    <n v="0"/>
    <n v="0"/>
    <n v="150"/>
    <s v="Dinheiro"/>
    <x v="1"/>
  </r>
  <r>
    <s v="00464"/>
    <x v="273"/>
    <x v="8"/>
    <s v="02/2026"/>
    <d v="2026-02-10T00:00:00"/>
    <x v="291"/>
    <n v="150"/>
    <n v="0"/>
    <n v="0"/>
    <n v="0"/>
    <n v="150"/>
    <s v="Dinheiro"/>
    <x v="1"/>
  </r>
  <r>
    <s v="00613"/>
    <x v="467"/>
    <x v="8"/>
    <s v="02/2026"/>
    <d v="2026-02-10T00:00:00"/>
    <x v="291"/>
    <n v="1800"/>
    <n v="0"/>
    <n v="0"/>
    <n v="0"/>
    <n v="1800"/>
    <s v="Dinheiro"/>
    <x v="1"/>
  </r>
  <r>
    <s v="00133"/>
    <x v="24"/>
    <x v="8"/>
    <s v="02/2026"/>
    <d v="2026-02-10T00:00:00"/>
    <x v="291"/>
    <n v="1850"/>
    <n v="0"/>
    <n v="0"/>
    <n v="0"/>
    <n v="1850"/>
    <s v="Dinheiro"/>
    <x v="1"/>
  </r>
  <r>
    <s v="00351"/>
    <x v="42"/>
    <x v="8"/>
    <s v="02/2026"/>
    <d v="2026-02-10T00:00:00"/>
    <x v="291"/>
    <n v="200"/>
    <n v="0"/>
    <n v="0"/>
    <n v="0"/>
    <n v="200"/>
    <s v="Dinheiro"/>
    <x v="1"/>
  </r>
  <r>
    <s v="00660"/>
    <x v="538"/>
    <x v="8"/>
    <s v="02/2026"/>
    <d v="2026-02-10T00:00:00"/>
    <x v="291"/>
    <n v="150"/>
    <n v="0"/>
    <n v="0"/>
    <n v="0"/>
    <n v="150"/>
    <s v="Dinheiro"/>
    <x v="1"/>
  </r>
  <r>
    <s v="00351"/>
    <x v="42"/>
    <x v="8"/>
    <s v="02/2026"/>
    <d v="2026-02-10T00:00:00"/>
    <x v="291"/>
    <n v="120"/>
    <n v="0"/>
    <n v="0"/>
    <n v="0"/>
    <n v="120"/>
    <s v="Dinheiro"/>
    <x v="1"/>
  </r>
  <r>
    <s v="00351"/>
    <x v="42"/>
    <x v="8"/>
    <s v="02/2026"/>
    <d v="2026-02-10T00:00:00"/>
    <x v="291"/>
    <n v="150"/>
    <n v="0"/>
    <n v="0"/>
    <n v="0"/>
    <n v="150"/>
    <s v="Dinheiro"/>
    <x v="1"/>
  </r>
  <r>
    <s v="00511"/>
    <x v="241"/>
    <x v="8"/>
    <s v="02/2026"/>
    <d v="2026-02-10T00:00:00"/>
    <x v="291"/>
    <n v="350"/>
    <n v="0"/>
    <n v="0"/>
    <n v="0"/>
    <n v="350"/>
    <s v="Dinheiro"/>
    <x v="1"/>
  </r>
  <r>
    <s v="00168"/>
    <x v="39"/>
    <x v="8"/>
    <s v="02/2026"/>
    <d v="2026-02-10T00:00:00"/>
    <x v="291"/>
    <n v="750"/>
    <n v="0"/>
    <n v="0"/>
    <n v="0"/>
    <n v="750"/>
    <s v="Dinheiro"/>
    <x v="1"/>
  </r>
  <r>
    <s v="00397"/>
    <x v="152"/>
    <x v="8"/>
    <s v="02/2026"/>
    <d v="2026-02-10T00:00:00"/>
    <x v="291"/>
    <n v="150"/>
    <n v="0"/>
    <n v="0"/>
    <n v="0"/>
    <n v="150"/>
    <s v="Dinheiro"/>
    <x v="1"/>
  </r>
  <r>
    <s v="00397"/>
    <x v="152"/>
    <x v="8"/>
    <s v="02/2026"/>
    <d v="2026-02-10T00:00:00"/>
    <x v="291"/>
    <n v="100"/>
    <n v="0"/>
    <n v="0"/>
    <n v="0"/>
    <n v="100"/>
    <s v="Dinheiro"/>
    <x v="1"/>
  </r>
  <r>
    <s v="00223"/>
    <x v="32"/>
    <x v="8"/>
    <s v="02/2026"/>
    <d v="2026-02-10T00:00:00"/>
    <x v="291"/>
    <n v="6230"/>
    <n v="0"/>
    <n v="0"/>
    <n v="0"/>
    <n v="230"/>
    <s v="Dinheiro"/>
    <x v="1"/>
  </r>
  <r>
    <s v="00657"/>
    <x v="527"/>
    <x v="29"/>
    <s v="02/2026"/>
    <d v="2026-02-10T00:00:00"/>
    <x v="291"/>
    <n v="252"/>
    <n v="0"/>
    <n v="0"/>
    <n v="0"/>
    <n v="252"/>
    <s v="Dinheiro"/>
    <x v="1"/>
  </r>
  <r>
    <s v="00349"/>
    <x v="25"/>
    <x v="8"/>
    <s v="02/2026"/>
    <d v="2026-02-10T00:00:00"/>
    <x v="291"/>
    <n v="100"/>
    <n v="0"/>
    <n v="0"/>
    <n v="0"/>
    <n v="100"/>
    <s v="Dinheiro"/>
    <x v="1"/>
  </r>
  <r>
    <s v="00464"/>
    <x v="273"/>
    <x v="8"/>
    <s v="02/2026"/>
    <d v="2026-02-11T00:00:00"/>
    <x v="292"/>
    <n v="500"/>
    <n v="0"/>
    <n v="0"/>
    <n v="0"/>
    <n v="500"/>
    <s v="Dinheiro"/>
    <x v="1"/>
  </r>
  <r>
    <s v="00466"/>
    <x v="529"/>
    <x v="8"/>
    <s v="02/2026"/>
    <d v="2026-02-11T00:00:00"/>
    <x v="292"/>
    <n v="280"/>
    <n v="0"/>
    <n v="0"/>
    <n v="0"/>
    <n v="280"/>
    <s v="Dinheiro"/>
    <x v="1"/>
  </r>
  <r>
    <s v="00498"/>
    <x v="242"/>
    <x v="8"/>
    <s v="02/2026"/>
    <d v="2026-02-11T00:00:00"/>
    <x v="292"/>
    <n v="40"/>
    <n v="0"/>
    <n v="0"/>
    <n v="0"/>
    <n v="40"/>
    <s v="Dinheiro"/>
    <x v="1"/>
  </r>
  <r>
    <s v="00498"/>
    <x v="242"/>
    <x v="8"/>
    <s v="02/2026"/>
    <d v="2026-02-11T00:00:00"/>
    <x v="292"/>
    <n v="150"/>
    <n v="0"/>
    <n v="0"/>
    <n v="0"/>
    <n v="150"/>
    <s v="Dinheiro"/>
    <x v="1"/>
  </r>
  <r>
    <s v="00447"/>
    <x v="247"/>
    <x v="8"/>
    <s v="02/2026"/>
    <d v="2026-02-11T00:00:00"/>
    <x v="292"/>
    <n v="200"/>
    <n v="0"/>
    <n v="0"/>
    <n v="0"/>
    <n v="200"/>
    <s v="Dinheiro"/>
    <x v="1"/>
  </r>
  <r>
    <s v="00447"/>
    <x v="247"/>
    <x v="8"/>
    <s v="02/2026"/>
    <d v="2026-02-11T00:00:00"/>
    <x v="292"/>
    <n v="150"/>
    <n v="0"/>
    <n v="0"/>
    <n v="0"/>
    <n v="150"/>
    <s v="Dinheiro"/>
    <x v="1"/>
  </r>
  <r>
    <s v="00049"/>
    <x v="571"/>
    <x v="47"/>
    <s v="02/2026"/>
    <d v="2026-02-11T00:00:00"/>
    <x v="292"/>
    <n v="9.9"/>
    <n v="0"/>
    <n v="0"/>
    <n v="0"/>
    <n v="9.9"/>
    <s v="Dinheiro"/>
    <x v="1"/>
  </r>
  <r>
    <s v="00316"/>
    <x v="17"/>
    <x v="8"/>
    <s v="02/2026"/>
    <d v="2026-02-10T00:00:00"/>
    <x v="293"/>
    <n v="200"/>
    <n v="0"/>
    <n v="0"/>
    <n v="0"/>
    <n v="200"/>
    <s v="Dinheiro"/>
    <x v="1"/>
  </r>
  <r>
    <s v="00261"/>
    <x v="175"/>
    <x v="38"/>
    <s v="02/2026"/>
    <d v="2026-02-12T00:00:00"/>
    <x v="293"/>
    <n v="11.450000000000001"/>
    <n v="0"/>
    <n v="0"/>
    <n v="0"/>
    <n v="11.450000000000001"/>
    <s v="Dinheiro"/>
    <x v="1"/>
  </r>
  <r>
    <s v="00697"/>
    <x v="572"/>
    <x v="76"/>
    <s v="02/2026"/>
    <d v="2026-02-13T00:00:00"/>
    <x v="294"/>
    <n v="19.95"/>
    <n v="0"/>
    <n v="0"/>
    <n v="0"/>
    <n v="19.95"/>
    <s v="Dinheiro"/>
    <x v="1"/>
  </r>
  <r>
    <s v="00039"/>
    <x v="231"/>
    <x v="9"/>
    <s v="02/2026"/>
    <d v="2026-02-13T00:00:00"/>
    <x v="294"/>
    <n v="17.900000000000002"/>
    <n v="0"/>
    <n v="0"/>
    <n v="0"/>
    <n v="17.900000000000002"/>
    <s v="Dinheiro"/>
    <x v="1"/>
  </r>
  <r>
    <s v="00134"/>
    <x v="18"/>
    <x v="14"/>
    <s v="02/2026"/>
    <d v="2026-02-13T00:00:00"/>
    <x v="294"/>
    <n v="255.42000000000002"/>
    <n v="0"/>
    <n v="0"/>
    <n v="0"/>
    <n v="255.42000000000002"/>
    <s v="Dinheiro"/>
    <x v="1"/>
  </r>
  <r>
    <s v="00154"/>
    <x v="12"/>
    <x v="45"/>
    <s v="02/2026"/>
    <d v="2026-02-18T00:00:00"/>
    <x v="295"/>
    <n v="104"/>
    <n v="0"/>
    <n v="0"/>
    <n v="0"/>
    <n v="104"/>
    <s v="Dinheiro"/>
    <x v="1"/>
  </r>
  <r>
    <s v="00039"/>
    <x v="231"/>
    <x v="25"/>
    <s v="02/2026"/>
    <d v="2026-02-18T00:00:00"/>
    <x v="295"/>
    <n v="29.900000000000002"/>
    <n v="0"/>
    <n v="0"/>
    <n v="0"/>
    <n v="29.900000000000002"/>
    <s v="Dinheiro"/>
    <x v="1"/>
  </r>
  <r>
    <s v="00692"/>
    <x v="569"/>
    <x v="8"/>
    <s v="02/2026"/>
    <d v="2026-02-18T00:00:00"/>
    <x v="295"/>
    <n v="36"/>
    <n v="0"/>
    <n v="0"/>
    <n v="0"/>
    <n v="36"/>
    <s v="Dinheiro"/>
    <x v="1"/>
  </r>
  <r>
    <s v="00692"/>
    <x v="569"/>
    <x v="1"/>
    <s v="02/2026"/>
    <d v="2026-02-18T00:00:00"/>
    <x v="295"/>
    <n v="36.6"/>
    <n v="0"/>
    <n v="0"/>
    <n v="0"/>
    <n v="36.6"/>
    <s v="Dinheiro"/>
    <x v="1"/>
  </r>
  <r>
    <s v="00133"/>
    <x v="24"/>
    <x v="8"/>
    <s v="02/2026"/>
    <d v="2026-02-18T00:00:00"/>
    <x v="295"/>
    <n v="286"/>
    <n v="0"/>
    <n v="0"/>
    <n v="0"/>
    <n v="286"/>
    <s v="Dinheiro"/>
    <x v="1"/>
  </r>
  <r>
    <s v="00692"/>
    <x v="569"/>
    <x v="5"/>
    <s v="02/2026"/>
    <d v="2026-02-20T00:00:00"/>
    <x v="296"/>
    <n v="35"/>
    <n v="0"/>
    <n v="0"/>
    <n v="0"/>
    <n v="35"/>
    <s v="Dinheiro"/>
    <x v="1"/>
  </r>
  <r>
    <s v="ENF230484"/>
    <x v="573"/>
    <x v="87"/>
    <s v="02/2026"/>
    <d v="2026-02-23T00:00:00"/>
    <x v="297"/>
    <n v="50"/>
    <n v="0"/>
    <n v="0"/>
    <n v="0"/>
    <n v="50"/>
    <s v="Dinheiro"/>
    <x v="1"/>
  </r>
  <r>
    <s v="00316"/>
    <x v="17"/>
    <x v="8"/>
    <s v="02/2026"/>
    <d v="2026-02-23T00:00:00"/>
    <x v="297"/>
    <n v="36"/>
    <n v="0"/>
    <n v="0"/>
    <n v="0"/>
    <n v="36"/>
    <s v="Dinheiro"/>
    <x v="1"/>
  </r>
  <r>
    <s v="00133"/>
    <x v="24"/>
    <x v="8"/>
    <s v="02/2026"/>
    <d v="2026-02-23T00:00:00"/>
    <x v="297"/>
    <n v="40"/>
    <n v="0"/>
    <n v="0"/>
    <n v="0"/>
    <n v="40"/>
    <s v="Dinheiro"/>
    <x v="1"/>
  </r>
  <r>
    <s v="00692"/>
    <x v="569"/>
    <x v="8"/>
    <s v="02/2026"/>
    <d v="2026-02-23T00:00:00"/>
    <x v="297"/>
    <n v="36"/>
    <n v="0"/>
    <n v="0"/>
    <n v="0"/>
    <n v="36"/>
    <s v="Dinheiro"/>
    <x v="1"/>
  </r>
  <r>
    <s v="00692"/>
    <x v="569"/>
    <x v="1"/>
    <s v="02/2026"/>
    <d v="2026-02-23T00:00:00"/>
    <x v="297"/>
    <n v="73.2"/>
    <n v="0"/>
    <n v="0"/>
    <n v="0"/>
    <n v="73.2"/>
    <s v="Dinheiro"/>
    <x v="1"/>
  </r>
  <r>
    <s v="00613"/>
    <x v="467"/>
    <x v="8"/>
    <s v="02/2026"/>
    <d v="2026-02-23T00:00:00"/>
    <x v="297"/>
    <n v="80"/>
    <n v="0"/>
    <n v="0"/>
    <n v="0"/>
    <n v="80"/>
    <s v="Dinheiro"/>
    <x v="1"/>
  </r>
  <r>
    <s v="00498"/>
    <x v="242"/>
    <x v="87"/>
    <s v="02/2026"/>
    <d v="2026-02-25T00:00:00"/>
    <x v="298"/>
    <n v="50"/>
    <n v="0"/>
    <n v="0"/>
    <n v="0"/>
    <n v="50"/>
    <s v="Dinheiro"/>
    <x v="1"/>
  </r>
  <r>
    <s v="00610"/>
    <x v="463"/>
    <x v="25"/>
    <s v="02/2026"/>
    <d v="2026-02-25T00:00:00"/>
    <x v="298"/>
    <n v="8.25"/>
    <n v="0"/>
    <n v="0"/>
    <n v="0"/>
    <n v="8.25"/>
    <s v="Dinheiro"/>
    <x v="1"/>
  </r>
  <r>
    <s v="00223"/>
    <x v="32"/>
    <x v="14"/>
    <s v="02/2026"/>
    <d v="2026-02-26T00:00:00"/>
    <x v="299"/>
    <n v="20"/>
    <n v="0"/>
    <n v="0"/>
    <n v="0"/>
    <n v="20"/>
    <s v="Pix"/>
    <x v="1"/>
  </r>
  <r>
    <s v="00355"/>
    <x v="83"/>
    <x v="87"/>
    <s v="02/2026"/>
    <d v="2026-02-26T00:00:00"/>
    <x v="299"/>
    <n v="100"/>
    <n v="0"/>
    <n v="0"/>
    <n v="0"/>
    <n v="100"/>
    <s v="Dinheiro"/>
    <x v="1"/>
  </r>
  <r>
    <s v="00223"/>
    <x v="32"/>
    <x v="38"/>
    <s v="02/2026"/>
    <d v="2026-02-27T00:00:00"/>
    <x v="300"/>
    <n v="59"/>
    <n v="0"/>
    <n v="0"/>
    <n v="0"/>
    <n v="59"/>
    <s v="Dinheiro"/>
    <x v="1"/>
  </r>
  <r>
    <s v=""/>
    <x v="574"/>
    <x v="96"/>
    <m/>
    <m/>
    <x v="301"/>
    <m/>
    <m/>
    <m/>
    <m/>
    <m/>
    <m/>
    <x v="2"/>
  </r>
  <r>
    <s v="00135"/>
    <x v="575"/>
    <x v="1"/>
    <s v="02/2026"/>
    <d v="2026-02-01T00:00:00"/>
    <x v="302"/>
    <n v="170.8"/>
    <n v="0"/>
    <n v="0"/>
    <n v="0"/>
    <n v="170.8"/>
    <s v="Dinheiro"/>
    <x v="1"/>
  </r>
  <r>
    <s v="00351"/>
    <x v="42"/>
    <x v="1"/>
    <s v="02/2026"/>
    <d v="2026-02-01T00:00:00"/>
    <x v="302"/>
    <n v="340.6"/>
    <n v="0"/>
    <n v="0"/>
    <n v="0"/>
    <n v="340.6"/>
    <s v="Dinheiro"/>
    <x v="1"/>
  </r>
  <r>
    <s v="00464"/>
    <x v="273"/>
    <x v="1"/>
    <s v="02/2026"/>
    <d v="2026-02-01T00:00:00"/>
    <x v="302"/>
    <n v="219.6"/>
    <n v="0"/>
    <n v="0"/>
    <n v="0"/>
    <n v="219.6"/>
    <s v="Dinheiro"/>
    <x v="1"/>
  </r>
  <r>
    <s v="00168"/>
    <x v="39"/>
    <x v="1"/>
    <s v="02/2026"/>
    <d v="2026-02-01T00:00:00"/>
    <x v="302"/>
    <n v="363.8"/>
    <n v="0"/>
    <n v="0"/>
    <n v="0"/>
    <n v="363.8"/>
    <s v="Dinheiro"/>
    <x v="1"/>
  </r>
  <r>
    <s v="00083"/>
    <x v="5"/>
    <x v="1"/>
    <s v="02/2026"/>
    <d v="2026-02-01T00:00:00"/>
    <x v="302"/>
    <n v="4384.28"/>
    <n v="0"/>
    <n v="0"/>
    <n v="0"/>
    <n v="4384.28"/>
    <s v="Dinheiro"/>
    <x v="1"/>
  </r>
  <r>
    <s v="00684"/>
    <x v="549"/>
    <x v="1"/>
    <s v="02/2026"/>
    <d v="2026-02-01T00:00:00"/>
    <x v="302"/>
    <n v="219.6"/>
    <n v="0"/>
    <n v="0"/>
    <n v="0"/>
    <n v="219.6"/>
    <s v="Dinheiro"/>
    <x v="1"/>
  </r>
  <r>
    <s v="00160"/>
    <x v="31"/>
    <x v="1"/>
    <s v="02/2026"/>
    <d v="2026-02-01T00:00:00"/>
    <x v="302"/>
    <n v="244"/>
    <n v="0"/>
    <n v="0"/>
    <n v="0"/>
    <n v="244"/>
    <s v="Dinheiro"/>
    <x v="1"/>
  </r>
  <r>
    <s v="00466"/>
    <x v="529"/>
    <x v="1"/>
    <s v="02/2026"/>
    <d v="2026-02-01T00:00:00"/>
    <x v="302"/>
    <n v="433.2"/>
    <n v="0"/>
    <n v="0"/>
    <n v="0"/>
    <n v="433.2"/>
    <s v="Dinheiro"/>
    <x v="1"/>
  </r>
  <r>
    <s v="00316"/>
    <x v="17"/>
    <x v="1"/>
    <s v="02/2026"/>
    <d v="2026-02-01T00:00:00"/>
    <x v="302"/>
    <n v="356.44"/>
    <n v="0"/>
    <n v="0"/>
    <n v="0"/>
    <n v="356.44"/>
    <s v="Dinheiro"/>
    <x v="1"/>
  </r>
  <r>
    <s v="00660"/>
    <x v="538"/>
    <x v="1"/>
    <s v="02/2026"/>
    <d v="2026-02-01T00:00:00"/>
    <x v="302"/>
    <n v="219.6"/>
    <n v="0"/>
    <n v="0"/>
    <n v="0"/>
    <n v="219.6"/>
    <s v="Dinheiro"/>
    <x v="1"/>
  </r>
  <r>
    <s v="00349"/>
    <x v="25"/>
    <x v="1"/>
    <s v="02/2026"/>
    <d v="2026-02-01T00:00:00"/>
    <x v="302"/>
    <n v="281.40000000000003"/>
    <n v="0"/>
    <n v="0"/>
    <n v="0"/>
    <n v="281.40000000000003"/>
    <s v="Dinheiro"/>
    <x v="1"/>
  </r>
  <r>
    <s v="00411"/>
    <x v="181"/>
    <x v="1"/>
    <s v="02/2026"/>
    <d v="2026-02-01T00:00:00"/>
    <x v="302"/>
    <n v="207.4"/>
    <n v="0"/>
    <n v="0"/>
    <n v="0"/>
    <n v="207.4"/>
    <s v="Dinheiro"/>
    <x v="1"/>
  </r>
  <r>
    <s v="00656"/>
    <x v="525"/>
    <x v="1"/>
    <s v="02/2026"/>
    <d v="2026-02-01T00:00:00"/>
    <x v="302"/>
    <n v="207.4"/>
    <n v="0"/>
    <n v="0"/>
    <n v="0"/>
    <n v="207.4"/>
    <s v="Dinheiro"/>
    <x v="1"/>
  </r>
  <r>
    <s v="00631"/>
    <x v="492"/>
    <x v="1"/>
    <s v="02/2026"/>
    <d v="2026-02-01T00:00:00"/>
    <x v="302"/>
    <n v="207.4"/>
    <n v="0"/>
    <n v="0"/>
    <n v="0"/>
    <n v="207.4"/>
    <s v="Dinheiro"/>
    <x v="1"/>
  </r>
  <r>
    <s v="00277"/>
    <x v="47"/>
    <x v="16"/>
    <s v="01/2026"/>
    <d v="2026-01-30T00:00:00"/>
    <x v="285"/>
    <n v="380.03000000000003"/>
    <n v="0"/>
    <n v="0"/>
    <n v="0"/>
    <n v="389.85"/>
    <s v="Dinheiro"/>
    <x v="1"/>
  </r>
  <r>
    <s v="00597"/>
    <x v="449"/>
    <x v="39"/>
    <s v="02/2026"/>
    <d v="2026-02-02T00:00:00"/>
    <x v="285"/>
    <n v="6906.92"/>
    <n v="0"/>
    <n v="0"/>
    <n v="0"/>
    <n v="6906.92"/>
    <s v="Dinheiro"/>
    <x v="1"/>
  </r>
  <r>
    <s v="00138"/>
    <x v="576"/>
    <x v="39"/>
    <s v="02/2026"/>
    <d v="2026-02-02T00:00:00"/>
    <x v="285"/>
    <n v="800"/>
    <n v="0"/>
    <n v="0"/>
    <n v="0"/>
    <n v="800"/>
    <s v="Dinheiro"/>
    <x v="1"/>
  </r>
  <r>
    <s v="00353"/>
    <x v="61"/>
    <x v="41"/>
    <s v="02/2026"/>
    <d v="2026-02-02T00:00:00"/>
    <x v="285"/>
    <n v="1000"/>
    <n v="0"/>
    <n v="0"/>
    <n v="0"/>
    <n v="1000"/>
    <s v="Dinheiro"/>
    <x v="1"/>
  </r>
  <r>
    <s v="00364"/>
    <x v="16"/>
    <x v="32"/>
    <s v="02/2026"/>
    <d v="2026-02-02T00:00:00"/>
    <x v="285"/>
    <n v="255.42000000000002"/>
    <n v="0"/>
    <n v="0"/>
    <n v="0"/>
    <n v="255.42000000000002"/>
    <s v="Dinheiro"/>
    <x v="1"/>
  </r>
  <r>
    <s v="00576"/>
    <x v="456"/>
    <x v="94"/>
    <s v="02/2026"/>
    <d v="2026-01-25T00:00:00"/>
    <x v="285"/>
    <n v="1159.95"/>
    <n v="0"/>
    <n v="0"/>
    <n v="0"/>
    <n v="1159.95"/>
    <s v="Dinheiro"/>
    <x v="1"/>
  </r>
  <r>
    <s v="00362"/>
    <x v="7"/>
    <x v="3"/>
    <s v="02/2026"/>
    <d v="2026-02-02T00:00:00"/>
    <x v="285"/>
    <n v="6.12"/>
    <n v="0"/>
    <n v="0"/>
    <n v="0"/>
    <n v="6.12"/>
    <s v="Dinheiro"/>
    <x v="1"/>
  </r>
  <r>
    <s v="00289"/>
    <x v="20"/>
    <x v="32"/>
    <s v="02/2026"/>
    <d v="2026-02-02T00:00:00"/>
    <x v="285"/>
    <n v="255.42000000000002"/>
    <n v="0"/>
    <n v="0"/>
    <n v="0"/>
    <n v="255.42000000000002"/>
    <s v="Dinheiro"/>
    <x v="1"/>
  </r>
  <r>
    <s v="00223"/>
    <x v="32"/>
    <x v="32"/>
    <s v="02/2026"/>
    <d v="2026-02-02T00:00:00"/>
    <x v="285"/>
    <n v="255.42000000000002"/>
    <n v="0"/>
    <n v="0"/>
    <n v="0"/>
    <n v="255.42000000000002"/>
    <s v="Dinheiro"/>
    <x v="1"/>
  </r>
  <r>
    <s v="00613"/>
    <x v="467"/>
    <x v="32"/>
    <s v="02/2026"/>
    <d v="2026-02-02T00:00:00"/>
    <x v="285"/>
    <n v="255.42000000000002"/>
    <n v="0"/>
    <n v="0"/>
    <n v="0"/>
    <n v="255.42000000000002"/>
    <s v="Dinheiro"/>
    <x v="1"/>
  </r>
  <r>
    <s v="00660"/>
    <x v="538"/>
    <x v="32"/>
    <s v="02/2026"/>
    <d v="2026-02-02T00:00:00"/>
    <x v="285"/>
    <n v="255.42000000000002"/>
    <n v="0"/>
    <n v="0"/>
    <n v="0"/>
    <n v="255.42000000000002"/>
    <s v="Dinheiro"/>
    <x v="1"/>
  </r>
  <r>
    <s v="00168"/>
    <x v="39"/>
    <x v="32"/>
    <s v="02/2026"/>
    <d v="2026-02-02T00:00:00"/>
    <x v="285"/>
    <n v="255.42000000000002"/>
    <n v="0"/>
    <n v="0"/>
    <n v="0"/>
    <n v="255.42000000000002"/>
    <s v="Dinheiro"/>
    <x v="1"/>
  </r>
  <r>
    <s v="00498"/>
    <x v="242"/>
    <x v="32"/>
    <s v="02/2026"/>
    <d v="2026-02-02T00:00:00"/>
    <x v="285"/>
    <n v="255.42000000000002"/>
    <n v="0"/>
    <n v="0"/>
    <n v="0"/>
    <n v="255.42000000000002"/>
    <s v="Dinheiro"/>
    <x v="1"/>
  </r>
  <r>
    <s v="00478"/>
    <x v="290"/>
    <x v="32"/>
    <s v="02/2026"/>
    <d v="2026-02-02T00:00:00"/>
    <x v="285"/>
    <n v="255.42000000000002"/>
    <n v="0"/>
    <n v="0"/>
    <n v="0"/>
    <n v="255.42000000000002"/>
    <s v="Dinheiro"/>
    <x v="1"/>
  </r>
  <r>
    <s v="00614"/>
    <x v="468"/>
    <x v="32"/>
    <s v="02/2026"/>
    <d v="2026-02-02T00:00:00"/>
    <x v="285"/>
    <n v="255.42000000000002"/>
    <n v="0"/>
    <n v="0"/>
    <n v="0"/>
    <n v="255.42000000000002"/>
    <s v="Dinheiro"/>
    <x v="1"/>
  </r>
  <r>
    <s v="00351"/>
    <x v="42"/>
    <x v="32"/>
    <s v="02/2026"/>
    <d v="2026-02-02T00:00:00"/>
    <x v="285"/>
    <n v="255.42000000000002"/>
    <n v="0"/>
    <n v="0"/>
    <n v="0"/>
    <n v="255.42000000000002"/>
    <s v="Dinheiro"/>
    <x v="1"/>
  </r>
  <r>
    <s v="00316"/>
    <x v="17"/>
    <x v="32"/>
    <s v="02/2026"/>
    <d v="2026-02-02T00:00:00"/>
    <x v="285"/>
    <n v="255.42000000000002"/>
    <n v="0"/>
    <n v="0"/>
    <n v="0"/>
    <n v="255.42000000000002"/>
    <s v="Dinheiro"/>
    <x v="1"/>
  </r>
  <r>
    <s v="00349"/>
    <x v="25"/>
    <x v="32"/>
    <s v="02/2026"/>
    <d v="2026-02-02T00:00:00"/>
    <x v="285"/>
    <n v="255.42000000000002"/>
    <n v="0"/>
    <n v="0"/>
    <n v="0"/>
    <n v="255.42000000000002"/>
    <s v="Dinheiro"/>
    <x v="1"/>
  </r>
  <r>
    <s v="00502"/>
    <x v="331"/>
    <x v="32"/>
    <s v="02/2026"/>
    <d v="2026-02-02T00:00:00"/>
    <x v="285"/>
    <n v="255.42000000000002"/>
    <n v="0"/>
    <n v="0"/>
    <n v="0"/>
    <n v="255.42000000000002"/>
    <s v="Dinheiro"/>
    <x v="1"/>
  </r>
  <r>
    <s v="00133"/>
    <x v="24"/>
    <x v="32"/>
    <s v="02/2026"/>
    <d v="2026-02-02T00:00:00"/>
    <x v="285"/>
    <n v="255.42000000000002"/>
    <n v="0"/>
    <n v="0"/>
    <n v="0"/>
    <n v="255.42000000000002"/>
    <s v="Dinheiro"/>
    <x v="1"/>
  </r>
  <r>
    <s v="00397"/>
    <x v="152"/>
    <x v="32"/>
    <s v="02/2026"/>
    <d v="2026-02-02T00:00:00"/>
    <x v="285"/>
    <n v="255.42000000000002"/>
    <n v="0"/>
    <n v="0"/>
    <n v="0"/>
    <n v="255.42000000000002"/>
    <s v="Dinheiro"/>
    <x v="1"/>
  </r>
  <r>
    <s v="00511"/>
    <x v="241"/>
    <x v="32"/>
    <s v="02/2026"/>
    <d v="2026-02-02T00:00:00"/>
    <x v="285"/>
    <n v="255.42000000000002"/>
    <n v="0"/>
    <n v="0"/>
    <n v="0"/>
    <n v="255.42000000000002"/>
    <s v="Dinheiro"/>
    <x v="1"/>
  </r>
  <r>
    <s v="00474"/>
    <x v="298"/>
    <x v="32"/>
    <s v="02/2026"/>
    <d v="2026-02-02T00:00:00"/>
    <x v="285"/>
    <n v="255.42000000000002"/>
    <n v="0"/>
    <n v="0"/>
    <n v="0"/>
    <n v="255.42000000000002"/>
    <s v="Dinheiro"/>
    <x v="1"/>
  </r>
  <r>
    <s v="00411"/>
    <x v="181"/>
    <x v="32"/>
    <s v="02/2026"/>
    <d v="2026-02-02T00:00:00"/>
    <x v="285"/>
    <n v="255.42000000000002"/>
    <n v="0"/>
    <n v="0"/>
    <n v="0"/>
    <n v="255.42000000000002"/>
    <s v="Dinheiro"/>
    <x v="1"/>
  </r>
  <r>
    <s v="00513"/>
    <x v="342"/>
    <x v="32"/>
    <s v="02/2026"/>
    <d v="2026-02-02T00:00:00"/>
    <x v="285"/>
    <n v="255.42000000000002"/>
    <n v="0"/>
    <n v="0"/>
    <n v="0"/>
    <n v="255.42000000000002"/>
    <s v="Dinheiro"/>
    <x v="1"/>
  </r>
  <r>
    <s v="00447"/>
    <x v="247"/>
    <x v="32"/>
    <s v="02/2026"/>
    <d v="2026-02-02T00:00:00"/>
    <x v="285"/>
    <n v="255.42000000000002"/>
    <n v="0"/>
    <n v="0"/>
    <n v="0"/>
    <n v="255.42000000000002"/>
    <s v="Dinheiro"/>
    <x v="1"/>
  </r>
  <r>
    <s v="00160"/>
    <x v="31"/>
    <x v="32"/>
    <s v="02/2026"/>
    <d v="2026-02-02T00:00:00"/>
    <x v="285"/>
    <n v="255.42000000000002"/>
    <n v="0"/>
    <n v="0"/>
    <n v="0"/>
    <n v="255.42000000000002"/>
    <s v="Dinheiro"/>
    <x v="1"/>
  </r>
  <r>
    <s v="00362"/>
    <x v="7"/>
    <x v="3"/>
    <s v="02/2026"/>
    <d v="2026-02-02T00:00:00"/>
    <x v="285"/>
    <n v="28.560000000000002"/>
    <n v="0"/>
    <n v="0"/>
    <n v="0"/>
    <n v="28.560000000000002"/>
    <s v="Dinheiro"/>
    <x v="1"/>
  </r>
  <r>
    <s v="00362"/>
    <x v="7"/>
    <x v="3"/>
    <s v="02/2026"/>
    <d v="2026-02-03T00:00:00"/>
    <x v="285"/>
    <n v="62.92"/>
    <n v="0"/>
    <n v="0"/>
    <n v="0"/>
    <n v="62.92"/>
    <s v="Dinheiro"/>
    <x v="1"/>
  </r>
  <r>
    <s v="00193"/>
    <x v="3"/>
    <x v="0"/>
    <s v="02/2026"/>
    <d v="2026-02-03T00:00:00"/>
    <x v="303"/>
    <n v="2625"/>
    <n v="0"/>
    <n v="0"/>
    <n v="0"/>
    <n v="2625"/>
    <s v="Dinheiro"/>
    <x v="1"/>
  </r>
  <r>
    <s v="00362"/>
    <x v="7"/>
    <x v="3"/>
    <s v="02/2026"/>
    <d v="2026-02-03T00:00:00"/>
    <x v="303"/>
    <n v="26.52"/>
    <n v="0"/>
    <n v="0"/>
    <n v="0"/>
    <n v="26.52"/>
    <s v="Dinheiro"/>
    <x v="1"/>
  </r>
  <r>
    <s v="00362"/>
    <x v="7"/>
    <x v="3"/>
    <s v="02/2026"/>
    <d v="2026-02-03T00:00:00"/>
    <x v="303"/>
    <n v="6.12"/>
    <n v="0"/>
    <n v="0"/>
    <n v="0"/>
    <n v="6.12"/>
    <s v="Dinheiro"/>
    <x v="1"/>
  </r>
  <r>
    <s v="00362"/>
    <x v="7"/>
    <x v="34"/>
    <s v="02/2026"/>
    <d v="2026-02-03T00:00:00"/>
    <x v="303"/>
    <n v="4564.22"/>
    <n v="0"/>
    <n v="0"/>
    <n v="0"/>
    <n v="4564.22"/>
    <s v="Dinheiro"/>
    <x v="1"/>
  </r>
  <r>
    <s v="00362"/>
    <x v="7"/>
    <x v="3"/>
    <s v="02/2026"/>
    <d v="2026-02-03T00:00:00"/>
    <x v="303"/>
    <n v="429.91"/>
    <n v="0"/>
    <n v="0"/>
    <n v="0"/>
    <n v="429.91"/>
    <s v="Dinheiro"/>
    <x v="1"/>
  </r>
  <r>
    <s v="00362"/>
    <x v="7"/>
    <x v="3"/>
    <s v="02/2026"/>
    <d v="2026-02-03T00:00:00"/>
    <x v="303"/>
    <n v="267.24"/>
    <n v="0"/>
    <n v="0"/>
    <n v="0"/>
    <n v="267.24"/>
    <s v="Dinheiro"/>
    <x v="1"/>
  </r>
  <r>
    <s v="00024"/>
    <x v="0"/>
    <x v="0"/>
    <s v="02/2026"/>
    <d v="2026-02-03T00:00:00"/>
    <x v="303"/>
    <n v="875"/>
    <n v="0"/>
    <n v="0"/>
    <n v="0"/>
    <n v="875"/>
    <s v="Dinheiro"/>
    <x v="1"/>
  </r>
  <r>
    <s v="00024"/>
    <x v="0"/>
    <x v="0"/>
    <s v="02/2026"/>
    <d v="2026-02-03T00:00:00"/>
    <x v="303"/>
    <n v="500"/>
    <n v="0"/>
    <n v="0"/>
    <n v="0"/>
    <n v="500"/>
    <s v="Dinheiro"/>
    <x v="1"/>
  </r>
  <r>
    <s v="00362"/>
    <x v="7"/>
    <x v="3"/>
    <s v="02/2026"/>
    <d v="2026-02-03T00:00:00"/>
    <x v="303"/>
    <n v="29.46"/>
    <n v="0"/>
    <n v="0"/>
    <n v="0"/>
    <n v="29.46"/>
    <s v="Dinheiro"/>
    <x v="1"/>
  </r>
  <r>
    <s v="00302"/>
    <x v="96"/>
    <x v="38"/>
    <s v="02/2026"/>
    <d v="2026-02-03T00:00:00"/>
    <x v="303"/>
    <n v="300"/>
    <n v="0"/>
    <n v="0"/>
    <n v="0"/>
    <n v="300"/>
    <s v="Dinheiro"/>
    <x v="1"/>
  </r>
  <r>
    <s v="00193"/>
    <x v="3"/>
    <x v="0"/>
    <s v="02/2026"/>
    <d v="2026-02-03T00:00:00"/>
    <x v="303"/>
    <n v="1500"/>
    <n v="0"/>
    <n v="0"/>
    <n v="0"/>
    <n v="1500"/>
    <s v="Dinheiro"/>
    <x v="1"/>
  </r>
  <r>
    <s v="00448"/>
    <x v="282"/>
    <x v="32"/>
    <s v="02/2026"/>
    <d v="2026-02-02T00:00:00"/>
    <x v="303"/>
    <n v="255.42000000000002"/>
    <n v="0"/>
    <n v="0"/>
    <n v="0"/>
    <n v="255.42000000000002"/>
    <s v="Dinheiro"/>
    <x v="1"/>
  </r>
  <r>
    <s v="00660"/>
    <x v="538"/>
    <x v="1"/>
    <s v="02/2026"/>
    <d v="2026-02-02T00:00:00"/>
    <x v="303"/>
    <n v="194.4"/>
    <n v="0"/>
    <n v="0"/>
    <n v="0"/>
    <n v="194.4"/>
    <s v="Dinheiro"/>
    <x v="1"/>
  </r>
  <r>
    <s v="00362"/>
    <x v="7"/>
    <x v="3"/>
    <s v="02/2026"/>
    <d v="2026-02-03T00:00:00"/>
    <x v="303"/>
    <n v="12.3"/>
    <n v="0"/>
    <n v="0"/>
    <n v="0"/>
    <n v="12.3"/>
    <s v="Dinheiro"/>
    <x v="1"/>
  </r>
  <r>
    <s v="00362"/>
    <x v="7"/>
    <x v="3"/>
    <s v="02/2026"/>
    <d v="2026-02-04T00:00:00"/>
    <x v="286"/>
    <n v="22.44"/>
    <n v="0"/>
    <n v="0"/>
    <n v="0"/>
    <n v="22.44"/>
    <s v="Dinheiro"/>
    <x v="1"/>
  </r>
  <r>
    <s v="00362"/>
    <x v="7"/>
    <x v="3"/>
    <s v="02/2026"/>
    <d v="2026-02-04T00:00:00"/>
    <x v="286"/>
    <n v="8.16"/>
    <n v="0"/>
    <n v="0"/>
    <n v="0"/>
    <n v="8.16"/>
    <s v="Dinheiro"/>
    <x v="1"/>
  </r>
  <r>
    <s v="00285"/>
    <x v="303"/>
    <x v="18"/>
    <s v="01/2026"/>
    <d v="2026-01-30T00:00:00"/>
    <x v="286"/>
    <n v="743"/>
    <n v="0"/>
    <n v="0"/>
    <n v="0"/>
    <n v="743"/>
    <s v="Dinheiro"/>
    <x v="1"/>
  </r>
  <r>
    <s v="00316"/>
    <x v="17"/>
    <x v="14"/>
    <s v="02/2026"/>
    <d v="2026-02-04T00:00:00"/>
    <x v="286"/>
    <n v="400"/>
    <n v="0"/>
    <n v="0"/>
    <n v="0"/>
    <n v="400"/>
    <s v="Dinheiro"/>
    <x v="1"/>
  </r>
  <r>
    <s v="00386"/>
    <x v="127"/>
    <x v="17"/>
    <s v="01/2026"/>
    <d v="2026-02-02T00:00:00"/>
    <x v="286"/>
    <n v="405.87"/>
    <n v="0"/>
    <n v="0"/>
    <n v="0"/>
    <n v="405.87"/>
    <s v="Dinheiro"/>
    <x v="1"/>
  </r>
  <r>
    <s v="00694"/>
    <x v="577"/>
    <x v="97"/>
    <s v="02/2026"/>
    <d v="2026-02-04T00:00:00"/>
    <x v="286"/>
    <n v="466.28000000000003"/>
    <n v="0"/>
    <n v="0"/>
    <n v="0"/>
    <n v="466.28000000000003"/>
    <s v="Dinheiro"/>
    <x v="1"/>
  </r>
  <r>
    <s v="00362"/>
    <x v="7"/>
    <x v="3"/>
    <s v="02/2026"/>
    <d v="2026-02-05T00:00:00"/>
    <x v="287"/>
    <n v="869.43000000000006"/>
    <n v="0"/>
    <n v="0"/>
    <n v="0"/>
    <n v="869.43000000000006"/>
    <s v="Dinheiro"/>
    <x v="1"/>
  </r>
  <r>
    <s v="00362"/>
    <x v="7"/>
    <x v="34"/>
    <s v="02/2026"/>
    <d v="2026-02-05T00:00:00"/>
    <x v="287"/>
    <n v="135.52000000000001"/>
    <n v="0"/>
    <n v="0"/>
    <n v="0"/>
    <n v="135.52000000000001"/>
    <s v="Dinheiro"/>
    <x v="1"/>
  </r>
  <r>
    <s v="00362"/>
    <x v="7"/>
    <x v="3"/>
    <s v="02/2026"/>
    <d v="2026-02-05T00:00:00"/>
    <x v="287"/>
    <n v="229.95000000000002"/>
    <n v="0"/>
    <n v="0"/>
    <n v="0"/>
    <n v="229.95000000000002"/>
    <s v="Dinheiro"/>
    <x v="1"/>
  </r>
  <r>
    <s v="00258"/>
    <x v="43"/>
    <x v="0"/>
    <s v="02/2026"/>
    <d v="2026-02-05T00:00:00"/>
    <x v="287"/>
    <n v="2046.7"/>
    <n v="0"/>
    <n v="0"/>
    <n v="0"/>
    <n v="2046.7"/>
    <s v="Dinheiro"/>
    <x v="1"/>
  </r>
  <r>
    <s v="00362"/>
    <x v="7"/>
    <x v="3"/>
    <s v="02/2026"/>
    <d v="2026-02-06T00:00:00"/>
    <x v="288"/>
    <n v="87.600000000000009"/>
    <n v="0"/>
    <n v="0"/>
    <n v="0"/>
    <n v="87.600000000000009"/>
    <s v="Dinheiro"/>
    <x v="1"/>
  </r>
  <r>
    <s v="00362"/>
    <x v="7"/>
    <x v="3"/>
    <s v="02/2026"/>
    <d v="2026-02-06T00:00:00"/>
    <x v="288"/>
    <n v="24.09"/>
    <n v="0"/>
    <n v="0"/>
    <n v="0"/>
    <n v="24.09"/>
    <s v="Dinheiro"/>
    <x v="1"/>
  </r>
  <r>
    <s v="00102"/>
    <x v="84"/>
    <x v="36"/>
    <s v="02/2026"/>
    <d v="2026-02-05T00:00:00"/>
    <x v="288"/>
    <n v="2849.31"/>
    <n v="0"/>
    <n v="0"/>
    <n v="0"/>
    <n v="2849.31"/>
    <s v="Dinheiro"/>
    <x v="1"/>
  </r>
  <r>
    <s v="00088"/>
    <x v="29"/>
    <x v="62"/>
    <s v="02/2026"/>
    <d v="2026-02-06T00:00:00"/>
    <x v="288"/>
    <n v="129.97"/>
    <n v="0"/>
    <n v="0"/>
    <n v="0"/>
    <n v="129.97"/>
    <s v="Dinheiro"/>
    <x v="1"/>
  </r>
  <r>
    <s v="00349"/>
    <x v="25"/>
    <x v="15"/>
    <s v="02/2026"/>
    <d v="2026-02-06T00:00:00"/>
    <x v="288"/>
    <n v="916"/>
    <n v="0"/>
    <n v="0"/>
    <n v="0"/>
    <n v="916"/>
    <s v="Dinheiro"/>
    <x v="1"/>
  </r>
  <r>
    <s v="00502"/>
    <x v="331"/>
    <x v="15"/>
    <s v="02/2026"/>
    <d v="2026-02-06T00:00:00"/>
    <x v="288"/>
    <n v="1172"/>
    <n v="0"/>
    <n v="0"/>
    <n v="0"/>
    <n v="1172"/>
    <s v="Dinheiro"/>
    <x v="1"/>
  </r>
  <r>
    <s v="00388"/>
    <x v="122"/>
    <x v="62"/>
    <s v="02/2026"/>
    <d v="2026-02-06T00:00:00"/>
    <x v="288"/>
    <n v="750"/>
    <n v="0"/>
    <n v="0"/>
    <n v="0"/>
    <n v="750"/>
    <s v="Dinheiro"/>
    <x v="1"/>
  </r>
  <r>
    <s v="00353"/>
    <x v="61"/>
    <x v="41"/>
    <s v="02/2026"/>
    <d v="2026-02-06T00:00:00"/>
    <x v="288"/>
    <n v="5000"/>
    <n v="0"/>
    <n v="0"/>
    <n v="0"/>
    <n v="5000"/>
    <s v="Dinheiro"/>
    <x v="1"/>
  </r>
  <r>
    <s v="00351"/>
    <x v="42"/>
    <x v="15"/>
    <s v="02/2026"/>
    <d v="2026-02-06T00:00:00"/>
    <x v="288"/>
    <n v="1572"/>
    <n v="0"/>
    <n v="0"/>
    <n v="0"/>
    <n v="1572"/>
    <s v="Dinheiro"/>
    <x v="1"/>
  </r>
  <r>
    <s v="00160"/>
    <x v="31"/>
    <x v="15"/>
    <s v="02/2026"/>
    <d v="2026-02-06T00:00:00"/>
    <x v="288"/>
    <n v="1059"/>
    <n v="0"/>
    <n v="0"/>
    <n v="0"/>
    <n v="1059"/>
    <s v="Dinheiro"/>
    <x v="1"/>
  </r>
  <r>
    <s v="00660"/>
    <x v="538"/>
    <x v="15"/>
    <s v="02/2026"/>
    <d v="2026-02-06T00:00:00"/>
    <x v="288"/>
    <n v="1359"/>
    <n v="0"/>
    <n v="0"/>
    <n v="0"/>
    <n v="1359"/>
    <s v="Dinheiro"/>
    <x v="1"/>
  </r>
  <r>
    <s v="00502"/>
    <x v="331"/>
    <x v="15"/>
    <s v="02/2026"/>
    <d v="2026-02-06T00:00:00"/>
    <x v="288"/>
    <n v="846"/>
    <n v="0"/>
    <n v="0"/>
    <n v="0"/>
    <n v="846"/>
    <s v="Dinheiro"/>
    <x v="1"/>
  </r>
  <r>
    <s v="00168"/>
    <x v="39"/>
    <x v="14"/>
    <s v="02/2026"/>
    <d v="2026-02-06T00:00:00"/>
    <x v="288"/>
    <n v="1000"/>
    <n v="0"/>
    <n v="0"/>
    <n v="0"/>
    <n v="1000"/>
    <s v="Dinheiro"/>
    <x v="1"/>
  </r>
  <r>
    <s v="00464"/>
    <x v="273"/>
    <x v="15"/>
    <s v="02/2026"/>
    <d v="2026-02-06T00:00:00"/>
    <x v="288"/>
    <n v="900"/>
    <n v="0"/>
    <n v="0"/>
    <n v="0"/>
    <n v="900"/>
    <s v="Dinheiro"/>
    <x v="1"/>
  </r>
  <r>
    <s v="00289"/>
    <x v="20"/>
    <x v="15"/>
    <s v="02/2026"/>
    <d v="2026-02-06T00:00:00"/>
    <x v="288"/>
    <n v="1707"/>
    <n v="0"/>
    <n v="0"/>
    <n v="0"/>
    <n v="1707"/>
    <s v="Dinheiro"/>
    <x v="1"/>
  </r>
  <r>
    <s v="00397"/>
    <x v="152"/>
    <x v="15"/>
    <s v="02/2026"/>
    <d v="2026-02-06T00:00:00"/>
    <x v="288"/>
    <n v="1572"/>
    <n v="0"/>
    <n v="0"/>
    <n v="0"/>
    <n v="1572"/>
    <s v="Dinheiro"/>
    <x v="1"/>
  </r>
  <r>
    <s v="00254"/>
    <x v="22"/>
    <x v="15"/>
    <s v="02/2026"/>
    <d v="2026-02-06T00:00:00"/>
    <x v="288"/>
    <n v="1816"/>
    <n v="0"/>
    <n v="0"/>
    <n v="0"/>
    <n v="1816"/>
    <s v="Dinheiro"/>
    <x v="1"/>
  </r>
  <r>
    <s v="00474"/>
    <x v="298"/>
    <x v="15"/>
    <s v="02/2026"/>
    <d v="2026-02-06T00:00:00"/>
    <x v="288"/>
    <n v="1465"/>
    <n v="0"/>
    <n v="0"/>
    <n v="0"/>
    <n v="1465"/>
    <s v="Dinheiro"/>
    <x v="1"/>
  </r>
  <r>
    <s v="00448"/>
    <x v="282"/>
    <x v="15"/>
    <s v="02/2026"/>
    <d v="2026-02-06T00:00:00"/>
    <x v="288"/>
    <n v="1573"/>
    <n v="0"/>
    <n v="0"/>
    <n v="0"/>
    <n v="1573"/>
    <s v="Dinheiro"/>
    <x v="1"/>
  </r>
  <r>
    <s v="00447"/>
    <x v="247"/>
    <x v="15"/>
    <s v="02/2026"/>
    <d v="2026-02-06T00:00:00"/>
    <x v="288"/>
    <n v="1388"/>
    <n v="0"/>
    <n v="0"/>
    <n v="0"/>
    <n v="1388"/>
    <s v="Dinheiro"/>
    <x v="1"/>
  </r>
  <r>
    <s v="00513"/>
    <x v="342"/>
    <x v="15"/>
    <s v="02/2026"/>
    <d v="2026-02-06T00:00:00"/>
    <x v="288"/>
    <n v="1455"/>
    <n v="0"/>
    <n v="0"/>
    <n v="0"/>
    <n v="1455"/>
    <s v="Dinheiro"/>
    <x v="1"/>
  </r>
  <r>
    <s v="00478"/>
    <x v="290"/>
    <x v="15"/>
    <s v="02/2026"/>
    <d v="2026-02-06T00:00:00"/>
    <x v="288"/>
    <n v="1572"/>
    <n v="0"/>
    <n v="0"/>
    <n v="0"/>
    <n v="1572"/>
    <s v="Dinheiro"/>
    <x v="1"/>
  </r>
  <r>
    <s v="00223"/>
    <x v="32"/>
    <x v="15"/>
    <s v="02/2026"/>
    <d v="2026-02-06T00:00:00"/>
    <x v="288"/>
    <n v="1586"/>
    <n v="0"/>
    <n v="0"/>
    <n v="0"/>
    <n v="1586"/>
    <s v="Dinheiro"/>
    <x v="1"/>
  </r>
  <r>
    <s v="00316"/>
    <x v="17"/>
    <x v="15"/>
    <s v="02/2026"/>
    <d v="2026-02-06T00:00:00"/>
    <x v="288"/>
    <n v="551"/>
    <n v="0"/>
    <n v="0"/>
    <n v="0"/>
    <n v="551"/>
    <s v="Dinheiro"/>
    <x v="1"/>
  </r>
  <r>
    <s v="00411"/>
    <x v="181"/>
    <x v="15"/>
    <s v="02/2026"/>
    <d v="2026-02-06T00:00:00"/>
    <x v="288"/>
    <n v="1696"/>
    <n v="0"/>
    <n v="0"/>
    <n v="0"/>
    <n v="1696"/>
    <s v="Dinheiro"/>
    <x v="1"/>
  </r>
  <r>
    <s v="00613"/>
    <x v="467"/>
    <x v="15"/>
    <s v="02/2025"/>
    <d v="2026-02-06T00:00:00"/>
    <x v="288"/>
    <n v="1573"/>
    <n v="0"/>
    <n v="0"/>
    <n v="0"/>
    <n v="1573"/>
    <s v="Dinheiro"/>
    <x v="1"/>
  </r>
  <r>
    <s v="00364"/>
    <x v="16"/>
    <x v="15"/>
    <s v="02/2026"/>
    <d v="2026-02-06T00:00:00"/>
    <x v="288"/>
    <n v="1640"/>
    <n v="0"/>
    <n v="0"/>
    <n v="0"/>
    <n v="1640"/>
    <s v="Dinheiro"/>
    <x v="1"/>
  </r>
  <r>
    <s v="00511"/>
    <x v="241"/>
    <x v="15"/>
    <s v="02/2026"/>
    <d v="2026-02-06T00:00:00"/>
    <x v="288"/>
    <n v="1725"/>
    <n v="0"/>
    <n v="0"/>
    <n v="0"/>
    <n v="1725"/>
    <s v="Dinheiro"/>
    <x v="1"/>
  </r>
  <r>
    <s v="00614"/>
    <x v="468"/>
    <x v="15"/>
    <s v="02/2026"/>
    <d v="2026-02-06T00:00:00"/>
    <x v="288"/>
    <n v="1573"/>
    <n v="0"/>
    <n v="0"/>
    <n v="0"/>
    <n v="1573"/>
    <s v="Dinheiro"/>
    <x v="1"/>
  </r>
  <r>
    <s v="00168"/>
    <x v="39"/>
    <x v="15"/>
    <s v="02/2026"/>
    <d v="2026-02-06T00:00:00"/>
    <x v="288"/>
    <n v="1815"/>
    <n v="0"/>
    <n v="0"/>
    <n v="0"/>
    <n v="1815"/>
    <s v="Dinheiro"/>
    <x v="1"/>
  </r>
  <r>
    <s v="00133"/>
    <x v="24"/>
    <x v="15"/>
    <s v="02/2026"/>
    <d v="2026-02-06T00:00:00"/>
    <x v="288"/>
    <n v="1572"/>
    <n v="0"/>
    <n v="0"/>
    <n v="0"/>
    <n v="1572"/>
    <s v="Dinheiro"/>
    <x v="1"/>
  </r>
  <r>
    <s v="00362"/>
    <x v="7"/>
    <x v="3"/>
    <s v="02/2026"/>
    <d v="2026-02-09T00:00:00"/>
    <x v="290"/>
    <n v="116.07000000000001"/>
    <n v="0"/>
    <n v="0"/>
    <n v="0"/>
    <n v="116.07000000000001"/>
    <s v="Dinheiro"/>
    <x v="1"/>
  </r>
  <r>
    <s v="00362"/>
    <x v="7"/>
    <x v="3"/>
    <s v="02/2026"/>
    <d v="2026-02-09T00:00:00"/>
    <x v="290"/>
    <n v="30.66"/>
    <n v="0"/>
    <n v="0"/>
    <n v="0"/>
    <n v="30.66"/>
    <s v="Dinheiro"/>
    <x v="1"/>
  </r>
  <r>
    <s v="00101"/>
    <x v="171"/>
    <x v="58"/>
    <s v="02/2026"/>
    <d v="2026-02-10T00:00:00"/>
    <x v="291"/>
    <n v="605"/>
    <n v="0"/>
    <n v="0"/>
    <n v="0"/>
    <n v="605"/>
    <s v="Dinheiro"/>
    <x v="1"/>
  </r>
  <r>
    <s v="00362"/>
    <x v="7"/>
    <x v="3"/>
    <s v="02/2026"/>
    <d v="2026-02-10T00:00:00"/>
    <x v="291"/>
    <n v="4.38"/>
    <n v="0"/>
    <n v="0"/>
    <n v="0"/>
    <n v="4.38"/>
    <s v="Dinheiro"/>
    <x v="1"/>
  </r>
  <r>
    <s v="00695"/>
    <x v="578"/>
    <x v="2"/>
    <s v="02/2026"/>
    <d v="2026-02-10T00:00:00"/>
    <x v="291"/>
    <n v="30"/>
    <n v="0"/>
    <n v="0"/>
    <n v="0"/>
    <n v="30"/>
    <s v="Dinheiro"/>
    <x v="1"/>
  </r>
  <r>
    <s v="00065"/>
    <x v="92"/>
    <x v="10"/>
    <s v="02/2026"/>
    <d v="2026-02-11T00:00:00"/>
    <x v="291"/>
    <n v="1573.5"/>
    <n v="0"/>
    <n v="0"/>
    <n v="0"/>
    <n v="1573.5"/>
    <s v="Dinheiro"/>
    <x v="1"/>
  </r>
  <r>
    <s v="00102"/>
    <x v="84"/>
    <x v="10"/>
    <s v="02/2026"/>
    <d v="2026-02-11T00:00:00"/>
    <x v="291"/>
    <n v="134.46"/>
    <n v="0"/>
    <n v="0"/>
    <n v="0"/>
    <n v="134.46"/>
    <s v="Dinheiro"/>
    <x v="1"/>
  </r>
  <r>
    <s v="00102"/>
    <x v="84"/>
    <x v="10"/>
    <s v="02/2026"/>
    <d v="2026-02-10T00:00:00"/>
    <x v="291"/>
    <n v="1444.6100000000001"/>
    <n v="0"/>
    <n v="0"/>
    <n v="0"/>
    <n v="1444.6100000000001"/>
    <s v="Dinheiro"/>
    <x v="1"/>
  </r>
  <r>
    <s v="00607"/>
    <x v="52"/>
    <x v="16"/>
    <s v="02/2026"/>
    <d v="2026-02-10T00:00:00"/>
    <x v="291"/>
    <n v="276.26"/>
    <n v="0"/>
    <n v="0"/>
    <n v="0"/>
    <n v="276.26"/>
    <s v="Dinheiro"/>
    <x v="1"/>
  </r>
  <r>
    <s v="00009"/>
    <x v="53"/>
    <x v="24"/>
    <s v="02/2026"/>
    <d v="2026-02-10T00:00:00"/>
    <x v="291"/>
    <n v="27343.18"/>
    <n v="0"/>
    <n v="0"/>
    <n v="0"/>
    <n v="27343.18"/>
    <s v="Dinheiro"/>
    <x v="1"/>
  </r>
  <r>
    <s v="00509"/>
    <x v="308"/>
    <x v="95"/>
    <s v="02/2026"/>
    <d v="2026-02-10T00:00:00"/>
    <x v="291"/>
    <n v="475.32"/>
    <n v="0"/>
    <n v="0"/>
    <n v="0"/>
    <n v="475.32"/>
    <s v="Dinheiro"/>
    <x v="1"/>
  </r>
  <r>
    <s v="00546"/>
    <x v="402"/>
    <x v="11"/>
    <s v="04/2026"/>
    <d v="2026-02-10T00:00:00"/>
    <x v="291"/>
    <n v="997.5"/>
    <n v="0"/>
    <n v="0"/>
    <n v="0"/>
    <n v="997.5"/>
    <s v="Dinheiro"/>
    <x v="1"/>
  </r>
  <r>
    <s v="00085"/>
    <x v="555"/>
    <x v="22"/>
    <s v="02/2026"/>
    <d v="2026-02-10T00:00:00"/>
    <x v="291"/>
    <n v="8490.92"/>
    <n v="0"/>
    <n v="0"/>
    <n v="0"/>
    <n v="8490.92"/>
    <s v="Dinheiro"/>
    <x v="1"/>
  </r>
  <r>
    <s v="00015"/>
    <x v="363"/>
    <x v="23"/>
    <s v="02/2026"/>
    <d v="2026-02-10T00:00:00"/>
    <x v="291"/>
    <n v="1027.31"/>
    <n v="0"/>
    <n v="0"/>
    <n v="0"/>
    <n v="1027.31"/>
    <s v="Dinheiro"/>
    <x v="1"/>
  </r>
  <r>
    <s v="00353"/>
    <x v="61"/>
    <x v="8"/>
    <s v="02/2026"/>
    <d v="2026-02-10T00:00:00"/>
    <x v="291"/>
    <n v="600"/>
    <n v="0"/>
    <n v="0"/>
    <n v="0"/>
    <n v="600"/>
    <s v="Dinheiro"/>
    <x v="1"/>
  </r>
  <r>
    <s v="00353"/>
    <x v="61"/>
    <x v="14"/>
    <s v="02/2026"/>
    <d v="2026-02-10T00:00:00"/>
    <x v="291"/>
    <n v="500"/>
    <n v="0"/>
    <n v="0"/>
    <n v="0"/>
    <n v="500"/>
    <s v="Dinheiro"/>
    <x v="1"/>
  </r>
  <r>
    <s v="00223"/>
    <x v="32"/>
    <x v="8"/>
    <s v="02/2026"/>
    <d v="2026-02-10T00:00:00"/>
    <x v="291"/>
    <n v="6230"/>
    <n v="0"/>
    <n v="0"/>
    <n v="0"/>
    <n v="6000"/>
    <s v="Dinheiro"/>
    <x v="1"/>
  </r>
  <r>
    <s v="00622"/>
    <x v="488"/>
    <x v="29"/>
    <s v="02/2026"/>
    <d v="2026-02-10T00:00:00"/>
    <x v="291"/>
    <n v="3192"/>
    <n v="0"/>
    <n v="0"/>
    <n v="0"/>
    <n v="3192"/>
    <s v="Dinheiro"/>
    <x v="1"/>
  </r>
  <r>
    <s v="00353"/>
    <x v="61"/>
    <x v="29"/>
    <s v="02/2026"/>
    <d v="2026-02-10T00:00:00"/>
    <x v="291"/>
    <n v="1672"/>
    <n v="0"/>
    <n v="0"/>
    <n v="0"/>
    <n v="1672"/>
    <s v="Dinheiro"/>
    <x v="1"/>
  </r>
  <r>
    <s v="00681"/>
    <x v="565"/>
    <x v="29"/>
    <s v="02/2026"/>
    <d v="2026-02-10T00:00:00"/>
    <x v="291"/>
    <n v="1260"/>
    <n v="0"/>
    <n v="0"/>
    <n v="0"/>
    <n v="1260"/>
    <s v="Dinheiro"/>
    <x v="1"/>
  </r>
  <r>
    <s v="00636"/>
    <x v="505"/>
    <x v="29"/>
    <s v="02/2026"/>
    <d v="2026-02-10T00:00:00"/>
    <x v="291"/>
    <n v="1176"/>
    <n v="0"/>
    <n v="0"/>
    <n v="0"/>
    <n v="1176"/>
    <s v="Dinheiro"/>
    <x v="1"/>
  </r>
  <r>
    <s v="00502"/>
    <x v="331"/>
    <x v="29"/>
    <s v="02/2026"/>
    <d v="2026-02-10T00:00:00"/>
    <x v="291"/>
    <n v="504"/>
    <n v="0"/>
    <n v="0"/>
    <n v="0"/>
    <n v="504"/>
    <s v="Dinheiro"/>
    <x v="1"/>
  </r>
  <r>
    <s v="00584"/>
    <x v="459"/>
    <x v="29"/>
    <s v="02/2026"/>
    <d v="2026-02-10T00:00:00"/>
    <x v="291"/>
    <n v="1008"/>
    <n v="0"/>
    <n v="0"/>
    <n v="0"/>
    <n v="1008"/>
    <s v="Dinheiro"/>
    <x v="1"/>
  </r>
  <r>
    <s v="00491"/>
    <x v="315"/>
    <x v="29"/>
    <s v="02/2026"/>
    <d v="2026-02-10T00:00:00"/>
    <x v="291"/>
    <n v="1848"/>
    <n v="0"/>
    <n v="0"/>
    <n v="0"/>
    <n v="1848"/>
    <s v="Dinheiro"/>
    <x v="1"/>
  </r>
  <r>
    <s v="00616"/>
    <x v="482"/>
    <x v="29"/>
    <s v="02/2026"/>
    <d v="2026-02-10T00:00:00"/>
    <x v="291"/>
    <n v="1008"/>
    <n v="0"/>
    <n v="0"/>
    <n v="0"/>
    <n v="1008"/>
    <s v="Dinheiro"/>
    <x v="1"/>
  </r>
  <r>
    <s v="00659"/>
    <x v="557"/>
    <x v="29"/>
    <s v="02/2026"/>
    <d v="2026-02-10T00:00:00"/>
    <x v="291"/>
    <n v="1008"/>
    <n v="0"/>
    <n v="0"/>
    <n v="0"/>
    <n v="1008"/>
    <s v="Dinheiro"/>
    <x v="1"/>
  </r>
  <r>
    <s v="00503"/>
    <x v="338"/>
    <x v="29"/>
    <s v="02/2026"/>
    <d v="2026-02-10T00:00:00"/>
    <x v="291"/>
    <n v="1008"/>
    <n v="0"/>
    <n v="0"/>
    <n v="0"/>
    <n v="1008"/>
    <s v="Dinheiro"/>
    <x v="1"/>
  </r>
  <r>
    <s v="00187"/>
    <x v="71"/>
    <x v="29"/>
    <s v="02/2026"/>
    <d v="2026-02-10T00:00:00"/>
    <x v="291"/>
    <n v="644"/>
    <n v="0"/>
    <n v="0"/>
    <n v="0"/>
    <n v="644"/>
    <s v="Dinheiro"/>
    <x v="1"/>
  </r>
  <r>
    <s v="00355"/>
    <x v="83"/>
    <x v="29"/>
    <s v="02/2026"/>
    <d v="2026-02-10T00:00:00"/>
    <x v="291"/>
    <n v="2024"/>
    <n v="0"/>
    <n v="0"/>
    <n v="0"/>
    <n v="2024"/>
    <s v="Dinheiro"/>
    <x v="1"/>
  </r>
  <r>
    <s v="00618"/>
    <x v="481"/>
    <x v="29"/>
    <s v="02/2026"/>
    <d v="2026-02-10T00:00:00"/>
    <x v="291"/>
    <n v="924"/>
    <n v="0"/>
    <n v="0"/>
    <n v="0"/>
    <n v="924"/>
    <s v="Dinheiro"/>
    <x v="1"/>
  </r>
  <r>
    <s v="00654"/>
    <x v="526"/>
    <x v="29"/>
    <s v="02/2026"/>
    <d v="2026-02-10T00:00:00"/>
    <x v="291"/>
    <n v="672"/>
    <n v="0"/>
    <n v="0"/>
    <n v="0"/>
    <n v="672"/>
    <s v="Dinheiro"/>
    <x v="1"/>
  </r>
  <r>
    <s v="00522"/>
    <x v="356"/>
    <x v="30"/>
    <s v="02/2026"/>
    <d v="2026-02-10T00:00:00"/>
    <x v="291"/>
    <n v="320"/>
    <n v="0"/>
    <n v="0"/>
    <n v="0"/>
    <n v="320"/>
    <s v="Dinheiro"/>
    <x v="1"/>
  </r>
  <r>
    <s v="00190"/>
    <x v="70"/>
    <x v="29"/>
    <s v="02/2026"/>
    <d v="2026-02-10T00:00:00"/>
    <x v="291"/>
    <n v="880"/>
    <n v="0"/>
    <n v="0"/>
    <n v="0"/>
    <n v="880"/>
    <s v="Dinheiro"/>
    <x v="1"/>
  </r>
  <r>
    <s v="00696"/>
    <x v="579"/>
    <x v="29"/>
    <s v="02/2026"/>
    <d v="2026-02-10T00:00:00"/>
    <x v="291"/>
    <n v="252"/>
    <n v="0"/>
    <n v="0"/>
    <n v="0"/>
    <n v="252"/>
    <s v="Dinheiro"/>
    <x v="1"/>
  </r>
  <r>
    <s v="00652"/>
    <x v="534"/>
    <x v="29"/>
    <s v="02/2026"/>
    <d v="2026-02-10T00:00:00"/>
    <x v="291"/>
    <n v="1512"/>
    <n v="0"/>
    <n v="0"/>
    <n v="0"/>
    <n v="1512"/>
    <s v="Dinheiro"/>
    <x v="1"/>
  </r>
  <r>
    <s v="00380"/>
    <x v="91"/>
    <x v="30"/>
    <s v="02/2026"/>
    <d v="2026-02-10T00:00:00"/>
    <x v="291"/>
    <n v="1680"/>
    <n v="0"/>
    <n v="0"/>
    <n v="0"/>
    <n v="1680"/>
    <s v="Dinheiro"/>
    <x v="1"/>
  </r>
  <r>
    <s v="00190"/>
    <x v="70"/>
    <x v="30"/>
    <s v="02/2026"/>
    <d v="2026-02-10T00:00:00"/>
    <x v="291"/>
    <n v="1840"/>
    <n v="0"/>
    <n v="0"/>
    <n v="0"/>
    <n v="1840"/>
    <s v="Dinheiro"/>
    <x v="1"/>
  </r>
  <r>
    <s v="00378"/>
    <x v="87"/>
    <x v="30"/>
    <s v="02/2026"/>
    <d v="2026-02-10T00:00:00"/>
    <x v="291"/>
    <n v="180"/>
    <n v="0"/>
    <n v="0"/>
    <n v="0"/>
    <n v="180"/>
    <s v="Dinheiro"/>
    <x v="1"/>
  </r>
  <r>
    <s v="00636"/>
    <x v="505"/>
    <x v="30"/>
    <s v="02/2026"/>
    <d v="2026-02-10T00:00:00"/>
    <x v="291"/>
    <n v="1600"/>
    <n v="0"/>
    <n v="0"/>
    <n v="0"/>
    <n v="1600"/>
    <s v="Dinheiro"/>
    <x v="1"/>
  </r>
  <r>
    <s v="00521"/>
    <x v="359"/>
    <x v="30"/>
    <s v="02/2026"/>
    <d v="2026-02-10T00:00:00"/>
    <x v="291"/>
    <n v="1120"/>
    <n v="0"/>
    <n v="0"/>
    <n v="0"/>
    <n v="1120"/>
    <s v="Dinheiro"/>
    <x v="1"/>
  </r>
  <r>
    <s v="00378"/>
    <x v="87"/>
    <x v="29"/>
    <s v="02/2026"/>
    <d v="2026-02-10T00:00:00"/>
    <x v="291"/>
    <n v="2760"/>
    <n v="0"/>
    <n v="0"/>
    <n v="0"/>
    <n v="2760"/>
    <s v="Dinheiro"/>
    <x v="1"/>
  </r>
  <r>
    <s v="00353"/>
    <x v="61"/>
    <x v="29"/>
    <s v="02/2026"/>
    <d v="2026-02-10T00:00:00"/>
    <x v="291"/>
    <n v="88"/>
    <n v="0"/>
    <n v="0"/>
    <n v="0"/>
    <n v="88"/>
    <s v="Dinheiro"/>
    <x v="1"/>
  </r>
  <r>
    <s v="00355"/>
    <x v="83"/>
    <x v="29"/>
    <s v="02/2026"/>
    <d v="2026-02-10T00:00:00"/>
    <x v="291"/>
    <n v="1012"/>
    <n v="0"/>
    <n v="0"/>
    <n v="0"/>
    <n v="1012"/>
    <s v="Dinheiro"/>
    <x v="1"/>
  </r>
  <r>
    <s v="00677"/>
    <x v="558"/>
    <x v="29"/>
    <s v="02/2026"/>
    <d v="2026-02-10T00:00:00"/>
    <x v="291"/>
    <n v="672"/>
    <n v="0"/>
    <n v="0"/>
    <n v="0"/>
    <n v="672"/>
    <s v="Dinheiro"/>
    <x v="1"/>
  </r>
  <r>
    <s v="00557"/>
    <x v="401"/>
    <x v="29"/>
    <s v="02/2026"/>
    <d v="2026-02-10T00:00:00"/>
    <x v="291"/>
    <n v="3360"/>
    <n v="0"/>
    <n v="0"/>
    <n v="0"/>
    <n v="3360"/>
    <s v="Dinheiro"/>
    <x v="1"/>
  </r>
  <r>
    <s v="00478"/>
    <x v="290"/>
    <x v="29"/>
    <s v="02/2026"/>
    <d v="2026-02-10T00:00:00"/>
    <x v="291"/>
    <n v="2576"/>
    <n v="0"/>
    <n v="0"/>
    <n v="0"/>
    <n v="2576"/>
    <s v="Dinheiro"/>
    <x v="1"/>
  </r>
  <r>
    <s v="00353"/>
    <x v="61"/>
    <x v="8"/>
    <s v="02/2026"/>
    <d v="2026-02-10T00:00:00"/>
    <x v="291"/>
    <n v="1100"/>
    <n v="0"/>
    <n v="0"/>
    <n v="0"/>
    <n v="1100"/>
    <s v="Dinheiro"/>
    <x v="1"/>
  </r>
  <r>
    <s v="00601"/>
    <x v="506"/>
    <x v="29"/>
    <s v="02/2026"/>
    <d v="2026-02-10T00:00:00"/>
    <x v="291"/>
    <n v="840"/>
    <n v="0"/>
    <n v="0"/>
    <n v="0"/>
    <n v="840"/>
    <s v="Dinheiro"/>
    <x v="1"/>
  </r>
  <r>
    <s v="00362"/>
    <x v="7"/>
    <x v="3"/>
    <s v="02/2026"/>
    <d v="2026-02-11T00:00:00"/>
    <x v="292"/>
    <n v="2.19"/>
    <n v="0"/>
    <n v="0"/>
    <n v="0"/>
    <n v="2.19"/>
    <s v="Dinheiro"/>
    <x v="1"/>
  </r>
  <r>
    <s v="00529"/>
    <x v="379"/>
    <x v="11"/>
    <s v="02/2026"/>
    <d v="2026-02-11T00:00:00"/>
    <x v="292"/>
    <n v="1080"/>
    <n v="0"/>
    <n v="0"/>
    <n v="0"/>
    <n v="1080"/>
    <s v="Dinheiro"/>
    <x v="1"/>
  </r>
  <r>
    <s v="00634"/>
    <x v="496"/>
    <x v="30"/>
    <s v="02/2026"/>
    <d v="2026-02-11T00:00:00"/>
    <x v="292"/>
    <n v="1400"/>
    <n v="0"/>
    <n v="0"/>
    <n v="0"/>
    <n v="1400"/>
    <s v="Dinheiro"/>
    <x v="1"/>
  </r>
  <r>
    <s v="00632"/>
    <x v="493"/>
    <x v="30"/>
    <s v="02/2026"/>
    <d v="2026-02-11T00:00:00"/>
    <x v="292"/>
    <n v="1200"/>
    <n v="0"/>
    <n v="0"/>
    <n v="0"/>
    <n v="1200"/>
    <s v="Dinheiro"/>
    <x v="1"/>
  </r>
  <r>
    <s v="00362"/>
    <x v="7"/>
    <x v="3"/>
    <s v="02/2026"/>
    <d v="2026-02-12T00:00:00"/>
    <x v="293"/>
    <n v="2.19"/>
    <n v="0"/>
    <n v="0"/>
    <n v="0"/>
    <n v="2.19"/>
    <s v="Dinheiro"/>
    <x v="1"/>
  </r>
  <r>
    <s v="00154"/>
    <x v="12"/>
    <x v="33"/>
    <s v="02/2026"/>
    <d v="2026-02-10T00:00:00"/>
    <x v="293"/>
    <n v="12000"/>
    <n v="0"/>
    <n v="0"/>
    <n v="0"/>
    <n v="6000"/>
    <s v="Dinheiro"/>
    <x v="1"/>
  </r>
  <r>
    <s v="00154"/>
    <x v="12"/>
    <x v="33"/>
    <s v="02/2026"/>
    <d v="2026-02-10T00:00:00"/>
    <x v="293"/>
    <n v="12000"/>
    <n v="0"/>
    <n v="0"/>
    <n v="0"/>
    <n v="6000"/>
    <s v="Dinheiro"/>
    <x v="1"/>
  </r>
  <r>
    <s v="00261"/>
    <x v="175"/>
    <x v="38"/>
    <s v="02/2026"/>
    <d v="2026-02-11T00:00:00"/>
    <x v="293"/>
    <n v="75.92"/>
    <n v="0"/>
    <n v="0"/>
    <n v="0"/>
    <n v="70"/>
    <s v="Dinheiro"/>
    <x v="1"/>
  </r>
  <r>
    <s v="00261"/>
    <x v="175"/>
    <x v="38"/>
    <s v="02/2026"/>
    <d v="2026-02-11T00:00:00"/>
    <x v="293"/>
    <n v="75.92"/>
    <n v="0"/>
    <n v="0"/>
    <n v="0"/>
    <n v="5.92"/>
    <s v="Dinheiro"/>
    <x v="1"/>
  </r>
  <r>
    <s v="00530"/>
    <x v="371"/>
    <x v="11"/>
    <s v="02/2026"/>
    <d v="2026-02-12T00:00:00"/>
    <x v="293"/>
    <n v="200"/>
    <n v="0"/>
    <n v="0"/>
    <n v="0"/>
    <n v="200"/>
    <s v="Dinheiro"/>
    <x v="1"/>
  </r>
  <r>
    <s v="00698"/>
    <x v="580"/>
    <x v="9"/>
    <s v="02/2026"/>
    <d v="2026-02-12T00:00:00"/>
    <x v="293"/>
    <n v="231.4"/>
    <n v="0"/>
    <n v="0"/>
    <n v="0"/>
    <n v="231.4"/>
    <s v="Dinheiro"/>
    <x v="1"/>
  </r>
  <r>
    <s v="00362"/>
    <x v="7"/>
    <x v="3"/>
    <s v="02/2026"/>
    <d v="2026-02-12T00:00:00"/>
    <x v="293"/>
    <n v="1608.64"/>
    <n v="0"/>
    <n v="0"/>
    <n v="0"/>
    <n v="1608.64"/>
    <s v="Dinheiro"/>
    <x v="1"/>
  </r>
  <r>
    <s v="00502"/>
    <x v="331"/>
    <x v="38"/>
    <s v="02/2026"/>
    <d v="2026-02-13T00:00:00"/>
    <x v="294"/>
    <n v="120.96000000000001"/>
    <n v="0"/>
    <n v="0"/>
    <n v="0"/>
    <n v="120.96000000000001"/>
    <s v="Dinheiro"/>
    <x v="1"/>
  </r>
  <r>
    <s v="00014"/>
    <x v="187"/>
    <x v="50"/>
    <s v="02/2026"/>
    <d v="2026-02-13T00:00:00"/>
    <x v="294"/>
    <n v="4584.4400000000005"/>
    <n v="0"/>
    <n v="0"/>
    <n v="0"/>
    <n v="4584.4400000000005"/>
    <s v="Dinheiro"/>
    <x v="1"/>
  </r>
  <r>
    <s v="00513"/>
    <x v="342"/>
    <x v="19"/>
    <s v="02/2026"/>
    <d v="2026-02-13T00:00:00"/>
    <x v="294"/>
    <n v="11.26"/>
    <n v="0"/>
    <n v="0"/>
    <n v="0"/>
    <n v="11.26"/>
    <s v="Dinheiro"/>
    <x v="1"/>
  </r>
  <r>
    <s v="00006"/>
    <x v="137"/>
    <x v="53"/>
    <s v="05/2026"/>
    <d v="2026-02-15T00:00:00"/>
    <x v="294"/>
    <n v="1621"/>
    <n v="0"/>
    <n v="0"/>
    <n v="0"/>
    <n v="1621"/>
    <s v="Dinheiro"/>
    <x v="1"/>
  </r>
  <r>
    <s v="00109"/>
    <x v="90"/>
    <x v="35"/>
    <s v="02/2026"/>
    <d v="2026-02-15T00:00:00"/>
    <x v="294"/>
    <n v="217.76"/>
    <n v="0"/>
    <n v="0"/>
    <n v="0"/>
    <n v="217.76"/>
    <s v="Dinheiro"/>
    <x v="1"/>
  </r>
  <r>
    <s v="00699"/>
    <x v="581"/>
    <x v="11"/>
    <s v="02/2026"/>
    <d v="2026-02-12T00:00:00"/>
    <x v="294"/>
    <n v="480"/>
    <n v="0"/>
    <n v="0"/>
    <n v="0"/>
    <n v="480"/>
    <s v="Dinheiro"/>
    <x v="1"/>
  </r>
  <r>
    <s v="00024"/>
    <x v="0"/>
    <x v="0"/>
    <s v="02/2026"/>
    <d v="2026-02-13T00:00:00"/>
    <x v="294"/>
    <n v="828.5"/>
    <n v="0"/>
    <n v="0"/>
    <n v="0"/>
    <n v="828.5"/>
    <s v="Dinheiro"/>
    <x v="1"/>
  </r>
  <r>
    <s v="00024"/>
    <x v="0"/>
    <x v="0"/>
    <s v="02/2026"/>
    <d v="2026-02-13T00:00:00"/>
    <x v="294"/>
    <n v="295.23"/>
    <n v="0"/>
    <n v="0"/>
    <n v="0"/>
    <n v="295.23"/>
    <s v="Dinheiro"/>
    <x v="1"/>
  </r>
  <r>
    <s v="00134"/>
    <x v="18"/>
    <x v="12"/>
    <s v="02/2026"/>
    <d v="2026-02-13T00:00:00"/>
    <x v="294"/>
    <n v="30"/>
    <n v="0"/>
    <n v="0"/>
    <n v="0"/>
    <n v="30"/>
    <s v="Dinheiro"/>
    <x v="1"/>
  </r>
  <r>
    <s v="00193"/>
    <x v="3"/>
    <x v="0"/>
    <s v="02/2026"/>
    <d v="2026-02-13T00:00:00"/>
    <x v="294"/>
    <n v="2485.5100000000002"/>
    <n v="0"/>
    <n v="0"/>
    <n v="0"/>
    <n v="2485.5100000000002"/>
    <s v="Dinheiro"/>
    <x v="1"/>
  </r>
  <r>
    <s v="00193"/>
    <x v="3"/>
    <x v="0"/>
    <s v="02/2026"/>
    <d v="2026-02-13T00:00:00"/>
    <x v="294"/>
    <n v="885.7"/>
    <n v="0"/>
    <n v="0"/>
    <n v="0"/>
    <n v="885.7"/>
    <s v="Dinheiro"/>
    <x v="1"/>
  </r>
  <r>
    <s v="00285"/>
    <x v="303"/>
    <x v="18"/>
    <s v="01/2026"/>
    <d v="2026-02-12T00:00:00"/>
    <x v="294"/>
    <n v="824"/>
    <n v="0"/>
    <n v="0"/>
    <n v="0"/>
    <n v="824"/>
    <s v="Dinheiro"/>
    <x v="1"/>
  </r>
  <r>
    <s v="00102"/>
    <x v="84"/>
    <x v="16"/>
    <s v="02/2026"/>
    <d v="2026-02-15T00:00:00"/>
    <x v="295"/>
    <n v="700"/>
    <n v="0"/>
    <n v="0"/>
    <n v="0"/>
    <n v="700"/>
    <s v="Dinheiro"/>
    <x v="1"/>
  </r>
  <r>
    <s v="00018"/>
    <x v="95"/>
    <x v="16"/>
    <s v="02/2026"/>
    <d v="2026-02-18T00:00:00"/>
    <x v="295"/>
    <n v="849"/>
    <n v="0"/>
    <n v="0"/>
    <n v="0"/>
    <n v="849"/>
    <s v="Dinheiro"/>
    <x v="1"/>
  </r>
  <r>
    <s v="00106"/>
    <x v="6"/>
    <x v="61"/>
    <s v="02/2026"/>
    <d v="2026-02-15T00:00:00"/>
    <x v="295"/>
    <n v="900"/>
    <n v="0"/>
    <n v="0"/>
    <n v="0"/>
    <n v="900"/>
    <s v="Dinheiro"/>
    <x v="1"/>
  </r>
  <r>
    <s v="00680"/>
    <x v="559"/>
    <x v="22"/>
    <s v="02/2026"/>
    <d v="2026-02-18T00:00:00"/>
    <x v="295"/>
    <n v="481.54"/>
    <n v="0"/>
    <n v="0"/>
    <n v="0"/>
    <n v="481.54"/>
    <s v="Dinheiro"/>
    <x v="1"/>
  </r>
  <r>
    <s v="00068"/>
    <x v="98"/>
    <x v="39"/>
    <s v="02/2026"/>
    <d v="2026-02-18T00:00:00"/>
    <x v="295"/>
    <n v="1621"/>
    <n v="0"/>
    <n v="0"/>
    <n v="0"/>
    <n v="1621"/>
    <s v="Dinheiro"/>
    <x v="1"/>
  </r>
  <r>
    <s v="00102"/>
    <x v="84"/>
    <x v="36"/>
    <s v="02/2026"/>
    <d v="2026-02-15T00:00:00"/>
    <x v="295"/>
    <n v="3197.4"/>
    <n v="0"/>
    <n v="0"/>
    <n v="0"/>
    <n v="3197.4"/>
    <s v="Dinheiro"/>
    <x v="1"/>
  </r>
  <r>
    <s v="00680"/>
    <x v="559"/>
    <x v="22"/>
    <s v="02/2026"/>
    <d v="2026-02-18T00:00:00"/>
    <x v="295"/>
    <n v="2830.31"/>
    <n v="0"/>
    <n v="0"/>
    <n v="0"/>
    <n v="2830.31"/>
    <s v="Dinheiro"/>
    <x v="1"/>
  </r>
  <r>
    <s v="00576"/>
    <x v="456"/>
    <x v="94"/>
    <s v="02/2026"/>
    <d v="2026-02-12T00:00:00"/>
    <x v="295"/>
    <n v="245.28"/>
    <n v="0"/>
    <n v="0"/>
    <n v="0"/>
    <n v="245.28"/>
    <s v="Dinheiro"/>
    <x v="1"/>
  </r>
  <r>
    <s v="00526"/>
    <x v="368"/>
    <x v="41"/>
    <s v="02/2026"/>
    <d v="2026-02-18T00:00:00"/>
    <x v="295"/>
    <n v="1500"/>
    <n v="0"/>
    <n v="0"/>
    <n v="0"/>
    <n v="1500"/>
    <s v="Dinheiro"/>
    <x v="1"/>
  </r>
  <r>
    <s v="00065"/>
    <x v="92"/>
    <x v="36"/>
    <s v="02/2026"/>
    <d v="2026-02-15T00:00:00"/>
    <x v="295"/>
    <n v="18793.23"/>
    <n v="0"/>
    <n v="0"/>
    <n v="0"/>
    <n v="18793.23"/>
    <s v="Dinheiro"/>
    <x v="1"/>
  </r>
  <r>
    <s v="00613"/>
    <x v="467"/>
    <x v="8"/>
    <s v="02/2026"/>
    <d v="2026-02-18T00:00:00"/>
    <x v="295"/>
    <n v="304"/>
    <n v="0"/>
    <n v="0"/>
    <n v="0"/>
    <n v="304"/>
    <s v="Dinheiro"/>
    <x v="1"/>
  </r>
  <r>
    <s v="00362"/>
    <x v="7"/>
    <x v="34"/>
    <s v="02/2026"/>
    <d v="2026-02-18T00:00:00"/>
    <x v="295"/>
    <n v="5381.79"/>
    <n v="0"/>
    <n v="0"/>
    <n v="0"/>
    <n v="5381.79"/>
    <s v="Dinheiro"/>
    <x v="1"/>
  </r>
  <r>
    <s v="00477"/>
    <x v="288"/>
    <x v="11"/>
    <s v="02/2026"/>
    <d v="2026-02-18T00:00:00"/>
    <x v="295"/>
    <n v="770"/>
    <n v="0"/>
    <n v="0"/>
    <n v="0"/>
    <n v="770"/>
    <s v="Dinheiro"/>
    <x v="1"/>
  </r>
  <r>
    <s v="00068"/>
    <x v="98"/>
    <x v="39"/>
    <s v="02/2026"/>
    <d v="2026-02-20T00:00:00"/>
    <x v="295"/>
    <n v="500"/>
    <n v="0"/>
    <n v="0"/>
    <n v="0"/>
    <n v="500"/>
    <s v="Dinheiro"/>
    <x v="1"/>
  </r>
  <r>
    <s v="00362"/>
    <x v="7"/>
    <x v="3"/>
    <s v="02/2026"/>
    <d v="2026-02-20T00:00:00"/>
    <x v="296"/>
    <n v="4.08"/>
    <n v="0"/>
    <n v="0"/>
    <n v="0"/>
    <n v="4.38"/>
    <s v="Dinheiro"/>
    <x v="1"/>
  </r>
  <r>
    <s v="00104"/>
    <x v="380"/>
    <x v="43"/>
    <s v="02/2026"/>
    <d v="2026-02-20T00:00:00"/>
    <x v="296"/>
    <n v="2614.42"/>
    <n v="0"/>
    <n v="0"/>
    <n v="0"/>
    <n v="2614.42"/>
    <s v="Dinheiro"/>
    <x v="1"/>
  </r>
  <r>
    <s v="00072"/>
    <x v="105"/>
    <x v="40"/>
    <s v="02/2026"/>
    <d v="2026-02-20T00:00:00"/>
    <x v="296"/>
    <n v="17808.13"/>
    <n v="0"/>
    <n v="0"/>
    <n v="0"/>
    <n v="17808.13"/>
    <s v="Dinheiro"/>
    <x v="1"/>
  </r>
  <r>
    <s v="00022"/>
    <x v="115"/>
    <x v="68"/>
    <s v="02/2026"/>
    <d v="2026-02-20T00:00:00"/>
    <x v="296"/>
    <n v="1443.3700000000001"/>
    <n v="0"/>
    <n v="0"/>
    <n v="0"/>
    <n v="1443.3700000000001"/>
    <s v="Dinheiro"/>
    <x v="1"/>
  </r>
  <r>
    <s v="00022"/>
    <x v="115"/>
    <x v="68"/>
    <s v="02/2026"/>
    <d v="2026-02-20T00:00:00"/>
    <x v="296"/>
    <n v="3274.25"/>
    <n v="0"/>
    <n v="0"/>
    <n v="0"/>
    <n v="3274.25"/>
    <s v="Dinheiro"/>
    <x v="1"/>
  </r>
  <r>
    <s v="00074"/>
    <x v="54"/>
    <x v="16"/>
    <s v="02/2026"/>
    <d v="2026-02-20T00:00:00"/>
    <x v="296"/>
    <n v="99"/>
    <n v="0"/>
    <n v="0"/>
    <n v="0"/>
    <n v="99"/>
    <s v="Dinheiro"/>
    <x v="1"/>
  </r>
  <r>
    <s v="00531"/>
    <x v="372"/>
    <x v="29"/>
    <s v="02/2026"/>
    <d v="2026-02-20T00:00:00"/>
    <x v="296"/>
    <n v="80"/>
    <n v="0"/>
    <n v="0"/>
    <n v="0"/>
    <n v="80"/>
    <s v="Dinheiro"/>
    <x v="1"/>
  </r>
  <r>
    <s v="00531"/>
    <x v="372"/>
    <x v="29"/>
    <s v="01/2026"/>
    <d v="2026-01-10T00:00:00"/>
    <x v="296"/>
    <n v="240"/>
    <n v="0"/>
    <n v="0"/>
    <n v="0"/>
    <n v="240"/>
    <s v="Dinheiro"/>
    <x v="1"/>
  </r>
  <r>
    <s v="00403"/>
    <x v="160"/>
    <x v="9"/>
    <s v="02/2026"/>
    <d v="2026-02-20T00:00:00"/>
    <x v="296"/>
    <n v="700"/>
    <n v="0"/>
    <n v="0"/>
    <n v="0"/>
    <n v="700"/>
    <s v="Banco Investimentos"/>
    <x v="1"/>
  </r>
  <r>
    <s v="00278"/>
    <x v="316"/>
    <x v="30"/>
    <s v="02/2026"/>
    <d v="2026-02-20T00:00:00"/>
    <x v="296"/>
    <n v="520"/>
    <n v="0"/>
    <n v="0"/>
    <n v="0"/>
    <n v="520"/>
    <s v="Dinheiro"/>
    <x v="1"/>
  </r>
  <r>
    <s v="00668"/>
    <x v="541"/>
    <x v="93"/>
    <s v="02/2026"/>
    <d v="2026-02-20T00:00:00"/>
    <x v="296"/>
    <n v="2331"/>
    <n v="0"/>
    <n v="0"/>
    <n v="0"/>
    <n v="2331"/>
    <s v="Dinheiro"/>
    <x v="1"/>
  </r>
  <r>
    <s v="00468"/>
    <x v="236"/>
    <x v="34"/>
    <s v="02/2026"/>
    <d v="2026-02-18T00:00:00"/>
    <x v="296"/>
    <n v="10346.719999999999"/>
    <n v="0"/>
    <n v="0"/>
    <n v="0"/>
    <n v="10346.719999999999"/>
    <s v="Dinheiro"/>
    <x v="1"/>
  </r>
  <r>
    <s v="00362"/>
    <x v="7"/>
    <x v="34"/>
    <s v="02/2026"/>
    <d v="2026-02-18T00:00:00"/>
    <x v="296"/>
    <n v="210.38"/>
    <n v="0"/>
    <n v="0"/>
    <n v="0"/>
    <n v="210.38"/>
    <s v="Dinheiro"/>
    <x v="1"/>
  </r>
  <r>
    <s v="00700"/>
    <x v="582"/>
    <x v="85"/>
    <s v="02/2026"/>
    <d v="2026-02-20T00:00:00"/>
    <x v="296"/>
    <n v="27.92"/>
    <n v="0"/>
    <n v="0"/>
    <n v="0"/>
    <n v="27.92"/>
    <s v="Dinheiro"/>
    <x v="1"/>
  </r>
  <r>
    <s v="00700"/>
    <x v="582"/>
    <x v="85"/>
    <s v="02/2026"/>
    <d v="2026-02-20T00:00:00"/>
    <x v="296"/>
    <n v="3"/>
    <n v="0"/>
    <n v="0"/>
    <n v="0"/>
    <n v="3"/>
    <s v="Dinheiro"/>
    <x v="1"/>
  </r>
  <r>
    <s v="00700"/>
    <x v="582"/>
    <x v="85"/>
    <s v="02/2026"/>
    <d v="2026-02-20T00:00:00"/>
    <x v="296"/>
    <n v="178"/>
    <n v="0"/>
    <n v="0"/>
    <n v="0"/>
    <n v="178"/>
    <s v="Dinheiro"/>
    <x v="1"/>
  </r>
  <r>
    <s v="00362"/>
    <x v="7"/>
    <x v="3"/>
    <s v="02/2026"/>
    <d v="2026-02-24T00:00:00"/>
    <x v="304"/>
    <n v="2.19"/>
    <n v="0"/>
    <n v="0"/>
    <n v="0"/>
    <n v="2.19"/>
    <s v="Dinheiro"/>
    <x v="1"/>
  </r>
  <r>
    <s v="00511"/>
    <x v="241"/>
    <x v="15"/>
    <s v="02/2026"/>
    <d v="2026-02-24T00:00:00"/>
    <x v="304"/>
    <n v="500"/>
    <n v="0"/>
    <n v="0"/>
    <n v="0"/>
    <n v="500"/>
    <s v="Dinheiro"/>
    <x v="1"/>
  </r>
  <r>
    <s v="00302"/>
    <x v="96"/>
    <x v="38"/>
    <s v="02/2026"/>
    <d v="2026-02-24T00:00:00"/>
    <x v="304"/>
    <n v="900"/>
    <n v="0"/>
    <n v="0"/>
    <n v="0"/>
    <n v="900"/>
    <s v="Dinheiro"/>
    <x v="1"/>
  </r>
  <r>
    <s v="RAD260027"/>
    <x v="583"/>
    <x v="28"/>
    <s v="02/2026"/>
    <d v="2026-02-24T00:00:00"/>
    <x v="304"/>
    <n v="99"/>
    <n v="0"/>
    <n v="0"/>
    <n v="0"/>
    <n v="99"/>
    <s v="Dinheiro"/>
    <x v="1"/>
  </r>
  <r>
    <s v="00362"/>
    <x v="7"/>
    <x v="3"/>
    <s v="02/2026"/>
    <d v="2026-02-25T00:00:00"/>
    <x v="298"/>
    <n v="4.38"/>
    <n v="0"/>
    <n v="0"/>
    <n v="0"/>
    <n v="4.38"/>
    <s v="Dinheiro"/>
    <x v="1"/>
  </r>
  <r>
    <s v="00168"/>
    <x v="39"/>
    <x v="31"/>
    <s v="02/2026"/>
    <d v="2026-02-25T00:00:00"/>
    <x v="298"/>
    <n v="1000"/>
    <n v="0"/>
    <n v="0"/>
    <n v="0"/>
    <n v="1000"/>
    <s v="Dinheiro"/>
    <x v="1"/>
  </r>
  <r>
    <s v="00077"/>
    <x v="237"/>
    <x v="66"/>
    <s v="02/2026"/>
    <d v="2026-02-20T00:00:00"/>
    <x v="298"/>
    <n v="350"/>
    <n v="0"/>
    <n v="0"/>
    <n v="0"/>
    <n v="358.15000000000003"/>
    <s v="Dinheiro"/>
    <x v="1"/>
  </r>
  <r>
    <s v="00011"/>
    <x v="45"/>
    <x v="16"/>
    <s v="02/2026"/>
    <d v="2026-02-20T00:00:00"/>
    <x v="298"/>
    <n v="807.1"/>
    <n v="0"/>
    <n v="0"/>
    <n v="0"/>
    <n v="807.1"/>
    <s v="Dinheiro"/>
    <x v="1"/>
  </r>
  <r>
    <s v="00011"/>
    <x v="45"/>
    <x v="16"/>
    <s v="02/2026"/>
    <d v="2026-02-20T00:00:00"/>
    <x v="298"/>
    <n v="1076.32"/>
    <n v="0"/>
    <n v="0"/>
    <n v="0"/>
    <n v="1076.32"/>
    <s v="Dinheiro"/>
    <x v="1"/>
  </r>
  <r>
    <s v="00615"/>
    <x v="487"/>
    <x v="25"/>
    <s v="02/2026"/>
    <d v="2026-02-23T00:00:00"/>
    <x v="298"/>
    <n v="1659.14"/>
    <n v="0"/>
    <n v="0"/>
    <n v="0"/>
    <n v="1659.14"/>
    <s v="Dinheiro"/>
    <x v="1"/>
  </r>
  <r>
    <s v="00362"/>
    <x v="7"/>
    <x v="34"/>
    <s v="02/2026"/>
    <d v="2026-02-26T00:00:00"/>
    <x v="299"/>
    <n v="413.49"/>
    <n v="0"/>
    <n v="0"/>
    <n v="0"/>
    <n v="413.49"/>
    <s v="Dinheiro"/>
    <x v="1"/>
  </r>
  <r>
    <s v="00103"/>
    <x v="97"/>
    <x v="72"/>
    <s v="02/2026"/>
    <d v="2026-02-27T00:00:00"/>
    <x v="299"/>
    <n v="142.68"/>
    <n v="0"/>
    <n v="0"/>
    <n v="0"/>
    <n v="142.68"/>
    <s v="Dinheiro"/>
    <x v="1"/>
  </r>
  <r>
    <s v="00668"/>
    <x v="541"/>
    <x v="93"/>
    <s v="02/2026"/>
    <d v="2026-02-26T00:00:00"/>
    <x v="299"/>
    <n v="1000"/>
    <n v="0"/>
    <n v="0"/>
    <n v="0"/>
    <n v="1000"/>
    <s v="Dinheiro"/>
    <x v="1"/>
  </r>
  <r>
    <s v="00362"/>
    <x v="7"/>
    <x v="48"/>
    <s v="02/2026"/>
    <d v="2026-02-26T00:00:00"/>
    <x v="299"/>
    <n v="13409.630000000001"/>
    <n v="0"/>
    <n v="0"/>
    <n v="0"/>
    <n v="13409.630000000001"/>
    <s v="Dinheiro"/>
    <x v="1"/>
  </r>
  <r>
    <s v="00072"/>
    <x v="105"/>
    <x v="40"/>
    <s v="02/2026"/>
    <d v="2026-02-27T00:00:00"/>
    <x v="300"/>
    <n v="738.65"/>
    <n v="0"/>
    <n v="0"/>
    <n v="0"/>
    <n v="738.65"/>
    <s v="Dinheiro"/>
    <x v="1"/>
  </r>
  <r>
    <s v="00685"/>
    <x v="584"/>
    <x v="9"/>
    <s v="01/2026"/>
    <d v="2026-01-26T00:00:00"/>
    <x v="300"/>
    <n v="2978.08"/>
    <n v="0"/>
    <n v="0"/>
    <n v="0"/>
    <n v="2978.08"/>
    <s v="Banco Investimentos"/>
    <x v="1"/>
  </r>
  <r>
    <s v="00381"/>
    <x v="99"/>
    <x v="26"/>
    <s v="02/2026"/>
    <d v="2026-02-25T00:00:00"/>
    <x v="300"/>
    <n v="431.59000000000003"/>
    <n v="0"/>
    <n v="0"/>
    <n v="0"/>
    <n v="431.59000000000003"/>
    <s v="Dinheiro"/>
    <x v="1"/>
  </r>
  <r>
    <s v="00067"/>
    <x v="132"/>
    <x v="98"/>
    <s v="02/2026"/>
    <d v="2026-02-25T00:00:00"/>
    <x v="300"/>
    <n v="377.46"/>
    <n v="0"/>
    <n v="0"/>
    <n v="0"/>
    <n v="377.46"/>
    <s v="Dinheiro"/>
    <x v="1"/>
  </r>
  <r>
    <s v="00576"/>
    <x v="456"/>
    <x v="94"/>
    <s v="02/2026"/>
    <d v="2026-02-27T00:00:00"/>
    <x v="300"/>
    <n v="1431.13"/>
    <n v="0"/>
    <n v="0"/>
    <n v="0"/>
    <n v="1431.13"/>
    <s v="Dinheiro"/>
    <x v="1"/>
  </r>
  <r>
    <s v="00413"/>
    <x v="585"/>
    <x v="8"/>
    <s v="02/2026"/>
    <d v="2026-02-11T00:00:00"/>
    <x v="292"/>
    <n v="1550"/>
    <n v="0"/>
    <n v="0"/>
    <n v="0"/>
    <n v="1550"/>
    <s v="Dinheiro"/>
    <x v="1"/>
  </r>
  <r>
    <s v="00378"/>
    <x v="342"/>
    <x v="8"/>
    <s v="02/2026"/>
    <d v="2026-02-11T00:00:00"/>
    <x v="292"/>
    <n v="840"/>
    <n v="0"/>
    <n v="0"/>
    <n v="0"/>
    <n v="840"/>
    <s v="Dinheiro"/>
    <x v="1"/>
  </r>
  <r>
    <s v="00288"/>
    <x v="121"/>
    <x v="8"/>
    <s v="02/2026"/>
    <d v="2026-02-12T00:00:00"/>
    <x v="293"/>
    <n v="960"/>
    <n v="0"/>
    <n v="0"/>
    <n v="0"/>
    <n v="960"/>
    <s v="Dinheiro"/>
    <x v="1"/>
  </r>
  <r>
    <s v="00414"/>
    <x v="175"/>
    <x v="38"/>
    <s v="02/2026"/>
    <d v="2026-02-12T00:00:00"/>
    <x v="293"/>
    <n v="72.5"/>
    <n v="0"/>
    <n v="0"/>
    <n v="0"/>
    <n v="72.5"/>
    <s v="Dinheiro"/>
    <x v="1"/>
  </r>
  <r>
    <s v="00222"/>
    <x v="586"/>
    <x v="47"/>
    <s v="02/2026"/>
    <d v="2026-02-13T00:00:00"/>
    <x v="294"/>
    <n v="30"/>
    <n v="0"/>
    <n v="0"/>
    <n v="0"/>
    <n v="30"/>
    <s v="Dinheiro"/>
    <x v="1"/>
  </r>
  <r>
    <s v="00413"/>
    <x v="585"/>
    <x v="8"/>
    <s v="02/2026"/>
    <d v="2026-02-18T00:00:00"/>
    <x v="295"/>
    <n v="40"/>
    <n v="0"/>
    <n v="0"/>
    <n v="0"/>
    <n v="40"/>
    <s v="Dinheiro"/>
    <x v="1"/>
  </r>
  <r>
    <s v="00272"/>
    <x v="520"/>
    <x v="8"/>
    <s v="02/2026"/>
    <d v="2026-02-18T00:00:00"/>
    <x v="295"/>
    <n v="36"/>
    <n v="0"/>
    <n v="0"/>
    <n v="0"/>
    <n v="36"/>
    <s v="Dinheiro"/>
    <x v="1"/>
  </r>
  <r>
    <s v="00415"/>
    <x v="587"/>
    <x v="14"/>
    <s v="02/2026"/>
    <d v="2026-02-24T00:00:00"/>
    <x v="304"/>
    <n v="60"/>
    <n v="0"/>
    <n v="0"/>
    <n v="0"/>
    <n v="60"/>
    <s v="Dinheiro"/>
    <x v="1"/>
  </r>
  <r>
    <s v="00415"/>
    <x v="587"/>
    <x v="14"/>
    <s v="02/2026"/>
    <d v="2026-02-26T00:00:00"/>
    <x v="299"/>
    <n v="90"/>
    <n v="0"/>
    <n v="0"/>
    <n v="0"/>
    <n v="90"/>
    <s v="Dinheiro"/>
    <x v="1"/>
  </r>
  <r>
    <s v="FLB260012"/>
    <x v="588"/>
    <x v="28"/>
    <s v="02/2026"/>
    <d v="2026-02-12T00:00:00"/>
    <x v="291"/>
    <n v="99.990000000000009"/>
    <n v="0"/>
    <n v="0"/>
    <n v="0"/>
    <n v="90"/>
    <s v="Dinheiro"/>
    <x v="1"/>
  </r>
  <r>
    <s v="BCV250133"/>
    <x v="589"/>
    <x v="28"/>
    <s v="02/2026"/>
    <d v="2026-02-10T00:00:00"/>
    <x v="291"/>
    <n v="239.49"/>
    <n v="0"/>
    <n v="0"/>
    <n v="0"/>
    <n v="239.49"/>
    <s v="Dinheiro"/>
    <x v="1"/>
  </r>
  <r>
    <s v="FLB260012"/>
    <x v="588"/>
    <x v="28"/>
    <s v="02/2026"/>
    <d v="2026-02-12T00:00:00"/>
    <x v="293"/>
    <n v="99.990000000000009"/>
    <n v="0"/>
    <n v="0"/>
    <n v="0"/>
    <n v="9.99"/>
    <s v="Dinheiro"/>
    <x v="1"/>
  </r>
  <r>
    <s v="CEC260003"/>
    <x v="590"/>
    <x v="28"/>
    <s v="02/2026"/>
    <d v="2026-02-13T00:00:00"/>
    <x v="294"/>
    <n v="99"/>
    <n v="0"/>
    <n v="0"/>
    <n v="0"/>
    <n v="99"/>
    <s v="Dinheiro"/>
    <x v="1"/>
  </r>
  <r>
    <s v="APH250036"/>
    <x v="591"/>
    <x v="20"/>
    <s v="02/2026"/>
    <d v="2026-02-20T00:00:00"/>
    <x v="296"/>
    <n v="297.5"/>
    <n v="0"/>
    <n v="0"/>
    <n v="0"/>
    <n v="297.5"/>
    <s v="Dinheiro"/>
    <x v="1"/>
  </r>
  <r>
    <s v="00704"/>
    <x v="592"/>
    <x v="99"/>
    <s v="03/2026"/>
    <d v="2026-03-02T00:00:00"/>
    <x v="305"/>
    <n v="10"/>
    <n v="0"/>
    <n v="0"/>
    <n v="0"/>
    <n v="10"/>
    <s v="Dinheiro"/>
    <x v="1"/>
  </r>
  <r>
    <s v="00704"/>
    <x v="592"/>
    <x v="99"/>
    <s v="03/2026"/>
    <d v="2026-03-02T00:00:00"/>
    <x v="305"/>
    <n v="26"/>
    <n v="0"/>
    <n v="0"/>
    <n v="0"/>
    <n v="26"/>
    <s v="Dinheiro"/>
    <x v="1"/>
  </r>
  <r>
    <s v="00039"/>
    <x v="231"/>
    <x v="9"/>
    <s v="03/2026"/>
    <d v="2026-03-02T00:00:00"/>
    <x v="305"/>
    <n v="22.900000000000002"/>
    <n v="0"/>
    <n v="0"/>
    <n v="0"/>
    <n v="22.900000000000002"/>
    <s v="Dinheiro"/>
    <x v="1"/>
  </r>
  <r>
    <s v="00614"/>
    <x v="468"/>
    <x v="8"/>
    <s v="03/2026"/>
    <d v="2026-03-02T00:00:00"/>
    <x v="305"/>
    <n v="192"/>
    <n v="0"/>
    <n v="0"/>
    <n v="0"/>
    <n v="192"/>
    <s v="Dinheiro"/>
    <x v="1"/>
  </r>
  <r>
    <s v="00316"/>
    <x v="17"/>
    <x v="8"/>
    <s v="03/2026"/>
    <d v="2026-03-02T00:00:00"/>
    <x v="305"/>
    <n v="210"/>
    <n v="0"/>
    <n v="0"/>
    <n v="0"/>
    <n v="210"/>
    <s v="Dinheiro"/>
    <x v="1"/>
  </r>
  <r>
    <s v="00692"/>
    <x v="569"/>
    <x v="8"/>
    <s v="03/2026"/>
    <d v="2026-03-02T00:00:00"/>
    <x v="305"/>
    <n v="340"/>
    <n v="0"/>
    <n v="0"/>
    <n v="0"/>
    <n v="340"/>
    <s v="Dinheiro"/>
    <x v="1"/>
  </r>
  <r>
    <s v="00133"/>
    <x v="24"/>
    <x v="8"/>
    <s v="03/2026"/>
    <d v="2026-03-02T00:00:00"/>
    <x v="305"/>
    <n v="356"/>
    <n v="0"/>
    <n v="0"/>
    <n v="0"/>
    <n v="356"/>
    <s v="Dinheiro"/>
    <x v="1"/>
  </r>
  <r>
    <s v="00613"/>
    <x v="467"/>
    <x v="8"/>
    <s v="03/2026"/>
    <d v="2026-03-02T00:00:00"/>
    <x v="305"/>
    <n v="400"/>
    <n v="0"/>
    <n v="0"/>
    <n v="0"/>
    <n v="400"/>
    <s v="Dinheiro"/>
    <x v="1"/>
  </r>
  <r>
    <s v="00349"/>
    <x v="25"/>
    <x v="5"/>
    <s v="03/2026"/>
    <d v="2026-03-03T00:00:00"/>
    <x v="306"/>
    <n v="40"/>
    <n v="0"/>
    <n v="0"/>
    <n v="0"/>
    <n v="40"/>
    <s v="Dinheiro"/>
    <x v="1"/>
  </r>
  <r>
    <s v="00610"/>
    <x v="463"/>
    <x v="25"/>
    <s v="03/2026"/>
    <d v="2026-03-03T00:00:00"/>
    <x v="306"/>
    <n v="35.300000000000004"/>
    <n v="0"/>
    <n v="0"/>
    <n v="0"/>
    <n v="35.300000000000004"/>
    <s v="Dinheiro"/>
    <x v="1"/>
  </r>
  <r>
    <s v="00705"/>
    <x v="593"/>
    <x v="1"/>
    <s v="03/2026"/>
    <d v="2026-03-04T00:00:00"/>
    <x v="307"/>
    <n v="268.39999999999998"/>
    <n v="0"/>
    <n v="0"/>
    <n v="0"/>
    <n v="268.39999999999998"/>
    <s v="Dinheiro"/>
    <x v="1"/>
  </r>
  <r>
    <s v="00403"/>
    <x v="160"/>
    <x v="9"/>
    <s v="03/2026"/>
    <d v="2026-03-05T00:00:00"/>
    <x v="308"/>
    <n v="700"/>
    <n v="0"/>
    <n v="0"/>
    <n v="0"/>
    <n v="700"/>
    <s v="Dinheiro"/>
    <x v="1"/>
  </r>
  <r>
    <s v="00706"/>
    <x v="594"/>
    <x v="2"/>
    <s v="03/2026"/>
    <d v="2026-03-05T00:00:00"/>
    <x v="308"/>
    <n v="95"/>
    <n v="0"/>
    <n v="0"/>
    <n v="0"/>
    <n v="95"/>
    <s v="Dinheiro"/>
    <x v="1"/>
  </r>
  <r>
    <s v="00374"/>
    <x v="107"/>
    <x v="45"/>
    <s v="03/2026"/>
    <d v="2026-03-05T00:00:00"/>
    <x v="308"/>
    <n v="36"/>
    <n v="0"/>
    <n v="0"/>
    <n v="0"/>
    <n v="36"/>
    <s v="Dinheiro"/>
    <x v="1"/>
  </r>
  <r>
    <s v="00707"/>
    <x v="595"/>
    <x v="45"/>
    <s v="03/2026"/>
    <d v="2026-03-05T00:00:00"/>
    <x v="308"/>
    <n v="10"/>
    <n v="0"/>
    <n v="0"/>
    <n v="0"/>
    <n v="10"/>
    <s v="Dinheiro"/>
    <x v="1"/>
  </r>
  <r>
    <s v="00613"/>
    <x v="467"/>
    <x v="8"/>
    <s v="03/2026"/>
    <d v="2026-03-05T00:00:00"/>
    <x v="308"/>
    <n v="32"/>
    <n v="0"/>
    <n v="0"/>
    <n v="0"/>
    <n v="32"/>
    <s v="Dinheiro"/>
    <x v="1"/>
  </r>
  <r>
    <s v="00304"/>
    <x v="494"/>
    <x v="15"/>
    <s v="03/2026"/>
    <d v="2026-03-06T00:00:00"/>
    <x v="309"/>
    <n v="100"/>
    <n v="0"/>
    <n v="0"/>
    <n v="0"/>
    <n v="100"/>
    <s v="Dinheiro"/>
    <x v="1"/>
  </r>
  <r>
    <s v="00036"/>
    <x v="109"/>
    <x v="27"/>
    <s v="03/2026"/>
    <d v="2026-03-06T00:00:00"/>
    <x v="309"/>
    <n v="3.65"/>
    <n v="0"/>
    <n v="0"/>
    <n v="0"/>
    <n v="3.65"/>
    <s v="Dinheiro"/>
    <x v="1"/>
  </r>
  <r>
    <s v="00411"/>
    <x v="181"/>
    <x v="8"/>
    <s v="03/2026"/>
    <d v="2026-03-06T00:00:00"/>
    <x v="309"/>
    <n v="100"/>
    <n v="0"/>
    <n v="0"/>
    <n v="0"/>
    <n v="100"/>
    <s v="Dinheiro"/>
    <x v="1"/>
  </r>
  <r>
    <s v="00160"/>
    <x v="31"/>
    <x v="8"/>
    <s v="03/2026"/>
    <d v="2026-03-06T00:00:00"/>
    <x v="309"/>
    <n v="100"/>
    <n v="0"/>
    <n v="0"/>
    <n v="0"/>
    <n v="100"/>
    <s v="Dinheiro"/>
    <x v="1"/>
  </r>
  <r>
    <s v="00036"/>
    <x v="109"/>
    <x v="27"/>
    <s v="03/2026"/>
    <d v="2026-03-06T00:00:00"/>
    <x v="309"/>
    <n v="19.900000000000002"/>
    <n v="0"/>
    <n v="0"/>
    <n v="0"/>
    <n v="19.900000000000002"/>
    <s v="Dinheiro"/>
    <x v="1"/>
  </r>
  <r>
    <s v="00133"/>
    <x v="24"/>
    <x v="8"/>
    <s v="03/2026"/>
    <d v="2026-03-07T00:00:00"/>
    <x v="310"/>
    <n v="306"/>
    <n v="0"/>
    <n v="0"/>
    <n v="0"/>
    <n v="306"/>
    <s v="Dinheiro"/>
    <x v="1"/>
  </r>
  <r>
    <s v="00036"/>
    <x v="109"/>
    <x v="45"/>
    <s v="03/2026"/>
    <d v="2026-03-09T00:00:00"/>
    <x v="311"/>
    <n v="15.98"/>
    <n v="0"/>
    <n v="0"/>
    <n v="0"/>
    <n v="15.98"/>
    <s v="Dinheiro"/>
    <x v="1"/>
  </r>
  <r>
    <s v="00705"/>
    <x v="593"/>
    <x v="8"/>
    <s v="03/2026"/>
    <d v="2026-03-09T00:00:00"/>
    <x v="311"/>
    <n v="36"/>
    <n v="0"/>
    <n v="0"/>
    <n v="0"/>
    <n v="36"/>
    <s v="Dinheiro"/>
    <x v="1"/>
  </r>
  <r>
    <s v="00328"/>
    <x v="270"/>
    <x v="45"/>
    <s v="03/2026"/>
    <d v="2026-03-10T00:00:00"/>
    <x v="312"/>
    <n v="22.88"/>
    <n v="0"/>
    <n v="0"/>
    <n v="0"/>
    <n v="22.88"/>
    <s v="Dinheiro"/>
    <x v="1"/>
  </r>
  <r>
    <s v="00133"/>
    <x v="24"/>
    <x v="8"/>
    <s v="03/2026"/>
    <d v="2026-03-10T00:00:00"/>
    <x v="312"/>
    <n v="1600"/>
    <n v="0"/>
    <n v="0"/>
    <n v="0"/>
    <n v="1600"/>
    <s v="Dinheiro"/>
    <x v="1"/>
  </r>
  <r>
    <s v="00316"/>
    <x v="17"/>
    <x v="8"/>
    <s v="03/2026"/>
    <d v="2026-03-10T00:00:00"/>
    <x v="312"/>
    <n v="760"/>
    <n v="0"/>
    <n v="0"/>
    <n v="0"/>
    <n v="760"/>
    <s v="Dinheiro"/>
    <x v="1"/>
  </r>
  <r>
    <s v="00613"/>
    <x v="467"/>
    <x v="8"/>
    <s v="03/2026"/>
    <d v="2026-03-10T00:00:00"/>
    <x v="312"/>
    <n v="1560"/>
    <n v="0"/>
    <n v="0"/>
    <n v="0"/>
    <n v="1560"/>
    <s v="Dinheiro"/>
    <x v="1"/>
  </r>
  <r>
    <s v="00223"/>
    <x v="32"/>
    <x v="8"/>
    <s v="03/2026"/>
    <d v="2026-03-10T00:00:00"/>
    <x v="312"/>
    <n v="4270"/>
    <n v="0"/>
    <n v="0"/>
    <n v="0"/>
    <n v="4270"/>
    <s v="Dinheiro"/>
    <x v="1"/>
  </r>
  <r>
    <s v="00351"/>
    <x v="42"/>
    <x v="14"/>
    <s v="03/2026"/>
    <d v="2026-03-10T00:00:00"/>
    <x v="312"/>
    <n v="200"/>
    <n v="0"/>
    <n v="0"/>
    <n v="0"/>
    <n v="200"/>
    <s v="Dinheiro"/>
    <x v="1"/>
  </r>
  <r>
    <s v="00292"/>
    <x v="278"/>
    <x v="5"/>
    <s v="03/2026"/>
    <d v="2026-03-10T00:00:00"/>
    <x v="312"/>
    <n v="80"/>
    <n v="0"/>
    <n v="0"/>
    <n v="0"/>
    <n v="80"/>
    <s v="Dinheiro"/>
    <x v="1"/>
  </r>
  <r>
    <s v="00511"/>
    <x v="241"/>
    <x v="8"/>
    <s v="03/2026"/>
    <d v="2026-03-10T00:00:00"/>
    <x v="312"/>
    <n v="57"/>
    <n v="0"/>
    <n v="0"/>
    <n v="0"/>
    <n v="57"/>
    <s v="Dinheiro"/>
    <x v="1"/>
  </r>
  <r>
    <s v="00292"/>
    <x v="278"/>
    <x v="5"/>
    <s v="03/2026"/>
    <d v="2026-03-11T00:00:00"/>
    <x v="313"/>
    <n v="40"/>
    <n v="0"/>
    <n v="0"/>
    <n v="0"/>
    <n v="40"/>
    <s v="Dinheiro"/>
    <x v="1"/>
  </r>
  <r>
    <s v="00027"/>
    <x v="58"/>
    <x v="45"/>
    <s v="03/2026"/>
    <d v="2026-03-11T00:00:00"/>
    <x v="313"/>
    <n v="32.880000000000003"/>
    <n v="0"/>
    <n v="0"/>
    <n v="0"/>
    <n v="32.880000000000003"/>
    <s v="Dinheiro"/>
    <x v="1"/>
  </r>
  <r>
    <s v="00036"/>
    <x v="109"/>
    <x v="76"/>
    <s v="03/2026"/>
    <d v="2026-03-12T00:00:00"/>
    <x v="314"/>
    <n v="28.7"/>
    <n v="0"/>
    <n v="0"/>
    <n v="0"/>
    <n v="28.7"/>
    <s v="Dinheiro"/>
    <x v="1"/>
  </r>
  <r>
    <s v="00032"/>
    <x v="120"/>
    <x v="25"/>
    <s v="03/2026"/>
    <d v="2026-03-12T00:00:00"/>
    <x v="314"/>
    <n v="6.99"/>
    <n v="0"/>
    <n v="0"/>
    <n v="0"/>
    <n v="6.99"/>
    <s v="Dinheiro"/>
    <x v="1"/>
  </r>
  <r>
    <s v="00710"/>
    <x v="596"/>
    <x v="9"/>
    <s v="03/2026"/>
    <d v="2026-03-12T00:00:00"/>
    <x v="314"/>
    <n v="8.1"/>
    <n v="0"/>
    <n v="0"/>
    <n v="0"/>
    <n v="8.1"/>
    <s v="Dinheiro"/>
    <x v="1"/>
  </r>
  <r>
    <s v="00711"/>
    <x v="597"/>
    <x v="14"/>
    <s v="03/2026"/>
    <d v="2026-03-12T00:00:00"/>
    <x v="314"/>
    <n v="60"/>
    <n v="0"/>
    <n v="0"/>
    <n v="0"/>
    <n v="60"/>
    <s v="Dinheiro"/>
    <x v="1"/>
  </r>
  <r>
    <s v="00712"/>
    <x v="598"/>
    <x v="14"/>
    <s v="03/2026"/>
    <d v="2026-03-12T00:00:00"/>
    <x v="314"/>
    <n v="30"/>
    <n v="0"/>
    <n v="0"/>
    <n v="0"/>
    <n v="30"/>
    <s v="Dinheiro"/>
    <x v="1"/>
  </r>
  <r>
    <s v="00713"/>
    <x v="599"/>
    <x v="14"/>
    <s v="03/2026"/>
    <d v="2026-03-12T00:00:00"/>
    <x v="314"/>
    <n v="60"/>
    <n v="0"/>
    <n v="0"/>
    <n v="0"/>
    <n v="60"/>
    <s v="Dinheiro"/>
    <x v="1"/>
  </r>
  <r>
    <s v="00712"/>
    <x v="598"/>
    <x v="14"/>
    <s v="03/2026"/>
    <d v="2026-03-13T00:00:00"/>
    <x v="315"/>
    <n v="30"/>
    <n v="0"/>
    <n v="0"/>
    <n v="0"/>
    <n v="30"/>
    <s v="Dinheiro"/>
    <x v="1"/>
  </r>
  <r>
    <s v="00713"/>
    <x v="599"/>
    <x v="14"/>
    <s v="03/2026"/>
    <d v="2026-03-13T00:00:00"/>
    <x v="315"/>
    <n v="30"/>
    <n v="0"/>
    <n v="0"/>
    <n v="0"/>
    <n v="30"/>
    <s v="Dinheiro"/>
    <x v="1"/>
  </r>
  <r>
    <s v="00036"/>
    <x v="109"/>
    <x v="27"/>
    <s v="03/2026"/>
    <d v="2026-03-13T00:00:00"/>
    <x v="315"/>
    <n v="10"/>
    <n v="0"/>
    <n v="0"/>
    <n v="0"/>
    <n v="10"/>
    <s v="Dinheiro"/>
    <x v="1"/>
  </r>
  <r>
    <s v="00712"/>
    <x v="598"/>
    <x v="14"/>
    <s v="03/2026"/>
    <d v="2026-03-14T00:00:00"/>
    <x v="316"/>
    <n v="30"/>
    <n v="0"/>
    <n v="0"/>
    <n v="0"/>
    <n v="30"/>
    <s v="Dinheiro"/>
    <x v="1"/>
  </r>
  <r>
    <s v="00614"/>
    <x v="468"/>
    <x v="8"/>
    <s v="03/2026"/>
    <d v="2026-03-16T00:00:00"/>
    <x v="317"/>
    <n v="80"/>
    <n v="0"/>
    <n v="0"/>
    <n v="0"/>
    <n v="80"/>
    <s v="Dinheiro"/>
    <x v="1"/>
  </r>
  <r>
    <s v="00613"/>
    <x v="467"/>
    <x v="8"/>
    <s v="03/2026"/>
    <d v="2026-03-16T00:00:00"/>
    <x v="317"/>
    <n v="236"/>
    <n v="0"/>
    <n v="0"/>
    <n v="0"/>
    <n v="236"/>
    <s v="Dinheiro"/>
    <x v="1"/>
  </r>
  <r>
    <s v="00133"/>
    <x v="24"/>
    <x v="8"/>
    <s v="03/2026"/>
    <d v="2026-03-16T00:00:00"/>
    <x v="317"/>
    <n v="246"/>
    <n v="0"/>
    <n v="0"/>
    <n v="0"/>
    <n v="246"/>
    <s v="Dinheiro"/>
    <x v="1"/>
  </r>
  <r>
    <s v="00705"/>
    <x v="593"/>
    <x v="8"/>
    <s v="03/2026"/>
    <d v="2026-03-16T00:00:00"/>
    <x v="317"/>
    <n v="72"/>
    <n v="0"/>
    <n v="0"/>
    <n v="0"/>
    <n v="72"/>
    <s v="Dinheiro"/>
    <x v="1"/>
  </r>
  <r>
    <s v="00716"/>
    <x v="600"/>
    <x v="25"/>
    <s v="03/2026"/>
    <d v="2026-03-16T00:00:00"/>
    <x v="317"/>
    <n v="83.44"/>
    <n v="0"/>
    <n v="0"/>
    <n v="0"/>
    <n v="83.44"/>
    <s v="Dinheiro"/>
    <x v="1"/>
  </r>
  <r>
    <s v="00711"/>
    <x v="597"/>
    <x v="14"/>
    <s v="03/2026"/>
    <d v="2026-03-16T00:00:00"/>
    <x v="317"/>
    <n v="50"/>
    <n v="0"/>
    <n v="0"/>
    <n v="0"/>
    <n v="50"/>
    <s v="Dinheiro"/>
    <x v="1"/>
  </r>
  <r>
    <s v="00388"/>
    <x v="122"/>
    <x v="31"/>
    <s v="03/2026"/>
    <d v="2026-03-17T00:00:00"/>
    <x v="318"/>
    <n v="750"/>
    <n v="0"/>
    <n v="0"/>
    <n v="0"/>
    <n v="750"/>
    <s v="Dinheiro"/>
    <x v="1"/>
  </r>
  <r>
    <s v="00027"/>
    <x v="58"/>
    <x v="45"/>
    <s v="03/2026"/>
    <d v="2026-03-17T00:00:00"/>
    <x v="318"/>
    <n v="22.64"/>
    <n v="0"/>
    <n v="0"/>
    <n v="0"/>
    <n v="22.64"/>
    <s v="Dinheiro"/>
    <x v="1"/>
  </r>
  <r>
    <s v="00610"/>
    <x v="463"/>
    <x v="25"/>
    <s v="03/2026"/>
    <d v="2026-03-17T00:00:00"/>
    <x v="318"/>
    <n v="5.5"/>
    <n v="0"/>
    <n v="0"/>
    <n v="0"/>
    <n v="5.5"/>
    <s v="Dinheiro"/>
    <x v="1"/>
  </r>
  <r>
    <s v="00498"/>
    <x v="242"/>
    <x v="8"/>
    <s v="03/2026"/>
    <d v="2026-03-17T00:00:00"/>
    <x v="318"/>
    <n v="100"/>
    <n v="0"/>
    <n v="0"/>
    <n v="0"/>
    <n v="100"/>
    <s v="Dinheiro"/>
    <x v="1"/>
  </r>
  <r>
    <s v="00304"/>
    <x v="494"/>
    <x v="8"/>
    <s v="03/2026"/>
    <d v="2026-03-17T00:00:00"/>
    <x v="318"/>
    <n v="36"/>
    <n v="0"/>
    <n v="0"/>
    <n v="0"/>
    <n v="36"/>
    <s v="Dinheiro"/>
    <x v="1"/>
  </r>
  <r>
    <s v="00032"/>
    <x v="120"/>
    <x v="27"/>
    <s v="03/2026"/>
    <d v="2026-03-18T00:00:00"/>
    <x v="319"/>
    <n v="66.989999999999995"/>
    <n v="0"/>
    <n v="0"/>
    <n v="0"/>
    <n v="66.989999999999995"/>
    <s v="Dinheiro"/>
    <x v="1"/>
  </r>
  <r>
    <s v="00292"/>
    <x v="278"/>
    <x v="5"/>
    <s v="03/2026"/>
    <d v="2026-03-19T00:00:00"/>
    <x v="320"/>
    <n v="40"/>
    <n v="0"/>
    <n v="0"/>
    <n v="0"/>
    <n v="40"/>
    <s v="Dinheiro"/>
    <x v="1"/>
  </r>
  <r>
    <s v="00261"/>
    <x v="175"/>
    <x v="38"/>
    <s v="03/2026"/>
    <d v="2026-03-19T00:00:00"/>
    <x v="320"/>
    <n v="71.7"/>
    <n v="0"/>
    <n v="0"/>
    <n v="0"/>
    <n v="71.7"/>
    <s v="Dinheiro"/>
    <x v="1"/>
  </r>
  <r>
    <s v="00403"/>
    <x v="160"/>
    <x v="9"/>
    <s v="03/2026"/>
    <d v="2026-03-19T00:00:00"/>
    <x v="320"/>
    <n v="50"/>
    <n v="0"/>
    <n v="0"/>
    <n v="0"/>
    <n v="50"/>
    <s v="Dinheiro"/>
    <x v="1"/>
  </r>
  <r>
    <s v="00292"/>
    <x v="278"/>
    <x v="5"/>
    <s v="03/2026"/>
    <d v="2026-03-20T00:00:00"/>
    <x v="321"/>
    <n v="40"/>
    <n v="0"/>
    <n v="0"/>
    <n v="0"/>
    <n v="40"/>
    <s v="Dinheiro"/>
    <x v="1"/>
  </r>
  <r>
    <s v="RAD220072"/>
    <x v="601"/>
    <x v="87"/>
    <s v="03/2026"/>
    <d v="2026-03-20T00:00:00"/>
    <x v="321"/>
    <n v="50"/>
    <n v="0"/>
    <n v="0"/>
    <n v="0"/>
    <n v="50"/>
    <s v="Dinheiro"/>
    <x v="1"/>
  </r>
  <r>
    <s v="00292"/>
    <x v="278"/>
    <x v="5"/>
    <s v="03/2026"/>
    <d v="2026-03-23T00:00:00"/>
    <x v="322"/>
    <n v="40"/>
    <n v="0"/>
    <n v="0"/>
    <n v="0"/>
    <n v="40"/>
    <s v="Dinheiro"/>
    <x v="1"/>
  </r>
  <r>
    <s v="00539"/>
    <x v="351"/>
    <x v="9"/>
    <s v="03/2026"/>
    <d v="2026-03-23T00:00:00"/>
    <x v="322"/>
    <n v="60"/>
    <n v="0"/>
    <n v="0"/>
    <n v="0"/>
    <n v="60"/>
    <s v="Dinheiro"/>
    <x v="1"/>
  </r>
  <r>
    <s v="00719"/>
    <x v="602"/>
    <x v="100"/>
    <s v="03/2026"/>
    <d v="2026-03-25T00:00:00"/>
    <x v="323"/>
    <n v="12.5"/>
    <n v="0"/>
    <n v="0"/>
    <n v="0"/>
    <n v="12.5"/>
    <s v="Dinheiro"/>
    <x v="1"/>
  </r>
  <r>
    <s v="00032"/>
    <x v="120"/>
    <x v="27"/>
    <s v="03/2026"/>
    <d v="2026-03-25T00:00:00"/>
    <x v="323"/>
    <n v="91.960000000000008"/>
    <n v="0"/>
    <n v="0"/>
    <n v="0"/>
    <n v="91.960000000000008"/>
    <s v="Dinheiro"/>
    <x v="1"/>
  </r>
  <r>
    <s v="00032"/>
    <x v="120"/>
    <x v="12"/>
    <s v="03/2026"/>
    <d v="2026-03-25T00:00:00"/>
    <x v="323"/>
    <n v="20"/>
    <n v="0"/>
    <n v="0"/>
    <n v="0"/>
    <n v="20"/>
    <s v="Dinheiro"/>
    <x v="1"/>
  </r>
  <r>
    <s v="00027"/>
    <x v="58"/>
    <x v="25"/>
    <s v="03/2026"/>
    <d v="2026-03-25T00:00:00"/>
    <x v="323"/>
    <n v="45.38"/>
    <n v="0"/>
    <n v="0"/>
    <n v="0"/>
    <n v="45.38"/>
    <s v="Dinheiro"/>
    <x v="1"/>
  </r>
  <r>
    <s v="00027"/>
    <x v="58"/>
    <x v="45"/>
    <s v="03/2026"/>
    <d v="2026-03-26T00:00:00"/>
    <x v="324"/>
    <n v="100"/>
    <n v="0"/>
    <n v="0"/>
    <n v="0"/>
    <n v="100"/>
    <s v="Dinheiro"/>
    <x v="1"/>
  </r>
  <r>
    <s v="00464"/>
    <x v="273"/>
    <x v="45"/>
    <s v="03/2026"/>
    <d v="2026-03-26T00:00:00"/>
    <x v="324"/>
    <n v="17.2"/>
    <n v="0"/>
    <n v="0"/>
    <n v="0"/>
    <n v="17.2"/>
    <s v="Dinheiro"/>
    <x v="1"/>
  </r>
  <r>
    <s v="00154"/>
    <x v="12"/>
    <x v="45"/>
    <s v="03/2026"/>
    <d v="2026-03-27T00:00:00"/>
    <x v="325"/>
    <n v="400"/>
    <n v="0"/>
    <n v="0"/>
    <n v="0"/>
    <n v="400"/>
    <s v="Dinheiro"/>
    <x v="1"/>
  </r>
  <r>
    <s v="00154"/>
    <x v="12"/>
    <x v="45"/>
    <s v="03/2026"/>
    <d v="2026-03-27T00:00:00"/>
    <x v="325"/>
    <n v="500"/>
    <n v="0"/>
    <n v="0"/>
    <n v="0"/>
    <n v="500"/>
    <s v="Dinheiro"/>
    <x v="1"/>
  </r>
  <r>
    <s v="00498"/>
    <x v="242"/>
    <x v="8"/>
    <s v="03/2026"/>
    <d v="2026-03-27T00:00:00"/>
    <x v="325"/>
    <n v="150"/>
    <n v="0"/>
    <n v="0"/>
    <n v="0"/>
    <n v="150"/>
    <s v="Dinheiro"/>
    <x v="1"/>
  </r>
  <r>
    <s v="ENF240181"/>
    <x v="603"/>
    <x v="37"/>
    <s v="03/2026"/>
    <d v="2026-03-27T00:00:00"/>
    <x v="325"/>
    <n v="6"/>
    <n v="0"/>
    <n v="0"/>
    <n v="0"/>
    <n v="6"/>
    <s v="Dinheiro"/>
    <x v="1"/>
  </r>
  <r>
    <s v="00041"/>
    <x v="354"/>
    <x v="12"/>
    <s v="03/2026"/>
    <d v="2026-03-27T00:00:00"/>
    <x v="325"/>
    <n v="90"/>
    <n v="0"/>
    <n v="0"/>
    <n v="0"/>
    <n v="90"/>
    <s v="Dinheiro"/>
    <x v="1"/>
  </r>
  <r>
    <s v="00036"/>
    <x v="109"/>
    <x v="45"/>
    <s v="03/2026"/>
    <d v="2026-03-27T00:00:00"/>
    <x v="325"/>
    <n v="8.4"/>
    <n v="0"/>
    <n v="0"/>
    <n v="0"/>
    <n v="8.4"/>
    <s v="Dinheiro"/>
    <x v="1"/>
  </r>
  <r>
    <s v="00255"/>
    <x v="604"/>
    <x v="12"/>
    <s v="03/2026"/>
    <d v="2026-03-28T00:00:00"/>
    <x v="326"/>
    <n v="120"/>
    <n v="0"/>
    <n v="0"/>
    <n v="0"/>
    <n v="120"/>
    <s v="Dinheiro"/>
    <x v="1"/>
  </r>
  <r>
    <s v="00292"/>
    <x v="278"/>
    <x v="5"/>
    <s v="03/2026"/>
    <d v="2026-03-30T00:00:00"/>
    <x v="327"/>
    <n v="40"/>
    <n v="0"/>
    <n v="0"/>
    <n v="0"/>
    <n v="40"/>
    <s v="Dinheiro"/>
    <x v="1"/>
  </r>
  <r>
    <s v="00304"/>
    <x v="494"/>
    <x v="8"/>
    <s v="03/2026"/>
    <d v="2026-03-30T00:00:00"/>
    <x v="327"/>
    <n v="250"/>
    <n v="0"/>
    <n v="0"/>
    <n v="0"/>
    <n v="250"/>
    <s v="Dinheiro"/>
    <x v="1"/>
  </r>
  <r>
    <s v="00051"/>
    <x v="101"/>
    <x v="2"/>
    <s v="03/2026"/>
    <d v="2026-03-30T00:00:00"/>
    <x v="327"/>
    <n v="4"/>
    <n v="0"/>
    <n v="0"/>
    <n v="0"/>
    <n v="4"/>
    <s v="Dinheiro"/>
    <x v="1"/>
  </r>
  <r>
    <s v="00133"/>
    <x v="24"/>
    <x v="8"/>
    <s v="03/2026"/>
    <d v="2026-03-30T00:00:00"/>
    <x v="327"/>
    <n v="40"/>
    <n v="0"/>
    <n v="0"/>
    <n v="0"/>
    <n v="40"/>
    <s v="Dinheiro"/>
    <x v="1"/>
  </r>
  <r>
    <s v="00613"/>
    <x v="467"/>
    <x v="8"/>
    <s v="03/2026"/>
    <d v="2026-03-30T00:00:00"/>
    <x v="327"/>
    <n v="150"/>
    <n v="0"/>
    <n v="0"/>
    <n v="0"/>
    <n v="150"/>
    <s v="Dinheiro"/>
    <x v="1"/>
  </r>
  <r>
    <s v="00255"/>
    <x v="604"/>
    <x v="12"/>
    <s v="03/2026"/>
    <d v="2026-03-30T00:00:00"/>
    <x v="327"/>
    <n v="30"/>
    <n v="0"/>
    <n v="0"/>
    <n v="0"/>
    <n v="30"/>
    <s v="Dinheiro"/>
    <x v="1"/>
  </r>
  <r>
    <s v="00722"/>
    <x v="605"/>
    <x v="101"/>
    <s v="03/2026"/>
    <d v="2026-03-31T00:00:00"/>
    <x v="328"/>
    <n v="0"/>
    <m/>
    <m/>
    <m/>
    <n v="0"/>
    <s v="Dinheiro"/>
    <x v="1"/>
  </r>
  <r>
    <s v="00160"/>
    <x v="31"/>
    <x v="1"/>
    <s v="03/2026"/>
    <d v="2026-03-02T00:00:00"/>
    <x v="305"/>
    <n v="317.2"/>
    <n v="0"/>
    <n v="0"/>
    <n v="0"/>
    <n v="317.2"/>
    <s v="Dinheiro"/>
    <x v="1"/>
  </r>
  <r>
    <s v="00160"/>
    <x v="31"/>
    <x v="32"/>
    <s v="03/2026"/>
    <d v="2026-03-02T00:00:00"/>
    <x v="305"/>
    <n v="255.42000000000002"/>
    <n v="0"/>
    <n v="0"/>
    <n v="0"/>
    <n v="255.42000000000002"/>
    <s v="Dinheiro"/>
    <x v="1"/>
  </r>
  <r>
    <s v="00474"/>
    <x v="298"/>
    <x v="1"/>
    <s v="03/2026"/>
    <d v="2026-03-02T00:00:00"/>
    <x v="305"/>
    <n v="231.8"/>
    <n v="0"/>
    <n v="0"/>
    <n v="0"/>
    <n v="231.8"/>
    <s v="Dinheiro"/>
    <x v="1"/>
  </r>
  <r>
    <s v="00474"/>
    <x v="298"/>
    <x v="32"/>
    <s v="03/2026"/>
    <d v="2026-03-02T00:00:00"/>
    <x v="305"/>
    <n v="255.42000000000002"/>
    <n v="0"/>
    <n v="0"/>
    <n v="0"/>
    <n v="255.42000000000002"/>
    <s v="Dinheiro"/>
    <x v="1"/>
  </r>
  <r>
    <s v="00411"/>
    <x v="181"/>
    <x v="1"/>
    <s v="03/2026"/>
    <d v="2026-03-02T00:00:00"/>
    <x v="305"/>
    <n v="280.60000000000002"/>
    <n v="0"/>
    <n v="0"/>
    <n v="0"/>
    <n v="280.60000000000002"/>
    <s v="Dinheiro"/>
    <x v="1"/>
  </r>
  <r>
    <s v="00411"/>
    <x v="181"/>
    <x v="32"/>
    <s v="03/2026"/>
    <d v="2026-03-02T00:00:00"/>
    <x v="305"/>
    <n v="255.42000000000002"/>
    <n v="0"/>
    <n v="0"/>
    <n v="0"/>
    <n v="255.42000000000002"/>
    <s v="Dinheiro"/>
    <x v="1"/>
  </r>
  <r>
    <s v="00349"/>
    <x v="25"/>
    <x v="1"/>
    <s v="03/2026"/>
    <d v="2026-03-02T00:00:00"/>
    <x v="305"/>
    <n v="546"/>
    <n v="0"/>
    <n v="0"/>
    <n v="0"/>
    <n v="546"/>
    <s v="Dinheiro"/>
    <x v="1"/>
  </r>
  <r>
    <s v="00349"/>
    <x v="25"/>
    <x v="32"/>
    <s v="03/2026"/>
    <d v="2026-03-02T00:00:00"/>
    <x v="305"/>
    <n v="255.42000000000002"/>
    <n v="0"/>
    <n v="0"/>
    <n v="0"/>
    <n v="255.42000000000002"/>
    <s v="Dinheiro"/>
    <x v="1"/>
  </r>
  <r>
    <s v="00464"/>
    <x v="273"/>
    <x v="1"/>
    <s v="03/2026"/>
    <d v="2026-03-02T00:00:00"/>
    <x v="305"/>
    <n v="256.2"/>
    <n v="0"/>
    <n v="0"/>
    <n v="0"/>
    <n v="256.2"/>
    <s v="Dinheiro"/>
    <x v="1"/>
  </r>
  <r>
    <s v="00502"/>
    <x v="331"/>
    <x v="1"/>
    <s v="03/2026"/>
    <d v="2026-03-02T00:00:00"/>
    <x v="305"/>
    <n v="412.72"/>
    <n v="0"/>
    <n v="0"/>
    <n v="0"/>
    <n v="412.72"/>
    <s v="Dinheiro"/>
    <x v="1"/>
  </r>
  <r>
    <s v="00502"/>
    <x v="331"/>
    <x v="32"/>
    <s v="03/2026"/>
    <d v="2026-03-02T00:00:00"/>
    <x v="305"/>
    <n v="255.42000000000002"/>
    <n v="0"/>
    <n v="0"/>
    <n v="0"/>
    <n v="255.42000000000002"/>
    <s v="Dinheiro"/>
    <x v="1"/>
  </r>
  <r>
    <s v="00168"/>
    <x v="39"/>
    <x v="1"/>
    <s v="03/2026"/>
    <d v="2026-03-02T00:00:00"/>
    <x v="305"/>
    <n v="452.8"/>
    <n v="0"/>
    <n v="0"/>
    <n v="0"/>
    <n v="452.8"/>
    <s v="Dinheiro"/>
    <x v="1"/>
  </r>
  <r>
    <s v="00168"/>
    <x v="39"/>
    <x v="32"/>
    <s v="03/2026"/>
    <d v="2026-03-02T00:00:00"/>
    <x v="305"/>
    <n v="255.42000000000002"/>
    <n v="0"/>
    <n v="0"/>
    <n v="0"/>
    <n v="255.42000000000002"/>
    <s v="Dinheiro"/>
    <x v="1"/>
  </r>
  <r>
    <s v="00692"/>
    <x v="569"/>
    <x v="1"/>
    <s v="03/2026"/>
    <d v="2026-03-02T00:00:00"/>
    <x v="305"/>
    <n v="305"/>
    <n v="0"/>
    <n v="0"/>
    <n v="0"/>
    <n v="305"/>
    <s v="Dinheiro"/>
    <x v="1"/>
  </r>
  <r>
    <s v="00692"/>
    <x v="569"/>
    <x v="32"/>
    <s v="03/2026"/>
    <d v="2026-03-02T00:00:00"/>
    <x v="305"/>
    <n v="255.42000000000002"/>
    <n v="0"/>
    <n v="0"/>
    <n v="0"/>
    <n v="255.42000000000002"/>
    <s v="Dinheiro"/>
    <x v="1"/>
  </r>
  <r>
    <s v="00428"/>
    <x v="606"/>
    <x v="1"/>
    <s v="03/2026"/>
    <d v="2026-03-02T00:00:00"/>
    <x v="305"/>
    <n v="393.96000000000004"/>
    <n v="0"/>
    <n v="0"/>
    <n v="0"/>
    <n v="393.96000000000004"/>
    <s v="Dinheiro"/>
    <x v="1"/>
  </r>
  <r>
    <s v="00428"/>
    <x v="606"/>
    <x v="32"/>
    <s v="03/2026"/>
    <d v="2026-03-02T00:00:00"/>
    <x v="305"/>
    <n v="255.42000000000002"/>
    <n v="0"/>
    <n v="0"/>
    <n v="0"/>
    <n v="255.42000000000002"/>
    <s v="Dinheiro"/>
    <x v="1"/>
  </r>
  <r>
    <s v="00223"/>
    <x v="32"/>
    <x v="1"/>
    <s v="03/2026"/>
    <d v="2026-03-02T00:00:00"/>
    <x v="305"/>
    <n v="555"/>
    <n v="0"/>
    <n v="0"/>
    <n v="0"/>
    <n v="555"/>
    <s v="Dinheiro"/>
    <x v="1"/>
  </r>
  <r>
    <s v="00133"/>
    <x v="24"/>
    <x v="1"/>
    <s v="03/2026"/>
    <d v="2026-03-02T00:00:00"/>
    <x v="305"/>
    <n v="323"/>
    <n v="0"/>
    <n v="0"/>
    <n v="0"/>
    <n v="323"/>
    <s v="Dinheiro"/>
    <x v="1"/>
  </r>
  <r>
    <s v="00133"/>
    <x v="24"/>
    <x v="32"/>
    <s v="03/2026"/>
    <d v="2026-03-02T00:00:00"/>
    <x v="305"/>
    <n v="255.42000000000002"/>
    <n v="0"/>
    <n v="0"/>
    <n v="0"/>
    <n v="255.42000000000002"/>
    <s v="Dinheiro"/>
    <x v="1"/>
  </r>
  <r>
    <s v="00614"/>
    <x v="468"/>
    <x v="1"/>
    <s v="03/2026"/>
    <d v="2026-03-02T00:00:00"/>
    <x v="305"/>
    <n v="450.24"/>
    <n v="0"/>
    <n v="0"/>
    <n v="0"/>
    <n v="450.24"/>
    <s v="Dinheiro"/>
    <x v="1"/>
  </r>
  <r>
    <s v="00614"/>
    <x v="468"/>
    <x v="32"/>
    <s v="03/2026"/>
    <d v="2026-03-02T00:00:00"/>
    <x v="305"/>
    <n v="255.42000000000002"/>
    <n v="0"/>
    <n v="0"/>
    <n v="0"/>
    <n v="255.42000000000002"/>
    <s v="Dinheiro"/>
    <x v="1"/>
  </r>
  <r>
    <s v="00613"/>
    <x v="467"/>
    <x v="1"/>
    <s v="03/2026"/>
    <d v="2026-03-02T00:00:00"/>
    <x v="305"/>
    <n v="487.76"/>
    <n v="0"/>
    <n v="0"/>
    <n v="0"/>
    <n v="487.76"/>
    <s v="Dinheiro"/>
    <x v="1"/>
  </r>
  <r>
    <s v="00613"/>
    <x v="467"/>
    <x v="32"/>
    <s v="03/2026"/>
    <d v="2026-03-02T00:00:00"/>
    <x v="305"/>
    <n v="255.42000000000002"/>
    <n v="0"/>
    <n v="0"/>
    <n v="0"/>
    <n v="255.42000000000002"/>
    <s v="Dinheiro"/>
    <x v="1"/>
  </r>
  <r>
    <s v="00511"/>
    <x v="241"/>
    <x v="1"/>
    <s v="03/2026"/>
    <d v="2026-03-02T00:00:00"/>
    <x v="305"/>
    <n v="412.72"/>
    <n v="0"/>
    <n v="0"/>
    <n v="0"/>
    <n v="412.72"/>
    <s v="Dinheiro"/>
    <x v="1"/>
  </r>
  <r>
    <s v="00511"/>
    <x v="241"/>
    <x v="32"/>
    <s v="03/2026"/>
    <d v="2026-03-02T00:00:00"/>
    <x v="305"/>
    <n v="255.42000000000002"/>
    <n v="0"/>
    <n v="0"/>
    <n v="0"/>
    <n v="255.42000000000002"/>
    <s v="Dinheiro"/>
    <x v="1"/>
  </r>
  <r>
    <s v="00478"/>
    <x v="290"/>
    <x v="1"/>
    <s v="03/2026"/>
    <d v="2026-03-02T00:00:00"/>
    <x v="305"/>
    <n v="243.88"/>
    <n v="0"/>
    <n v="0"/>
    <n v="0"/>
    <n v="243.88"/>
    <s v="Dinheiro"/>
    <x v="1"/>
  </r>
  <r>
    <s v="00478"/>
    <x v="290"/>
    <x v="32"/>
    <s v="03/2026"/>
    <d v="2026-03-02T00:00:00"/>
    <x v="305"/>
    <n v="255.42000000000002"/>
    <n v="0"/>
    <n v="0"/>
    <n v="0"/>
    <n v="255.42000000000002"/>
    <s v="Dinheiro"/>
    <x v="1"/>
  </r>
  <r>
    <s v="00447"/>
    <x v="247"/>
    <x v="1"/>
    <s v="03/2026"/>
    <d v="2026-03-02T00:00:00"/>
    <x v="305"/>
    <n v="575.70000000000005"/>
    <n v="0"/>
    <n v="0"/>
    <n v="0"/>
    <n v="575.70000000000005"/>
    <s v="Dinheiro"/>
    <x v="1"/>
  </r>
  <r>
    <s v="00447"/>
    <x v="247"/>
    <x v="32"/>
    <s v="03/2026"/>
    <d v="2026-03-02T00:00:00"/>
    <x v="305"/>
    <n v="255.42000000000002"/>
    <n v="0"/>
    <n v="0"/>
    <n v="0"/>
    <n v="255.42000000000002"/>
    <s v="Dinheiro"/>
    <x v="1"/>
  </r>
  <r>
    <s v="00448"/>
    <x v="282"/>
    <x v="1"/>
    <s v="03/2026"/>
    <d v="2026-03-02T00:00:00"/>
    <x v="305"/>
    <n v="431.48"/>
    <n v="0"/>
    <n v="0"/>
    <n v="0"/>
    <n v="431.48"/>
    <s v="Dinheiro"/>
    <x v="1"/>
  </r>
  <r>
    <s v="00448"/>
    <x v="282"/>
    <x v="32"/>
    <s v="03/2026"/>
    <d v="2026-03-02T00:00:00"/>
    <x v="305"/>
    <n v="255.42000000000002"/>
    <n v="0"/>
    <n v="0"/>
    <n v="0"/>
    <n v="255.42000000000002"/>
    <s v="Dinheiro"/>
    <x v="1"/>
  </r>
  <r>
    <s v="00397"/>
    <x v="152"/>
    <x v="1"/>
    <s v="03/2026"/>
    <d v="2026-03-02T00:00:00"/>
    <x v="305"/>
    <n v="375.2"/>
    <n v="0"/>
    <n v="0"/>
    <n v="0"/>
    <n v="375.2"/>
    <s v="Dinheiro"/>
    <x v="1"/>
  </r>
  <r>
    <s v="00397"/>
    <x v="152"/>
    <x v="32"/>
    <s v="03/2026"/>
    <d v="2026-03-02T00:00:00"/>
    <x v="305"/>
    <n v="255.42000000000002"/>
    <n v="0"/>
    <n v="0"/>
    <n v="0"/>
    <n v="255.42000000000002"/>
    <s v="Dinheiro"/>
    <x v="1"/>
  </r>
  <r>
    <s v="00254"/>
    <x v="22"/>
    <x v="1"/>
    <s v="03/2026"/>
    <d v="2026-03-02T00:00:00"/>
    <x v="305"/>
    <n v="300.16000000000003"/>
    <n v="0"/>
    <n v="0"/>
    <n v="0"/>
    <n v="300.16000000000003"/>
    <s v="Dinheiro"/>
    <x v="1"/>
  </r>
  <r>
    <s v="00254"/>
    <x v="22"/>
    <x v="32"/>
    <s v="03/2026"/>
    <d v="2026-03-02T00:00:00"/>
    <x v="305"/>
    <n v="255.42000000000002"/>
    <n v="0"/>
    <n v="0"/>
    <n v="0"/>
    <n v="255.42000000000002"/>
    <s v="Dinheiro"/>
    <x v="1"/>
  </r>
  <r>
    <s v="00351"/>
    <x v="42"/>
    <x v="1"/>
    <s v="03/2026"/>
    <d v="2026-03-02T00:00:00"/>
    <x v="305"/>
    <n v="600.6"/>
    <n v="0"/>
    <n v="0"/>
    <n v="0"/>
    <n v="602.6"/>
    <s v="Dinheiro"/>
    <x v="1"/>
  </r>
  <r>
    <s v="00351"/>
    <x v="42"/>
    <x v="32"/>
    <s v="03/2026"/>
    <d v="2026-03-02T00:00:00"/>
    <x v="305"/>
    <n v="255.42000000000002"/>
    <n v="0"/>
    <n v="0"/>
    <n v="0"/>
    <n v="255.42000000000002"/>
    <s v="Dinheiro"/>
    <x v="1"/>
  </r>
  <r>
    <s v="00410"/>
    <x v="176"/>
    <x v="1"/>
    <s v="03/2026"/>
    <d v="2026-03-02T00:00:00"/>
    <x v="305"/>
    <n v="280.60000000000002"/>
    <n v="0"/>
    <n v="0"/>
    <n v="0"/>
    <n v="280.60000000000002"/>
    <s v="Dinheiro"/>
    <x v="1"/>
  </r>
  <r>
    <s v="00656"/>
    <x v="525"/>
    <x v="1"/>
    <s v="03/2026"/>
    <d v="2026-03-02T00:00:00"/>
    <x v="305"/>
    <n v="280.60000000000002"/>
    <n v="0"/>
    <n v="0"/>
    <n v="0"/>
    <n v="280.60000000000002"/>
    <s v="Dinheiro"/>
    <x v="1"/>
  </r>
  <r>
    <s v="00684"/>
    <x v="549"/>
    <x v="1"/>
    <s v="03/2026"/>
    <d v="2026-03-02T00:00:00"/>
    <x v="305"/>
    <n v="280.60000000000002"/>
    <n v="0"/>
    <n v="0"/>
    <n v="0"/>
    <n v="280.60000000000002"/>
    <s v="Dinheiro"/>
    <x v="1"/>
  </r>
  <r>
    <s v="00690"/>
    <x v="545"/>
    <x v="1"/>
    <s v="03/2026"/>
    <d v="2026-03-02T00:00:00"/>
    <x v="305"/>
    <n v="524.4"/>
    <n v="0"/>
    <n v="0"/>
    <n v="0"/>
    <n v="524.4"/>
    <s v="Dinheiro"/>
    <x v="1"/>
  </r>
  <r>
    <s v="00692"/>
    <x v="569"/>
    <x v="32"/>
    <s v="03/2026"/>
    <d v="2026-03-02T00:00:00"/>
    <x v="305"/>
    <n v="255.42000000000002"/>
    <n v="0"/>
    <n v="0"/>
    <n v="0"/>
    <n v="255.42000000000002"/>
    <s v="Dinheiro"/>
    <x v="1"/>
  </r>
  <r>
    <s v="00362"/>
    <x v="7"/>
    <x v="3"/>
    <s v="03/2026"/>
    <d v="2026-03-02T00:00:00"/>
    <x v="305"/>
    <n v="17.52"/>
    <n v="0"/>
    <n v="0"/>
    <n v="0"/>
    <n v="17.52"/>
    <s v="Dinheiro"/>
    <x v="1"/>
  </r>
  <r>
    <s v="00362"/>
    <x v="7"/>
    <x v="3"/>
    <s v="03/2026"/>
    <d v="2026-03-02T00:00:00"/>
    <x v="305"/>
    <n v="43.800000000000004"/>
    <n v="0"/>
    <n v="0"/>
    <n v="0"/>
    <n v="43.800000000000004"/>
    <s v="Dinheiro"/>
    <x v="1"/>
  </r>
  <r>
    <s v="00613"/>
    <x v="467"/>
    <x v="8"/>
    <s v="03/2026"/>
    <d v="2026-03-02T00:00:00"/>
    <x v="305"/>
    <n v="32"/>
    <n v="0"/>
    <n v="0"/>
    <n v="0"/>
    <n v="32"/>
    <s v="Dinheiro"/>
    <x v="1"/>
  </r>
  <r>
    <s v="00362"/>
    <x v="7"/>
    <x v="3"/>
    <s v="03/2026"/>
    <d v="2026-03-03T00:00:00"/>
    <x v="306"/>
    <n v="97.070000000000007"/>
    <n v="0"/>
    <n v="0"/>
    <n v="0"/>
    <n v="97.070000000000007"/>
    <s v="Dinheiro"/>
    <x v="1"/>
  </r>
  <r>
    <s v="00362"/>
    <x v="7"/>
    <x v="34"/>
    <s v="03/2026"/>
    <d v="2026-03-03T00:00:00"/>
    <x v="306"/>
    <n v="4609.7300000000005"/>
    <n v="0"/>
    <n v="0"/>
    <n v="0"/>
    <n v="4609.7300000000005"/>
    <s v="Dinheiro"/>
    <x v="1"/>
  </r>
  <r>
    <s v="00362"/>
    <x v="7"/>
    <x v="3"/>
    <s v="03/2026"/>
    <d v="2026-03-03T00:00:00"/>
    <x v="306"/>
    <n v="4.38"/>
    <n v="0"/>
    <n v="0"/>
    <n v="0"/>
    <n v="4.38"/>
    <s v="Dinheiro"/>
    <x v="1"/>
  </r>
  <r>
    <s v="00362"/>
    <x v="7"/>
    <x v="3"/>
    <s v="03/2026"/>
    <d v="2026-03-03T00:00:00"/>
    <x v="306"/>
    <n v="503.07"/>
    <n v="0"/>
    <n v="0"/>
    <n v="0"/>
    <n v="503.07"/>
    <s v="Dinheiro"/>
    <x v="1"/>
  </r>
  <r>
    <s v="00362"/>
    <x v="7"/>
    <x v="3"/>
    <s v="03/2026"/>
    <d v="2026-03-03T00:00:00"/>
    <x v="306"/>
    <n v="0.08"/>
    <n v="0"/>
    <n v="0"/>
    <n v="0"/>
    <n v="0.08"/>
    <s v="Dinheiro"/>
    <x v="1"/>
  </r>
  <r>
    <s v="00362"/>
    <x v="7"/>
    <x v="3"/>
    <s v="03/2026"/>
    <d v="2026-03-03T00:00:00"/>
    <x v="306"/>
    <n v="291.72000000000003"/>
    <n v="0"/>
    <n v="0"/>
    <n v="0"/>
    <n v="291.72000000000003"/>
    <s v="Dinheiro"/>
    <x v="1"/>
  </r>
  <r>
    <s v="00362"/>
    <x v="7"/>
    <x v="3"/>
    <s v="03/2026"/>
    <d v="2026-03-03T00:00:00"/>
    <x v="306"/>
    <n v="43.800000000000004"/>
    <n v="0"/>
    <n v="0"/>
    <n v="0"/>
    <n v="43.800000000000004"/>
    <s v="Dinheiro"/>
    <x v="1"/>
  </r>
  <r>
    <s v="00362"/>
    <x v="7"/>
    <x v="3"/>
    <s v="03/2026"/>
    <d v="2026-03-03T00:00:00"/>
    <x v="306"/>
    <n v="36.67"/>
    <n v="0"/>
    <n v="0"/>
    <n v="0"/>
    <n v="36.67"/>
    <s v="Dinheiro"/>
    <x v="1"/>
  </r>
  <r>
    <s v="00193"/>
    <x v="3"/>
    <x v="0"/>
    <s v="03/2026"/>
    <d v="2026-03-04T00:00:00"/>
    <x v="307"/>
    <n v="2800"/>
    <n v="0"/>
    <n v="0"/>
    <n v="0"/>
    <n v="2800"/>
    <s v="Dinheiro"/>
    <x v="1"/>
  </r>
  <r>
    <s v="00193"/>
    <x v="3"/>
    <x v="0"/>
    <s v="03/2026"/>
    <d v="2026-03-04T00:00:00"/>
    <x v="307"/>
    <n v="1600"/>
    <n v="0"/>
    <n v="0"/>
    <n v="0"/>
    <n v="1600"/>
    <s v="Dinheiro"/>
    <x v="1"/>
  </r>
  <r>
    <s v="00024"/>
    <x v="0"/>
    <x v="0"/>
    <s v="03/2026"/>
    <d v="2026-03-04T00:00:00"/>
    <x v="307"/>
    <n v="400"/>
    <n v="0"/>
    <n v="0"/>
    <n v="0"/>
    <n v="400"/>
    <s v="Dinheiro"/>
    <x v="1"/>
  </r>
  <r>
    <s v="00024"/>
    <x v="0"/>
    <x v="0"/>
    <s v="03/2026"/>
    <d v="2026-03-04T00:00:00"/>
    <x v="307"/>
    <n v="700"/>
    <n v="0"/>
    <n v="0"/>
    <n v="0"/>
    <n v="700"/>
    <s v="Dinheiro"/>
    <x v="1"/>
  </r>
  <r>
    <s v="00362"/>
    <x v="7"/>
    <x v="3"/>
    <s v="03/2026"/>
    <d v="2026-03-04T00:00:00"/>
    <x v="307"/>
    <n v="15.33"/>
    <n v="0"/>
    <n v="0"/>
    <n v="0"/>
    <n v="15.33"/>
    <s v="Dinheiro"/>
    <x v="1"/>
  </r>
  <r>
    <s v="00362"/>
    <x v="7"/>
    <x v="3"/>
    <s v="03/2026"/>
    <d v="2026-03-04T00:00:00"/>
    <x v="307"/>
    <n v="35.04"/>
    <n v="0"/>
    <n v="0"/>
    <n v="0"/>
    <n v="35.04"/>
    <s v="Dinheiro"/>
    <x v="1"/>
  </r>
  <r>
    <s v="00154"/>
    <x v="12"/>
    <x v="33"/>
    <s v="03/2026"/>
    <d v="2026-03-04T00:00:00"/>
    <x v="307"/>
    <n v="12000"/>
    <n v="0"/>
    <n v="0"/>
    <n v="0"/>
    <n v="12000"/>
    <s v="Dinheiro"/>
    <x v="1"/>
  </r>
  <r>
    <s v="00258"/>
    <x v="43"/>
    <x v="0"/>
    <s v="03/2026"/>
    <d v="2026-03-05T00:00:00"/>
    <x v="308"/>
    <n v="2005.93"/>
    <n v="0"/>
    <n v="0"/>
    <n v="0"/>
    <n v="2005.93"/>
    <s v="Dinheiro"/>
    <x v="1"/>
  </r>
  <r>
    <s v="00088"/>
    <x v="29"/>
    <x v="62"/>
    <s v="03/2026"/>
    <d v="2026-03-05T00:00:00"/>
    <x v="308"/>
    <n v="259.04000000000002"/>
    <n v="0"/>
    <n v="0"/>
    <n v="0"/>
    <n v="259.04000000000002"/>
    <s v="Dinheiro"/>
    <x v="1"/>
  </r>
  <r>
    <s v="00277"/>
    <x v="47"/>
    <x v="16"/>
    <s v="03/2026"/>
    <d v="2026-03-05T00:00:00"/>
    <x v="308"/>
    <n v="391.33"/>
    <n v="0"/>
    <n v="0"/>
    <n v="0"/>
    <n v="391.33"/>
    <s v="Dinheiro"/>
    <x v="1"/>
  </r>
  <r>
    <s v="00102"/>
    <x v="84"/>
    <x v="10"/>
    <s v="03/2026"/>
    <d v="2026-03-10T00:00:00"/>
    <x v="308"/>
    <n v="1993.52"/>
    <n v="0"/>
    <n v="0"/>
    <n v="0"/>
    <n v="1993.52"/>
    <s v="Dinheiro"/>
    <x v="1"/>
  </r>
  <r>
    <s v="00709"/>
    <x v="607"/>
    <x v="93"/>
    <s v="03/2026"/>
    <d v="2026-03-05T00:00:00"/>
    <x v="308"/>
    <n v="189"/>
    <n v="0"/>
    <n v="0"/>
    <n v="0"/>
    <n v="189"/>
    <s v="Dinheiro"/>
    <x v="1"/>
  </r>
  <r>
    <s v="00362"/>
    <x v="7"/>
    <x v="34"/>
    <s v="03/2026"/>
    <d v="2026-03-05T00:00:00"/>
    <x v="308"/>
    <n v="135.52000000000001"/>
    <n v="0"/>
    <n v="0"/>
    <n v="0"/>
    <n v="135.52000000000001"/>
    <s v="Dinheiro"/>
    <x v="1"/>
  </r>
  <r>
    <s v="00362"/>
    <x v="7"/>
    <x v="3"/>
    <s v="03/2026"/>
    <d v="2026-03-05T00:00:00"/>
    <x v="308"/>
    <n v="13.14"/>
    <n v="0"/>
    <n v="0"/>
    <n v="0"/>
    <n v="13.14"/>
    <s v="Dinheiro"/>
    <x v="1"/>
  </r>
  <r>
    <s v="00362"/>
    <x v="7"/>
    <x v="3"/>
    <s v="03/2026"/>
    <d v="2026-03-05T00:00:00"/>
    <x v="308"/>
    <n v="52.56"/>
    <n v="0"/>
    <n v="0"/>
    <n v="0"/>
    <n v="52.56"/>
    <s v="Dinheiro"/>
    <x v="1"/>
  </r>
  <r>
    <s v="00388"/>
    <x v="122"/>
    <x v="15"/>
    <s v="03/2026"/>
    <d v="2026-03-06T00:00:00"/>
    <x v="309"/>
    <n v="750"/>
    <n v="0"/>
    <n v="0"/>
    <n v="0"/>
    <n v="750"/>
    <s v="Dinheiro"/>
    <x v="1"/>
  </r>
  <r>
    <s v="00349"/>
    <x v="25"/>
    <x v="15"/>
    <s v="03/2026"/>
    <d v="2026-03-06T00:00:00"/>
    <x v="309"/>
    <n v="820"/>
    <n v="0"/>
    <n v="0"/>
    <n v="0"/>
    <n v="820"/>
    <s v="Dinheiro"/>
    <x v="1"/>
  </r>
  <r>
    <s v="00464"/>
    <x v="273"/>
    <x v="62"/>
    <s v="03/2026"/>
    <d v="2026-03-06T00:00:00"/>
    <x v="309"/>
    <n v="900"/>
    <n v="0"/>
    <n v="0"/>
    <n v="0"/>
    <n v="900"/>
    <s v="Dinheiro"/>
    <x v="1"/>
  </r>
  <r>
    <s v="00168"/>
    <x v="39"/>
    <x v="15"/>
    <s v="03/2026"/>
    <d v="2026-03-06T00:00:00"/>
    <x v="309"/>
    <n v="2816"/>
    <n v="0"/>
    <n v="0"/>
    <n v="0"/>
    <n v="1000"/>
    <s v="Dinheiro"/>
    <x v="1"/>
  </r>
  <r>
    <s v="00168"/>
    <x v="39"/>
    <x v="15"/>
    <s v="03/2026"/>
    <d v="2026-03-06T00:00:00"/>
    <x v="309"/>
    <n v="2816"/>
    <n v="0"/>
    <n v="0"/>
    <n v="0"/>
    <n v="1816"/>
    <s v="Dinheiro"/>
    <x v="1"/>
  </r>
  <r>
    <s v="00692"/>
    <x v="569"/>
    <x v="15"/>
    <s v="03/2026"/>
    <d v="2026-03-06T00:00:00"/>
    <x v="309"/>
    <n v="177"/>
    <n v="0"/>
    <n v="0"/>
    <n v="0"/>
    <n v="177"/>
    <s v="Dinheiro"/>
    <x v="1"/>
  </r>
  <r>
    <s v="00692"/>
    <x v="569"/>
    <x v="15"/>
    <s v="03/2026"/>
    <d v="2026-03-06T00:00:00"/>
    <x v="309"/>
    <n v="390.18"/>
    <n v="0"/>
    <n v="0"/>
    <n v="0"/>
    <n v="390.18"/>
    <s v="Dinheiro"/>
    <x v="1"/>
  </r>
  <r>
    <s v="00160"/>
    <x v="31"/>
    <x v="15"/>
    <s v="03/2026"/>
    <d v="2026-03-06T00:00:00"/>
    <x v="309"/>
    <n v="1059"/>
    <n v="0"/>
    <n v="0"/>
    <n v="0"/>
    <n v="1059"/>
    <s v="Dinheiro"/>
    <x v="1"/>
  </r>
  <r>
    <s v="00353"/>
    <x v="61"/>
    <x v="41"/>
    <s v="03/2026"/>
    <d v="2026-03-06T00:00:00"/>
    <x v="309"/>
    <n v="1000"/>
    <n v="0"/>
    <n v="0"/>
    <n v="0"/>
    <n v="1000"/>
    <s v="Dinheiro"/>
    <x v="1"/>
  </r>
  <r>
    <s v="00353"/>
    <x v="61"/>
    <x v="41"/>
    <s v="03/2026"/>
    <d v="2026-03-06T00:00:00"/>
    <x v="309"/>
    <n v="5000"/>
    <n v="0"/>
    <n v="0"/>
    <n v="0"/>
    <n v="5000"/>
    <s v="Dinheiro"/>
    <x v="1"/>
  </r>
  <r>
    <s v="00502"/>
    <x v="331"/>
    <x v="15"/>
    <s v="03/2026"/>
    <d v="2026-03-06T00:00:00"/>
    <x v="309"/>
    <n v="1810"/>
    <n v="0"/>
    <n v="0"/>
    <n v="0"/>
    <n v="1810"/>
    <s v="Dinheiro"/>
    <x v="1"/>
  </r>
  <r>
    <s v="00330"/>
    <x v="14"/>
    <x v="13"/>
    <s v="03/2026"/>
    <d v="2026-03-06T00:00:00"/>
    <x v="309"/>
    <n v="550"/>
    <n v="0"/>
    <n v="0"/>
    <n v="0"/>
    <n v="550"/>
    <s v="Dinheiro"/>
    <x v="1"/>
  </r>
  <r>
    <s v="00660"/>
    <x v="538"/>
    <x v="19"/>
    <s v="03/2026"/>
    <d v="2026-03-06T00:00:00"/>
    <x v="309"/>
    <n v="792.58"/>
    <n v="0"/>
    <n v="0"/>
    <n v="0"/>
    <n v="792.58"/>
    <s v="Dinheiro"/>
    <x v="1"/>
  </r>
  <r>
    <s v="00447"/>
    <x v="247"/>
    <x v="14"/>
    <s v="03/2026"/>
    <d v="2026-03-06T00:00:00"/>
    <x v="309"/>
    <n v="200"/>
    <n v="0"/>
    <n v="0"/>
    <n v="0"/>
    <n v="200"/>
    <s v="Dinheiro"/>
    <x v="1"/>
  </r>
  <r>
    <s v="00351"/>
    <x v="42"/>
    <x v="15"/>
    <s v="03/2026"/>
    <d v="2026-03-06T00:00:00"/>
    <x v="309"/>
    <n v="1573"/>
    <n v="0"/>
    <n v="0"/>
    <n v="0"/>
    <n v="1573"/>
    <s v="Dinheiro"/>
    <x v="1"/>
  </r>
  <r>
    <s v="00362"/>
    <x v="7"/>
    <x v="3"/>
    <s v="03/2026"/>
    <d v="2026-03-06T00:00:00"/>
    <x v="309"/>
    <n v="52.56"/>
    <n v="0"/>
    <n v="0"/>
    <n v="0"/>
    <n v="52.56"/>
    <s v="Dinheiro"/>
    <x v="1"/>
  </r>
  <r>
    <s v="00304"/>
    <x v="494"/>
    <x v="15"/>
    <s v="03/2026"/>
    <d v="2026-03-06T00:00:00"/>
    <x v="309"/>
    <n v="1055"/>
    <n v="0"/>
    <n v="0"/>
    <n v="0"/>
    <n v="1055"/>
    <s v="Dinheiro"/>
    <x v="1"/>
  </r>
  <r>
    <s v="00223"/>
    <x v="32"/>
    <x v="15"/>
    <s v="03/2026"/>
    <d v="2026-03-06T00:00:00"/>
    <x v="309"/>
    <n v="1586"/>
    <n v="0"/>
    <n v="0"/>
    <n v="0"/>
    <n v="1586"/>
    <s v="Dinheiro"/>
    <x v="1"/>
  </r>
  <r>
    <s v="00478"/>
    <x v="290"/>
    <x v="15"/>
    <s v="03/2026"/>
    <d v="2026-03-06T00:00:00"/>
    <x v="309"/>
    <n v="1573"/>
    <n v="0"/>
    <n v="0"/>
    <n v="0"/>
    <n v="1573"/>
    <s v="Dinheiro"/>
    <x v="1"/>
  </r>
  <r>
    <s v="00447"/>
    <x v="247"/>
    <x v="15"/>
    <s v="03/2026"/>
    <d v="2026-03-06T00:00:00"/>
    <x v="309"/>
    <n v="1388"/>
    <n v="0"/>
    <n v="0"/>
    <n v="0"/>
    <n v="1388"/>
    <s v="Dinheiro"/>
    <x v="1"/>
  </r>
  <r>
    <s v="00448"/>
    <x v="282"/>
    <x v="15"/>
    <s v="03/2026"/>
    <d v="2026-03-06T00:00:00"/>
    <x v="309"/>
    <n v="1572"/>
    <n v="0"/>
    <n v="0"/>
    <n v="0"/>
    <n v="1572"/>
    <s v="Dinheiro"/>
    <x v="1"/>
  </r>
  <r>
    <s v="00474"/>
    <x v="298"/>
    <x v="15"/>
    <s v="03/2026"/>
    <d v="2026-03-06T00:00:00"/>
    <x v="309"/>
    <n v="1377"/>
    <n v="0"/>
    <n v="0"/>
    <n v="0"/>
    <n v="1377"/>
    <s v="Dinheiro"/>
    <x v="1"/>
  </r>
  <r>
    <s v="00289"/>
    <x v="20"/>
    <x v="15"/>
    <s v="03/2026"/>
    <d v="2026-03-06T00:00:00"/>
    <x v="309"/>
    <n v="1184"/>
    <n v="0"/>
    <n v="0"/>
    <n v="0"/>
    <n v="1184"/>
    <s v="Dinheiro"/>
    <x v="1"/>
  </r>
  <r>
    <s v="00133"/>
    <x v="24"/>
    <x v="15"/>
    <s v="03/2026"/>
    <d v="2026-03-06T00:00:00"/>
    <x v="309"/>
    <n v="1573"/>
    <n v="0"/>
    <n v="0"/>
    <n v="0"/>
    <n v="1573"/>
    <s v="Dinheiro"/>
    <x v="1"/>
  </r>
  <r>
    <s v="00614"/>
    <x v="468"/>
    <x v="15"/>
    <s v="03/2026"/>
    <d v="2026-03-06T00:00:00"/>
    <x v="309"/>
    <n v="1395"/>
    <n v="0"/>
    <n v="0"/>
    <n v="0"/>
    <n v="1395"/>
    <s v="Dinheiro"/>
    <x v="1"/>
  </r>
  <r>
    <s v="00511"/>
    <x v="241"/>
    <x v="15"/>
    <s v="03/2026"/>
    <d v="2026-03-06T00:00:00"/>
    <x v="309"/>
    <n v="1224"/>
    <n v="0"/>
    <n v="0"/>
    <n v="0"/>
    <n v="1224"/>
    <s v="Dinheiro"/>
    <x v="1"/>
  </r>
  <r>
    <s v="00364"/>
    <x v="16"/>
    <x v="15"/>
    <s v="03/2026"/>
    <d v="2026-03-06T00:00:00"/>
    <x v="309"/>
    <n v="1222"/>
    <n v="0"/>
    <n v="0"/>
    <n v="0"/>
    <n v="1222"/>
    <s v="Dinheiro"/>
    <x v="1"/>
  </r>
  <r>
    <s v="00411"/>
    <x v="181"/>
    <x v="15"/>
    <s v="03/2026"/>
    <d v="2026-03-06T00:00:00"/>
    <x v="309"/>
    <n v="1708"/>
    <n v="0"/>
    <n v="0"/>
    <n v="0"/>
    <n v="1708"/>
    <s v="Dinheiro"/>
    <x v="1"/>
  </r>
  <r>
    <s v="00498"/>
    <x v="242"/>
    <x v="15"/>
    <s v="03/2026"/>
    <d v="2026-03-06T00:00:00"/>
    <x v="309"/>
    <n v="1815"/>
    <n v="0"/>
    <n v="0"/>
    <n v="0"/>
    <n v="1815"/>
    <s v="Dinheiro"/>
    <x v="1"/>
  </r>
  <r>
    <s v="00397"/>
    <x v="152"/>
    <x v="15"/>
    <s v="03/2026"/>
    <d v="2026-03-06T00:00:00"/>
    <x v="309"/>
    <n v="1573"/>
    <n v="0"/>
    <n v="0"/>
    <n v="0"/>
    <n v="1573"/>
    <s v="Dinheiro"/>
    <x v="1"/>
  </r>
  <r>
    <s v="00613"/>
    <x v="467"/>
    <x v="15"/>
    <s v="03/2026"/>
    <d v="2026-03-06T00:00:00"/>
    <x v="309"/>
    <n v="1572"/>
    <n v="0"/>
    <n v="0"/>
    <n v="0"/>
    <n v="1572"/>
    <s v="Dinheiro"/>
    <x v="1"/>
  </r>
  <r>
    <s v="00014"/>
    <x v="187"/>
    <x v="50"/>
    <s v="03/2026"/>
    <d v="2026-03-06T00:00:00"/>
    <x v="309"/>
    <n v="4693.6099999999997"/>
    <n v="0"/>
    <n v="0"/>
    <n v="0"/>
    <n v="4693.6099999999997"/>
    <s v="Dinheiro"/>
    <x v="1"/>
  </r>
  <r>
    <s v="00168"/>
    <x v="39"/>
    <x v="31"/>
    <s v="03/2026"/>
    <d v="2026-03-09T00:00:00"/>
    <x v="309"/>
    <n v="2568"/>
    <n v="0"/>
    <n v="0"/>
    <n v="0"/>
    <n v="2568"/>
    <s v="Dinheiro"/>
    <x v="1"/>
  </r>
  <r>
    <s v="00362"/>
    <x v="7"/>
    <x v="3"/>
    <s v="03/2026"/>
    <d v="2026-03-06T00:00:00"/>
    <x v="309"/>
    <n v="94.17"/>
    <n v="0"/>
    <n v="0"/>
    <n v="0"/>
    <n v="94.17"/>
    <s v="Dinheiro"/>
    <x v="1"/>
  </r>
  <r>
    <s v="00383"/>
    <x v="116"/>
    <x v="11"/>
    <s v="03/2026"/>
    <d v="2026-03-09T00:00:00"/>
    <x v="311"/>
    <n v="2661.6"/>
    <n v="0"/>
    <n v="0"/>
    <n v="0"/>
    <n v="2661.6"/>
    <s v="Dinheiro"/>
    <x v="1"/>
  </r>
  <r>
    <s v="00362"/>
    <x v="7"/>
    <x v="3"/>
    <s v="03/2026"/>
    <d v="2026-03-09T00:00:00"/>
    <x v="311"/>
    <n v="223.76"/>
    <n v="0"/>
    <n v="0"/>
    <n v="0"/>
    <n v="223.76"/>
    <s v="Dinheiro"/>
    <x v="1"/>
  </r>
  <r>
    <s v="00362"/>
    <x v="7"/>
    <x v="3"/>
    <s v="03/2026"/>
    <d v="2026-03-09T00:00:00"/>
    <x v="311"/>
    <n v="943.89"/>
    <n v="0"/>
    <n v="0"/>
    <n v="0"/>
    <n v="943.89"/>
    <s v="Dinheiro"/>
    <x v="1"/>
  </r>
  <r>
    <s v="00502"/>
    <x v="331"/>
    <x v="14"/>
    <s v="03/2026"/>
    <d v="2026-03-09T00:00:00"/>
    <x v="311"/>
    <n v="372"/>
    <n v="0"/>
    <n v="0"/>
    <n v="0"/>
    <n v="372"/>
    <s v="Dinheiro"/>
    <x v="1"/>
  </r>
  <r>
    <s v="00355"/>
    <x v="83"/>
    <x v="41"/>
    <s v="03/2026"/>
    <d v="2026-03-10T00:00:00"/>
    <x v="312"/>
    <n v="968"/>
    <n v="0"/>
    <n v="0"/>
    <n v="0"/>
    <n v="968"/>
    <s v="Dinheiro"/>
    <x v="1"/>
  </r>
  <r>
    <s v="00509"/>
    <x v="308"/>
    <x v="95"/>
    <s v="03/2026"/>
    <d v="2026-03-10T00:00:00"/>
    <x v="312"/>
    <n v="475.32"/>
    <n v="0"/>
    <n v="0"/>
    <n v="0"/>
    <n v="475.32"/>
    <s v="Dinheiro"/>
    <x v="1"/>
  </r>
  <r>
    <s v="00085"/>
    <x v="555"/>
    <x v="22"/>
    <s v="03/2026"/>
    <d v="2026-03-10T00:00:00"/>
    <x v="312"/>
    <n v="7896.85"/>
    <n v="0"/>
    <n v="0"/>
    <n v="0"/>
    <n v="7896.85"/>
    <s v="Dinheiro"/>
    <x v="1"/>
  </r>
  <r>
    <s v="00102"/>
    <x v="84"/>
    <x v="22"/>
    <s v="03/2026"/>
    <d v="2026-03-10T00:00:00"/>
    <x v="312"/>
    <n v="1397"/>
    <n v="0"/>
    <n v="0"/>
    <n v="0"/>
    <n v="1397.44"/>
    <s v="Dinheiro"/>
    <x v="1"/>
  </r>
  <r>
    <s v="00546"/>
    <x v="402"/>
    <x v="11"/>
    <s v="03/2026"/>
    <d v="2026-03-10T00:00:00"/>
    <x v="312"/>
    <n v="997.5"/>
    <n v="0"/>
    <n v="0"/>
    <n v="0"/>
    <n v="997.5"/>
    <s v="Dinheiro"/>
    <x v="1"/>
  </r>
  <r>
    <s v="00607"/>
    <x v="52"/>
    <x v="16"/>
    <s v="03/2026"/>
    <d v="2026-03-10T00:00:00"/>
    <x v="312"/>
    <n v="276.60000000000002"/>
    <n v="0"/>
    <n v="0"/>
    <n v="0"/>
    <n v="276.60000000000002"/>
    <s v="Dinheiro"/>
    <x v="1"/>
  </r>
  <r>
    <s v="00008"/>
    <x v="608"/>
    <x v="102"/>
    <s v="03/2026"/>
    <d v="2026-03-10T00:00:00"/>
    <x v="312"/>
    <n v="94.460000000000008"/>
    <n v="0"/>
    <n v="0"/>
    <n v="0"/>
    <n v="94.460000000000008"/>
    <s v="Dinheiro"/>
    <x v="1"/>
  </r>
  <r>
    <s v="00008"/>
    <x v="608"/>
    <x v="102"/>
    <s v="03/2026"/>
    <d v="2026-03-10T00:00:00"/>
    <x v="312"/>
    <n v="76.66"/>
    <n v="0"/>
    <n v="0"/>
    <n v="0"/>
    <n v="76.66"/>
    <s v="Dinheiro"/>
    <x v="1"/>
  </r>
  <r>
    <s v="00016"/>
    <x v="185"/>
    <x v="102"/>
    <s v="03/2026"/>
    <d v="2026-03-10T00:00:00"/>
    <x v="312"/>
    <n v="19.350000000000001"/>
    <n v="0"/>
    <n v="0"/>
    <n v="0"/>
    <n v="19.350000000000001"/>
    <s v="Dinheiro"/>
    <x v="1"/>
  </r>
  <r>
    <s v="00529"/>
    <x v="379"/>
    <x v="11"/>
    <s v="03/2026"/>
    <d v="2026-03-11T00:00:00"/>
    <x v="312"/>
    <n v="1125"/>
    <n v="0"/>
    <n v="0"/>
    <n v="0"/>
    <n v="1125"/>
    <s v="Dinheiro"/>
    <x v="1"/>
  </r>
  <r>
    <s v="00101"/>
    <x v="171"/>
    <x v="58"/>
    <s v="03/2026"/>
    <d v="2026-03-10T00:00:00"/>
    <x v="312"/>
    <n v="605"/>
    <n v="0"/>
    <n v="0"/>
    <n v="0"/>
    <n v="605"/>
    <s v="Dinheiro"/>
    <x v="1"/>
  </r>
  <r>
    <s v="00362"/>
    <x v="7"/>
    <x v="3"/>
    <s v="03/2026"/>
    <d v="2026-03-10T00:00:00"/>
    <x v="312"/>
    <n v="6.57"/>
    <n v="0"/>
    <n v="0"/>
    <n v="0"/>
    <n v="6.57"/>
    <s v="Dinheiro"/>
    <x v="1"/>
  </r>
  <r>
    <s v="00502"/>
    <x v="331"/>
    <x v="29"/>
    <s v="03/2026"/>
    <d v="2026-03-10T00:00:00"/>
    <x v="312"/>
    <n v="546"/>
    <n v="0"/>
    <n v="0"/>
    <n v="0"/>
    <n v="546"/>
    <s v="Dinheiro"/>
    <x v="1"/>
  </r>
  <r>
    <s v="00353"/>
    <x v="61"/>
    <x v="29"/>
    <s v="03/2026"/>
    <d v="2026-03-10T00:00:00"/>
    <x v="312"/>
    <n v="552"/>
    <n v="0"/>
    <n v="0"/>
    <n v="0"/>
    <n v="552"/>
    <s v="Dinheiro"/>
    <x v="1"/>
  </r>
  <r>
    <s v="00378"/>
    <x v="87"/>
    <x v="29"/>
    <s v="03/2026"/>
    <d v="2026-03-10T00:00:00"/>
    <x v="312"/>
    <n v="1932"/>
    <n v="0"/>
    <n v="0"/>
    <n v="0"/>
    <n v="1932"/>
    <s v="Dinheiro"/>
    <x v="1"/>
  </r>
  <r>
    <s v="00618"/>
    <x v="481"/>
    <x v="29"/>
    <s v="03/2026"/>
    <d v="2026-03-10T00:00:00"/>
    <x v="312"/>
    <n v="504"/>
    <n v="0"/>
    <n v="0"/>
    <n v="0"/>
    <n v="504"/>
    <s v="Dinheiro"/>
    <x v="1"/>
  </r>
  <r>
    <s v="00397"/>
    <x v="152"/>
    <x v="29"/>
    <s v="03/2026"/>
    <d v="2026-03-10T00:00:00"/>
    <x v="312"/>
    <n v="968"/>
    <n v="0"/>
    <n v="0"/>
    <n v="0"/>
    <n v="968"/>
    <s v="Dinheiro"/>
    <x v="1"/>
  </r>
  <r>
    <s v="00325"/>
    <x v="123"/>
    <x v="29"/>
    <s v="03/2026"/>
    <d v="2026-03-10T00:00:00"/>
    <x v="312"/>
    <n v="1496"/>
    <n v="0"/>
    <n v="0"/>
    <n v="0"/>
    <n v="1496"/>
    <s v="Dinheiro"/>
    <x v="1"/>
  </r>
  <r>
    <s v="00362"/>
    <x v="7"/>
    <x v="3"/>
    <s v="03/2026"/>
    <d v="2026-03-10T00:00:00"/>
    <x v="312"/>
    <n v="2.19"/>
    <n v="0"/>
    <n v="0"/>
    <n v="0"/>
    <n v="2.19"/>
    <s v="Dinheiro"/>
    <x v="1"/>
  </r>
  <r>
    <s v="00652"/>
    <x v="534"/>
    <x v="29"/>
    <s v="03/2026"/>
    <d v="2026-03-10T00:00:00"/>
    <x v="312"/>
    <n v="756"/>
    <n v="0"/>
    <n v="0"/>
    <n v="0"/>
    <n v="756"/>
    <s v="Dinheiro"/>
    <x v="1"/>
  </r>
  <r>
    <s v="00622"/>
    <x v="488"/>
    <x v="29"/>
    <s v="03/2026"/>
    <d v="2026-03-10T00:00:00"/>
    <x v="312"/>
    <n v="2310"/>
    <n v="0"/>
    <n v="0"/>
    <n v="0"/>
    <n v="2310"/>
    <s v="Dinheiro"/>
    <x v="1"/>
  </r>
  <r>
    <s v="00654"/>
    <x v="526"/>
    <x v="29"/>
    <s v="03/2026"/>
    <d v="2026-03-10T00:00:00"/>
    <x v="312"/>
    <n v="504"/>
    <n v="0"/>
    <n v="0"/>
    <n v="0"/>
    <n v="504"/>
    <s v="Dinheiro"/>
    <x v="1"/>
  </r>
  <r>
    <s v="00677"/>
    <x v="558"/>
    <x v="29"/>
    <s v="03/2026"/>
    <d v="2026-03-10T00:00:00"/>
    <x v="312"/>
    <n v="588"/>
    <n v="0"/>
    <n v="0"/>
    <n v="0"/>
    <n v="588"/>
    <s v="Dinheiro"/>
    <x v="1"/>
  </r>
  <r>
    <s v="00636"/>
    <x v="505"/>
    <x v="29"/>
    <s v="03/2026"/>
    <d v="2026-03-10T00:00:00"/>
    <x v="312"/>
    <n v="252"/>
    <n v="0"/>
    <n v="0"/>
    <n v="0"/>
    <n v="252"/>
    <s v="Dinheiro"/>
    <x v="1"/>
  </r>
  <r>
    <s v="00689"/>
    <x v="609"/>
    <x v="29"/>
    <s v="03/2026"/>
    <d v="2026-03-10T00:00:00"/>
    <x v="312"/>
    <n v="756"/>
    <n v="0"/>
    <n v="0"/>
    <n v="0"/>
    <n v="756"/>
    <s v="Dinheiro"/>
    <x v="1"/>
  </r>
  <r>
    <s v="00616"/>
    <x v="482"/>
    <x v="29"/>
    <s v="03/2026"/>
    <d v="2026-03-10T00:00:00"/>
    <x v="312"/>
    <n v="252"/>
    <n v="0"/>
    <n v="0"/>
    <n v="0"/>
    <n v="252"/>
    <s v="Dinheiro"/>
    <x v="1"/>
  </r>
  <r>
    <s v="00278"/>
    <x v="316"/>
    <x v="30"/>
    <s v="03/2026"/>
    <d v="2026-03-10T00:00:00"/>
    <x v="312"/>
    <n v="1040"/>
    <n v="0"/>
    <n v="0"/>
    <n v="0"/>
    <n v="1040"/>
    <s v="Dinheiro"/>
    <x v="1"/>
  </r>
  <r>
    <s v="00659"/>
    <x v="557"/>
    <x v="29"/>
    <s v="03/2026"/>
    <d v="2026-03-10T00:00:00"/>
    <x v="312"/>
    <n v="756"/>
    <n v="0"/>
    <n v="0"/>
    <n v="0"/>
    <n v="756"/>
    <s v="Dinheiro"/>
    <x v="1"/>
  </r>
  <r>
    <s v="00634"/>
    <x v="496"/>
    <x v="30"/>
    <s v="03/2026"/>
    <d v="2026-03-10T00:00:00"/>
    <x v="312"/>
    <n v="2560"/>
    <n v="0"/>
    <n v="0"/>
    <n v="0"/>
    <n v="2560"/>
    <s v="Dinheiro"/>
    <x v="1"/>
  </r>
  <r>
    <s v="00380"/>
    <x v="91"/>
    <x v="30"/>
    <s v="03/2026"/>
    <d v="2026-03-10T00:00:00"/>
    <x v="312"/>
    <n v="1600"/>
    <n v="0"/>
    <n v="0"/>
    <n v="0"/>
    <n v="1600"/>
    <s v="Dinheiro"/>
    <x v="1"/>
  </r>
  <r>
    <s v="00632"/>
    <x v="493"/>
    <x v="30"/>
    <s v="03/2026"/>
    <d v="2026-03-10T00:00:00"/>
    <x v="312"/>
    <n v="640"/>
    <n v="0"/>
    <n v="0"/>
    <n v="0"/>
    <n v="640"/>
    <s v="Dinheiro"/>
    <x v="1"/>
  </r>
  <r>
    <s v="00521"/>
    <x v="359"/>
    <x v="30"/>
    <s v="03/2026"/>
    <d v="2026-03-10T00:00:00"/>
    <x v="312"/>
    <n v="1980"/>
    <n v="0"/>
    <n v="0"/>
    <n v="0"/>
    <n v="1980"/>
    <s v="Dinheiro"/>
    <x v="1"/>
  </r>
  <r>
    <s v="00636"/>
    <x v="505"/>
    <x v="30"/>
    <s v="03/2026"/>
    <d v="2026-03-10T00:00:00"/>
    <x v="312"/>
    <n v="1520"/>
    <n v="0"/>
    <n v="0"/>
    <n v="0"/>
    <n v="1520"/>
    <s v="Dinheiro"/>
    <x v="1"/>
  </r>
  <r>
    <s v="00457"/>
    <x v="219"/>
    <x v="30"/>
    <s v="03/2026"/>
    <d v="2026-03-10T00:00:00"/>
    <x v="312"/>
    <n v="360"/>
    <n v="0"/>
    <n v="0"/>
    <n v="0"/>
    <n v="360"/>
    <s v="Dinheiro"/>
    <x v="1"/>
  </r>
  <r>
    <s v="00457"/>
    <x v="219"/>
    <x v="30"/>
    <s v="03/2026"/>
    <d v="2026-03-10T00:00:00"/>
    <x v="312"/>
    <n v="720"/>
    <n v="0"/>
    <n v="0"/>
    <n v="0"/>
    <n v="720"/>
    <s v="Dinheiro"/>
    <x v="1"/>
  </r>
  <r>
    <s v="00235"/>
    <x v="86"/>
    <x v="30"/>
    <s v="03/2026"/>
    <d v="2026-03-10T00:00:00"/>
    <x v="312"/>
    <n v="80"/>
    <n v="0"/>
    <n v="0"/>
    <n v="0"/>
    <n v="80"/>
    <s v="Dinheiro"/>
    <x v="1"/>
  </r>
  <r>
    <s v="00235"/>
    <x v="86"/>
    <x v="30"/>
    <s v="03/2026"/>
    <d v="2026-03-10T00:00:00"/>
    <x v="312"/>
    <n v="560"/>
    <n v="0"/>
    <n v="0"/>
    <n v="0"/>
    <n v="560"/>
    <s v="Dinheiro"/>
    <x v="1"/>
  </r>
  <r>
    <s v="00584"/>
    <x v="459"/>
    <x v="29"/>
    <s v="03/2026"/>
    <d v="2026-03-10T00:00:00"/>
    <x v="312"/>
    <n v="588"/>
    <n v="0"/>
    <n v="0"/>
    <n v="0"/>
    <n v="588"/>
    <s v="Dinheiro"/>
    <x v="1"/>
  </r>
  <r>
    <s v="00448"/>
    <x v="282"/>
    <x v="8"/>
    <s v="03/2026"/>
    <d v="2026-03-10T00:00:00"/>
    <x v="312"/>
    <n v="150"/>
    <n v="0"/>
    <n v="0"/>
    <n v="0"/>
    <n v="150"/>
    <s v="Dinheiro"/>
    <x v="1"/>
  </r>
  <r>
    <s v="00353"/>
    <x v="61"/>
    <x v="8"/>
    <s v="03/2026"/>
    <d v="2026-03-10T00:00:00"/>
    <x v="312"/>
    <n v="400"/>
    <n v="0"/>
    <n v="0"/>
    <n v="0"/>
    <n v="400"/>
    <s v="Dinheiro"/>
    <x v="1"/>
  </r>
  <r>
    <s v="00397"/>
    <x v="152"/>
    <x v="8"/>
    <s v="03/2026"/>
    <d v="2026-03-10T00:00:00"/>
    <x v="312"/>
    <n v="150"/>
    <n v="0"/>
    <n v="0"/>
    <n v="0"/>
    <n v="150"/>
    <s v="Dinheiro"/>
    <x v="1"/>
  </r>
  <r>
    <s v="00447"/>
    <x v="247"/>
    <x v="8"/>
    <s v="03/2026"/>
    <d v="2026-03-10T00:00:00"/>
    <x v="312"/>
    <n v="150"/>
    <n v="0"/>
    <n v="0"/>
    <n v="0"/>
    <n v="150"/>
    <s v="Dinheiro"/>
    <x v="1"/>
  </r>
  <r>
    <s v="00447"/>
    <x v="247"/>
    <x v="8"/>
    <s v="03/2026"/>
    <d v="2026-03-10T00:00:00"/>
    <x v="312"/>
    <n v="200"/>
    <n v="0"/>
    <n v="0"/>
    <n v="0"/>
    <n v="200"/>
    <s v="Dinheiro"/>
    <x v="1"/>
  </r>
  <r>
    <s v="00351"/>
    <x v="42"/>
    <x v="8"/>
    <s v="03/2026"/>
    <d v="2026-03-10T00:00:00"/>
    <x v="312"/>
    <n v="150"/>
    <n v="0"/>
    <n v="0"/>
    <n v="0"/>
    <n v="150"/>
    <s v="Dinheiro"/>
    <x v="1"/>
  </r>
  <r>
    <s v="00351"/>
    <x v="42"/>
    <x v="8"/>
    <s v="03/2026"/>
    <d v="2026-03-10T00:00:00"/>
    <x v="312"/>
    <n v="135"/>
    <n v="0"/>
    <n v="0"/>
    <n v="0"/>
    <n v="135"/>
    <s v="Dinheiro"/>
    <x v="1"/>
  </r>
  <r>
    <s v="00464"/>
    <x v="273"/>
    <x v="8"/>
    <s v="03/2026"/>
    <d v="2026-03-10T00:00:00"/>
    <x v="312"/>
    <n v="150"/>
    <n v="0"/>
    <n v="0"/>
    <n v="0"/>
    <n v="150"/>
    <s v="Dinheiro"/>
    <x v="1"/>
  </r>
  <r>
    <s v="00349"/>
    <x v="25"/>
    <x v="8"/>
    <s v="03/2026"/>
    <d v="2026-03-10T00:00:00"/>
    <x v="312"/>
    <n v="150"/>
    <n v="0"/>
    <n v="0"/>
    <n v="0"/>
    <n v="150"/>
    <s v="Dinheiro"/>
    <x v="1"/>
  </r>
  <r>
    <s v="00168"/>
    <x v="39"/>
    <x v="8"/>
    <s v="03/2026"/>
    <d v="2026-03-10T00:00:00"/>
    <x v="312"/>
    <n v="950"/>
    <n v="0"/>
    <n v="0"/>
    <n v="0"/>
    <n v="950"/>
    <s v="Dinheiro"/>
    <x v="1"/>
  </r>
  <r>
    <s v="00511"/>
    <x v="241"/>
    <x v="8"/>
    <s v="03/2026"/>
    <d v="2026-03-10T00:00:00"/>
    <x v="312"/>
    <n v="393"/>
    <n v="0"/>
    <n v="0"/>
    <n v="0"/>
    <n v="393"/>
    <s v="Dinheiro"/>
    <x v="1"/>
  </r>
  <r>
    <s v="00353"/>
    <x v="61"/>
    <x v="8"/>
    <s v="03/2026"/>
    <d v="2026-03-10T00:00:00"/>
    <x v="312"/>
    <n v="600"/>
    <n v="0"/>
    <n v="0"/>
    <n v="0"/>
    <n v="600"/>
    <s v="Dinheiro"/>
    <x v="1"/>
  </r>
  <r>
    <s v="00353"/>
    <x v="61"/>
    <x v="14"/>
    <s v="03/2026"/>
    <d v="2026-03-10T00:00:00"/>
    <x v="312"/>
    <n v="500"/>
    <n v="0"/>
    <n v="0"/>
    <n v="0"/>
    <n v="500"/>
    <s v="Dinheiro"/>
    <x v="1"/>
  </r>
  <r>
    <s v="00491"/>
    <x v="315"/>
    <x v="29"/>
    <s v="03/2026"/>
    <d v="2026-03-10T00:00:00"/>
    <x v="312"/>
    <n v="1848"/>
    <n v="0"/>
    <n v="0"/>
    <n v="0"/>
    <n v="1848"/>
    <s v="Dinheiro"/>
    <x v="1"/>
  </r>
  <r>
    <s v="00699"/>
    <x v="581"/>
    <x v="11"/>
    <s v="03/2026"/>
    <d v="2026-03-10T00:00:00"/>
    <x v="312"/>
    <n v="840"/>
    <n v="0"/>
    <n v="0"/>
    <n v="0"/>
    <n v="840"/>
    <s v="Dinheiro"/>
    <x v="1"/>
  </r>
  <r>
    <s v="00696"/>
    <x v="579"/>
    <x v="29"/>
    <s v="03/2026"/>
    <d v="2026-03-10T00:00:00"/>
    <x v="312"/>
    <n v="756"/>
    <n v="0"/>
    <n v="0"/>
    <n v="0"/>
    <n v="756"/>
    <s v="Dinheiro"/>
    <x v="1"/>
  </r>
  <r>
    <s v="00355"/>
    <x v="83"/>
    <x v="29"/>
    <s v="03/2026"/>
    <d v="2026-03-10T00:00:00"/>
    <x v="312"/>
    <n v="1936"/>
    <n v="0"/>
    <n v="0"/>
    <n v="0"/>
    <n v="1936"/>
    <s v="Dinheiro"/>
    <x v="1"/>
  </r>
  <r>
    <s v="00187"/>
    <x v="71"/>
    <x v="29"/>
    <s v="03/2026"/>
    <d v="2026-03-10T00:00:00"/>
    <x v="312"/>
    <n v="644"/>
    <n v="0"/>
    <n v="0"/>
    <n v="0"/>
    <n v="644"/>
    <s v="Dinheiro"/>
    <x v="1"/>
  </r>
  <r>
    <s v="00503"/>
    <x v="338"/>
    <x v="29"/>
    <s v="03/2026"/>
    <d v="2026-03-10T00:00:00"/>
    <x v="312"/>
    <n v="672"/>
    <n v="0"/>
    <n v="0"/>
    <n v="0"/>
    <n v="672"/>
    <s v="Dinheiro"/>
    <x v="1"/>
  </r>
  <r>
    <s v="00601"/>
    <x v="506"/>
    <x v="29"/>
    <s v="03/2026"/>
    <d v="2026-03-10T00:00:00"/>
    <x v="312"/>
    <n v="756"/>
    <n v="0"/>
    <n v="0"/>
    <n v="0"/>
    <n v="756"/>
    <s v="Dinheiro"/>
    <x v="1"/>
  </r>
  <r>
    <s v="00557"/>
    <x v="401"/>
    <x v="29"/>
    <s v="03/2026"/>
    <d v="2026-03-10T00:00:00"/>
    <x v="312"/>
    <n v="3456"/>
    <n v="0"/>
    <n v="0"/>
    <n v="0"/>
    <n v="3456"/>
    <s v="Dinheiro"/>
    <x v="1"/>
  </r>
  <r>
    <s v="00325"/>
    <x v="123"/>
    <x v="30"/>
    <s v="03/2026"/>
    <d v="2026-03-10T00:00:00"/>
    <x v="312"/>
    <n v="1040"/>
    <n v="0"/>
    <n v="0"/>
    <n v="0"/>
    <n v="1040"/>
    <s v="Dinheiro"/>
    <x v="1"/>
  </r>
  <r>
    <s v="00478"/>
    <x v="290"/>
    <x v="29"/>
    <s v="03/2026"/>
    <d v="2026-03-10T00:00:00"/>
    <x v="312"/>
    <n v="2208"/>
    <n v="0"/>
    <n v="0"/>
    <n v="0"/>
    <n v="2208"/>
    <s v="Dinheiro"/>
    <x v="1"/>
  </r>
  <r>
    <s v="00353"/>
    <x v="61"/>
    <x v="30"/>
    <s v="03/2026"/>
    <d v="2026-03-10T00:00:00"/>
    <x v="312"/>
    <n v="480"/>
    <n v="0"/>
    <n v="0"/>
    <n v="0"/>
    <n v="480"/>
    <s v="Dinheiro"/>
    <x v="1"/>
  </r>
  <r>
    <s v="00353"/>
    <x v="61"/>
    <x v="30"/>
    <s v="03/2026"/>
    <d v="2026-03-10T00:00:00"/>
    <x v="312"/>
    <n v="660"/>
    <n v="0"/>
    <n v="0"/>
    <n v="0"/>
    <n v="660"/>
    <s v="Dinheiro"/>
    <x v="1"/>
  </r>
  <r>
    <s v="00530"/>
    <x v="371"/>
    <x v="11"/>
    <s v="03/2026"/>
    <d v="2026-03-11T00:00:00"/>
    <x v="313"/>
    <n v="300"/>
    <n v="0"/>
    <n v="0"/>
    <n v="0"/>
    <n v="300"/>
    <s v="Dinheiro"/>
    <x v="1"/>
  </r>
  <r>
    <s v="RAD260057"/>
    <x v="610"/>
    <x v="28"/>
    <s v="03/2026"/>
    <d v="2026-03-11T00:00:00"/>
    <x v="313"/>
    <n v="69"/>
    <n v="0"/>
    <n v="0"/>
    <n v="0"/>
    <n v="69"/>
    <s v="Dinheiro"/>
    <x v="1"/>
  </r>
  <r>
    <s v="ENF260050"/>
    <x v="611"/>
    <x v="28"/>
    <s v="03/2026"/>
    <d v="2026-03-11T00:00:00"/>
    <x v="313"/>
    <n v="69"/>
    <n v="0"/>
    <n v="0"/>
    <n v="0"/>
    <n v="69"/>
    <s v="Dinheiro"/>
    <x v="1"/>
  </r>
  <r>
    <s v="00362"/>
    <x v="7"/>
    <x v="3"/>
    <s v="03/2026"/>
    <d v="2026-03-12T00:00:00"/>
    <x v="314"/>
    <n v="2012.99"/>
    <n v="0"/>
    <n v="0"/>
    <n v="0"/>
    <n v="2012.99"/>
    <s v="Dinheiro"/>
    <x v="1"/>
  </r>
  <r>
    <s v="00714"/>
    <x v="612"/>
    <x v="1"/>
    <s v="03/2026"/>
    <d v="2026-03-13T00:00:00"/>
    <x v="315"/>
    <n v="183"/>
    <n v="0"/>
    <n v="0"/>
    <n v="0"/>
    <n v="183"/>
    <s v="Dinheiro"/>
    <x v="1"/>
  </r>
  <r>
    <s v="00015"/>
    <x v="363"/>
    <x v="23"/>
    <s v="03/2026"/>
    <d v="2026-03-13T00:00:00"/>
    <x v="315"/>
    <n v="2455.92"/>
    <n v="0"/>
    <n v="0"/>
    <n v="0"/>
    <n v="2455.92"/>
    <s v="Dinheiro"/>
    <x v="1"/>
  </r>
  <r>
    <s v="00715"/>
    <x v="613"/>
    <x v="1"/>
    <s v="03/2026"/>
    <d v="2026-03-13T00:00:00"/>
    <x v="315"/>
    <n v="207.4"/>
    <n v="0"/>
    <n v="0"/>
    <n v="0"/>
    <n v="207.4"/>
    <s v="Dinheiro"/>
    <x v="1"/>
  </r>
  <r>
    <s v="00102"/>
    <x v="84"/>
    <x v="36"/>
    <s v="03/2026"/>
    <d v="2026-03-13T00:00:00"/>
    <x v="315"/>
    <n v="3093"/>
    <n v="0"/>
    <n v="0"/>
    <n v="0"/>
    <n v="3093"/>
    <s v="Dinheiro"/>
    <x v="1"/>
  </r>
  <r>
    <s v="00102"/>
    <x v="84"/>
    <x v="16"/>
    <s v="03/2026"/>
    <d v="2026-03-15T00:00:00"/>
    <x v="315"/>
    <n v="700"/>
    <n v="0"/>
    <n v="0"/>
    <n v="0"/>
    <n v="700"/>
    <s v="Dinheiro"/>
    <x v="1"/>
  </r>
  <r>
    <s v="00680"/>
    <x v="559"/>
    <x v="22"/>
    <s v="03/2026"/>
    <d v="2026-03-15T00:00:00"/>
    <x v="315"/>
    <n v="2632.32"/>
    <n v="0"/>
    <n v="0"/>
    <n v="0"/>
    <n v="2632.32"/>
    <s v="Dinheiro"/>
    <x v="1"/>
  </r>
  <r>
    <s v="00362"/>
    <x v="7"/>
    <x v="3"/>
    <s v="03/2026"/>
    <d v="2026-03-13T00:00:00"/>
    <x v="315"/>
    <n v="2.19"/>
    <n v="0"/>
    <n v="0"/>
    <n v="0"/>
    <n v="2.19"/>
    <s v="Dinheiro"/>
    <x v="1"/>
  </r>
  <r>
    <s v="00065"/>
    <x v="92"/>
    <x v="36"/>
    <s v="03/2026"/>
    <d v="2026-03-15T00:00:00"/>
    <x v="316"/>
    <n v="17478.580000000002"/>
    <n v="0"/>
    <n v="0"/>
    <n v="0"/>
    <n v="17478.580000000002"/>
    <s v="Dinheiro"/>
    <x v="1"/>
  </r>
  <r>
    <s v="00680"/>
    <x v="559"/>
    <x v="22"/>
    <s v="03/2026"/>
    <d v="2026-03-15T00:00:00"/>
    <x v="316"/>
    <n v="465.81"/>
    <n v="0"/>
    <n v="0"/>
    <n v="0"/>
    <n v="465.81"/>
    <s v="Dinheiro"/>
    <x v="1"/>
  </r>
  <r>
    <s v="00712"/>
    <x v="598"/>
    <x v="1"/>
    <s v="03/2026"/>
    <d v="2026-03-16T00:00:00"/>
    <x v="317"/>
    <n v="120"/>
    <n v="0"/>
    <n v="0"/>
    <n v="0"/>
    <n v="120"/>
    <s v="Dinheiro"/>
    <x v="1"/>
  </r>
  <r>
    <s v="00109"/>
    <x v="90"/>
    <x v="35"/>
    <s v="03/2026"/>
    <d v="2026-03-15T00:00:00"/>
    <x v="317"/>
    <n v="217.76"/>
    <n v="0"/>
    <n v="0"/>
    <n v="0"/>
    <n v="217.76"/>
    <s v="Dinheiro"/>
    <x v="1"/>
  </r>
  <r>
    <s v="00103"/>
    <x v="97"/>
    <x v="72"/>
    <s v="03/2026"/>
    <d v="2026-03-16T00:00:00"/>
    <x v="317"/>
    <n v="139"/>
    <n v="0"/>
    <n v="0"/>
    <n v="0"/>
    <n v="139"/>
    <s v="Dinheiro"/>
    <x v="1"/>
  </r>
  <r>
    <s v="00668"/>
    <x v="541"/>
    <x v="93"/>
    <s v="03/2026"/>
    <d v="2026-03-16T00:00:00"/>
    <x v="317"/>
    <n v="2000"/>
    <n v="0"/>
    <n v="0"/>
    <n v="0"/>
    <n v="2000"/>
    <s v="Dinheiro"/>
    <x v="1"/>
  </r>
  <r>
    <s v="00362"/>
    <x v="7"/>
    <x v="34"/>
    <s v="03/2026"/>
    <d v="2026-03-16T00:00:00"/>
    <x v="317"/>
    <n v="210.38"/>
    <n v="0"/>
    <n v="0"/>
    <n v="0"/>
    <n v="210.38"/>
    <s v="Dinheiro"/>
    <x v="1"/>
  </r>
  <r>
    <s v="00285"/>
    <x v="303"/>
    <x v="18"/>
    <s v="03/2026"/>
    <d v="2026-03-13T00:00:00"/>
    <x v="317"/>
    <n v="824"/>
    <n v="0"/>
    <n v="0"/>
    <n v="0"/>
    <n v="824"/>
    <s v="Dinheiro"/>
    <x v="1"/>
  </r>
  <r>
    <s v="00126"/>
    <x v="38"/>
    <x v="14"/>
    <s v="03/2026"/>
    <d v="2026-03-16T00:00:00"/>
    <x v="317"/>
    <n v="150"/>
    <n v="0"/>
    <n v="0"/>
    <n v="0"/>
    <n v="150"/>
    <s v="Dinheiro"/>
    <x v="1"/>
  </r>
  <r>
    <s v="00477"/>
    <x v="288"/>
    <x v="11"/>
    <s v="03/2026"/>
    <d v="2026-03-16T00:00:00"/>
    <x v="317"/>
    <n v="1120"/>
    <n v="0"/>
    <n v="0"/>
    <n v="0"/>
    <n v="1120"/>
    <s v="Dinheiro"/>
    <x v="1"/>
  </r>
  <r>
    <s v="00009"/>
    <x v="53"/>
    <x v="24"/>
    <s v="03/2026"/>
    <d v="2026-03-16T00:00:00"/>
    <x v="317"/>
    <n v="25123.8"/>
    <n v="0"/>
    <n v="0"/>
    <n v="0"/>
    <n v="25123.8"/>
    <s v="Dinheiro"/>
    <x v="1"/>
  </r>
  <r>
    <s v="00362"/>
    <x v="7"/>
    <x v="34"/>
    <s v="03/2026"/>
    <d v="2026-03-17T00:00:00"/>
    <x v="318"/>
    <n v="5381.79"/>
    <n v="0"/>
    <n v="0"/>
    <n v="0"/>
    <n v="5381.79"/>
    <s v="Dinheiro"/>
    <x v="1"/>
  </r>
  <r>
    <s v="00362"/>
    <x v="7"/>
    <x v="3"/>
    <s v="03/2026"/>
    <d v="2026-03-17T00:00:00"/>
    <x v="318"/>
    <n v="2.19"/>
    <n v="0"/>
    <n v="0"/>
    <n v="0"/>
    <n v="2.19"/>
    <s v="Dinheiro"/>
    <x v="1"/>
  </r>
  <r>
    <s v="RAD250230"/>
    <x v="614"/>
    <x v="20"/>
    <s v="03/2026"/>
    <d v="2026-03-17T00:00:00"/>
    <x v="318"/>
    <n v="39.840000000000003"/>
    <n v="0"/>
    <n v="0"/>
    <n v="0"/>
    <n v="39.840000000000003"/>
    <s v="Dinheiro"/>
    <x v="1"/>
  </r>
  <r>
    <s v="00526"/>
    <x v="368"/>
    <x v="41"/>
    <s v="03/2026"/>
    <d v="2026-03-17T00:00:00"/>
    <x v="318"/>
    <n v="1500"/>
    <n v="0"/>
    <n v="0"/>
    <n v="0"/>
    <n v="1500"/>
    <s v="Dinheiro"/>
    <x v="1"/>
  </r>
  <r>
    <s v="00106"/>
    <x v="6"/>
    <x v="61"/>
    <s v="03/2026"/>
    <d v="2026-03-17T00:00:00"/>
    <x v="318"/>
    <n v="900"/>
    <n v="0"/>
    <n v="0"/>
    <n v="0"/>
    <n v="900"/>
    <s v="Dinheiro"/>
    <x v="1"/>
  </r>
  <r>
    <s v="00006"/>
    <x v="137"/>
    <x v="53"/>
    <s v="03/2026"/>
    <d v="2026-03-15T00:00:00"/>
    <x v="318"/>
    <n v="1628.5"/>
    <n v="0"/>
    <n v="0"/>
    <n v="0"/>
    <n v="1628.5"/>
    <s v="Dinheiro"/>
    <x v="1"/>
  </r>
  <r>
    <s v="00018"/>
    <x v="95"/>
    <x v="16"/>
    <s v="03/2026"/>
    <d v="2026-03-17T00:00:00"/>
    <x v="318"/>
    <n v="714"/>
    <n v="0"/>
    <n v="0"/>
    <n v="0"/>
    <n v="714"/>
    <s v="Dinheiro"/>
    <x v="1"/>
  </r>
  <r>
    <s v="00068"/>
    <x v="98"/>
    <x v="39"/>
    <s v="03/2026"/>
    <d v="2026-03-15T00:00:00"/>
    <x v="318"/>
    <n v="1654.49"/>
    <n v="0"/>
    <n v="0"/>
    <n v="0"/>
    <n v="1654.49"/>
    <s v="Dinheiro"/>
    <x v="1"/>
  </r>
  <r>
    <s v="00282"/>
    <x v="11"/>
    <x v="10"/>
    <s v="10/2025"/>
    <d v="2025-10-15T00:00:00"/>
    <x v="318"/>
    <n v="10702.08"/>
    <n v="0"/>
    <n v="0"/>
    <n v="0"/>
    <n v="10702.08"/>
    <s v="Dinheiro"/>
    <x v="1"/>
  </r>
  <r>
    <s v="00074"/>
    <x v="54"/>
    <x v="16"/>
    <s v="03/2026"/>
    <d v="2026-03-17T00:00:00"/>
    <x v="318"/>
    <n v="99"/>
    <n v="0"/>
    <n v="0"/>
    <n v="0"/>
    <n v="99"/>
    <s v="Dinheiro"/>
    <x v="1"/>
  </r>
  <r>
    <s v="00717"/>
    <x v="615"/>
    <x v="45"/>
    <s v="03/2026"/>
    <d v="2026-03-17T00:00:00"/>
    <x v="318"/>
    <n v="15"/>
    <n v="0"/>
    <n v="0"/>
    <n v="0"/>
    <n v="15"/>
    <s v="Dinheiro"/>
    <x v="1"/>
  </r>
  <r>
    <s v="00104"/>
    <x v="380"/>
    <x v="80"/>
    <s v="03/2026"/>
    <d v="2026-03-19T00:00:00"/>
    <x v="319"/>
    <n v="80.81"/>
    <n v="0"/>
    <n v="0"/>
    <n v="0"/>
    <n v="80.81"/>
    <s v="Dinheiro"/>
    <x v="1"/>
  </r>
  <r>
    <s v="00302"/>
    <x v="96"/>
    <x v="38"/>
    <s v="03/2026"/>
    <d v="2026-03-18T00:00:00"/>
    <x v="319"/>
    <n v="490"/>
    <n v="0"/>
    <n v="0"/>
    <n v="0"/>
    <n v="490"/>
    <s v="Dinheiro"/>
    <x v="1"/>
  </r>
  <r>
    <s v="00362"/>
    <x v="7"/>
    <x v="3"/>
    <s v="03/2026"/>
    <d v="2026-03-19T00:00:00"/>
    <x v="320"/>
    <n v="9.14"/>
    <n v="0"/>
    <n v="0"/>
    <n v="0"/>
    <n v="9.14"/>
    <s v="Dinheiro"/>
    <x v="1"/>
  </r>
  <r>
    <s v="00709"/>
    <x v="607"/>
    <x v="93"/>
    <s v="03/2026"/>
    <d v="2026-03-19T00:00:00"/>
    <x v="320"/>
    <n v="70"/>
    <n v="0"/>
    <n v="0"/>
    <n v="0"/>
    <n v="70"/>
    <s v="Dinheiro"/>
    <x v="1"/>
  </r>
  <r>
    <s v="00709"/>
    <x v="607"/>
    <x v="93"/>
    <s v="03/2026"/>
    <d v="2026-03-18T00:00:00"/>
    <x v="320"/>
    <n v="62.22"/>
    <n v="0"/>
    <n v="0"/>
    <n v="0"/>
    <n v="62.22"/>
    <s v="Dinheiro"/>
    <x v="1"/>
  </r>
  <r>
    <s v="00168"/>
    <x v="39"/>
    <x v="45"/>
    <s v="03/2026"/>
    <d v="2026-03-19T00:00:00"/>
    <x v="320"/>
    <n v="141.37"/>
    <n v="0"/>
    <n v="0"/>
    <n v="0"/>
    <n v="141.37"/>
    <s v="Dinheiro"/>
    <x v="1"/>
  </r>
  <r>
    <s v="00718"/>
    <x v="616"/>
    <x v="79"/>
    <s v="03/2026"/>
    <d v="2026-03-19T00:00:00"/>
    <x v="320"/>
    <n v="157.80000000000001"/>
    <n v="0"/>
    <n v="0"/>
    <n v="0"/>
    <n v="157.80000000000001"/>
    <s v="Dinheiro"/>
    <x v="1"/>
  </r>
  <r>
    <s v="00362"/>
    <x v="7"/>
    <x v="3"/>
    <s v="03/2026"/>
    <d v="2026-03-20T00:00:00"/>
    <x v="321"/>
    <n v="4.38"/>
    <n v="0"/>
    <n v="0"/>
    <n v="0"/>
    <n v="4.38"/>
    <s v="Dinheiro"/>
    <x v="1"/>
  </r>
  <r>
    <s v="00498"/>
    <x v="242"/>
    <x v="38"/>
    <s v="03/2026"/>
    <d v="2026-03-20T00:00:00"/>
    <x v="321"/>
    <n v="11.83"/>
    <n v="0"/>
    <n v="0"/>
    <n v="0"/>
    <n v="11.83"/>
    <s v="Dinheiro"/>
    <x v="1"/>
  </r>
  <r>
    <s v="ENF260068"/>
    <x v="617"/>
    <x v="28"/>
    <s v="03/2026"/>
    <d v="2026-03-20T00:00:00"/>
    <x v="321"/>
    <n v="70"/>
    <n v="0"/>
    <n v="0"/>
    <n v="0"/>
    <n v="70"/>
    <s v="Dinheiro"/>
    <x v="1"/>
  </r>
  <r>
    <s v="00686"/>
    <x v="618"/>
    <x v="95"/>
    <s v="02/2026"/>
    <d v="2026-02-10T00:00:00"/>
    <x v="321"/>
    <n v="564.4"/>
    <n v="0"/>
    <n v="0"/>
    <n v="0"/>
    <n v="564.4"/>
    <s v="Dinheiro"/>
    <x v="1"/>
  </r>
  <r>
    <s v="00289"/>
    <x v="20"/>
    <x v="46"/>
    <s v="03/2026"/>
    <d v="2026-03-20T00:00:00"/>
    <x v="321"/>
    <n v="1125.5899999999999"/>
    <n v="0"/>
    <n v="0"/>
    <n v="0"/>
    <n v="1125.5899999999999"/>
    <s v="Dinheiro"/>
    <x v="1"/>
  </r>
  <r>
    <s v="00289"/>
    <x v="20"/>
    <x v="19"/>
    <s v="03/2026"/>
    <d v="2026-03-20T00:00:00"/>
    <x v="321"/>
    <n v="1488.59"/>
    <n v="0"/>
    <n v="0"/>
    <n v="0"/>
    <n v="1488.59"/>
    <s v="Dinheiro"/>
    <x v="1"/>
  </r>
  <r>
    <s v="00011"/>
    <x v="45"/>
    <x v="16"/>
    <s v="03/2026"/>
    <d v="2026-03-20T00:00:00"/>
    <x v="321"/>
    <n v="1055.17"/>
    <n v="0"/>
    <n v="0"/>
    <n v="0"/>
    <n v="1055.17"/>
    <s v="Dinheiro"/>
    <x v="1"/>
  </r>
  <r>
    <s v="00011"/>
    <x v="45"/>
    <x v="16"/>
    <s v="03/2026"/>
    <d v="2026-03-20T00:00:00"/>
    <x v="321"/>
    <n v="791.23"/>
    <n v="0"/>
    <n v="0"/>
    <n v="0"/>
    <n v="791.23"/>
    <s v="Dinheiro"/>
    <x v="1"/>
  </r>
  <r>
    <s v="00075"/>
    <x v="197"/>
    <x v="18"/>
    <s v="03/2026"/>
    <d v="2026-03-19T00:00:00"/>
    <x v="321"/>
    <n v="3143.38"/>
    <n v="0"/>
    <n v="0"/>
    <n v="0"/>
    <n v="3179.78"/>
    <s v="Dinheiro"/>
    <x v="1"/>
  </r>
  <r>
    <s v="00468"/>
    <x v="236"/>
    <x v="34"/>
    <s v="03/2026"/>
    <d v="2026-03-20T00:00:00"/>
    <x v="321"/>
    <n v="10346.719999999999"/>
    <n v="0"/>
    <n v="0"/>
    <n v="0"/>
    <n v="10346.719999999999"/>
    <s v="Dinheiro"/>
    <x v="1"/>
  </r>
  <r>
    <s v="00403"/>
    <x v="160"/>
    <x v="9"/>
    <s v="03/2026"/>
    <d v="2026-03-20T00:00:00"/>
    <x v="321"/>
    <n v="105"/>
    <n v="0"/>
    <n v="0"/>
    <n v="0"/>
    <n v="105"/>
    <s v="Dinheiro"/>
    <x v="1"/>
  </r>
  <r>
    <s v="00497"/>
    <x v="324"/>
    <x v="88"/>
    <s v="03/2026"/>
    <d v="2026-03-23T00:00:00"/>
    <x v="321"/>
    <n v="107.47"/>
    <n v="0"/>
    <n v="0"/>
    <n v="0"/>
    <n v="107.47"/>
    <s v="Dinheiro"/>
    <x v="1"/>
  </r>
  <r>
    <s v="00193"/>
    <x v="3"/>
    <x v="0"/>
    <s v="03/2026"/>
    <d v="2026-03-20T00:00:00"/>
    <x v="321"/>
    <n v="2652"/>
    <n v="0"/>
    <n v="0"/>
    <n v="0"/>
    <n v="2652"/>
    <s v="Dinheiro"/>
    <x v="1"/>
  </r>
  <r>
    <s v="00193"/>
    <x v="3"/>
    <x v="0"/>
    <s v="03/2026"/>
    <d v="2026-03-20T00:00:00"/>
    <x v="321"/>
    <n v="885"/>
    <n v="0"/>
    <n v="0"/>
    <n v="0"/>
    <n v="885"/>
    <s v="Dinheiro"/>
    <x v="1"/>
  </r>
  <r>
    <s v="00024"/>
    <x v="0"/>
    <x v="0"/>
    <s v="03/2026"/>
    <d v="2026-03-20T00:00:00"/>
    <x v="321"/>
    <n v="295"/>
    <n v="0"/>
    <n v="0"/>
    <n v="0"/>
    <n v="295"/>
    <s v="Dinheiro"/>
    <x v="1"/>
  </r>
  <r>
    <s v="00024"/>
    <x v="0"/>
    <x v="0"/>
    <s v="03/2026"/>
    <d v="2026-03-20T00:00:00"/>
    <x v="321"/>
    <n v="663"/>
    <n v="0"/>
    <n v="0"/>
    <n v="0"/>
    <n v="663"/>
    <s v="Dinheiro"/>
    <x v="1"/>
  </r>
  <r>
    <s v="00709"/>
    <x v="607"/>
    <x v="93"/>
    <s v="03/2026"/>
    <d v="2026-03-20T00:00:00"/>
    <x v="321"/>
    <n v="70"/>
    <n v="0"/>
    <n v="0"/>
    <n v="0"/>
    <n v="70"/>
    <s v="Dinheiro"/>
    <x v="1"/>
  </r>
  <r>
    <s v="00072"/>
    <x v="105"/>
    <x v="40"/>
    <s v="03/2026"/>
    <d v="2026-03-20T00:00:00"/>
    <x v="321"/>
    <n v="18963.55"/>
    <n v="0"/>
    <n v="0"/>
    <n v="0"/>
    <n v="18963.55"/>
    <s v="Dinheiro"/>
    <x v="1"/>
  </r>
  <r>
    <s v="00104"/>
    <x v="380"/>
    <x v="80"/>
    <s v="03/2026"/>
    <d v="2026-03-20T00:00:00"/>
    <x v="321"/>
    <n v="80.02"/>
    <n v="0"/>
    <n v="0"/>
    <n v="0"/>
    <n v="80.02"/>
    <s v="Dinheiro"/>
    <x v="1"/>
  </r>
  <r>
    <s v="00104"/>
    <x v="380"/>
    <x v="43"/>
    <s v="03/2026"/>
    <d v="2026-03-20T00:00:00"/>
    <x v="321"/>
    <n v="2531.11"/>
    <n v="0"/>
    <n v="0"/>
    <n v="0"/>
    <n v="2531.11"/>
    <s v="Dinheiro"/>
    <x v="1"/>
  </r>
  <r>
    <s v="00022"/>
    <x v="115"/>
    <x v="68"/>
    <s v="03/2026"/>
    <d v="2026-03-20T00:00:00"/>
    <x v="321"/>
    <n v="1443.3700000000001"/>
    <n v="0"/>
    <n v="0"/>
    <n v="0"/>
    <n v="1443.3700000000001"/>
    <s v="Dinheiro"/>
    <x v="1"/>
  </r>
  <r>
    <s v="00022"/>
    <x v="115"/>
    <x v="68"/>
    <s v="03/2026"/>
    <d v="2026-03-20T00:00:00"/>
    <x v="321"/>
    <n v="3143.38"/>
    <n v="0"/>
    <n v="0"/>
    <n v="0"/>
    <n v="3143.38"/>
    <s v="Dinheiro"/>
    <x v="1"/>
  </r>
  <r>
    <s v="00685"/>
    <x v="584"/>
    <x v="9"/>
    <s v="03/2026"/>
    <d v="2026-03-20T00:00:00"/>
    <x v="321"/>
    <n v="2964.29"/>
    <n v="0"/>
    <n v="0"/>
    <n v="0"/>
    <n v="2964.29"/>
    <s v="Banco Investimentos"/>
    <x v="1"/>
  </r>
  <r>
    <s v="00362"/>
    <x v="7"/>
    <x v="3"/>
    <s v="03/2026"/>
    <d v="2026-03-23T00:00:00"/>
    <x v="322"/>
    <n v="6.57"/>
    <n v="0"/>
    <n v="0"/>
    <n v="0"/>
    <n v="6.57"/>
    <s v="Dinheiro"/>
    <x v="1"/>
  </r>
  <r>
    <s v="00709"/>
    <x v="607"/>
    <x v="93"/>
    <s v="03/2026"/>
    <d v="2026-03-23T00:00:00"/>
    <x v="322"/>
    <n v="30"/>
    <n v="0"/>
    <n v="0"/>
    <n v="0"/>
    <n v="30"/>
    <s v="Dinheiro"/>
    <x v="1"/>
  </r>
  <r>
    <s v="00257"/>
    <x v="9"/>
    <x v="19"/>
    <s v="03/2026"/>
    <d v="2026-03-23T00:00:00"/>
    <x v="322"/>
    <n v="4000"/>
    <n v="0"/>
    <n v="0"/>
    <n v="0"/>
    <n v="4000"/>
    <s v="Dinheiro"/>
    <x v="1"/>
  </r>
  <r>
    <s v="00641"/>
    <x v="619"/>
    <x v="11"/>
    <s v="03/2026"/>
    <d v="2026-03-23T00:00:00"/>
    <x v="322"/>
    <n v="1621.49"/>
    <n v="0"/>
    <n v="0"/>
    <n v="0"/>
    <n v="1621.49"/>
    <s v="Dinheiro"/>
    <x v="1"/>
  </r>
  <r>
    <s v="00478"/>
    <x v="290"/>
    <x v="64"/>
    <s v="03/2026"/>
    <d v="2026-03-23T00:00:00"/>
    <x v="322"/>
    <n v="37.67"/>
    <n v="0"/>
    <n v="0"/>
    <n v="0"/>
    <n v="37.67"/>
    <s v="Dinheiro"/>
    <x v="1"/>
  </r>
  <r>
    <s v="00362"/>
    <x v="7"/>
    <x v="3"/>
    <s v="03/2026"/>
    <d v="2026-03-23T00:00:00"/>
    <x v="322"/>
    <n v="2.19"/>
    <n v="0"/>
    <n v="0"/>
    <n v="0"/>
    <n v="2.19"/>
    <s v="Dinheiro"/>
    <x v="1"/>
  </r>
  <r>
    <s v="00709"/>
    <x v="607"/>
    <x v="93"/>
    <s v="03/2026"/>
    <d v="2026-03-23T00:00:00"/>
    <x v="322"/>
    <n v="70"/>
    <n v="0"/>
    <n v="0"/>
    <n v="0"/>
    <n v="70"/>
    <s v="Dinheiro"/>
    <x v="1"/>
  </r>
  <r>
    <s v="00397"/>
    <x v="152"/>
    <x v="88"/>
    <s v="03/2026"/>
    <d v="2026-03-23T00:00:00"/>
    <x v="322"/>
    <n v="28.05"/>
    <n v="0"/>
    <n v="0"/>
    <n v="0"/>
    <n v="28.05"/>
    <s v="Dinheiro"/>
    <x v="1"/>
  </r>
  <r>
    <s v="00709"/>
    <x v="607"/>
    <x v="93"/>
    <s v="03/2026"/>
    <d v="2026-03-23T00:00:00"/>
    <x v="329"/>
    <n v="70"/>
    <n v="0"/>
    <n v="0"/>
    <n v="0"/>
    <n v="70"/>
    <s v="Dinheiro"/>
    <x v="1"/>
  </r>
  <r>
    <s v="00068"/>
    <x v="98"/>
    <x v="39"/>
    <s v="03/2026"/>
    <d v="2026-03-25T00:00:00"/>
    <x v="323"/>
    <n v="500"/>
    <n v="0"/>
    <n v="0"/>
    <n v="0"/>
    <n v="500"/>
    <s v="Dinheiro"/>
    <x v="1"/>
  </r>
  <r>
    <s v="00381"/>
    <x v="99"/>
    <x v="26"/>
    <s v="03/2026"/>
    <d v="2026-03-25T00:00:00"/>
    <x v="323"/>
    <n v="390"/>
    <n v="0"/>
    <n v="0"/>
    <n v="0"/>
    <n v="390"/>
    <s v="Dinheiro"/>
    <x v="1"/>
  </r>
  <r>
    <s v="00067"/>
    <x v="132"/>
    <x v="51"/>
    <s v="03/2026"/>
    <d v="2026-03-25T00:00:00"/>
    <x v="323"/>
    <n v="370"/>
    <n v="0"/>
    <n v="0"/>
    <n v="0"/>
    <n v="370"/>
    <s v="Dinheiro"/>
    <x v="1"/>
  </r>
  <r>
    <s v="00576"/>
    <x v="456"/>
    <x v="94"/>
    <s v="03/2026"/>
    <d v="2026-03-25T00:00:00"/>
    <x v="323"/>
    <n v="1498.68"/>
    <n v="0"/>
    <n v="0"/>
    <n v="0"/>
    <n v="1498.68"/>
    <s v="Dinheiro"/>
    <x v="1"/>
  </r>
  <r>
    <s v="00362"/>
    <x v="7"/>
    <x v="3"/>
    <s v="03/2026"/>
    <d v="2026-03-25T00:00:00"/>
    <x v="323"/>
    <n v="6.57"/>
    <n v="0"/>
    <n v="0"/>
    <n v="0"/>
    <n v="6.57"/>
    <s v="Dinheiro"/>
    <x v="1"/>
  </r>
  <r>
    <s v="00668"/>
    <x v="541"/>
    <x v="93"/>
    <s v="03/2026"/>
    <d v="2026-03-25T00:00:00"/>
    <x v="323"/>
    <n v="1000"/>
    <n v="0"/>
    <n v="0"/>
    <n v="0"/>
    <n v="1000"/>
    <s v="Banco Investimentos"/>
    <x v="1"/>
  </r>
  <r>
    <s v="00709"/>
    <x v="607"/>
    <x v="93"/>
    <s v="03/2026"/>
    <d v="2026-03-25T00:00:00"/>
    <x v="323"/>
    <n v="70"/>
    <n v="0"/>
    <n v="0"/>
    <n v="0"/>
    <n v="70"/>
    <s v="Dinheiro"/>
    <x v="1"/>
  </r>
  <r>
    <s v="00362"/>
    <x v="7"/>
    <x v="34"/>
    <s v="03/2026"/>
    <d v="2026-03-26T00:00:00"/>
    <x v="324"/>
    <n v="194.87"/>
    <n v="0"/>
    <n v="0"/>
    <n v="0"/>
    <n v="194.87"/>
    <s v="Dinheiro"/>
    <x v="1"/>
  </r>
  <r>
    <s v="00302"/>
    <x v="96"/>
    <x v="38"/>
    <s v="03/2026"/>
    <d v="2026-03-26T00:00:00"/>
    <x v="324"/>
    <n v="297"/>
    <n v="0"/>
    <n v="0"/>
    <n v="0"/>
    <n v="297"/>
    <s v="Dinheiro"/>
    <x v="1"/>
  </r>
  <r>
    <s v="00362"/>
    <x v="7"/>
    <x v="34"/>
    <s v="03/2026"/>
    <d v="2026-03-26T00:00:00"/>
    <x v="324"/>
    <n v="338.1"/>
    <n v="0"/>
    <n v="0"/>
    <n v="0"/>
    <n v="338.1"/>
    <s v="Dinheiro"/>
    <x v="1"/>
  </r>
  <r>
    <s v="00497"/>
    <x v="324"/>
    <x v="27"/>
    <s v="03/2026"/>
    <d v="2026-03-26T00:00:00"/>
    <x v="324"/>
    <n v="129.87"/>
    <n v="0"/>
    <n v="0"/>
    <n v="0"/>
    <n v="129.87"/>
    <s v="Dinheiro"/>
    <x v="1"/>
  </r>
  <r>
    <s v="00709"/>
    <x v="607"/>
    <x v="93"/>
    <s v="03/2026"/>
    <d v="2026-03-26T00:00:00"/>
    <x v="324"/>
    <n v="70"/>
    <n v="0"/>
    <n v="0"/>
    <n v="0"/>
    <n v="70"/>
    <s v="Dinheiro"/>
    <x v="1"/>
  </r>
  <r>
    <s v="00362"/>
    <x v="7"/>
    <x v="48"/>
    <s v="03/2026"/>
    <d v="2026-03-26T00:00:00"/>
    <x v="324"/>
    <n v="12597.710000000001"/>
    <n v="0"/>
    <n v="0"/>
    <n v="0"/>
    <n v="12597.710000000001"/>
    <s v="Dinheiro"/>
    <x v="1"/>
  </r>
  <r>
    <s v="00362"/>
    <x v="7"/>
    <x v="3"/>
    <s v="03/2026"/>
    <d v="2026-03-27T00:00:00"/>
    <x v="325"/>
    <n v="2.19"/>
    <n v="0"/>
    <n v="0"/>
    <n v="0"/>
    <n v="2.19"/>
    <s v="Dinheiro"/>
    <x v="1"/>
  </r>
  <r>
    <s v="00709"/>
    <x v="607"/>
    <x v="93"/>
    <s v="03/2026"/>
    <d v="2026-03-27T00:00:00"/>
    <x v="325"/>
    <n v="70"/>
    <n v="0"/>
    <n v="0"/>
    <n v="0"/>
    <n v="70"/>
    <s v="Dinheiro"/>
    <x v="1"/>
  </r>
  <r>
    <s v="00720"/>
    <x v="620"/>
    <x v="11"/>
    <s v="03/2026"/>
    <d v="2026-03-27T00:00:00"/>
    <x v="325"/>
    <n v="1165"/>
    <n v="0"/>
    <n v="0"/>
    <n v="0"/>
    <n v="1165"/>
    <s v="Dinheiro"/>
    <x v="1"/>
  </r>
  <r>
    <s v="00362"/>
    <x v="7"/>
    <x v="3"/>
    <s v="03/2026"/>
    <d v="2026-03-30T00:00:00"/>
    <x v="327"/>
    <n v="13.14"/>
    <n v="0"/>
    <n v="0"/>
    <n v="0"/>
    <n v="13.14"/>
    <s v="Dinheiro"/>
    <x v="1"/>
  </r>
  <r>
    <s v="00497"/>
    <x v="324"/>
    <x v="85"/>
    <s v="03/2026"/>
    <d v="2026-03-30T00:00:00"/>
    <x v="327"/>
    <n v="124.98"/>
    <n v="0"/>
    <n v="0"/>
    <n v="0"/>
    <n v="124.98"/>
    <s v="Dinheiro"/>
    <x v="1"/>
  </r>
  <r>
    <s v="00662"/>
    <x v="531"/>
    <x v="88"/>
    <s v="03/2026"/>
    <d v="2026-03-30T00:00:00"/>
    <x v="327"/>
    <n v="51.4"/>
    <n v="0"/>
    <n v="0"/>
    <n v="0"/>
    <n v="51.4"/>
    <s v="Dinheiro"/>
    <x v="1"/>
  </r>
  <r>
    <s v="00613"/>
    <x v="467"/>
    <x v="1"/>
    <s v="03/2026"/>
    <d v="2026-03-30T00:00:00"/>
    <x v="327"/>
    <n v="86"/>
    <n v="0"/>
    <n v="0"/>
    <n v="0"/>
    <n v="86"/>
    <s v="Dinheiro"/>
    <x v="1"/>
  </r>
  <r>
    <s v="00160"/>
    <x v="31"/>
    <x v="14"/>
    <s v="03/2026"/>
    <d v="2026-03-30T00:00:00"/>
    <x v="327"/>
    <n v="50"/>
    <n v="0"/>
    <n v="0"/>
    <n v="0"/>
    <n v="50"/>
    <s v="Dinheiro"/>
    <x v="1"/>
  </r>
  <r>
    <s v="00277"/>
    <x v="47"/>
    <x v="16"/>
    <s v="03/2026"/>
    <d v="2026-03-30T00:00:00"/>
    <x v="327"/>
    <n v="380.03000000000003"/>
    <n v="0"/>
    <n v="0"/>
    <n v="0"/>
    <n v="380.03000000000003"/>
    <s v="Dinheiro"/>
    <x v="1"/>
  </r>
  <r>
    <s v="00709"/>
    <x v="607"/>
    <x v="93"/>
    <s v="03/2026"/>
    <d v="2026-03-30T00:00:00"/>
    <x v="327"/>
    <n v="70"/>
    <n v="0"/>
    <n v="0"/>
    <n v="0"/>
    <n v="70"/>
    <s v="Dinheiro"/>
    <x v="1"/>
  </r>
  <r>
    <s v="00613"/>
    <x v="467"/>
    <x v="8"/>
    <s v="03/2026"/>
    <d v="2026-03-30T00:00:00"/>
    <x v="327"/>
    <n v="86"/>
    <n v="0"/>
    <n v="0"/>
    <n v="0"/>
    <n v="86"/>
    <s v="Pix"/>
    <x v="1"/>
  </r>
  <r>
    <s v="00362"/>
    <x v="7"/>
    <x v="3"/>
    <s v="03/2026"/>
    <d v="2026-03-31T00:00:00"/>
    <x v="328"/>
    <n v="8.76"/>
    <n v="0"/>
    <n v="0"/>
    <n v="0"/>
    <n v="8.76"/>
    <s v="Dinheiro"/>
    <x v="1"/>
  </r>
  <r>
    <s v="00072"/>
    <x v="105"/>
    <x v="40"/>
    <s v="03/2026"/>
    <d v="2026-03-31T00:00:00"/>
    <x v="328"/>
    <n v="744.98"/>
    <n v="0"/>
    <n v="0"/>
    <n v="0"/>
    <n v="744.98"/>
    <s v="Dinheiro"/>
    <x v="1"/>
  </r>
  <r>
    <s v="00721"/>
    <x v="621"/>
    <x v="12"/>
    <s v="03/2026"/>
    <d v="2026-03-31T00:00:00"/>
    <x v="328"/>
    <n v="20"/>
    <n v="0"/>
    <n v="0"/>
    <n v="0"/>
    <n v="20"/>
    <s v="Dinheiro"/>
    <x v="1"/>
  </r>
  <r>
    <s v="00394"/>
    <x v="463"/>
    <x v="27"/>
    <s v="03/2026"/>
    <d v="2026-03-04T00:00:00"/>
    <x v="307"/>
    <n v="11.85"/>
    <n v="0"/>
    <n v="0"/>
    <n v="0"/>
    <n v="11.85"/>
    <s v="Dinheiro"/>
    <x v="1"/>
  </r>
  <r>
    <s v="00394"/>
    <x v="463"/>
    <x v="25"/>
    <s v="03/2026"/>
    <d v="2026-03-04T00:00:00"/>
    <x v="307"/>
    <n v="12"/>
    <n v="0"/>
    <n v="0"/>
    <n v="0"/>
    <n v="12"/>
    <s v="Dinheiro"/>
    <x v="1"/>
  </r>
  <r>
    <s v="00413"/>
    <x v="585"/>
    <x v="8"/>
    <s v="03/2026"/>
    <d v="2026-03-10T00:00:00"/>
    <x v="312"/>
    <n v="680"/>
    <n v="0"/>
    <n v="0"/>
    <n v="0"/>
    <n v="680"/>
    <s v="Dinheiro"/>
    <x v="1"/>
  </r>
  <r>
    <s v="00411"/>
    <x v="569"/>
    <x v="8"/>
    <s v="03/2026"/>
    <d v="2026-03-10T00:00:00"/>
    <x v="312"/>
    <n v="680"/>
    <n v="0"/>
    <n v="0"/>
    <n v="0"/>
    <n v="680"/>
    <s v="Dinheiro"/>
    <x v="1"/>
  </r>
  <r>
    <s v="00416"/>
    <x v="622"/>
    <x v="14"/>
    <s v="03/2026"/>
    <d v="2026-03-10T00:00:00"/>
    <x v="312"/>
    <n v="30"/>
    <n v="0"/>
    <n v="0"/>
    <n v="0"/>
    <n v="30"/>
    <s v="Dinheiro"/>
    <x v="1"/>
  </r>
  <r>
    <s v="00411"/>
    <x v="569"/>
    <x v="8"/>
    <s v="03/2026"/>
    <d v="2026-03-10T00:00:00"/>
    <x v="312"/>
    <n v="36"/>
    <n v="0"/>
    <n v="0"/>
    <n v="0"/>
    <n v="36"/>
    <s v="Dinheiro"/>
    <x v="1"/>
  </r>
  <r>
    <s v="00417"/>
    <x v="467"/>
    <x v="8"/>
    <s v="03/2026"/>
    <d v="2026-03-10T00:00:00"/>
    <x v="312"/>
    <n v="80"/>
    <n v="0"/>
    <n v="0"/>
    <n v="0"/>
    <n v="80"/>
    <s v="Dinheiro"/>
    <x v="1"/>
  </r>
  <r>
    <s v="00382"/>
    <x v="491"/>
    <x v="5"/>
    <s v="03/2026"/>
    <d v="2026-03-18T00:00:00"/>
    <x v="319"/>
    <n v="40"/>
    <n v="0"/>
    <n v="0"/>
    <n v="0"/>
    <n v="40"/>
    <s v="Dinheiro"/>
    <x v="1"/>
  </r>
  <r>
    <s v="00281"/>
    <x v="421"/>
    <x v="76"/>
    <s v="03/2026"/>
    <d v="2026-03-20T00:00:00"/>
    <x v="321"/>
    <n v="16"/>
    <n v="0"/>
    <n v="0"/>
    <n v="0"/>
    <n v="16"/>
    <s v="Dinheiro"/>
    <x v="1"/>
  </r>
  <r>
    <s v="00281"/>
    <x v="421"/>
    <x v="76"/>
    <s v="03/2026"/>
    <d v="2026-03-20T00:00:00"/>
    <x v="321"/>
    <n v="2.5"/>
    <n v="0"/>
    <n v="0"/>
    <n v="0"/>
    <n v="2.5"/>
    <s v="Dinheiro"/>
    <x v="1"/>
  </r>
  <r>
    <s v="00074"/>
    <x v="108"/>
    <x v="76"/>
    <s v="03/2026"/>
    <d v="2026-03-20T00:00:00"/>
    <x v="321"/>
    <n v="40"/>
    <n v="0"/>
    <n v="0"/>
    <n v="0"/>
    <n v="40"/>
    <s v="Dinheiro"/>
    <x v="1"/>
  </r>
  <r>
    <s v="00272"/>
    <x v="520"/>
    <x v="8"/>
    <s v="03/2026"/>
    <d v="2026-03-20T00:00:00"/>
    <x v="321"/>
    <n v="214"/>
    <n v="0"/>
    <n v="0"/>
    <n v="0"/>
    <n v="214"/>
    <s v="Dinheiro"/>
    <x v="1"/>
  </r>
  <r>
    <s v="00413"/>
    <x v="585"/>
    <x v="8"/>
    <s v="03/2026"/>
    <d v="2026-03-23T00:00:00"/>
    <x v="322"/>
    <n v="236"/>
    <n v="0"/>
    <n v="0"/>
    <n v="0"/>
    <n v="236"/>
    <s v="Dinheiro"/>
    <x v="1"/>
  </r>
  <r>
    <s v="00104"/>
    <x v="243"/>
    <x v="8"/>
    <s v="03/2026"/>
    <d v="2026-03-23T00:00:00"/>
    <x v="322"/>
    <n v="40"/>
    <n v="0"/>
    <n v="0"/>
    <n v="0"/>
    <n v="40"/>
    <s v="Dinheiro"/>
    <x v="1"/>
  </r>
  <r>
    <s v="00417"/>
    <x v="467"/>
    <x v="8"/>
    <s v="03/2026"/>
    <d v="2026-03-23T00:00:00"/>
    <x v="322"/>
    <n v="70"/>
    <n v="0"/>
    <n v="0"/>
    <n v="0"/>
    <n v="70"/>
    <s v="Dinheiro"/>
    <x v="1"/>
  </r>
  <r>
    <s v="00331"/>
    <x v="241"/>
    <x v="38"/>
    <s v="03/2026"/>
    <d v="2026-03-25T00:00:00"/>
    <x v="323"/>
    <n v="45"/>
    <n v="0"/>
    <n v="0"/>
    <n v="0"/>
    <n v="45"/>
    <s v="Dinheiro"/>
    <x v="1"/>
  </r>
  <r>
    <s v="00154"/>
    <x v="172"/>
    <x v="38"/>
    <s v="03/2026"/>
    <d v="2026-03-25T00:00:00"/>
    <x v="323"/>
    <n v="84.93"/>
    <n v="0"/>
    <n v="0"/>
    <n v="0"/>
    <n v="84.93"/>
    <s v="Dinheiro"/>
    <x v="1"/>
  </r>
  <r>
    <s v="00074"/>
    <x v="108"/>
    <x v="76"/>
    <s v="03/2026"/>
    <d v="2026-03-26T00:00:00"/>
    <x v="324"/>
    <n v="40"/>
    <n v="0"/>
    <n v="0"/>
    <n v="0"/>
    <n v="40"/>
    <s v="Dinheiro"/>
    <x v="1"/>
  </r>
  <r>
    <s v="00413"/>
    <x v="585"/>
    <x v="8"/>
    <s v="03/2026"/>
    <d v="2026-03-30T00:00:00"/>
    <x v="327"/>
    <n v="338"/>
    <n v="0"/>
    <n v="0"/>
    <n v="0"/>
    <n v="338"/>
    <s v="Dinheiro"/>
    <x v="1"/>
  </r>
  <r>
    <s v="00032"/>
    <x v="120"/>
    <x v="27"/>
    <s v="04/2026"/>
    <d v="2026-04-06T00:00:00"/>
    <x v="330"/>
    <n v="23"/>
    <n v="0"/>
    <n v="0"/>
    <n v="0"/>
    <n v="23"/>
    <s v="Dinheiro"/>
    <x v="1"/>
  </r>
  <r>
    <s v="00328"/>
    <x v="270"/>
    <x v="27"/>
    <s v="04/2026"/>
    <d v="2026-04-06T00:00:00"/>
    <x v="330"/>
    <n v="27.98"/>
    <n v="0"/>
    <n v="0"/>
    <n v="0"/>
    <n v="27.98"/>
    <s v="Dinheiro"/>
    <x v="1"/>
  </r>
  <r>
    <s v="00692"/>
    <x v="569"/>
    <x v="8"/>
    <s v="04/2026"/>
    <d v="2026-04-06T00:00:00"/>
    <x v="330"/>
    <n v="88"/>
    <n v="0"/>
    <n v="0"/>
    <n v="0"/>
    <n v="88"/>
    <s v="Dinheiro"/>
    <x v="1"/>
  </r>
  <r>
    <s v="00292"/>
    <x v="278"/>
    <x v="5"/>
    <s v="04/2026"/>
    <d v="2026-04-06T00:00:00"/>
    <x v="330"/>
    <n v="40"/>
    <n v="0"/>
    <n v="0"/>
    <n v="0"/>
    <n v="40"/>
    <s v="Dinheiro"/>
    <x v="1"/>
  </r>
  <r>
    <s v="00328"/>
    <x v="270"/>
    <x v="45"/>
    <s v="04/2026"/>
    <d v="2026-04-06T00:00:00"/>
    <x v="330"/>
    <n v="89.320000000000007"/>
    <n v="0"/>
    <n v="0"/>
    <n v="0"/>
    <n v="89.320000000000007"/>
    <s v="Dinheiro"/>
    <x v="1"/>
  </r>
  <r>
    <s v="00316"/>
    <x v="17"/>
    <x v="8"/>
    <s v="04/2026"/>
    <d v="2026-04-06T00:00:00"/>
    <x v="330"/>
    <n v="120"/>
    <n v="0"/>
    <n v="0"/>
    <n v="0"/>
    <n v="120"/>
    <s v="Dinheiro"/>
    <x v="1"/>
  </r>
  <r>
    <s v="00614"/>
    <x v="468"/>
    <x v="8"/>
    <s v="04/2026"/>
    <d v="2026-04-06T00:00:00"/>
    <x v="330"/>
    <n v="40"/>
    <n v="0"/>
    <n v="0"/>
    <n v="0"/>
    <n v="40"/>
    <s v="Dinheiro"/>
    <x v="1"/>
  </r>
  <r>
    <s v="00613"/>
    <x v="467"/>
    <x v="8"/>
    <s v="04/2026"/>
    <d v="2026-04-06T00:00:00"/>
    <x v="330"/>
    <n v="80"/>
    <n v="0"/>
    <n v="0"/>
    <n v="0"/>
    <n v="80"/>
    <s v="Dinheiro"/>
    <x v="1"/>
  </r>
  <r>
    <s v="00705"/>
    <x v="593"/>
    <x v="8"/>
    <s v="04/2026"/>
    <d v="2026-04-06T00:00:00"/>
    <x v="330"/>
    <n v="124"/>
    <n v="0"/>
    <n v="0"/>
    <n v="0"/>
    <n v="124"/>
    <s v="Dinheiro"/>
    <x v="1"/>
  </r>
  <r>
    <s v="00133"/>
    <x v="24"/>
    <x v="8"/>
    <s v="04/2026"/>
    <d v="2026-04-06T00:00:00"/>
    <x v="330"/>
    <n v="138"/>
    <n v="0"/>
    <n v="0"/>
    <n v="0"/>
    <n v="138"/>
    <s v="Dinheiro"/>
    <x v="1"/>
  </r>
  <r>
    <s v="00723"/>
    <x v="623"/>
    <x v="14"/>
    <s v="04/2026"/>
    <d v="2026-04-06T00:00:00"/>
    <x v="330"/>
    <n v="219.6"/>
    <n v="0"/>
    <n v="0"/>
    <n v="0"/>
    <n v="219.6"/>
    <s v="Dinheiro"/>
    <x v="1"/>
  </r>
  <r>
    <s v="00656"/>
    <x v="525"/>
    <x v="14"/>
    <s v="04/2026"/>
    <d v="2026-04-07T00:00:00"/>
    <x v="331"/>
    <n v="5"/>
    <n v="0"/>
    <n v="0"/>
    <n v="0"/>
    <n v="5"/>
    <s v="Dinheiro"/>
    <x v="1"/>
  </r>
  <r>
    <s v="00032"/>
    <x v="120"/>
    <x v="27"/>
    <s v="04/2026"/>
    <d v="2026-04-08T00:00:00"/>
    <x v="332"/>
    <n v="60.4"/>
    <n v="0"/>
    <n v="0"/>
    <n v="0"/>
    <n v="60.4"/>
    <s v="Dinheiro"/>
    <x v="1"/>
  </r>
  <r>
    <s v="00055"/>
    <x v="624"/>
    <x v="45"/>
    <s v="04/2026"/>
    <d v="2026-04-08T00:00:00"/>
    <x v="332"/>
    <n v="39.83"/>
    <n v="0"/>
    <n v="0"/>
    <n v="0"/>
    <n v="39.83"/>
    <s v="Dinheiro"/>
    <x v="1"/>
  </r>
  <r>
    <s v="00292"/>
    <x v="278"/>
    <x v="5"/>
    <s v="04/2026"/>
    <d v="2026-04-09T00:00:00"/>
    <x v="333"/>
    <n v="40"/>
    <n v="0"/>
    <n v="0"/>
    <n v="0"/>
    <n v="40"/>
    <s v="Dinheiro"/>
    <x v="1"/>
  </r>
  <r>
    <s v="00292"/>
    <x v="278"/>
    <x v="5"/>
    <s v="04/2026"/>
    <d v="2026-04-09T00:00:00"/>
    <x v="333"/>
    <n v="40"/>
    <n v="0"/>
    <n v="0"/>
    <n v="0"/>
    <n v="40"/>
    <s v="Dinheiro"/>
    <x v="1"/>
  </r>
  <r>
    <s v="00610"/>
    <x v="463"/>
    <x v="25"/>
    <s v="04/2026"/>
    <d v="2026-04-09T00:00:00"/>
    <x v="333"/>
    <n v="5.5"/>
    <n v="0"/>
    <n v="0"/>
    <n v="0"/>
    <n v="5.5"/>
    <s v="Dinheiro"/>
    <x v="1"/>
  </r>
  <r>
    <s v="00705"/>
    <x v="593"/>
    <x v="8"/>
    <s v="04/2026"/>
    <d v="2026-04-10T00:00:00"/>
    <x v="334"/>
    <n v="660"/>
    <n v="0"/>
    <n v="0"/>
    <n v="0"/>
    <n v="660"/>
    <s v="Dinheiro"/>
    <x v="1"/>
  </r>
  <r>
    <s v="00613"/>
    <x v="467"/>
    <x v="8"/>
    <s v="04/2026"/>
    <d v="2026-04-10T00:00:00"/>
    <x v="334"/>
    <n v="1270"/>
    <n v="0"/>
    <n v="0"/>
    <n v="0"/>
    <n v="1270"/>
    <s v="Dinheiro"/>
    <x v="1"/>
  </r>
  <r>
    <s v="00032"/>
    <x v="120"/>
    <x v="27"/>
    <s v="04/2026"/>
    <d v="2026-04-10T00:00:00"/>
    <x v="334"/>
    <n v="45.5"/>
    <n v="0"/>
    <n v="0"/>
    <n v="0"/>
    <n v="45.5"/>
    <s v="Dinheiro"/>
    <x v="1"/>
  </r>
  <r>
    <s v="00614"/>
    <x v="468"/>
    <x v="8"/>
    <s v="04/2026"/>
    <d v="2026-04-10T00:00:00"/>
    <x v="334"/>
    <n v="1300"/>
    <n v="0"/>
    <n v="0"/>
    <n v="0"/>
    <n v="1300"/>
    <s v="Dinheiro"/>
    <x v="1"/>
  </r>
  <r>
    <s v="00351"/>
    <x v="42"/>
    <x v="8"/>
    <s v="04/2026"/>
    <d v="2026-04-10T00:00:00"/>
    <x v="334"/>
    <n v="200"/>
    <n v="0"/>
    <n v="0"/>
    <n v="0"/>
    <n v="200"/>
    <s v="Dinheiro"/>
    <x v="1"/>
  </r>
  <r>
    <s v="00133"/>
    <x v="24"/>
    <x v="8"/>
    <s v="04/2026"/>
    <d v="2026-04-10T00:00:00"/>
    <x v="334"/>
    <n v="1550"/>
    <n v="0"/>
    <n v="0"/>
    <n v="0"/>
    <n v="1550"/>
    <s v="Dinheiro"/>
    <x v="1"/>
  </r>
  <r>
    <s v="00316"/>
    <x v="17"/>
    <x v="8"/>
    <s v="04/2026"/>
    <d v="2026-04-10T00:00:00"/>
    <x v="334"/>
    <n v="1660"/>
    <n v="0"/>
    <n v="0"/>
    <n v="0"/>
    <n v="1660"/>
    <s v="Dinheiro"/>
    <x v="1"/>
  </r>
  <r>
    <s v="00692"/>
    <x v="569"/>
    <x v="8"/>
    <s v="04/2026"/>
    <d v="2026-04-10T00:00:00"/>
    <x v="334"/>
    <n v="720"/>
    <n v="0"/>
    <n v="0"/>
    <n v="0"/>
    <n v="720"/>
    <s v="Dinheiro"/>
    <x v="1"/>
  </r>
  <r>
    <s v="00037"/>
    <x v="177"/>
    <x v="38"/>
    <s v="04/2026"/>
    <d v="2026-04-10T00:00:00"/>
    <x v="334"/>
    <n v="28.98"/>
    <n v="0"/>
    <n v="0"/>
    <n v="0"/>
    <n v="28.98"/>
    <s v="Dinheiro"/>
    <x v="1"/>
  </r>
  <r>
    <s v="00682"/>
    <x v="562"/>
    <x v="38"/>
    <s v="04/2026"/>
    <d v="2026-04-10T00:00:00"/>
    <x v="334"/>
    <n v="37.03"/>
    <n v="0"/>
    <n v="0"/>
    <n v="0"/>
    <n v="37.03"/>
    <s v="Dinheiro"/>
    <x v="1"/>
  </r>
  <r>
    <s v="00133"/>
    <x v="24"/>
    <x v="8"/>
    <s v="04/2026"/>
    <d v="2026-04-13T00:00:00"/>
    <x v="335"/>
    <n v="350"/>
    <n v="0"/>
    <n v="0"/>
    <n v="0"/>
    <n v="350"/>
    <s v="Dinheiro"/>
    <x v="1"/>
  </r>
  <r>
    <s v="00613"/>
    <x v="467"/>
    <x v="8"/>
    <s v="04/2026"/>
    <d v="2026-04-13T00:00:00"/>
    <x v="335"/>
    <n v="110"/>
    <n v="0"/>
    <n v="0"/>
    <n v="0"/>
    <n v="110"/>
    <s v="Dinheiro"/>
    <x v="1"/>
  </r>
  <r>
    <s v="00223"/>
    <x v="32"/>
    <x v="8"/>
    <s v="04/2026"/>
    <d v="2026-04-13T00:00:00"/>
    <x v="335"/>
    <n v="2450"/>
    <n v="0"/>
    <n v="0"/>
    <n v="0"/>
    <n v="2450"/>
    <s v="Dinheiro"/>
    <x v="1"/>
  </r>
  <r>
    <s v="00614"/>
    <x v="468"/>
    <x v="8"/>
    <s v="04/2026"/>
    <d v="2026-04-13T00:00:00"/>
    <x v="335"/>
    <n v="110"/>
    <n v="0"/>
    <n v="0"/>
    <n v="0"/>
    <n v="110"/>
    <s v="Dinheiro"/>
    <x v="1"/>
  </r>
  <r>
    <s v="00028"/>
    <x v="108"/>
    <x v="76"/>
    <s v="04/2026"/>
    <d v="2026-04-13T00:00:00"/>
    <x v="335"/>
    <n v="28"/>
    <n v="0"/>
    <n v="0"/>
    <n v="0"/>
    <n v="28"/>
    <s v="Dinheiro"/>
    <x v="1"/>
  </r>
  <r>
    <s v="00036"/>
    <x v="109"/>
    <x v="45"/>
    <s v="04/2026"/>
    <d v="2026-04-15T00:00:00"/>
    <x v="336"/>
    <n v="8.1999999999999993"/>
    <n v="0"/>
    <n v="0"/>
    <n v="0"/>
    <n v="8.1999999999999993"/>
    <s v="Dinheiro"/>
    <x v="1"/>
  </r>
  <r>
    <s v="RAD260022"/>
    <x v="625"/>
    <x v="8"/>
    <s v="04/2026"/>
    <d v="2026-04-15T00:00:00"/>
    <x v="336"/>
    <n v="50"/>
    <n v="0"/>
    <n v="0"/>
    <n v="0"/>
    <n v="50"/>
    <s v="Dinheiro"/>
    <x v="1"/>
  </r>
  <r>
    <s v="ENF250471"/>
    <x v="626"/>
    <x v="8"/>
    <s v="04/2026"/>
    <d v="2026-04-15T00:00:00"/>
    <x v="336"/>
    <n v="50"/>
    <n v="0"/>
    <n v="0"/>
    <n v="0"/>
    <n v="50"/>
    <s v="Dinheiro"/>
    <x v="1"/>
  </r>
  <r>
    <s v="00027"/>
    <x v="58"/>
    <x v="45"/>
    <s v="04/2026"/>
    <d v="2026-04-15T00:00:00"/>
    <x v="336"/>
    <n v="5.5"/>
    <n v="0"/>
    <n v="0"/>
    <n v="0"/>
    <n v="5.5"/>
    <s v="Dinheiro"/>
    <x v="1"/>
  </r>
  <r>
    <s v="00027"/>
    <x v="58"/>
    <x v="45"/>
    <s v="04/2026"/>
    <d v="2026-04-15T00:00:00"/>
    <x v="336"/>
    <n v="77.86"/>
    <n v="0"/>
    <n v="0"/>
    <n v="0"/>
    <n v="77.86"/>
    <s v="Dinheiro"/>
    <x v="1"/>
  </r>
  <r>
    <s v="00036"/>
    <x v="109"/>
    <x v="45"/>
    <s v="04/2026"/>
    <d v="2026-04-17T00:00:00"/>
    <x v="337"/>
    <n v="23.63"/>
    <n v="0"/>
    <n v="0"/>
    <n v="0"/>
    <n v="23.63"/>
    <s v="Dinheiro"/>
    <x v="1"/>
  </r>
  <r>
    <s v="00133"/>
    <x v="24"/>
    <x v="8"/>
    <s v="04/2026"/>
    <d v="2026-04-17T00:00:00"/>
    <x v="337"/>
    <n v="180"/>
    <n v="0"/>
    <n v="0"/>
    <n v="0"/>
    <n v="180"/>
    <s v="Dinheiro"/>
    <x v="1"/>
  </r>
  <r>
    <s v="00730"/>
    <x v="627"/>
    <x v="74"/>
    <s v="04/2026"/>
    <d v="2026-04-18T00:00:00"/>
    <x v="338"/>
    <n v="60"/>
    <n v="0"/>
    <n v="0"/>
    <n v="0"/>
    <n v="60"/>
    <s v="Dinheiro"/>
    <x v="1"/>
  </r>
  <r>
    <s v="00705"/>
    <x v="593"/>
    <x v="8"/>
    <s v="04/2026"/>
    <d v="2026-04-20T00:00:00"/>
    <x v="339"/>
    <n v="40"/>
    <n v="0"/>
    <n v="0"/>
    <n v="0"/>
    <n v="40"/>
    <s v="Dinheiro"/>
    <x v="1"/>
  </r>
  <r>
    <s v="00613"/>
    <x v="467"/>
    <x v="8"/>
    <s v="04/2026"/>
    <d v="2026-04-20T00:00:00"/>
    <x v="339"/>
    <n v="220"/>
    <n v="0"/>
    <n v="0"/>
    <n v="0"/>
    <n v="220"/>
    <s v="Dinheiro"/>
    <x v="1"/>
  </r>
  <r>
    <s v="00428"/>
    <x v="606"/>
    <x v="8"/>
    <s v="04/2026"/>
    <d v="2026-04-20T00:00:00"/>
    <x v="339"/>
    <n v="40"/>
    <n v="0"/>
    <n v="0"/>
    <n v="0"/>
    <n v="40"/>
    <s v="Dinheiro"/>
    <x v="1"/>
  </r>
  <r>
    <s v="00133"/>
    <x v="24"/>
    <x v="8"/>
    <s v="04/2026"/>
    <d v="2026-04-20T00:00:00"/>
    <x v="339"/>
    <n v="40"/>
    <n v="0"/>
    <n v="0"/>
    <n v="0"/>
    <n v="40"/>
    <s v="Dinheiro"/>
    <x v="1"/>
  </r>
  <r>
    <s v="00614"/>
    <x v="468"/>
    <x v="8"/>
    <s v="04/2026"/>
    <d v="2026-04-20T00:00:00"/>
    <x v="339"/>
    <n v="40"/>
    <n v="0"/>
    <n v="0"/>
    <n v="0"/>
    <n v="40"/>
    <s v="Dinheiro"/>
    <x v="1"/>
  </r>
  <r>
    <s v="00403"/>
    <x v="160"/>
    <x v="66"/>
    <s v="04/2026"/>
    <d v="2026-04-22T00:00:00"/>
    <x v="340"/>
    <n v="100"/>
    <n v="0"/>
    <n v="0"/>
    <n v="0"/>
    <n v="100"/>
    <s v="Dinheiro"/>
    <x v="1"/>
  </r>
  <r>
    <s v="00502"/>
    <x v="331"/>
    <x v="87"/>
    <s v="04/2026"/>
    <d v="2026-04-23T00:00:00"/>
    <x v="341"/>
    <n v="100"/>
    <n v="0"/>
    <n v="0"/>
    <n v="0"/>
    <n v="100"/>
    <s v="Dinheiro"/>
    <x v="1"/>
  </r>
  <r>
    <s v="00032"/>
    <x v="120"/>
    <x v="27"/>
    <s v="04/2026"/>
    <d v="2026-04-23T00:00:00"/>
    <x v="341"/>
    <n v="91.960000000000008"/>
    <n v="0"/>
    <n v="0"/>
    <n v="0"/>
    <n v="91.960000000000008"/>
    <s v="Dinheiro"/>
    <x v="1"/>
  </r>
  <r>
    <s v="00032"/>
    <x v="120"/>
    <x v="27"/>
    <s v="04/2026"/>
    <d v="2026-04-23T00:00:00"/>
    <x v="341"/>
    <n v="39"/>
    <n v="0"/>
    <n v="0"/>
    <n v="0"/>
    <n v="39"/>
    <s v="Dinheiro"/>
    <x v="1"/>
  </r>
  <r>
    <s v="00036"/>
    <x v="109"/>
    <x v="45"/>
    <s v="04/2026"/>
    <d v="2026-04-24T00:00:00"/>
    <x v="342"/>
    <n v="15.3"/>
    <n v="0"/>
    <n v="0"/>
    <n v="0"/>
    <n v="15.3"/>
    <s v="Dinheiro"/>
    <x v="1"/>
  </r>
  <r>
    <s v="00028"/>
    <x v="108"/>
    <x v="45"/>
    <s v="04/2026"/>
    <d v="2026-04-24T00:00:00"/>
    <x v="342"/>
    <n v="40"/>
    <n v="0"/>
    <n v="0"/>
    <n v="0"/>
    <n v="40"/>
    <s v="Dinheiro"/>
    <x v="1"/>
  </r>
  <r>
    <s v="00032"/>
    <x v="120"/>
    <x v="27"/>
    <s v="04/2026"/>
    <d v="2026-04-25T00:00:00"/>
    <x v="343"/>
    <n v="125"/>
    <n v="0"/>
    <n v="0"/>
    <n v="0"/>
    <n v="125"/>
    <s v="Dinheiro"/>
    <x v="1"/>
  </r>
  <r>
    <s v="00133"/>
    <x v="24"/>
    <x v="8"/>
    <s v="04/2026"/>
    <d v="2026-04-25T00:00:00"/>
    <x v="343"/>
    <n v="200"/>
    <n v="0"/>
    <n v="0"/>
    <n v="0"/>
    <n v="200"/>
    <s v="Dinheiro"/>
    <x v="1"/>
  </r>
  <r>
    <s v="00705"/>
    <x v="593"/>
    <x v="8"/>
    <s v="04/2026"/>
    <d v="2026-04-27T00:00:00"/>
    <x v="344"/>
    <n v="100"/>
    <n v="0"/>
    <n v="0"/>
    <n v="0"/>
    <n v="100"/>
    <s v="Dinheiro"/>
    <x v="1"/>
  </r>
  <r>
    <s v="00614"/>
    <x v="468"/>
    <x v="8"/>
    <s v="04/2026"/>
    <d v="2026-04-27T00:00:00"/>
    <x v="344"/>
    <n v="40"/>
    <n v="0"/>
    <n v="0"/>
    <n v="0"/>
    <n v="40"/>
    <s v="Dinheiro"/>
    <x v="1"/>
  </r>
  <r>
    <s v="00032"/>
    <x v="120"/>
    <x v="45"/>
    <s v="04/2026"/>
    <d v="2026-04-27T00:00:00"/>
    <x v="344"/>
    <n v="30.2"/>
    <n v="0"/>
    <n v="0"/>
    <n v="0"/>
    <n v="30.2"/>
    <s v="Dinheiro"/>
    <x v="1"/>
  </r>
  <r>
    <s v="00028"/>
    <x v="108"/>
    <x v="45"/>
    <s v="04/2026"/>
    <d v="2026-04-27T00:00:00"/>
    <x v="344"/>
    <n v="52"/>
    <n v="0"/>
    <n v="0"/>
    <n v="0"/>
    <n v="52"/>
    <s v="Dinheiro"/>
    <x v="1"/>
  </r>
  <r>
    <s v="00613"/>
    <x v="467"/>
    <x v="8"/>
    <s v="04/2026"/>
    <d v="2026-04-27T00:00:00"/>
    <x v="344"/>
    <n v="40"/>
    <n v="0"/>
    <n v="0"/>
    <n v="0"/>
    <n v="40"/>
    <s v="Dinheiro"/>
    <x v="1"/>
  </r>
  <r>
    <s v="00292"/>
    <x v="278"/>
    <x v="5"/>
    <s v="04/2026"/>
    <d v="2026-04-28T00:00:00"/>
    <x v="345"/>
    <n v="40"/>
    <n v="0"/>
    <n v="0"/>
    <n v="0"/>
    <n v="40"/>
    <s v="Dinheiro"/>
    <x v="1"/>
  </r>
  <r>
    <s v="00292"/>
    <x v="278"/>
    <x v="5"/>
    <s v="04/2026"/>
    <d v="2026-04-29T00:00:00"/>
    <x v="346"/>
    <n v="40"/>
    <n v="0"/>
    <n v="0"/>
    <n v="0"/>
    <n v="40"/>
    <s v="Dinheiro"/>
    <x v="1"/>
  </r>
  <r>
    <s v="00731"/>
    <x v="628"/>
    <x v="14"/>
    <s v="04/2026"/>
    <d v="2026-04-29T00:00:00"/>
    <x v="346"/>
    <n v="12.02"/>
    <n v="0"/>
    <n v="0"/>
    <n v="0"/>
    <n v="12.200000000000001"/>
    <s v="Dinheiro"/>
    <x v="1"/>
  </r>
  <r>
    <s v="00032"/>
    <x v="120"/>
    <x v="45"/>
    <s v="04/2026"/>
    <d v="2026-04-30T00:00:00"/>
    <x v="347"/>
    <n v="219.9"/>
    <n v="0"/>
    <n v="0"/>
    <n v="0"/>
    <n v="219.9"/>
    <s v="Dinheiro"/>
    <x v="1"/>
  </r>
  <r>
    <s v="00036"/>
    <x v="109"/>
    <x v="45"/>
    <s v="04/2026"/>
    <d v="2026-04-30T00:00:00"/>
    <x v="347"/>
    <n v="19.350000000000001"/>
    <n v="0"/>
    <n v="0"/>
    <n v="0"/>
    <n v="19.350000000000001"/>
    <s v="Dinheiro"/>
    <x v="1"/>
  </r>
  <r>
    <s v="00328"/>
    <x v="270"/>
    <x v="45"/>
    <s v="04/2026"/>
    <d v="2026-04-30T00:00:00"/>
    <x v="347"/>
    <n v="38.369999999999997"/>
    <n v="0"/>
    <n v="0"/>
    <n v="0"/>
    <n v="38.369999999999997"/>
    <s v="Dinheiro"/>
    <x v="1"/>
  </r>
  <r>
    <s v="00039"/>
    <x v="231"/>
    <x v="9"/>
    <s v="04/2026"/>
    <d v="2026-04-30T00:00:00"/>
    <x v="347"/>
    <n v="29.900000000000002"/>
    <n v="0"/>
    <n v="0"/>
    <n v="0"/>
    <n v="29.900000000000002"/>
    <s v="Dinheiro"/>
    <x v="1"/>
  </r>
  <r>
    <s v="00610"/>
    <x v="463"/>
    <x v="25"/>
    <s v="04/2026"/>
    <d v="2026-04-30T00:00:00"/>
    <x v="347"/>
    <n v="8.25"/>
    <n v="0"/>
    <n v="0"/>
    <n v="0"/>
    <n v="8.25"/>
    <s v="Dinheiro"/>
    <x v="1"/>
  </r>
  <r>
    <s v="00083"/>
    <x v="5"/>
    <x v="32"/>
    <s v="04/2026"/>
    <d v="2026-04-01T00:00:00"/>
    <x v="348"/>
    <n v="3353.41"/>
    <n v="0"/>
    <n v="0"/>
    <n v="0"/>
    <n v="3353.41"/>
    <s v="Dinheiro"/>
    <x v="1"/>
  </r>
  <r>
    <s v="00709"/>
    <x v="607"/>
    <x v="93"/>
    <s v="04/2026"/>
    <d v="2026-04-01T00:00:00"/>
    <x v="348"/>
    <n v="70"/>
    <n v="0"/>
    <n v="0"/>
    <n v="0"/>
    <n v="70"/>
    <s v="Dinheiro"/>
    <x v="1"/>
  </r>
  <r>
    <s v="00302"/>
    <x v="96"/>
    <x v="38"/>
    <s v="04/2026"/>
    <d v="2026-04-01T00:00:00"/>
    <x v="348"/>
    <n v="900"/>
    <n v="0"/>
    <n v="0"/>
    <n v="0"/>
    <n v="900"/>
    <s v="Dinheiro"/>
    <x v="1"/>
  </r>
  <r>
    <s v="00362"/>
    <x v="7"/>
    <x v="3"/>
    <s v="04/2026"/>
    <d v="2026-04-01T00:00:00"/>
    <x v="348"/>
    <n v="8.76"/>
    <n v="0"/>
    <n v="0"/>
    <n v="0"/>
    <n v="8.76"/>
    <s v="Dinheiro"/>
    <x v="1"/>
  </r>
  <r>
    <s v="00083"/>
    <x v="5"/>
    <x v="1"/>
    <s v="03/2026"/>
    <d v="2026-03-31T00:00:00"/>
    <x v="348"/>
    <n v="4230.16"/>
    <n v="0"/>
    <n v="0"/>
    <n v="0"/>
    <n v="4230.16"/>
    <s v="Dinheiro"/>
    <x v="1"/>
  </r>
  <r>
    <s v="00656"/>
    <x v="525"/>
    <x v="1"/>
    <s v="04/2026"/>
    <d v="2026-04-01T00:00:00"/>
    <x v="348"/>
    <n v="256.2"/>
    <n v="0"/>
    <n v="0"/>
    <n v="0"/>
    <n v="256.2"/>
    <s v="Dinheiro"/>
    <x v="1"/>
  </r>
  <r>
    <s v="00684"/>
    <x v="549"/>
    <x v="1"/>
    <s v="04/2026"/>
    <d v="2026-04-01T00:00:00"/>
    <x v="348"/>
    <n v="268.39999999999998"/>
    <n v="0"/>
    <n v="0"/>
    <n v="0"/>
    <n v="268.39999999999998"/>
    <s v="Dinheiro"/>
    <x v="1"/>
  </r>
  <r>
    <s v="00690"/>
    <x v="545"/>
    <x v="1"/>
    <s v="04/2026"/>
    <d v="2026-04-01T00:00:00"/>
    <x v="348"/>
    <n v="501.6"/>
    <n v="0"/>
    <n v="0"/>
    <n v="0"/>
    <n v="501.6"/>
    <s v="Dinheiro"/>
    <x v="1"/>
  </r>
  <r>
    <s v="00714"/>
    <x v="612"/>
    <x v="1"/>
    <s v="04/2026"/>
    <d v="2026-04-01T00:00:00"/>
    <x v="348"/>
    <n v="244"/>
    <n v="0"/>
    <n v="0"/>
    <n v="0"/>
    <n v="244"/>
    <s v="Dinheiro"/>
    <x v="1"/>
  </r>
  <r>
    <s v="00351"/>
    <x v="42"/>
    <x v="1"/>
    <s v="04/2026"/>
    <d v="2026-04-01T00:00:00"/>
    <x v="348"/>
    <n v="524"/>
    <n v="0"/>
    <n v="0"/>
    <n v="0"/>
    <n v="524"/>
    <s v="Dinheiro"/>
    <x v="1"/>
  </r>
  <r>
    <s v="00160"/>
    <x v="31"/>
    <x v="1"/>
    <s v="04/2026"/>
    <d v="2026-04-01T00:00:00"/>
    <x v="348"/>
    <n v="48.800000000000004"/>
    <n v="0"/>
    <n v="0"/>
    <n v="0"/>
    <n v="48.800000000000004"/>
    <s v="Dinheiro"/>
    <x v="1"/>
  </r>
  <r>
    <s v="00712"/>
    <x v="598"/>
    <x v="1"/>
    <s v="04/2026"/>
    <d v="2026-04-01T00:00:00"/>
    <x v="348"/>
    <n v="292.8"/>
    <n v="0"/>
    <n v="0"/>
    <n v="0"/>
    <n v="292.8"/>
    <s v="Dinheiro"/>
    <x v="1"/>
  </r>
  <r>
    <s v="00411"/>
    <x v="181"/>
    <x v="1"/>
    <s v="04/2026"/>
    <d v="2026-04-01T00:00:00"/>
    <x v="348"/>
    <n v="268.39999999999998"/>
    <n v="0"/>
    <n v="0"/>
    <n v="0"/>
    <n v="268.39999999999998"/>
    <s v="Dinheiro"/>
    <x v="1"/>
  </r>
  <r>
    <s v="00349"/>
    <x v="25"/>
    <x v="1"/>
    <s v="04/2026"/>
    <d v="2026-04-01T00:00:00"/>
    <x v="348"/>
    <n v="441"/>
    <n v="0"/>
    <n v="0"/>
    <n v="0"/>
    <n v="441"/>
    <s v="Dinheiro"/>
    <x v="1"/>
  </r>
  <r>
    <s v="00168"/>
    <x v="39"/>
    <x v="1"/>
    <s v="04/2026"/>
    <d v="2026-04-01T00:00:00"/>
    <x v="348"/>
    <n v="430.16"/>
    <n v="0"/>
    <n v="0"/>
    <n v="0"/>
    <n v="430.16"/>
    <s v="Dinheiro"/>
    <x v="1"/>
  </r>
  <r>
    <s v="00715"/>
    <x v="613"/>
    <x v="1"/>
    <s v="04/2026"/>
    <d v="2026-04-01T00:00:00"/>
    <x v="348"/>
    <n v="292.8"/>
    <n v="0"/>
    <n v="0"/>
    <n v="0"/>
    <n v="292.8"/>
    <s v="Dinheiro"/>
    <x v="1"/>
  </r>
  <r>
    <s v="00692"/>
    <x v="569"/>
    <x v="1"/>
    <s v="04/2026"/>
    <d v="2026-04-01T00:00:00"/>
    <x v="348"/>
    <n v="268.39999999999998"/>
    <n v="0"/>
    <n v="0"/>
    <n v="0"/>
    <n v="268.39999999999998"/>
    <s v="Dinheiro"/>
    <x v="1"/>
  </r>
  <r>
    <s v="00705"/>
    <x v="593"/>
    <x v="1"/>
    <s v="04/2026"/>
    <d v="2026-04-01T00:00:00"/>
    <x v="348"/>
    <n v="280.60000000000002"/>
    <n v="0"/>
    <n v="0"/>
    <n v="0"/>
    <n v="280.60000000000002"/>
    <s v="Dinheiro"/>
    <x v="1"/>
  </r>
  <r>
    <s v="00613"/>
    <x v="467"/>
    <x v="1"/>
    <s v="04/2026"/>
    <d v="2026-04-01T00:00:00"/>
    <x v="348"/>
    <n v="431.48"/>
    <n v="0"/>
    <n v="0"/>
    <n v="0"/>
    <n v="431.48"/>
    <s v="Dinheiro"/>
    <x v="1"/>
  </r>
  <r>
    <s v="00464"/>
    <x v="273"/>
    <x v="1"/>
    <s v="04/2026"/>
    <d v="2026-04-01T00:00:00"/>
    <x v="348"/>
    <n v="207.4"/>
    <n v="0"/>
    <n v="0"/>
    <n v="0"/>
    <n v="207.4"/>
    <s v="Dinheiro"/>
    <x v="1"/>
  </r>
  <r>
    <s v="00410"/>
    <x v="176"/>
    <x v="1"/>
    <s v="04/2026"/>
    <d v="2026-04-01T00:00:00"/>
    <x v="348"/>
    <n v="256.2"/>
    <n v="0"/>
    <n v="0"/>
    <n v="0"/>
    <n v="256.2"/>
    <s v="Dinheiro"/>
    <x v="1"/>
  </r>
  <r>
    <s v="00349"/>
    <x v="25"/>
    <x v="32"/>
    <s v="04/2026"/>
    <d v="2026-04-01T00:00:00"/>
    <x v="348"/>
    <n v="255.42000000000002"/>
    <n v="0"/>
    <n v="0"/>
    <n v="0"/>
    <n v="255.42000000000002"/>
    <s v="Dinheiro"/>
    <x v="1"/>
  </r>
  <r>
    <s v="00168"/>
    <x v="39"/>
    <x v="32"/>
    <s v="04/2026"/>
    <d v="2026-04-01T00:00:00"/>
    <x v="348"/>
    <n v="255.42000000000002"/>
    <n v="0"/>
    <n v="0"/>
    <n v="0"/>
    <n v="255.42000000000002"/>
    <s v="Dinheiro"/>
    <x v="1"/>
  </r>
  <r>
    <s v="00715"/>
    <x v="613"/>
    <x v="32"/>
    <s v="04/2026"/>
    <d v="2026-04-01T00:00:00"/>
    <x v="348"/>
    <n v="255.42000000000002"/>
    <n v="0"/>
    <n v="0"/>
    <n v="0"/>
    <n v="255.42000000000002"/>
    <s v="Dinheiro"/>
    <x v="1"/>
  </r>
  <r>
    <s v="00692"/>
    <x v="569"/>
    <x v="32"/>
    <s v="04/2026"/>
    <d v="2026-04-01T00:00:00"/>
    <x v="348"/>
    <n v="255.42000000000002"/>
    <n v="0"/>
    <n v="0"/>
    <n v="0"/>
    <n v="255.42000000000002"/>
    <s v="Dinheiro"/>
    <x v="1"/>
  </r>
  <r>
    <s v="00705"/>
    <x v="593"/>
    <x v="32"/>
    <s v="04/2026"/>
    <d v="2026-04-01T00:00:00"/>
    <x v="348"/>
    <n v="255.42000000000002"/>
    <n v="0"/>
    <n v="0"/>
    <n v="0"/>
    <n v="255.42000000000002"/>
    <s v="Dinheiro"/>
    <x v="1"/>
  </r>
  <r>
    <s v="00613"/>
    <x v="467"/>
    <x v="32"/>
    <s v="04/2026"/>
    <d v="2026-04-01T00:00:00"/>
    <x v="348"/>
    <n v="255.42000000000002"/>
    <n v="0"/>
    <n v="0"/>
    <n v="0"/>
    <n v="255.42000000000002"/>
    <s v="Dinheiro"/>
    <x v="1"/>
  </r>
  <r>
    <s v="00464"/>
    <x v="273"/>
    <x v="32"/>
    <s v="04/2026"/>
    <d v="2026-04-01T00:00:00"/>
    <x v="348"/>
    <n v="255.42000000000002"/>
    <n v="0"/>
    <n v="0"/>
    <n v="0"/>
    <n v="255.42000000000002"/>
    <s v="Dinheiro"/>
    <x v="1"/>
  </r>
  <r>
    <s v="00714"/>
    <x v="612"/>
    <x v="32"/>
    <s v="04/2026"/>
    <d v="2026-04-01T00:00:00"/>
    <x v="348"/>
    <n v="255.42000000000002"/>
    <n v="0"/>
    <n v="0"/>
    <n v="0"/>
    <n v="255.42000000000002"/>
    <s v="Dinheiro"/>
    <x v="1"/>
  </r>
  <r>
    <s v="00712"/>
    <x v="598"/>
    <x v="32"/>
    <s v="04/2026"/>
    <d v="2026-04-01T00:00:00"/>
    <x v="348"/>
    <n v="255.42000000000002"/>
    <n v="0"/>
    <n v="0"/>
    <n v="0"/>
    <n v="255.42000000000002"/>
    <s v="Dinheiro"/>
    <x v="1"/>
  </r>
  <r>
    <s v="00615"/>
    <x v="487"/>
    <x v="25"/>
    <s v="04/2026"/>
    <d v="2026-04-01T00:00:00"/>
    <x v="348"/>
    <n v="1805.24"/>
    <n v="0"/>
    <n v="0"/>
    <n v="0"/>
    <n v="1805.24"/>
    <s v="Dinheiro"/>
    <x v="1"/>
  </r>
  <r>
    <s v="00362"/>
    <x v="7"/>
    <x v="3"/>
    <s v="04/2026"/>
    <d v="2026-04-01T00:00:00"/>
    <x v="348"/>
    <n v="17.52"/>
    <n v="0"/>
    <n v="0"/>
    <n v="0"/>
    <n v="17.52"/>
    <s v="Dinheiro"/>
    <x v="1"/>
  </r>
  <r>
    <s v="00364"/>
    <x v="16"/>
    <x v="19"/>
    <s v="04/2026"/>
    <d v="2026-04-02T00:00:00"/>
    <x v="349"/>
    <n v="1600.17"/>
    <n v="0"/>
    <n v="0"/>
    <n v="0"/>
    <n v="1600.17"/>
    <s v="Dinheiro"/>
    <x v="1"/>
  </r>
  <r>
    <s v="00362"/>
    <x v="7"/>
    <x v="3"/>
    <s v="04/2026"/>
    <d v="2026-04-02T00:00:00"/>
    <x v="349"/>
    <n v="87.350000000000009"/>
    <n v="0"/>
    <n v="0"/>
    <n v="0"/>
    <n v="87.350000000000009"/>
    <s v="Dinheiro"/>
    <x v="1"/>
  </r>
  <r>
    <s v="00362"/>
    <x v="7"/>
    <x v="3"/>
    <s v="04/2026"/>
    <d v="2026-04-02T00:00:00"/>
    <x v="349"/>
    <n v="15.33"/>
    <n v="0"/>
    <n v="0"/>
    <n v="0"/>
    <n v="15.33"/>
    <s v="Dinheiro"/>
    <x v="1"/>
  </r>
  <r>
    <s v="00362"/>
    <x v="7"/>
    <x v="3"/>
    <s v="04/2026"/>
    <d v="2026-04-02T00:00:00"/>
    <x v="349"/>
    <n v="474.85"/>
    <n v="0"/>
    <n v="0"/>
    <n v="0"/>
    <n v="474.85"/>
    <s v="Dinheiro"/>
    <x v="1"/>
  </r>
  <r>
    <s v="00362"/>
    <x v="7"/>
    <x v="3"/>
    <s v="04/2026"/>
    <d v="2026-04-02T00:00:00"/>
    <x v="349"/>
    <n v="375.36"/>
    <n v="0"/>
    <n v="0"/>
    <n v="0"/>
    <n v="375.36"/>
    <s v="Dinheiro"/>
    <x v="1"/>
  </r>
  <r>
    <s v="00024"/>
    <x v="0"/>
    <x v="0"/>
    <s v="04/2026"/>
    <d v="2026-04-02T00:00:00"/>
    <x v="349"/>
    <n v="400"/>
    <n v="0"/>
    <n v="0"/>
    <n v="0"/>
    <n v="400"/>
    <s v="Dinheiro"/>
    <x v="1"/>
  </r>
  <r>
    <s v="00024"/>
    <x v="0"/>
    <x v="0"/>
    <s v="04/2026"/>
    <d v="2026-04-02T00:00:00"/>
    <x v="349"/>
    <n v="697.9"/>
    <n v="0"/>
    <n v="0"/>
    <n v="0"/>
    <n v="697.9"/>
    <s v="Dinheiro"/>
    <x v="1"/>
  </r>
  <r>
    <s v="00193"/>
    <x v="3"/>
    <x v="0"/>
    <s v="04/2026"/>
    <d v="2026-04-02T00:00:00"/>
    <x v="349"/>
    <n v="1600"/>
    <n v="0"/>
    <n v="0"/>
    <n v="0"/>
    <n v="1600"/>
    <s v="Dinheiro"/>
    <x v="1"/>
  </r>
  <r>
    <s v="00193"/>
    <x v="3"/>
    <x v="0"/>
    <s v="04/2026"/>
    <d v="2026-04-02T00:00:00"/>
    <x v="349"/>
    <n v="2802.1"/>
    <n v="0"/>
    <n v="0"/>
    <n v="0"/>
    <n v="2802.1"/>
    <s v="Dinheiro"/>
    <x v="1"/>
  </r>
  <r>
    <s v="00160"/>
    <x v="31"/>
    <x v="31"/>
    <s v="04/2026"/>
    <d v="2026-04-02T00:00:00"/>
    <x v="349"/>
    <n v="1726.91"/>
    <n v="0"/>
    <n v="0"/>
    <n v="0"/>
    <n v="1726.91"/>
    <s v="Dinheiro"/>
    <x v="1"/>
  </r>
  <r>
    <s v="00022"/>
    <x v="115"/>
    <x v="46"/>
    <s v="04/2026"/>
    <d v="2026-04-02T00:00:00"/>
    <x v="349"/>
    <n v="864.88"/>
    <n v="0"/>
    <n v="0"/>
    <n v="0"/>
    <n v="864.88"/>
    <s v="Dinheiro"/>
    <x v="1"/>
  </r>
  <r>
    <s v="00362"/>
    <x v="7"/>
    <x v="3"/>
    <s v="04/2026"/>
    <d v="2026-04-02T00:00:00"/>
    <x v="349"/>
    <n v="21.8"/>
    <n v="0"/>
    <n v="0"/>
    <n v="0"/>
    <n v="21.8"/>
    <s v="Dinheiro"/>
    <x v="1"/>
  </r>
  <r>
    <s v="00362"/>
    <x v="7"/>
    <x v="3"/>
    <s v="04/2026"/>
    <d v="2026-04-02T00:00:00"/>
    <x v="349"/>
    <n v="67.89"/>
    <n v="0"/>
    <n v="0"/>
    <n v="0"/>
    <n v="67.89"/>
    <s v="Dinheiro"/>
    <x v="1"/>
  </r>
  <r>
    <s v="00362"/>
    <x v="7"/>
    <x v="3"/>
    <s v="04/2026"/>
    <d v="2026-04-06T00:00:00"/>
    <x v="330"/>
    <n v="48.56"/>
    <n v="0"/>
    <n v="0"/>
    <n v="0"/>
    <n v="48.56"/>
    <s v="Dinheiro"/>
    <x v="1"/>
  </r>
  <r>
    <s v="00362"/>
    <x v="7"/>
    <x v="34"/>
    <s v="04/2026"/>
    <d v="2026-04-06T00:00:00"/>
    <x v="330"/>
    <n v="135.52000000000001"/>
    <n v="0"/>
    <n v="0"/>
    <n v="0"/>
    <n v="135.52000000000001"/>
    <s v="Dinheiro"/>
    <x v="1"/>
  </r>
  <r>
    <s v="00362"/>
    <x v="7"/>
    <x v="34"/>
    <s v="04/2026"/>
    <d v="2026-04-06T00:00:00"/>
    <x v="330"/>
    <n v="4668.09"/>
    <n v="0"/>
    <n v="0"/>
    <n v="0"/>
    <n v="4668.09"/>
    <s v="Dinheiro"/>
    <x v="1"/>
  </r>
  <r>
    <s v="00403"/>
    <x v="160"/>
    <x v="9"/>
    <s v="04/2026"/>
    <d v="2026-04-06T00:00:00"/>
    <x v="330"/>
    <n v="700"/>
    <n v="0"/>
    <n v="0"/>
    <n v="0"/>
    <n v="700"/>
    <s v="Dinheiro"/>
    <x v="1"/>
  </r>
  <r>
    <s v="00102"/>
    <x v="84"/>
    <x v="10"/>
    <s v="04/2026"/>
    <d v="2026-04-06T00:00:00"/>
    <x v="330"/>
    <n v="1585.33"/>
    <n v="0"/>
    <n v="0"/>
    <n v="0"/>
    <n v="1585.33"/>
    <s v="Dinheiro"/>
    <x v="1"/>
  </r>
  <r>
    <s v="00576"/>
    <x v="456"/>
    <x v="94"/>
    <s v="04/2026"/>
    <d v="2026-04-06T00:00:00"/>
    <x v="330"/>
    <n v="80"/>
    <n v="0"/>
    <n v="0"/>
    <n v="0"/>
    <n v="80"/>
    <s v="Dinheiro"/>
    <x v="1"/>
  </r>
  <r>
    <s v="00258"/>
    <x v="43"/>
    <x v="0"/>
    <s v="04/2026"/>
    <d v="2026-04-06T00:00:00"/>
    <x v="330"/>
    <n v="2005.93"/>
    <n v="0"/>
    <n v="0"/>
    <n v="0"/>
    <n v="2005.93"/>
    <s v="Dinheiro"/>
    <x v="1"/>
  </r>
  <r>
    <s v="00088"/>
    <x v="29"/>
    <x v="62"/>
    <s v="04/2026"/>
    <d v="2026-04-06T00:00:00"/>
    <x v="330"/>
    <n v="129.97"/>
    <n v="0"/>
    <n v="0"/>
    <n v="0"/>
    <n v="129.97"/>
    <s v="Dinheiro"/>
    <x v="1"/>
  </r>
  <r>
    <s v="00261"/>
    <x v="175"/>
    <x v="38"/>
    <s v="04/2026"/>
    <d v="2026-04-06T00:00:00"/>
    <x v="330"/>
    <n v="31.42"/>
    <n v="0"/>
    <n v="0"/>
    <n v="0"/>
    <n v="31.42"/>
    <s v="Dinheiro"/>
    <x v="1"/>
  </r>
  <r>
    <s v="00274"/>
    <x v="508"/>
    <x v="88"/>
    <s v="04/2026"/>
    <d v="2026-04-06T00:00:00"/>
    <x v="330"/>
    <n v="103.96000000000001"/>
    <n v="0"/>
    <n v="0"/>
    <n v="0"/>
    <n v="103.96000000000001"/>
    <s v="Dinheiro"/>
    <x v="1"/>
  </r>
  <r>
    <s v="00190"/>
    <x v="70"/>
    <x v="30"/>
    <s v="04/2026"/>
    <d v="2026-04-06T00:00:00"/>
    <x v="330"/>
    <n v="700"/>
    <n v="0"/>
    <n v="0"/>
    <n v="0"/>
    <n v="700"/>
    <s v="Dinheiro"/>
    <x v="1"/>
  </r>
  <r>
    <s v="00362"/>
    <x v="7"/>
    <x v="3"/>
    <s v="04/2026"/>
    <d v="2026-04-06T00:00:00"/>
    <x v="330"/>
    <n v="111.69"/>
    <n v="0"/>
    <n v="0"/>
    <n v="0"/>
    <n v="111.69"/>
    <s v="Dinheiro"/>
    <x v="1"/>
  </r>
  <r>
    <s v="00330"/>
    <x v="14"/>
    <x v="13"/>
    <s v="04/2026"/>
    <d v="2026-04-07T00:00:00"/>
    <x v="331"/>
    <n v="550"/>
    <n v="0"/>
    <n v="0"/>
    <n v="0"/>
    <n v="550"/>
    <s v="Dinheiro"/>
    <x v="1"/>
  </r>
  <r>
    <s v="ENF260099"/>
    <x v="629"/>
    <x v="28"/>
    <s v="04/2026"/>
    <d v="2026-04-07T00:00:00"/>
    <x v="331"/>
    <n v="99"/>
    <n v="0"/>
    <n v="0"/>
    <n v="0"/>
    <n v="99"/>
    <s v="Dinheiro"/>
    <x v="1"/>
  </r>
  <r>
    <s v="00362"/>
    <x v="7"/>
    <x v="3"/>
    <s v="04/2026"/>
    <d v="2026-04-07T00:00:00"/>
    <x v="331"/>
    <n v="269.37"/>
    <n v="0"/>
    <n v="0"/>
    <n v="0"/>
    <n v="269.37"/>
    <s v="Dinheiro"/>
    <x v="1"/>
  </r>
  <r>
    <s v="00478"/>
    <x v="290"/>
    <x v="15"/>
    <s v="04/2026"/>
    <d v="2026-04-07T00:00:00"/>
    <x v="331"/>
    <n v="1573"/>
    <n v="0"/>
    <n v="0"/>
    <n v="0"/>
    <n v="1573"/>
    <s v="Dinheiro"/>
    <x v="1"/>
  </r>
  <r>
    <s v="00353"/>
    <x v="61"/>
    <x v="41"/>
    <s v="04/2026"/>
    <d v="2026-04-07T00:00:00"/>
    <x v="331"/>
    <n v="5000"/>
    <n v="0"/>
    <n v="0"/>
    <n v="0"/>
    <n v="5000"/>
    <s v="Dinheiro"/>
    <x v="1"/>
  </r>
  <r>
    <s v="00353"/>
    <x v="61"/>
    <x v="41"/>
    <s v="04/2026"/>
    <d v="2026-04-07T00:00:00"/>
    <x v="331"/>
    <n v="1000"/>
    <n v="0"/>
    <n v="0"/>
    <n v="0"/>
    <n v="1000"/>
    <s v="Dinheiro"/>
    <x v="1"/>
  </r>
  <r>
    <s v="00353"/>
    <x v="61"/>
    <x v="14"/>
    <s v="04/2026"/>
    <d v="2026-04-07T00:00:00"/>
    <x v="331"/>
    <n v="500"/>
    <n v="0"/>
    <n v="0"/>
    <n v="0"/>
    <n v="500"/>
    <s v="Dinheiro"/>
    <x v="1"/>
  </r>
  <r>
    <s v="00712"/>
    <x v="598"/>
    <x v="15"/>
    <s v="04/2026"/>
    <d v="2026-04-07T00:00:00"/>
    <x v="331"/>
    <n v="587.6"/>
    <n v="0"/>
    <n v="0"/>
    <n v="0"/>
    <n v="587.6"/>
    <s v="Dinheiro"/>
    <x v="1"/>
  </r>
  <r>
    <s v="00715"/>
    <x v="613"/>
    <x v="15"/>
    <s v="04/2026"/>
    <d v="2026-04-07T00:00:00"/>
    <x v="331"/>
    <n v="235.04"/>
    <n v="0"/>
    <n v="0"/>
    <n v="0"/>
    <n v="235.04"/>
    <s v="Dinheiro"/>
    <x v="1"/>
  </r>
  <r>
    <s v="00705"/>
    <x v="593"/>
    <x v="15"/>
    <s v="04/2026"/>
    <d v="2026-04-07T00:00:00"/>
    <x v="331"/>
    <n v="998.92000000000007"/>
    <n v="0"/>
    <n v="0"/>
    <n v="0"/>
    <n v="998.92000000000007"/>
    <s v="Dinheiro"/>
    <x v="1"/>
  </r>
  <r>
    <s v="00714"/>
    <x v="612"/>
    <x v="15"/>
    <s v="04/2026"/>
    <d v="2026-04-07T00:00:00"/>
    <x v="331"/>
    <n v="814"/>
    <n v="0"/>
    <n v="0"/>
    <n v="0"/>
    <n v="814"/>
    <s v="Dinheiro"/>
    <x v="1"/>
  </r>
  <r>
    <s v="00714"/>
    <x v="612"/>
    <x v="15"/>
    <s v="04/2026"/>
    <d v="2026-04-07T00:00:00"/>
    <x v="331"/>
    <n v="117.52"/>
    <n v="0"/>
    <n v="0"/>
    <n v="0"/>
    <n v="117.52"/>
    <s v="Dinheiro"/>
    <x v="1"/>
  </r>
  <r>
    <s v="00351"/>
    <x v="42"/>
    <x v="15"/>
    <s v="04/2026"/>
    <d v="2026-04-07T00:00:00"/>
    <x v="331"/>
    <n v="1573"/>
    <n v="0"/>
    <n v="0"/>
    <n v="0"/>
    <n v="1573"/>
    <s v="Dinheiro"/>
    <x v="1"/>
  </r>
  <r>
    <s v="00316"/>
    <x v="17"/>
    <x v="15"/>
    <s v="04/2026"/>
    <d v="2026-04-07T00:00:00"/>
    <x v="331"/>
    <n v="1573"/>
    <n v="0"/>
    <n v="0"/>
    <n v="0"/>
    <n v="1573"/>
    <s v="Dinheiro"/>
    <x v="1"/>
  </r>
  <r>
    <s v="00692"/>
    <x v="569"/>
    <x v="15"/>
    <s v="04/2026"/>
    <d v="2026-04-07T00:00:00"/>
    <x v="331"/>
    <n v="1608"/>
    <n v="0"/>
    <n v="0"/>
    <n v="0"/>
    <n v="1608"/>
    <s v="Dinheiro"/>
    <x v="1"/>
  </r>
  <r>
    <s v="00223"/>
    <x v="32"/>
    <x v="15"/>
    <s v="04/2026"/>
    <d v="2026-04-07T00:00:00"/>
    <x v="331"/>
    <n v="1586"/>
    <n v="0"/>
    <n v="0"/>
    <n v="0"/>
    <n v="1586"/>
    <s v="Dinheiro"/>
    <x v="1"/>
  </r>
  <r>
    <s v="00160"/>
    <x v="31"/>
    <x v="15"/>
    <s v="04/2026"/>
    <d v="2026-04-07T00:00:00"/>
    <x v="331"/>
    <n v="1009"/>
    <n v="0"/>
    <n v="0"/>
    <n v="0"/>
    <n v="1009"/>
    <s v="Dinheiro"/>
    <x v="1"/>
  </r>
  <r>
    <s v="00447"/>
    <x v="247"/>
    <x v="15"/>
    <s v="04/2026"/>
    <d v="2026-04-07T00:00:00"/>
    <x v="331"/>
    <n v="1472"/>
    <n v="0"/>
    <n v="0"/>
    <n v="0"/>
    <n v="1472"/>
    <s v="Dinheiro"/>
    <x v="1"/>
  </r>
  <r>
    <s v="00448"/>
    <x v="282"/>
    <x v="15"/>
    <s v="04/2026"/>
    <d v="2026-04-07T00:00:00"/>
    <x v="331"/>
    <n v="1573"/>
    <n v="0"/>
    <n v="0"/>
    <n v="0"/>
    <n v="1573"/>
    <s v="Dinheiro"/>
    <x v="1"/>
  </r>
  <r>
    <s v="00715"/>
    <x v="613"/>
    <x v="15"/>
    <s v="04/2026"/>
    <d v="2026-04-07T00:00:00"/>
    <x v="331"/>
    <n v="893"/>
    <n v="0"/>
    <n v="0"/>
    <n v="0"/>
    <n v="893"/>
    <s v="Dinheiro"/>
    <x v="1"/>
  </r>
  <r>
    <s v="00502"/>
    <x v="331"/>
    <x v="15"/>
    <s v="04/2026"/>
    <d v="2026-04-07T00:00:00"/>
    <x v="331"/>
    <n v="1809"/>
    <n v="0"/>
    <n v="0"/>
    <n v="0"/>
    <n v="1809"/>
    <s v="Dinheiro"/>
    <x v="1"/>
  </r>
  <r>
    <s v="00613"/>
    <x v="467"/>
    <x v="15"/>
    <s v="04/2026"/>
    <d v="2026-04-07T00:00:00"/>
    <x v="331"/>
    <n v="1573"/>
    <n v="0"/>
    <n v="0"/>
    <n v="0"/>
    <n v="1573"/>
    <s v="Dinheiro"/>
    <x v="1"/>
  </r>
  <r>
    <s v="00397"/>
    <x v="152"/>
    <x v="15"/>
    <s v="04/2026"/>
    <d v="2026-04-07T00:00:00"/>
    <x v="331"/>
    <n v="1573"/>
    <n v="0"/>
    <n v="0"/>
    <n v="0"/>
    <n v="1573"/>
    <s v="Dinheiro"/>
    <x v="1"/>
  </r>
  <r>
    <s v="00498"/>
    <x v="242"/>
    <x v="15"/>
    <s v="04/2026"/>
    <d v="2026-04-07T00:00:00"/>
    <x v="331"/>
    <n v="1816"/>
    <n v="0"/>
    <n v="0"/>
    <n v="0"/>
    <n v="1816"/>
    <s v="Dinheiro"/>
    <x v="1"/>
  </r>
  <r>
    <s v="00349"/>
    <x v="25"/>
    <x v="15"/>
    <s v="04/2026"/>
    <d v="2026-04-07T00:00:00"/>
    <x v="331"/>
    <n v="1724"/>
    <n v="0"/>
    <n v="0"/>
    <n v="0"/>
    <n v="1724"/>
    <s v="Dinheiro"/>
    <x v="1"/>
  </r>
  <r>
    <s v="00411"/>
    <x v="181"/>
    <x v="15"/>
    <s v="04/2026"/>
    <d v="2026-04-07T00:00:00"/>
    <x v="331"/>
    <n v="1601"/>
    <n v="0"/>
    <n v="0"/>
    <n v="0"/>
    <n v="1601"/>
    <s v="Dinheiro"/>
    <x v="1"/>
  </r>
  <r>
    <s v="00705"/>
    <x v="593"/>
    <x v="15"/>
    <s v="04/2026"/>
    <d v="2026-04-07T00:00:00"/>
    <x v="331"/>
    <n v="459"/>
    <n v="0"/>
    <n v="0"/>
    <n v="0"/>
    <n v="459"/>
    <s v="Dinheiro"/>
    <x v="1"/>
  </r>
  <r>
    <s v="00511"/>
    <x v="241"/>
    <x v="15"/>
    <s v="04/2026"/>
    <d v="2026-04-07T00:00:00"/>
    <x v="331"/>
    <n v="1724"/>
    <n v="0"/>
    <n v="0"/>
    <n v="0"/>
    <n v="1724"/>
    <s v="Dinheiro"/>
    <x v="1"/>
  </r>
  <r>
    <s v="00614"/>
    <x v="468"/>
    <x v="15"/>
    <s v="04/2026"/>
    <d v="2026-04-07T00:00:00"/>
    <x v="331"/>
    <n v="1573"/>
    <n v="0"/>
    <n v="0"/>
    <n v="0"/>
    <n v="1573"/>
    <s v="Dinheiro"/>
    <x v="1"/>
  </r>
  <r>
    <s v="00168"/>
    <x v="39"/>
    <x v="15"/>
    <s v="04/2026"/>
    <d v="2026-04-07T00:00:00"/>
    <x v="331"/>
    <n v="1815"/>
    <n v="0"/>
    <n v="0"/>
    <n v="0"/>
    <n v="1815"/>
    <s v="Dinheiro"/>
    <x v="1"/>
  </r>
  <r>
    <s v="00712"/>
    <x v="598"/>
    <x v="15"/>
    <s v="04/2026"/>
    <d v="2026-04-07T00:00:00"/>
    <x v="331"/>
    <n v="102"/>
    <n v="0"/>
    <n v="0"/>
    <n v="0"/>
    <n v="102"/>
    <s v="Dinheiro"/>
    <x v="1"/>
  </r>
  <r>
    <s v="00464"/>
    <x v="273"/>
    <x v="62"/>
    <s v="04/2026"/>
    <d v="2026-04-07T00:00:00"/>
    <x v="331"/>
    <n v="900"/>
    <n v="0"/>
    <n v="0"/>
    <n v="0"/>
    <n v="900"/>
    <s v="Dinheiro"/>
    <x v="1"/>
  </r>
  <r>
    <s v="00133"/>
    <x v="24"/>
    <x v="15"/>
    <s v="04/2026"/>
    <d v="2026-04-07T00:00:00"/>
    <x v="331"/>
    <n v="1573"/>
    <n v="0"/>
    <n v="0"/>
    <n v="0"/>
    <n v="1573"/>
    <s v="Dinheiro"/>
    <x v="1"/>
  </r>
  <r>
    <s v="00168"/>
    <x v="39"/>
    <x v="14"/>
    <s v="04/2026"/>
    <d v="2026-04-07T00:00:00"/>
    <x v="331"/>
    <n v="1000"/>
    <n v="0"/>
    <n v="0"/>
    <n v="0"/>
    <n v="1000"/>
    <s v="Dinheiro"/>
    <x v="1"/>
  </r>
  <r>
    <s v="00497"/>
    <x v="324"/>
    <x v="85"/>
    <s v="04/2026"/>
    <d v="2026-04-07T00:00:00"/>
    <x v="331"/>
    <n v="95.79"/>
    <n v="0"/>
    <n v="0"/>
    <n v="0"/>
    <n v="95.79"/>
    <s v="Dinheiro"/>
    <x v="1"/>
  </r>
  <r>
    <s v="00724"/>
    <x v="630"/>
    <x v="56"/>
    <s v="04/2026"/>
    <d v="2026-04-07T00:00:00"/>
    <x v="331"/>
    <n v="50.39"/>
    <n v="0"/>
    <n v="0"/>
    <n v="0"/>
    <n v="50.39"/>
    <s v="Dinheiro"/>
    <x v="1"/>
  </r>
  <r>
    <s v="00261"/>
    <x v="175"/>
    <x v="38"/>
    <s v="04/2026"/>
    <d v="2026-04-07T00:00:00"/>
    <x v="331"/>
    <n v="44"/>
    <n v="0"/>
    <n v="0"/>
    <n v="0"/>
    <n v="44"/>
    <s v="Dinheiro"/>
    <x v="1"/>
  </r>
  <r>
    <s v="00261"/>
    <x v="175"/>
    <x v="38"/>
    <s v="04/2026"/>
    <d v="2026-04-07T00:00:00"/>
    <x v="331"/>
    <n v="40"/>
    <n v="0"/>
    <n v="0"/>
    <n v="0"/>
    <n v="40"/>
    <s v="Dinheiro"/>
    <x v="1"/>
  </r>
  <r>
    <s v="00362"/>
    <x v="7"/>
    <x v="3"/>
    <s v="04/2026"/>
    <d v="2026-04-07T00:00:00"/>
    <x v="331"/>
    <n v="137.97"/>
    <n v="0"/>
    <n v="0"/>
    <n v="0"/>
    <n v="137.97"/>
    <s v="Dinheiro"/>
    <x v="1"/>
  </r>
  <r>
    <s v="00383"/>
    <x v="116"/>
    <x v="11"/>
    <s v="04/2026"/>
    <d v="2026-04-07T00:00:00"/>
    <x v="331"/>
    <n v="2661.6"/>
    <n v="0"/>
    <n v="0"/>
    <n v="0"/>
    <n v="2661.6"/>
    <s v="Dinheiro"/>
    <x v="1"/>
  </r>
  <r>
    <s v="00363"/>
    <x v="15"/>
    <x v="39"/>
    <s v="04/2026"/>
    <d v="2026-04-08T00:00:00"/>
    <x v="332"/>
    <n v="2000"/>
    <n v="0"/>
    <n v="0"/>
    <n v="0"/>
    <n v="2000"/>
    <s v="Dinheiro"/>
    <x v="1"/>
  </r>
  <r>
    <s v="00362"/>
    <x v="7"/>
    <x v="3"/>
    <s v="04/2026"/>
    <d v="2026-04-08T00:00:00"/>
    <x v="332"/>
    <n v="884.76"/>
    <n v="0"/>
    <n v="0"/>
    <n v="0"/>
    <n v="884.76"/>
    <s v="Dinheiro"/>
    <x v="1"/>
  </r>
  <r>
    <s v="00190"/>
    <x v="70"/>
    <x v="29"/>
    <s v="04/2026"/>
    <d v="2026-04-08T00:00:00"/>
    <x v="332"/>
    <n v="280"/>
    <n v="0"/>
    <n v="0"/>
    <n v="0"/>
    <n v="280"/>
    <s v="Dinheiro"/>
    <x v="1"/>
  </r>
  <r>
    <s v="00362"/>
    <x v="7"/>
    <x v="3"/>
    <s v="04/2026"/>
    <d v="2026-04-08T00:00:00"/>
    <x v="332"/>
    <n v="81.41"/>
    <n v="0"/>
    <n v="0"/>
    <n v="0"/>
    <n v="81.41"/>
    <s v="Dinheiro"/>
    <x v="1"/>
  </r>
  <r>
    <s v="00362"/>
    <x v="7"/>
    <x v="3"/>
    <s v="04/2026"/>
    <d v="2026-04-10T00:00:00"/>
    <x v="333"/>
    <n v="10.950000000000001"/>
    <n v="0"/>
    <n v="0"/>
    <n v="0"/>
    <n v="10.950000000000001"/>
    <s v="Dinheiro"/>
    <x v="1"/>
  </r>
  <r>
    <s v="00362"/>
    <x v="7"/>
    <x v="3"/>
    <s v="04/2026"/>
    <d v="2026-04-09T00:00:00"/>
    <x v="333"/>
    <n v="4.38"/>
    <n v="0"/>
    <n v="0"/>
    <n v="0"/>
    <n v="4.38"/>
    <s v="Dinheiro"/>
    <x v="1"/>
  </r>
  <r>
    <s v="00362"/>
    <x v="7"/>
    <x v="3"/>
    <s v="04/2026"/>
    <d v="2026-04-10T00:00:00"/>
    <x v="334"/>
    <n v="8.76"/>
    <n v="0"/>
    <n v="0"/>
    <n v="0"/>
    <n v="8.76"/>
    <s v="Dinheiro"/>
    <x v="1"/>
  </r>
  <r>
    <s v="00015"/>
    <x v="363"/>
    <x v="23"/>
    <s v="04/2026"/>
    <d v="2026-04-10T00:00:00"/>
    <x v="334"/>
    <n v="1757.08"/>
    <n v="0"/>
    <n v="0"/>
    <n v="0"/>
    <n v="1757.08"/>
    <s v="Dinheiro"/>
    <x v="1"/>
  </r>
  <r>
    <s v="00478"/>
    <x v="290"/>
    <x v="29"/>
    <s v="04/2026"/>
    <d v="2026-04-10T00:00:00"/>
    <x v="334"/>
    <n v="2392"/>
    <n v="0"/>
    <n v="0"/>
    <n v="0"/>
    <n v="2392"/>
    <s v="Dinheiro"/>
    <x v="1"/>
  </r>
  <r>
    <s v="00601"/>
    <x v="506"/>
    <x v="29"/>
    <s v="04/2026"/>
    <d v="2026-04-10T00:00:00"/>
    <x v="334"/>
    <n v="1008"/>
    <n v="0"/>
    <n v="0"/>
    <n v="0"/>
    <n v="1008"/>
    <s v="Dinheiro"/>
    <x v="1"/>
  </r>
  <r>
    <s v="00503"/>
    <x v="338"/>
    <x v="29"/>
    <s v="04/2026"/>
    <d v="2026-04-10T00:00:00"/>
    <x v="334"/>
    <n v="1428"/>
    <n v="0"/>
    <n v="0"/>
    <n v="0"/>
    <n v="1428"/>
    <s v="Dinheiro"/>
    <x v="1"/>
  </r>
  <r>
    <s v="00671"/>
    <x v="560"/>
    <x v="29"/>
    <s v="04/2026"/>
    <d v="2026-04-10T00:00:00"/>
    <x v="334"/>
    <n v="1192"/>
    <n v="0"/>
    <n v="0"/>
    <n v="0"/>
    <n v="1192"/>
    <s v="Dinheiro"/>
    <x v="1"/>
  </r>
  <r>
    <s v="00235"/>
    <x v="86"/>
    <x v="29"/>
    <s v="04/2026"/>
    <d v="2026-04-10T00:00:00"/>
    <x v="334"/>
    <n v="5088"/>
    <n v="0"/>
    <n v="0"/>
    <n v="0"/>
    <n v="5088"/>
    <s v="Dinheiro"/>
    <x v="1"/>
  </r>
  <r>
    <s v="00652"/>
    <x v="534"/>
    <x v="29"/>
    <s v="04/2026"/>
    <d v="2026-04-10T00:00:00"/>
    <x v="334"/>
    <n v="1344"/>
    <n v="0"/>
    <n v="0"/>
    <n v="0"/>
    <n v="1344"/>
    <s v="Dinheiro"/>
    <x v="1"/>
  </r>
  <r>
    <s v="00397"/>
    <x v="152"/>
    <x v="29"/>
    <s v="04/2026"/>
    <d v="2026-04-10T00:00:00"/>
    <x v="334"/>
    <n v="616"/>
    <n v="0"/>
    <n v="0"/>
    <n v="0"/>
    <n v="616"/>
    <s v="Dinheiro"/>
    <x v="1"/>
  </r>
  <r>
    <s v="00618"/>
    <x v="481"/>
    <x v="29"/>
    <s v="04/2026"/>
    <d v="2026-04-10T00:00:00"/>
    <x v="334"/>
    <n v="1008"/>
    <n v="0"/>
    <n v="0"/>
    <n v="0"/>
    <n v="1008"/>
    <s v="Dinheiro"/>
    <x v="1"/>
  </r>
  <r>
    <s v="00378"/>
    <x v="87"/>
    <x v="29"/>
    <s v="04/2026"/>
    <d v="2026-04-10T00:00:00"/>
    <x v="334"/>
    <n v="2668"/>
    <n v="0"/>
    <n v="0"/>
    <n v="0"/>
    <n v="2668"/>
    <s v="Dinheiro"/>
    <x v="1"/>
  </r>
  <r>
    <s v="00353"/>
    <x v="61"/>
    <x v="29"/>
    <s v="04/2026"/>
    <d v="2026-04-10T00:00:00"/>
    <x v="334"/>
    <n v="1656"/>
    <n v="0"/>
    <n v="0"/>
    <n v="0"/>
    <n v="1656"/>
    <s v="Dinheiro"/>
    <x v="1"/>
  </r>
  <r>
    <s v="00502"/>
    <x v="331"/>
    <x v="29"/>
    <s v="04/2026"/>
    <d v="2026-04-10T00:00:00"/>
    <x v="334"/>
    <n v="1092"/>
    <n v="0"/>
    <n v="0"/>
    <n v="0"/>
    <n v="1092"/>
    <s v="Dinheiro"/>
    <x v="1"/>
  </r>
  <r>
    <s v="00634"/>
    <x v="496"/>
    <x v="30"/>
    <s v="04/2026"/>
    <d v="2026-04-10T00:00:00"/>
    <x v="334"/>
    <n v="2400"/>
    <n v="0"/>
    <n v="0"/>
    <n v="0"/>
    <n v="2400"/>
    <s v="Dinheiro"/>
    <x v="1"/>
  </r>
  <r>
    <s v="00380"/>
    <x v="91"/>
    <x v="30"/>
    <s v="04/2026"/>
    <d v="2026-04-10T00:00:00"/>
    <x v="334"/>
    <n v="1440"/>
    <n v="0"/>
    <n v="0"/>
    <n v="0"/>
    <n v="1440"/>
    <s v="Dinheiro"/>
    <x v="1"/>
  </r>
  <r>
    <s v="00521"/>
    <x v="359"/>
    <x v="30"/>
    <s v="04/2026"/>
    <d v="2026-04-10T00:00:00"/>
    <x v="334"/>
    <n v="720"/>
    <n v="0"/>
    <n v="0"/>
    <n v="0"/>
    <n v="720"/>
    <s v="Dinheiro"/>
    <x v="1"/>
  </r>
  <r>
    <s v="00457"/>
    <x v="219"/>
    <x v="30"/>
    <s v="04/2026"/>
    <d v="2026-04-10T00:00:00"/>
    <x v="334"/>
    <n v="720"/>
    <n v="0"/>
    <n v="0"/>
    <n v="0"/>
    <n v="720"/>
    <s v="Dinheiro"/>
    <x v="1"/>
  </r>
  <r>
    <s v="00235"/>
    <x v="86"/>
    <x v="30"/>
    <s v="04/2026"/>
    <d v="2026-04-10T00:00:00"/>
    <x v="334"/>
    <n v="80"/>
    <n v="0"/>
    <n v="0"/>
    <n v="0"/>
    <n v="80"/>
    <s v="Dinheiro"/>
    <x v="1"/>
  </r>
  <r>
    <s v="00235"/>
    <x v="86"/>
    <x v="30"/>
    <s v="04/2026"/>
    <d v="2026-04-10T00:00:00"/>
    <x v="334"/>
    <n v="800"/>
    <n v="0"/>
    <n v="0"/>
    <n v="0"/>
    <n v="800"/>
    <s v="Dinheiro"/>
    <x v="1"/>
  </r>
  <r>
    <s v="00325"/>
    <x v="631"/>
    <x v="30"/>
    <s v="04/2026"/>
    <d v="2026-04-10T00:00:00"/>
    <x v="334"/>
    <n v="1560"/>
    <n v="0"/>
    <n v="0"/>
    <n v="0"/>
    <n v="1560"/>
    <s v="Dinheiro"/>
    <x v="1"/>
  </r>
  <r>
    <s v="00488"/>
    <x v="312"/>
    <x v="30"/>
    <s v="04/2026"/>
    <d v="2026-04-10T00:00:00"/>
    <x v="334"/>
    <n v="720"/>
    <n v="0"/>
    <n v="0"/>
    <n v="0"/>
    <n v="720"/>
    <s v="Dinheiro"/>
    <x v="1"/>
  </r>
  <r>
    <s v="00378"/>
    <x v="87"/>
    <x v="30"/>
    <s v="04/2026"/>
    <d v="2026-04-10T00:00:00"/>
    <x v="334"/>
    <n v="100"/>
    <n v="0"/>
    <n v="0"/>
    <n v="0"/>
    <n v="100"/>
    <s v="Dinheiro"/>
    <x v="1"/>
  </r>
  <r>
    <s v="00378"/>
    <x v="87"/>
    <x v="30"/>
    <s v="04/2026"/>
    <d v="2026-04-10T00:00:00"/>
    <x v="334"/>
    <n v="360"/>
    <n v="0"/>
    <n v="0"/>
    <n v="0"/>
    <n v="360"/>
    <s v="Dinheiro"/>
    <x v="1"/>
  </r>
  <r>
    <s v="00202"/>
    <x v="632"/>
    <x v="30"/>
    <s v="04/2026"/>
    <d v="2026-04-10T00:00:00"/>
    <x v="334"/>
    <n v="1760"/>
    <n v="0"/>
    <n v="0"/>
    <n v="0"/>
    <n v="1760"/>
    <s v="Dinheiro"/>
    <x v="1"/>
  </r>
  <r>
    <s v="00432"/>
    <x v="213"/>
    <x v="30"/>
    <s v="04/2026"/>
    <d v="2026-04-10T00:00:00"/>
    <x v="334"/>
    <n v="3040"/>
    <n v="0"/>
    <n v="0"/>
    <n v="0"/>
    <n v="3040"/>
    <s v="Dinheiro"/>
    <x v="1"/>
  </r>
  <r>
    <s v="00325"/>
    <x v="631"/>
    <x v="29"/>
    <s v="04/2026"/>
    <d v="2026-04-10T00:00:00"/>
    <x v="334"/>
    <n v="2184"/>
    <n v="0"/>
    <n v="0"/>
    <n v="0"/>
    <n v="2184"/>
    <s v="Dinheiro"/>
    <x v="1"/>
  </r>
  <r>
    <s v="00622"/>
    <x v="488"/>
    <x v="29"/>
    <s v="04/2026"/>
    <d v="2026-04-10T00:00:00"/>
    <x v="334"/>
    <n v="2688"/>
    <n v="0"/>
    <n v="0"/>
    <n v="0"/>
    <n v="2688"/>
    <s v="Dinheiro"/>
    <x v="1"/>
  </r>
  <r>
    <s v="00654"/>
    <x v="526"/>
    <x v="29"/>
    <s v="04/2026"/>
    <d v="2026-04-10T00:00:00"/>
    <x v="334"/>
    <n v="756"/>
    <n v="0"/>
    <n v="0"/>
    <n v="0"/>
    <n v="756"/>
    <s v="Dinheiro"/>
    <x v="1"/>
  </r>
  <r>
    <s v="00689"/>
    <x v="609"/>
    <x v="29"/>
    <s v="04/2026"/>
    <d v="2026-04-10T00:00:00"/>
    <x v="334"/>
    <n v="756"/>
    <n v="0"/>
    <n v="0"/>
    <n v="0"/>
    <n v="756"/>
    <s v="Dinheiro"/>
    <x v="1"/>
  </r>
  <r>
    <s v="00169"/>
    <x v="633"/>
    <x v="29"/>
    <s v="04/2026"/>
    <d v="2026-04-10T00:00:00"/>
    <x v="334"/>
    <n v="168"/>
    <n v="0"/>
    <n v="0"/>
    <n v="0"/>
    <n v="168"/>
    <s v="Dinheiro"/>
    <x v="1"/>
  </r>
  <r>
    <s v="00657"/>
    <x v="527"/>
    <x v="29"/>
    <s v="04/2026"/>
    <d v="2026-04-10T00:00:00"/>
    <x v="334"/>
    <n v="336"/>
    <n v="0"/>
    <n v="0"/>
    <n v="0"/>
    <n v="336"/>
    <s v="Dinheiro"/>
    <x v="1"/>
  </r>
  <r>
    <s v="00677"/>
    <x v="558"/>
    <x v="29"/>
    <s v="04/2026"/>
    <d v="2026-04-10T00:00:00"/>
    <x v="334"/>
    <n v="1008"/>
    <n v="0"/>
    <n v="0"/>
    <n v="0"/>
    <n v="1008"/>
    <s v="Dinheiro"/>
    <x v="1"/>
  </r>
  <r>
    <s v="00607"/>
    <x v="52"/>
    <x v="16"/>
    <s v="04/2026"/>
    <d v="2026-04-10T00:00:00"/>
    <x v="334"/>
    <n v="276.26"/>
    <n v="0"/>
    <n v="0"/>
    <n v="0"/>
    <n v="276.26"/>
    <s v="Dinheiro"/>
    <x v="1"/>
  </r>
  <r>
    <s v="00102"/>
    <x v="84"/>
    <x v="10"/>
    <s v="04/2026"/>
    <d v="2026-04-10T00:00:00"/>
    <x v="334"/>
    <n v="1708.9"/>
    <n v="0"/>
    <n v="0"/>
    <n v="0"/>
    <n v="1708.9"/>
    <s v="Dinheiro"/>
    <x v="1"/>
  </r>
  <r>
    <s v="00509"/>
    <x v="308"/>
    <x v="95"/>
    <s v="04/2026"/>
    <d v="2026-04-10T00:00:00"/>
    <x v="334"/>
    <n v="475.32"/>
    <n v="0"/>
    <n v="0"/>
    <n v="0"/>
    <n v="475.32"/>
    <s v="Dinheiro"/>
    <x v="1"/>
  </r>
  <r>
    <s v="00278"/>
    <x v="316"/>
    <x v="30"/>
    <s v="04/2026"/>
    <d v="2026-04-10T00:00:00"/>
    <x v="334"/>
    <n v="1620"/>
    <n v="0"/>
    <n v="0"/>
    <n v="0"/>
    <n v="1620"/>
    <s v="Dinheiro"/>
    <x v="1"/>
  </r>
  <r>
    <s v="00351"/>
    <x v="42"/>
    <x v="8"/>
    <s v="04/2026"/>
    <d v="2026-04-14T00:00:00"/>
    <x v="334"/>
    <n v="325"/>
    <n v="0"/>
    <n v="0"/>
    <n v="0"/>
    <n v="325"/>
    <s v="Dinheiro"/>
    <x v="1"/>
  </r>
  <r>
    <s v="00168"/>
    <x v="39"/>
    <x v="8"/>
    <s v="04/2026"/>
    <d v="2026-04-14T00:00:00"/>
    <x v="334"/>
    <n v="250"/>
    <n v="0"/>
    <n v="0"/>
    <n v="0"/>
    <n v="250"/>
    <s v="Dinheiro"/>
    <x v="1"/>
  </r>
  <r>
    <s v="00397"/>
    <x v="152"/>
    <x v="8"/>
    <s v="04/2026"/>
    <d v="2026-04-14T00:00:00"/>
    <x v="334"/>
    <n v="235"/>
    <n v="0"/>
    <n v="0"/>
    <n v="0"/>
    <n v="235"/>
    <s v="Dinheiro"/>
    <x v="1"/>
  </r>
  <r>
    <s v="00684"/>
    <x v="549"/>
    <x v="8"/>
    <s v="04/2026"/>
    <d v="2026-04-14T00:00:00"/>
    <x v="334"/>
    <n v="50"/>
    <n v="0"/>
    <n v="0"/>
    <n v="0"/>
    <n v="50"/>
    <s v="Dinheiro"/>
    <x v="1"/>
  </r>
  <r>
    <s v="00168"/>
    <x v="39"/>
    <x v="8"/>
    <s v="04/2026"/>
    <d v="2026-04-14T00:00:00"/>
    <x v="334"/>
    <n v="150"/>
    <n v="0"/>
    <n v="0"/>
    <n v="0"/>
    <n v="150"/>
    <s v="Dinheiro"/>
    <x v="1"/>
  </r>
  <r>
    <s v="00690"/>
    <x v="545"/>
    <x v="8"/>
    <s v="04/2026"/>
    <d v="2026-04-14T00:00:00"/>
    <x v="334"/>
    <n v="50"/>
    <n v="0"/>
    <n v="0"/>
    <n v="0"/>
    <n v="50"/>
    <s v="Dinheiro"/>
    <x v="1"/>
  </r>
  <r>
    <s v="00349"/>
    <x v="25"/>
    <x v="8"/>
    <s v="04/2026"/>
    <d v="2026-04-14T00:00:00"/>
    <x v="334"/>
    <n v="150"/>
    <n v="0"/>
    <n v="0"/>
    <n v="0"/>
    <n v="150"/>
    <s v="Dinheiro"/>
    <x v="1"/>
  </r>
  <r>
    <s v="00447"/>
    <x v="247"/>
    <x v="8"/>
    <s v="04/2026"/>
    <d v="2026-04-14T00:00:00"/>
    <x v="334"/>
    <n v="100"/>
    <n v="0"/>
    <n v="0"/>
    <n v="0"/>
    <n v="100"/>
    <s v="Dinheiro"/>
    <x v="1"/>
  </r>
  <r>
    <s v="00353"/>
    <x v="61"/>
    <x v="8"/>
    <s v="04/2026"/>
    <d v="2026-04-14T00:00:00"/>
    <x v="334"/>
    <n v="500"/>
    <n v="0"/>
    <n v="0"/>
    <n v="0"/>
    <n v="500"/>
    <s v="Dinheiro"/>
    <x v="1"/>
  </r>
  <r>
    <s v="00464"/>
    <x v="273"/>
    <x v="8"/>
    <s v="04/2026"/>
    <d v="2026-04-14T00:00:00"/>
    <x v="334"/>
    <n v="150"/>
    <n v="0"/>
    <n v="0"/>
    <n v="0"/>
    <n v="150"/>
    <s v="Dinheiro"/>
    <x v="1"/>
  </r>
  <r>
    <s v="00511"/>
    <x v="241"/>
    <x v="8"/>
    <s v="04/2026"/>
    <d v="2026-04-14T00:00:00"/>
    <x v="334"/>
    <n v="250"/>
    <n v="0"/>
    <n v="0"/>
    <n v="0"/>
    <n v="250"/>
    <s v="Dinheiro"/>
    <x v="1"/>
  </r>
  <r>
    <s v="00447"/>
    <x v="247"/>
    <x v="8"/>
    <s v="04/2026"/>
    <d v="2026-04-14T00:00:00"/>
    <x v="334"/>
    <n v="200"/>
    <n v="0"/>
    <n v="0"/>
    <n v="0"/>
    <n v="200"/>
    <s v="Dinheiro"/>
    <x v="1"/>
  </r>
  <r>
    <s v="00696"/>
    <x v="579"/>
    <x v="29"/>
    <s v="04/2026"/>
    <d v="2026-04-10T00:00:00"/>
    <x v="334"/>
    <n v="1176"/>
    <n v="0"/>
    <n v="0"/>
    <n v="0"/>
    <n v="1176"/>
    <s v="Dinheiro"/>
    <x v="1"/>
  </r>
  <r>
    <s v="00355"/>
    <x v="83"/>
    <x v="29"/>
    <s v="04/2026"/>
    <d v="2026-04-10T00:00:00"/>
    <x v="334"/>
    <n v="3074"/>
    <n v="0"/>
    <n v="0"/>
    <n v="0"/>
    <n v="3074"/>
    <s v="Dinheiro"/>
    <x v="1"/>
  </r>
  <r>
    <s v="00491"/>
    <x v="315"/>
    <x v="29"/>
    <s v="04/2026"/>
    <d v="2026-04-10T00:00:00"/>
    <x v="334"/>
    <n v="2604"/>
    <n v="0"/>
    <n v="0"/>
    <n v="0"/>
    <n v="2604"/>
    <s v="Dinheiro"/>
    <x v="1"/>
  </r>
  <r>
    <s v="00584"/>
    <x v="459"/>
    <x v="29"/>
    <s v="04/2026"/>
    <d v="2026-04-10T00:00:00"/>
    <x v="334"/>
    <n v="1092"/>
    <n v="0"/>
    <n v="0"/>
    <n v="0"/>
    <n v="1092"/>
    <s v="Dinheiro"/>
    <x v="1"/>
  </r>
  <r>
    <s v="00659"/>
    <x v="557"/>
    <x v="29"/>
    <s v="04/2026"/>
    <d v="2026-04-10T00:00:00"/>
    <x v="334"/>
    <n v="1008"/>
    <n v="0"/>
    <n v="0"/>
    <n v="0"/>
    <n v="1008"/>
    <s v="Dinheiro"/>
    <x v="1"/>
  </r>
  <r>
    <s v="00616"/>
    <x v="482"/>
    <x v="29"/>
    <s v="04/2026"/>
    <d v="2026-04-10T00:00:00"/>
    <x v="334"/>
    <n v="1092"/>
    <n v="0"/>
    <n v="0"/>
    <n v="0"/>
    <n v="1092"/>
    <s v="Dinheiro"/>
    <x v="1"/>
  </r>
  <r>
    <s v="00447"/>
    <x v="247"/>
    <x v="8"/>
    <s v="04/2026"/>
    <d v="2026-04-13T00:00:00"/>
    <x v="334"/>
    <n v="100"/>
    <n v="0"/>
    <n v="0"/>
    <n v="0"/>
    <n v="100"/>
    <s v="Dinheiro"/>
    <x v="1"/>
  </r>
  <r>
    <s v="00101"/>
    <x v="171"/>
    <x v="58"/>
    <s v="04/2026"/>
    <d v="2026-04-10T00:00:00"/>
    <x v="334"/>
    <n v="605"/>
    <n v="0"/>
    <n v="0"/>
    <n v="0"/>
    <n v="605"/>
    <s v="Dinheiro"/>
    <x v="1"/>
  </r>
  <r>
    <s v="00085"/>
    <x v="555"/>
    <x v="22"/>
    <s v="04/2026"/>
    <d v="2026-04-10T00:00:00"/>
    <x v="334"/>
    <n v="9304.76"/>
    <n v="0"/>
    <n v="0"/>
    <n v="0"/>
    <n v="9304.76"/>
    <s v="Dinheiro"/>
    <x v="1"/>
  </r>
  <r>
    <s v="00014"/>
    <x v="187"/>
    <x v="50"/>
    <s v="04/2026"/>
    <d v="2026-04-10T00:00:00"/>
    <x v="334"/>
    <n v="4100.17"/>
    <n v="0"/>
    <n v="0"/>
    <n v="0"/>
    <n v="4100.17"/>
    <s v="Dinheiro"/>
    <x v="1"/>
  </r>
  <r>
    <s v="00009"/>
    <x v="53"/>
    <x v="24"/>
    <s v="04/2026"/>
    <d v="2026-04-10T00:00:00"/>
    <x v="334"/>
    <n v="28087.8"/>
    <n v="0"/>
    <n v="0"/>
    <n v="0"/>
    <n v="28087.8"/>
    <s v="Dinheiro"/>
    <x v="1"/>
  </r>
  <r>
    <s v="00546"/>
    <x v="402"/>
    <x v="11"/>
    <s v="04/2026"/>
    <d v="2026-04-10T00:00:00"/>
    <x v="334"/>
    <n v="997.5"/>
    <n v="0"/>
    <n v="0"/>
    <n v="0"/>
    <n v="997.5"/>
    <s v="Dinheiro"/>
    <x v="1"/>
  </r>
  <r>
    <s v="00353"/>
    <x v="61"/>
    <x v="45"/>
    <s v="04/2026"/>
    <d v="2026-04-10T00:00:00"/>
    <x v="334"/>
    <n v="100"/>
    <n v="0"/>
    <n v="0"/>
    <n v="0"/>
    <n v="100"/>
    <s v="Dinheiro"/>
    <x v="1"/>
  </r>
  <r>
    <s v="00464"/>
    <x v="273"/>
    <x v="62"/>
    <s v="04/2026"/>
    <d v="2026-04-10T00:00:00"/>
    <x v="334"/>
    <n v="855"/>
    <n v="0"/>
    <n v="0"/>
    <n v="0"/>
    <n v="855"/>
    <s v="Dinheiro"/>
    <x v="1"/>
  </r>
  <r>
    <s v="ENF260129"/>
    <x v="634"/>
    <x v="28"/>
    <s v="04/2026"/>
    <d v="2026-04-10T00:00:00"/>
    <x v="334"/>
    <n v="149"/>
    <n v="0"/>
    <n v="0"/>
    <n v="0"/>
    <n v="149"/>
    <s v="Dinheiro"/>
    <x v="1"/>
  </r>
  <r>
    <s v="00718"/>
    <x v="616"/>
    <x v="14"/>
    <s v="04/2026"/>
    <d v="2026-04-10T00:00:00"/>
    <x v="334"/>
    <n v="22.84"/>
    <n v="0"/>
    <n v="0"/>
    <n v="0"/>
    <n v="22.84"/>
    <s v="Dinheiro"/>
    <x v="1"/>
  </r>
  <r>
    <s v="00448"/>
    <x v="282"/>
    <x v="8"/>
    <s v="04/2026"/>
    <d v="2026-04-10T00:00:00"/>
    <x v="334"/>
    <n v="150"/>
    <n v="0"/>
    <n v="0"/>
    <n v="0"/>
    <n v="150"/>
    <s v="Pix"/>
    <x v="1"/>
  </r>
  <r>
    <s v="00282"/>
    <x v="11"/>
    <x v="10"/>
    <s v="11/2025"/>
    <d v="2025-11-03T00:00:00"/>
    <x v="335"/>
    <n v="10873.6"/>
    <n v="0"/>
    <n v="0"/>
    <n v="0"/>
    <n v="10873.6"/>
    <s v="Dinheiro"/>
    <x v="1"/>
  </r>
  <r>
    <s v="00497"/>
    <x v="324"/>
    <x v="88"/>
    <s v="04/2026"/>
    <d v="2026-04-13T00:00:00"/>
    <x v="335"/>
    <n v="167.58"/>
    <n v="0"/>
    <n v="0"/>
    <n v="0"/>
    <n v="167.58"/>
    <s v="Dinheiro"/>
    <x v="1"/>
  </r>
  <r>
    <s v="00497"/>
    <x v="324"/>
    <x v="88"/>
    <s v="04/2026"/>
    <d v="2026-04-13T00:00:00"/>
    <x v="335"/>
    <n v="77.89"/>
    <n v="0"/>
    <n v="0"/>
    <n v="0"/>
    <n v="77.89"/>
    <s v="Dinheiro"/>
    <x v="1"/>
  </r>
  <r>
    <s v="00362"/>
    <x v="7"/>
    <x v="3"/>
    <s v="04/2026"/>
    <d v="2026-04-13T00:00:00"/>
    <x v="335"/>
    <n v="1965.1000000000001"/>
    <n v="0"/>
    <n v="0"/>
    <n v="0"/>
    <n v="1965.1000000000001"/>
    <s v="Dinheiro"/>
    <x v="1"/>
  </r>
  <r>
    <s v="00530"/>
    <x v="371"/>
    <x v="11"/>
    <s v="04/2026"/>
    <d v="2026-04-13T00:00:00"/>
    <x v="335"/>
    <n v="200"/>
    <n v="0"/>
    <n v="0"/>
    <n v="0"/>
    <n v="200"/>
    <s v="Dinheiro"/>
    <x v="1"/>
  </r>
  <r>
    <s v="00529"/>
    <x v="379"/>
    <x v="11"/>
    <s v="04/2026"/>
    <d v="2026-04-13T00:00:00"/>
    <x v="335"/>
    <n v="1095"/>
    <n v="0"/>
    <n v="0"/>
    <n v="0"/>
    <n v="1095"/>
    <s v="Dinheiro"/>
    <x v="1"/>
  </r>
  <r>
    <s v="00699"/>
    <x v="581"/>
    <x v="11"/>
    <s v="04/2026"/>
    <d v="2026-04-13T00:00:00"/>
    <x v="335"/>
    <n v="1440"/>
    <n v="0"/>
    <n v="0"/>
    <n v="0"/>
    <n v="1440"/>
    <s v="Dinheiro"/>
    <x v="1"/>
  </r>
  <r>
    <s v="00478"/>
    <x v="290"/>
    <x v="56"/>
    <s v="04/2026"/>
    <d v="2026-04-13T00:00:00"/>
    <x v="335"/>
    <n v="199.9"/>
    <n v="0"/>
    <n v="0"/>
    <n v="0"/>
    <n v="199.9"/>
    <s v="Dinheiro"/>
    <x v="1"/>
  </r>
  <r>
    <s v="00644"/>
    <x v="511"/>
    <x v="9"/>
    <s v="04/2026"/>
    <d v="2026-04-13T00:00:00"/>
    <x v="335"/>
    <n v="14.49"/>
    <n v="0"/>
    <n v="0"/>
    <n v="0"/>
    <n v="14.49"/>
    <s v="Dinheiro"/>
    <x v="1"/>
  </r>
  <r>
    <s v="00138"/>
    <x v="576"/>
    <x v="39"/>
    <s v="04/2026"/>
    <d v="2026-04-13T00:00:00"/>
    <x v="335"/>
    <n v="6000"/>
    <n v="0"/>
    <n v="0"/>
    <n v="0"/>
    <n v="6000"/>
    <s v="Dinheiro"/>
    <x v="1"/>
  </r>
  <r>
    <s v="00138"/>
    <x v="576"/>
    <x v="39"/>
    <s v="04/2026"/>
    <d v="2026-04-13T00:00:00"/>
    <x v="335"/>
    <n v="240"/>
    <n v="0"/>
    <n v="0"/>
    <n v="0"/>
    <n v="240"/>
    <s v="Dinheiro"/>
    <x v="1"/>
  </r>
  <r>
    <s v="00077"/>
    <x v="237"/>
    <x v="66"/>
    <s v="01/2026"/>
    <d v="2026-04-14T00:00:00"/>
    <x v="335"/>
    <n v="1450"/>
    <n v="0"/>
    <n v="0"/>
    <n v="0"/>
    <n v="1450"/>
    <s v="Banco Investimentos"/>
    <x v="1"/>
  </r>
  <r>
    <s v="00285"/>
    <x v="303"/>
    <x v="18"/>
    <s v="04/2026"/>
    <d v="2026-04-13T00:00:00"/>
    <x v="335"/>
    <n v="824"/>
    <n v="0"/>
    <n v="0"/>
    <n v="0"/>
    <n v="824"/>
    <s v="Dinheiro"/>
    <x v="1"/>
  </r>
  <r>
    <s v="00728"/>
    <x v="635"/>
    <x v="2"/>
    <s v="04/2026"/>
    <d v="2026-04-13T00:00:00"/>
    <x v="335"/>
    <n v="500"/>
    <n v="0"/>
    <n v="0"/>
    <n v="0"/>
    <n v="500"/>
    <s v="Dinheiro"/>
    <x v="1"/>
  </r>
  <r>
    <s v="00720"/>
    <x v="620"/>
    <x v="11"/>
    <s v="04/2026"/>
    <d v="2026-04-13T00:00:00"/>
    <x v="350"/>
    <n v="2765.1"/>
    <n v="0"/>
    <n v="0"/>
    <n v="0"/>
    <n v="2765.1"/>
    <s v="Dinheiro"/>
    <x v="1"/>
  </r>
  <r>
    <s v="00023"/>
    <x v="636"/>
    <x v="0"/>
    <s v="04/2026"/>
    <d v="2026-04-14T00:00:00"/>
    <x v="350"/>
    <n v="3101.59"/>
    <n v="0"/>
    <n v="0"/>
    <n v="0"/>
    <n v="3101.59"/>
    <s v="Dinheiro"/>
    <x v="1"/>
  </r>
  <r>
    <s v="00355"/>
    <x v="83"/>
    <x v="41"/>
    <s v="04/2026"/>
    <d v="2026-04-14T00:00:00"/>
    <x v="350"/>
    <n v="1537"/>
    <n v="0"/>
    <n v="0"/>
    <n v="0"/>
    <n v="1537"/>
    <s v="Dinheiro"/>
    <x v="1"/>
  </r>
  <r>
    <s v="00718"/>
    <x v="616"/>
    <x v="93"/>
    <s v="04/2026"/>
    <d v="2026-04-14T00:00:00"/>
    <x v="350"/>
    <n v="524.73"/>
    <n v="0"/>
    <n v="0"/>
    <n v="0"/>
    <n v="524.73"/>
    <s v="Dinheiro"/>
    <x v="1"/>
  </r>
  <r>
    <s v="00362"/>
    <x v="7"/>
    <x v="3"/>
    <s v="04/2026"/>
    <d v="2026-04-14T00:00:00"/>
    <x v="350"/>
    <n v="2.19"/>
    <n v="0"/>
    <n v="0"/>
    <n v="0"/>
    <n v="2.19"/>
    <s v="Dinheiro"/>
    <x v="1"/>
  </r>
  <r>
    <s v="00362"/>
    <x v="7"/>
    <x v="3"/>
    <s v="04/2026"/>
    <d v="2026-04-14T00:00:00"/>
    <x v="350"/>
    <n v="2.19"/>
    <n v="0"/>
    <n v="0"/>
    <n v="0"/>
    <n v="2.19"/>
    <s v="Dinheiro"/>
    <x v="1"/>
  </r>
  <r>
    <s v="00362"/>
    <x v="7"/>
    <x v="3"/>
    <s v="04/2026"/>
    <d v="2026-04-15T00:00:00"/>
    <x v="336"/>
    <n v="6.57"/>
    <n v="0"/>
    <n v="0"/>
    <n v="0"/>
    <n v="6.57"/>
    <s v="Dinheiro"/>
    <x v="1"/>
  </r>
  <r>
    <s v="00223"/>
    <x v="32"/>
    <x v="12"/>
    <s v="04/2026"/>
    <d v="2026-04-15T00:00:00"/>
    <x v="336"/>
    <n v="40"/>
    <n v="0"/>
    <n v="0"/>
    <n v="0"/>
    <n v="40"/>
    <s v="Dinheiro"/>
    <x v="1"/>
  </r>
  <r>
    <s v="00065"/>
    <x v="92"/>
    <x v="36"/>
    <s v="04/2026"/>
    <d v="2026-04-15T00:00:00"/>
    <x v="336"/>
    <n v="22331.41"/>
    <n v="0"/>
    <n v="0"/>
    <n v="0"/>
    <n v="22331.41"/>
    <s v="Dinheiro"/>
    <x v="1"/>
  </r>
  <r>
    <s v="00109"/>
    <x v="90"/>
    <x v="35"/>
    <s v="04/2026"/>
    <d v="2026-04-15T00:00:00"/>
    <x v="336"/>
    <n v="217.76"/>
    <n v="0"/>
    <n v="0"/>
    <n v="0"/>
    <n v="217.76"/>
    <s v="Dinheiro"/>
    <x v="1"/>
  </r>
  <r>
    <s v="00725"/>
    <x v="637"/>
    <x v="26"/>
    <s v="04/2026"/>
    <d v="2026-04-14T00:00:00"/>
    <x v="336"/>
    <n v="233.3"/>
    <n v="0"/>
    <n v="0"/>
    <n v="0"/>
    <n v="233.3"/>
    <s v="Dinheiro"/>
    <x v="1"/>
  </r>
  <r>
    <s v="00103"/>
    <x v="97"/>
    <x v="72"/>
    <s v="04/2026"/>
    <d v="2026-04-15T00:00:00"/>
    <x v="336"/>
    <n v="139"/>
    <n v="0"/>
    <n v="0"/>
    <n v="0"/>
    <n v="139"/>
    <s v="Dinheiro"/>
    <x v="1"/>
  </r>
  <r>
    <s v="00106"/>
    <x v="6"/>
    <x v="61"/>
    <s v="04/2026"/>
    <d v="2026-04-15T00:00:00"/>
    <x v="336"/>
    <n v="900"/>
    <n v="0"/>
    <n v="0"/>
    <n v="0"/>
    <n v="900"/>
    <s v="Dinheiro"/>
    <x v="1"/>
  </r>
  <r>
    <s v="00018"/>
    <x v="95"/>
    <x v="16"/>
    <s v="04/2026"/>
    <d v="2026-04-15T00:00:00"/>
    <x v="336"/>
    <n v="828"/>
    <n v="0"/>
    <n v="0"/>
    <n v="0"/>
    <n v="828"/>
    <s v="Dinheiro"/>
    <x v="1"/>
  </r>
  <r>
    <s v="00102"/>
    <x v="84"/>
    <x v="36"/>
    <s v="04/2026"/>
    <d v="2026-04-15T00:00:00"/>
    <x v="336"/>
    <n v="4101.37"/>
    <n v="0"/>
    <n v="0"/>
    <n v="0"/>
    <n v="4101.37"/>
    <s v="Dinheiro"/>
    <x v="1"/>
  </r>
  <r>
    <s v="00068"/>
    <x v="98"/>
    <x v="39"/>
    <s v="04/2026"/>
    <d v="2026-04-15T00:00:00"/>
    <x v="336"/>
    <n v="1621"/>
    <n v="0"/>
    <n v="0"/>
    <n v="0"/>
    <n v="1621"/>
    <s v="Dinheiro"/>
    <x v="1"/>
  </r>
  <r>
    <s v="00102"/>
    <x v="84"/>
    <x v="16"/>
    <s v="04/2026"/>
    <d v="2026-04-15T00:00:00"/>
    <x v="336"/>
    <n v="700"/>
    <n v="0"/>
    <n v="0"/>
    <n v="0"/>
    <n v="700"/>
    <s v="Dinheiro"/>
    <x v="1"/>
  </r>
  <r>
    <s v="00006"/>
    <x v="137"/>
    <x v="53"/>
    <s v="04/2026"/>
    <d v="2026-04-15T00:00:00"/>
    <x v="336"/>
    <n v="1621"/>
    <n v="0"/>
    <n v="0"/>
    <n v="0"/>
    <n v="1621"/>
    <s v="Dinheiro"/>
    <x v="1"/>
  </r>
  <r>
    <s v="00037"/>
    <x v="177"/>
    <x v="38"/>
    <s v="04/2026"/>
    <d v="2026-04-15T00:00:00"/>
    <x v="336"/>
    <n v="74.97"/>
    <n v="0"/>
    <n v="0"/>
    <n v="0"/>
    <n v="74.97"/>
    <s v="Dinheiro"/>
    <x v="1"/>
  </r>
  <r>
    <s v="00037"/>
    <x v="177"/>
    <x v="38"/>
    <s v="04/2026"/>
    <d v="2026-04-15T00:00:00"/>
    <x v="336"/>
    <n v="43.97"/>
    <n v="0"/>
    <n v="0"/>
    <n v="0"/>
    <n v="43.97"/>
    <s v="Dinheiro"/>
    <x v="1"/>
  </r>
  <r>
    <s v="00497"/>
    <x v="324"/>
    <x v="88"/>
    <s v="04/2026"/>
    <d v="2026-04-15T00:00:00"/>
    <x v="336"/>
    <n v="49.94"/>
    <n v="0"/>
    <n v="0"/>
    <n v="0"/>
    <n v="49.94"/>
    <s v="Dinheiro"/>
    <x v="1"/>
  </r>
  <r>
    <s v="00727"/>
    <x v="638"/>
    <x v="53"/>
    <s v="04/2026"/>
    <d v="2026-04-15T00:00:00"/>
    <x v="336"/>
    <n v="25"/>
    <n v="0"/>
    <n v="0"/>
    <n v="0"/>
    <n v="25"/>
    <s v="Dinheiro"/>
    <x v="1"/>
  </r>
  <r>
    <s v="00526"/>
    <x v="368"/>
    <x v="41"/>
    <s v="04/2026"/>
    <d v="2026-04-15T00:00:00"/>
    <x v="336"/>
    <n v="1500"/>
    <n v="0"/>
    <n v="0"/>
    <n v="0"/>
    <n v="1500"/>
    <s v="Dinheiro"/>
    <x v="1"/>
  </r>
  <r>
    <s v="00362"/>
    <x v="7"/>
    <x v="34"/>
    <s v="04/2026"/>
    <d v="2026-04-15T00:00:00"/>
    <x v="336"/>
    <n v="210.38"/>
    <n v="0"/>
    <n v="0"/>
    <n v="0"/>
    <n v="210.38"/>
    <s v="Dinheiro"/>
    <x v="1"/>
  </r>
  <r>
    <s v="00729"/>
    <x v="639"/>
    <x v="93"/>
    <s v="04/2026"/>
    <d v="2026-04-16T00:00:00"/>
    <x v="351"/>
    <n v="70"/>
    <n v="0"/>
    <n v="0"/>
    <n v="0"/>
    <n v="70"/>
    <s v="Dinheiro"/>
    <x v="1"/>
  </r>
  <r>
    <s v="00497"/>
    <x v="324"/>
    <x v="64"/>
    <s v="04/2026"/>
    <d v="2026-04-16T00:00:00"/>
    <x v="351"/>
    <n v="90.89"/>
    <n v="0"/>
    <n v="0"/>
    <n v="0"/>
    <n v="90.89"/>
    <s v="Dinheiro"/>
    <x v="1"/>
  </r>
  <r>
    <s v="00670"/>
    <x v="568"/>
    <x v="95"/>
    <s v="03/2026"/>
    <d v="2026-03-25T00:00:00"/>
    <x v="351"/>
    <n v="431"/>
    <n v="0"/>
    <n v="0"/>
    <n v="0"/>
    <n v="431"/>
    <s v="Dinheiro"/>
    <x v="1"/>
  </r>
  <r>
    <s v="00077"/>
    <x v="237"/>
    <x v="66"/>
    <s v="03/2026"/>
    <d v="2026-04-17T00:00:00"/>
    <x v="351"/>
    <n v="350"/>
    <n v="0"/>
    <n v="0"/>
    <n v="0"/>
    <n v="350"/>
    <s v="Dinheiro"/>
    <x v="1"/>
  </r>
  <r>
    <s v="00154"/>
    <x v="12"/>
    <x v="33"/>
    <s v="04/2026"/>
    <d v="2026-04-16T00:00:00"/>
    <x v="351"/>
    <n v="12000"/>
    <n v="0"/>
    <n v="0"/>
    <n v="0"/>
    <n v="12000"/>
    <s v="Dinheiro"/>
    <x v="1"/>
  </r>
  <r>
    <s v="00355"/>
    <x v="83"/>
    <x v="88"/>
    <s v="04/2026"/>
    <d v="2026-04-16T00:00:00"/>
    <x v="351"/>
    <n v="500"/>
    <n v="0"/>
    <n v="0"/>
    <n v="0"/>
    <n v="500"/>
    <s v="Dinheiro"/>
    <x v="1"/>
  </r>
  <r>
    <s v="00668"/>
    <x v="541"/>
    <x v="93"/>
    <s v="04/2026"/>
    <d v="2026-04-16T00:00:00"/>
    <x v="351"/>
    <n v="2000"/>
    <n v="0"/>
    <n v="0"/>
    <n v="0"/>
    <n v="2000"/>
    <s v="Banco Investimentos"/>
    <x v="1"/>
  </r>
  <r>
    <s v="00353"/>
    <x v="61"/>
    <x v="17"/>
    <s v="04/2026"/>
    <d v="2026-04-16T00:00:00"/>
    <x v="351"/>
    <n v="329.29"/>
    <n v="0"/>
    <n v="0"/>
    <n v="0"/>
    <n v="329.29"/>
    <s v="Dinheiro"/>
    <x v="1"/>
  </r>
  <r>
    <s v="00477"/>
    <x v="288"/>
    <x v="11"/>
    <s v="04/2026"/>
    <d v="2026-04-16T00:00:00"/>
    <x v="351"/>
    <n v="1120"/>
    <n v="0"/>
    <n v="0"/>
    <n v="0"/>
    <n v="1120"/>
    <s v="Dinheiro"/>
    <x v="1"/>
  </r>
  <r>
    <s v="00662"/>
    <x v="531"/>
    <x v="88"/>
    <s v="04/2026"/>
    <d v="2026-04-17T00:00:00"/>
    <x v="337"/>
    <n v="103.02"/>
    <n v="0"/>
    <n v="0"/>
    <n v="0"/>
    <n v="103.02"/>
    <s v="Dinheiro"/>
    <x v="1"/>
  </r>
  <r>
    <s v="00362"/>
    <x v="7"/>
    <x v="34"/>
    <s v="04/2026"/>
    <d v="2026-04-17T00:00:00"/>
    <x v="337"/>
    <n v="5381.79"/>
    <n v="0"/>
    <n v="0"/>
    <n v="0"/>
    <n v="5381.79"/>
    <s v="Dinheiro"/>
    <x v="1"/>
  </r>
  <r>
    <s v="00709"/>
    <x v="607"/>
    <x v="93"/>
    <s v="04/2026"/>
    <d v="2026-04-17T00:00:00"/>
    <x v="337"/>
    <n v="30"/>
    <n v="0"/>
    <n v="0"/>
    <n v="0"/>
    <n v="30"/>
    <s v="Dinheiro"/>
    <x v="1"/>
  </r>
  <r>
    <s v="00362"/>
    <x v="7"/>
    <x v="3"/>
    <s v="04/2026"/>
    <d v="2026-04-20T00:00:00"/>
    <x v="339"/>
    <n v="6.57"/>
    <n v="0"/>
    <n v="0"/>
    <n v="0"/>
    <n v="6.57"/>
    <s v="Dinheiro"/>
    <x v="1"/>
  </r>
  <r>
    <s v="00729"/>
    <x v="639"/>
    <x v="93"/>
    <s v="04/2026"/>
    <d v="2026-04-20T00:00:00"/>
    <x v="339"/>
    <n v="140"/>
    <n v="0"/>
    <n v="0"/>
    <n v="0"/>
    <n v="140"/>
    <s v="Dinheiro"/>
    <x v="1"/>
  </r>
  <r>
    <s v="00685"/>
    <x v="584"/>
    <x v="9"/>
    <s v="04/2026"/>
    <d v="2026-04-20T00:00:00"/>
    <x v="339"/>
    <n v="2964.29"/>
    <n v="0"/>
    <n v="0"/>
    <n v="0"/>
    <n v="2964.29"/>
    <s v="Banco Investimentos"/>
    <x v="1"/>
  </r>
  <r>
    <s v="00011"/>
    <x v="45"/>
    <x v="16"/>
    <s v="04/2026"/>
    <d v="2026-04-20T00:00:00"/>
    <x v="339"/>
    <n v="791.23"/>
    <n v="0"/>
    <n v="0"/>
    <n v="0"/>
    <n v="791.23"/>
    <s v="Dinheiro"/>
    <x v="1"/>
  </r>
  <r>
    <s v="00104"/>
    <x v="380"/>
    <x v="43"/>
    <s v="04/2026"/>
    <d v="2026-04-20T00:00:00"/>
    <x v="339"/>
    <n v="2783.83"/>
    <n v="0"/>
    <n v="0"/>
    <n v="0"/>
    <n v="2783.83"/>
    <s v="Dinheiro"/>
    <x v="1"/>
  </r>
  <r>
    <s v="00022"/>
    <x v="115"/>
    <x v="68"/>
    <s v="04/2026"/>
    <d v="2026-04-20T00:00:00"/>
    <x v="339"/>
    <n v="1443.3700000000001"/>
    <n v="0"/>
    <n v="0"/>
    <n v="0"/>
    <n v="1443.3700000000001"/>
    <s v="Dinheiro"/>
    <x v="1"/>
  </r>
  <r>
    <s v="00104"/>
    <x v="380"/>
    <x v="80"/>
    <s v="04/2026"/>
    <d v="2026-04-20T00:00:00"/>
    <x v="339"/>
    <n v="81.489999999999995"/>
    <n v="0"/>
    <n v="0"/>
    <n v="0"/>
    <n v="81.489999999999995"/>
    <s v="Dinheiro"/>
    <x v="1"/>
  </r>
  <r>
    <s v="00072"/>
    <x v="105"/>
    <x v="40"/>
    <s v="04/2026"/>
    <d v="2026-04-20T00:00:00"/>
    <x v="339"/>
    <n v="17328.490000000002"/>
    <n v="0"/>
    <n v="0"/>
    <n v="0"/>
    <n v="17328.490000000002"/>
    <s v="Dinheiro"/>
    <x v="1"/>
  </r>
  <r>
    <s v="00362"/>
    <x v="7"/>
    <x v="3"/>
    <s v="04/2026"/>
    <d v="2026-04-20T00:00:00"/>
    <x v="339"/>
    <n v="18.28"/>
    <n v="0"/>
    <n v="0"/>
    <n v="0"/>
    <n v="18.28"/>
    <s v="Dinheiro"/>
    <x v="1"/>
  </r>
  <r>
    <s v="00011"/>
    <x v="45"/>
    <x v="16"/>
    <s v="04/2026"/>
    <d v="2026-04-20T00:00:00"/>
    <x v="339"/>
    <n v="1055.17"/>
    <n v="0"/>
    <n v="0"/>
    <n v="0"/>
    <n v="1055.17"/>
    <s v="Dinheiro"/>
    <x v="1"/>
  </r>
  <r>
    <s v="00023"/>
    <x v="636"/>
    <x v="0"/>
    <s v="04/2026"/>
    <d v="2026-04-18T00:00:00"/>
    <x v="339"/>
    <n v="569.64"/>
    <n v="0"/>
    <n v="0"/>
    <n v="0"/>
    <n v="569.64"/>
    <s v="Dinheiro"/>
    <x v="1"/>
  </r>
  <r>
    <s v="00468"/>
    <x v="236"/>
    <x v="34"/>
    <s v="04/2026"/>
    <d v="2026-04-22T00:00:00"/>
    <x v="340"/>
    <n v="10346.719999999999"/>
    <n v="0"/>
    <n v="0"/>
    <n v="0"/>
    <n v="10346.719999999999"/>
    <s v="Dinheiro"/>
    <x v="1"/>
  </r>
  <r>
    <s v="00355"/>
    <x v="83"/>
    <x v="8"/>
    <s v="04/2026"/>
    <d v="2026-04-23T00:00:00"/>
    <x v="341"/>
    <n v="200"/>
    <n v="0"/>
    <n v="0"/>
    <n v="0"/>
    <n v="200"/>
    <s v="Dinheiro"/>
    <x v="1"/>
  </r>
  <r>
    <s v="00285"/>
    <x v="303"/>
    <x v="18"/>
    <s v="04/2026"/>
    <d v="2026-04-22T00:00:00"/>
    <x v="341"/>
    <n v="630"/>
    <n v="0"/>
    <n v="0"/>
    <n v="0"/>
    <n v="630"/>
    <s v="Dinheiro"/>
    <x v="1"/>
  </r>
  <r>
    <s v="00065"/>
    <x v="92"/>
    <x v="10"/>
    <s v="04/2026"/>
    <d v="2026-04-23T00:00:00"/>
    <x v="341"/>
    <n v="2407.48"/>
    <n v="0"/>
    <n v="0"/>
    <n v="0"/>
    <n v="2407.48"/>
    <s v="Dinheiro"/>
    <x v="1"/>
  </r>
  <r>
    <s v="00102"/>
    <x v="84"/>
    <x v="10"/>
    <s v="04/2026"/>
    <d v="2026-04-20T00:00:00"/>
    <x v="341"/>
    <n v="291.09000000000003"/>
    <n v="0"/>
    <n v="0"/>
    <n v="0"/>
    <n v="291.09000000000003"/>
    <s v="Dinheiro"/>
    <x v="1"/>
  </r>
  <r>
    <s v="00075"/>
    <x v="197"/>
    <x v="18"/>
    <s v="04/2026"/>
    <d v="2026-04-20T00:00:00"/>
    <x v="341"/>
    <n v="3192.21"/>
    <n v="0"/>
    <n v="0"/>
    <n v="0"/>
    <n v="3192.21"/>
    <s v="Dinheiro"/>
    <x v="1"/>
  </r>
  <r>
    <s v="00282"/>
    <x v="11"/>
    <x v="10"/>
    <s v="04/2026"/>
    <d v="2026-04-22T00:00:00"/>
    <x v="341"/>
    <n v="4279.5"/>
    <n v="0"/>
    <n v="0"/>
    <n v="0"/>
    <n v="4279.95"/>
    <s v="Dinheiro"/>
    <x v="1"/>
  </r>
  <r>
    <s v="ENF250471"/>
    <x v="626"/>
    <x v="20"/>
    <s v="04/2026"/>
    <d v="2026-04-23T00:00:00"/>
    <x v="341"/>
    <n v="75"/>
    <n v="0"/>
    <n v="0"/>
    <n v="0"/>
    <n v="75"/>
    <s v="Dinheiro"/>
    <x v="1"/>
  </r>
  <r>
    <s v="00729"/>
    <x v="639"/>
    <x v="93"/>
    <s v="04/2025"/>
    <d v="2025-04-24T00:00:00"/>
    <x v="342"/>
    <n v="210"/>
    <n v="0"/>
    <n v="0"/>
    <n v="0"/>
    <n v="210"/>
    <s v="Dinheiro"/>
    <x v="1"/>
  </r>
  <r>
    <s v="00022"/>
    <x v="115"/>
    <x v="68"/>
    <s v="04/2026"/>
    <d v="2026-04-20T00:00:00"/>
    <x v="342"/>
    <n v="3197.5"/>
    <n v="0"/>
    <n v="0"/>
    <n v="0"/>
    <n v="3197.5"/>
    <s v="Dinheiro"/>
    <x v="1"/>
  </r>
  <r>
    <s v="00302"/>
    <x v="96"/>
    <x v="38"/>
    <s v="04/2026"/>
    <d v="2026-04-27T00:00:00"/>
    <x v="344"/>
    <n v="280"/>
    <n v="0"/>
    <n v="0"/>
    <n v="0"/>
    <n v="280"/>
    <s v="Dinheiro"/>
    <x v="1"/>
  </r>
  <r>
    <s v="00353"/>
    <x v="61"/>
    <x v="17"/>
    <s v="04/2026"/>
    <d v="2026-04-27T00:00:00"/>
    <x v="344"/>
    <n v="195"/>
    <n v="0"/>
    <n v="0"/>
    <n v="0"/>
    <n v="195"/>
    <s v="Dinheiro"/>
    <x v="1"/>
  </r>
  <r>
    <s v="00597"/>
    <x v="640"/>
    <x v="39"/>
    <s v="05/2026"/>
    <d v="2026-05-18T00:00:00"/>
    <x v="344"/>
    <n v="2546.14"/>
    <n v="0"/>
    <n v="0"/>
    <n v="0"/>
    <n v="2546.14"/>
    <s v="Dinheiro"/>
    <x v="1"/>
  </r>
  <r>
    <s v="00732"/>
    <x v="641"/>
    <x v="39"/>
    <s v="04/2026"/>
    <d v="2026-04-27T00:00:00"/>
    <x v="344"/>
    <n v="101.92"/>
    <n v="0"/>
    <n v="0"/>
    <n v="0"/>
    <n v="101.92"/>
    <s v="Dinheiro"/>
    <x v="1"/>
  </r>
  <r>
    <s v="00193"/>
    <x v="3"/>
    <x v="0"/>
    <s v="04/2026"/>
    <d v="2026-04-27T00:00:00"/>
    <x v="344"/>
    <n v="455.32"/>
    <n v="0"/>
    <n v="0"/>
    <n v="0"/>
    <n v="455.32"/>
    <s v="Dinheiro"/>
    <x v="1"/>
  </r>
  <r>
    <s v="00024"/>
    <x v="0"/>
    <x v="0"/>
    <s v="04/2026"/>
    <d v="2026-04-27T00:00:00"/>
    <x v="344"/>
    <n v="100"/>
    <n v="0"/>
    <n v="0"/>
    <n v="0"/>
    <n v="100"/>
    <s v="Dinheiro"/>
    <x v="1"/>
  </r>
  <r>
    <s v="00362"/>
    <x v="7"/>
    <x v="48"/>
    <s v="04/2026"/>
    <d v="2026-04-26T00:00:00"/>
    <x v="344"/>
    <n v="10213.050000000001"/>
    <n v="0"/>
    <n v="0"/>
    <n v="0"/>
    <n v="10213.050000000001"/>
    <s v="Dinheiro"/>
    <x v="1"/>
  </r>
  <r>
    <s v="00362"/>
    <x v="7"/>
    <x v="34"/>
    <s v="04/2026"/>
    <d v="2026-04-27T00:00:00"/>
    <x v="344"/>
    <n v="326.22000000000003"/>
    <n v="0"/>
    <n v="0"/>
    <n v="0"/>
    <n v="326.22000000000003"/>
    <s v="Dinheiro"/>
    <x v="1"/>
  </r>
  <r>
    <s v="00362"/>
    <x v="7"/>
    <x v="3"/>
    <s v="04/2026"/>
    <d v="2026-04-27T00:00:00"/>
    <x v="344"/>
    <n v="6.57"/>
    <n v="0"/>
    <n v="0"/>
    <n v="0"/>
    <n v="6.57"/>
    <s v="Dinheiro"/>
    <x v="1"/>
  </r>
  <r>
    <s v="00067"/>
    <x v="132"/>
    <x v="51"/>
    <s v="04/2026"/>
    <d v="2026-04-27T00:00:00"/>
    <x v="345"/>
    <n v="377.43"/>
    <n v="0"/>
    <n v="0"/>
    <n v="0"/>
    <n v="377.43"/>
    <s v="Dinheiro"/>
    <x v="1"/>
  </r>
  <r>
    <s v="00576"/>
    <x v="456"/>
    <x v="94"/>
    <s v="04/2026"/>
    <d v="2026-04-25T00:00:00"/>
    <x v="345"/>
    <n v="1536.68"/>
    <n v="0"/>
    <n v="0"/>
    <n v="0"/>
    <n v="1536.68"/>
    <s v="Dinheiro"/>
    <x v="1"/>
  </r>
  <r>
    <s v="00362"/>
    <x v="7"/>
    <x v="3"/>
    <s v="04/2026"/>
    <d v="2026-04-28T00:00:00"/>
    <x v="345"/>
    <n v="4.38"/>
    <n v="0"/>
    <n v="0"/>
    <n v="0"/>
    <n v="4.38"/>
    <s v="Dinheiro"/>
    <x v="1"/>
  </r>
  <r>
    <s v="00362"/>
    <x v="7"/>
    <x v="3"/>
    <s v="04/2026"/>
    <d v="2026-04-29T00:00:00"/>
    <x v="346"/>
    <n v="4.38"/>
    <n v="0"/>
    <n v="0"/>
    <n v="0"/>
    <n v="4.38"/>
    <s v="Dinheiro"/>
    <x v="1"/>
  </r>
  <r>
    <s v="00362"/>
    <x v="7"/>
    <x v="3"/>
    <s v="05/2026"/>
    <d v="2026-04-30T00:00:00"/>
    <x v="347"/>
    <n v="15.33"/>
    <n v="0"/>
    <n v="0"/>
    <n v="0"/>
    <n v="15.33"/>
    <s v="Dinheiro"/>
    <x v="1"/>
  </r>
  <r>
    <s v="00072"/>
    <x v="105"/>
    <x v="40"/>
    <s v="04/2026"/>
    <d v="2026-04-30T00:00:00"/>
    <x v="347"/>
    <n v="752.65"/>
    <n v="0"/>
    <n v="0"/>
    <n v="0"/>
    <n v="752.65"/>
    <s v="Dinheiro"/>
    <x v="1"/>
  </r>
  <r>
    <s v="00111"/>
    <x v="39"/>
    <x v="45"/>
    <s v="04/2026"/>
    <d v="2026-04-02T00:00:00"/>
    <x v="349"/>
    <n v="39"/>
    <n v="0"/>
    <n v="0"/>
    <n v="0"/>
    <n v="39"/>
    <s v="Dinheiro"/>
    <x v="1"/>
  </r>
  <r>
    <s v="00281"/>
    <x v="421"/>
    <x v="45"/>
    <s v="04/2026"/>
    <d v="2026-04-02T00:00:00"/>
    <x v="349"/>
    <n v="28.400000000000002"/>
    <n v="0"/>
    <n v="0"/>
    <n v="0"/>
    <n v="28.400000000000002"/>
    <s v="Dinheiro"/>
    <x v="1"/>
  </r>
  <r>
    <s v="EXC260006"/>
    <x v="642"/>
    <x v="10"/>
    <s v="04/2026"/>
    <d v="2026-04-04T00:00:00"/>
    <x v="352"/>
    <n v="0"/>
    <n v="0"/>
    <n v="0"/>
    <n v="0"/>
    <n v="0"/>
    <s v="Dinheiro"/>
    <x v="1"/>
  </r>
  <r>
    <s v="ADM230013"/>
    <x v="643"/>
    <x v="103"/>
    <s v="04/2026"/>
    <d v="2026-04-08T00:00:00"/>
    <x v="332"/>
    <n v="50"/>
    <n v="0"/>
    <n v="0"/>
    <n v="0"/>
    <n v="50"/>
    <s v="Dinheiro"/>
    <x v="1"/>
  </r>
  <r>
    <s v="00190"/>
    <x v="32"/>
    <x v="8"/>
    <s v="04/2026"/>
    <d v="2026-04-13T00:00:00"/>
    <x v="335"/>
    <n v="2450"/>
    <n v="0"/>
    <n v="0"/>
    <n v="0"/>
    <n v="2450"/>
    <s v="Dinheiro"/>
    <x v="1"/>
  </r>
  <r>
    <s v="00298"/>
    <x v="489"/>
    <x v="8"/>
    <s v="04/2026"/>
    <d v="2026-04-13T00:00:00"/>
    <x v="335"/>
    <n v="100"/>
    <n v="0"/>
    <n v="0"/>
    <n v="0"/>
    <n v="100"/>
    <s v="Dinheiro"/>
    <x v="1"/>
  </r>
  <r>
    <s v="APH250060"/>
    <x v="644"/>
    <x v="8"/>
    <s v="04/2026"/>
    <d v="2026-04-17T00:00:00"/>
    <x v="337"/>
    <n v="50"/>
    <n v="0"/>
    <n v="0"/>
    <n v="0"/>
    <n v="50"/>
    <s v="Dinheiro"/>
    <x v="1"/>
  </r>
  <r>
    <s v="00418"/>
    <x v="645"/>
    <x v="14"/>
    <s v="04/2026"/>
    <d v="2026-04-22T00:00:00"/>
    <x v="340"/>
    <n v="100"/>
    <n v="0"/>
    <n v="0"/>
    <n v="0"/>
    <n v="100"/>
    <s v="Dinheiro"/>
    <x v="1"/>
  </r>
  <r>
    <s v="00190"/>
    <x v="32"/>
    <x v="8"/>
    <s v="05/2026"/>
    <d v="2026-05-11T00:00:00"/>
    <x v="353"/>
    <n v="1700"/>
    <n v="0"/>
    <n v="0"/>
    <n v="0"/>
    <n v="1700"/>
    <s v="Dinheiro"/>
    <x v="1"/>
  </r>
  <r>
    <s v="00231"/>
    <x v="242"/>
    <x v="8"/>
    <s v="05/2026"/>
    <d v="2026-05-12T00:00:00"/>
    <x v="354"/>
    <n v="150"/>
    <n v="0"/>
    <n v="0"/>
    <n v="0"/>
    <n v="150"/>
    <s v="Dinheiro"/>
    <x v="1"/>
  </r>
  <r>
    <s v="00309"/>
    <x v="25"/>
    <x v="8"/>
    <s v="05/2026"/>
    <d v="2026-05-12T00:00:00"/>
    <x v="354"/>
    <n v="150"/>
    <n v="0"/>
    <n v="0"/>
    <n v="0"/>
    <n v="150"/>
    <s v="Dinheiro"/>
    <x v="1"/>
  </r>
  <r>
    <s v="00362"/>
    <x v="273"/>
    <x v="8"/>
    <s v="05/2026"/>
    <d v="2026-05-12T00:00:00"/>
    <x v="354"/>
    <n v="350"/>
    <n v="0"/>
    <n v="0"/>
    <n v="0"/>
    <n v="350"/>
    <s v="Dinheiro"/>
    <x v="1"/>
  </r>
  <r>
    <s v="00362"/>
    <x v="273"/>
    <x v="15"/>
    <s v="05/2026"/>
    <d v="2026-05-12T00:00:00"/>
    <x v="354"/>
    <n v="242.88"/>
    <n v="0"/>
    <n v="0"/>
    <n v="0"/>
    <n v="242.88"/>
    <s v="Dinheiro"/>
    <x v="1"/>
  </r>
  <r>
    <s v="00334"/>
    <x v="247"/>
    <x v="8"/>
    <s v="05/2026"/>
    <d v="2026-05-15T00:00:00"/>
    <x v="355"/>
    <n v="0"/>
    <n v="0"/>
    <n v="0"/>
    <n v="0"/>
    <n v="50"/>
    <s v="Dinheiro"/>
    <x v="1"/>
  </r>
  <r>
    <s v="00275"/>
    <x v="42"/>
    <x v="8"/>
    <s v="05/2026"/>
    <d v="2026-05-15T00:00:00"/>
    <x v="355"/>
    <n v="50"/>
    <n v="0"/>
    <n v="0"/>
    <n v="0"/>
    <n v="50"/>
    <s v="Dinheiro"/>
    <x v="1"/>
  </r>
  <r>
    <s v="00275"/>
    <x v="42"/>
    <x v="8"/>
    <s v="05/2026"/>
    <d v="2026-05-15T00:00:00"/>
    <x v="355"/>
    <n v="120"/>
    <n v="0"/>
    <n v="0"/>
    <n v="0"/>
    <n v="120"/>
    <s v="Dinheiro"/>
    <x v="1"/>
  </r>
  <r>
    <s v="00298"/>
    <x v="489"/>
    <x v="8"/>
    <s v="05/2026"/>
    <d v="2026-05-15T00:00:00"/>
    <x v="355"/>
    <n v="50"/>
    <n v="0"/>
    <n v="0"/>
    <n v="0"/>
    <n v="50"/>
    <s v="Dinheiro"/>
    <x v="1"/>
  </r>
  <r>
    <s v="00068"/>
    <x v="427"/>
    <x v="25"/>
    <s v="05/2026"/>
    <d v="2026-05-15T00:00:00"/>
    <x v="355"/>
    <n v="61.47"/>
    <n v="0"/>
    <n v="0"/>
    <n v="0"/>
    <n v="61.47"/>
    <s v="Dinheiro"/>
    <x v="1"/>
  </r>
  <r>
    <s v="00215"/>
    <x v="120"/>
    <x v="27"/>
    <s v="05/2026"/>
    <d v="2026-05-16T00:00:00"/>
    <x v="356"/>
    <n v="415.19"/>
    <n v="0"/>
    <n v="0"/>
    <n v="0"/>
    <n v="415.19"/>
    <s v="Dinheiro"/>
    <x v="1"/>
  </r>
  <r>
    <s v="00417"/>
    <x v="467"/>
    <x v="8"/>
    <s v="05/2026"/>
    <d v="2026-05-18T00:00:00"/>
    <x v="357"/>
    <n v="60"/>
    <n v="0"/>
    <n v="0"/>
    <n v="0"/>
    <n v="60"/>
    <s v="Dinheiro"/>
    <x v="1"/>
  </r>
  <r>
    <s v="00104"/>
    <x v="243"/>
    <x v="8"/>
    <s v="05/2026"/>
    <d v="2026-05-18T00:00:00"/>
    <x v="357"/>
    <n v="40"/>
    <n v="0"/>
    <n v="0"/>
    <n v="0"/>
    <n v="40"/>
    <s v="Dinheiro"/>
    <x v="1"/>
  </r>
  <r>
    <s v="BCV250140"/>
    <x v="646"/>
    <x v="8"/>
    <s v="05/2026"/>
    <d v="2026-05-19T00:00:00"/>
    <x v="358"/>
    <n v="50"/>
    <n v="0"/>
    <n v="0"/>
    <n v="0"/>
    <n v="50"/>
    <s v="Dinheiro"/>
    <x v="1"/>
  </r>
  <r>
    <s v="00104"/>
    <x v="243"/>
    <x v="8"/>
    <s v="05/2026"/>
    <d v="2026-05-22T00:00:00"/>
    <x v="359"/>
    <n v="180"/>
    <n v="0"/>
    <n v="0"/>
    <n v="0"/>
    <n v="180"/>
    <s v="Dinheiro"/>
    <x v="1"/>
  </r>
  <r>
    <s v="00413"/>
    <x v="585"/>
    <x v="8"/>
    <s v="05/2026"/>
    <d v="2026-05-25T00:00:00"/>
    <x v="360"/>
    <n v="60"/>
    <n v="0"/>
    <n v="0"/>
    <n v="0"/>
    <n v="60"/>
    <s v="Dinheiro"/>
    <x v="1"/>
  </r>
  <r>
    <s v="00417"/>
    <x v="467"/>
    <x v="8"/>
    <s v="05/2026"/>
    <d v="2026-05-25T00:00:00"/>
    <x v="360"/>
    <n v="140"/>
    <n v="0"/>
    <n v="0"/>
    <n v="0"/>
    <n v="140"/>
    <s v="Dinheiro"/>
    <x v="1"/>
  </r>
  <r>
    <s v="00420"/>
    <x v="419"/>
    <x v="76"/>
    <s v="05/2026"/>
    <d v="2026-05-25T00:00:00"/>
    <x v="360"/>
    <n v="168"/>
    <n v="0"/>
    <n v="0"/>
    <n v="0"/>
    <n v="168"/>
    <s v="Dinheiro"/>
    <x v="1"/>
  </r>
  <r>
    <s v="00281"/>
    <x v="421"/>
    <x v="45"/>
    <s v="05/2026"/>
    <d v="2026-05-26T00:00:00"/>
    <x v="361"/>
    <n v="42.45"/>
    <n v="0"/>
    <n v="0"/>
    <n v="0"/>
    <n v="42.45"/>
    <s v="Dinheiro"/>
    <x v="1"/>
  </r>
  <r>
    <s v="00421"/>
    <x v="270"/>
    <x v="45"/>
    <s v="05/2026"/>
    <d v="2026-05-26T00:00:00"/>
    <x v="361"/>
    <n v="31.470000000000002"/>
    <n v="0"/>
    <n v="0"/>
    <n v="0"/>
    <n v="31.470000000000002"/>
    <s v="Dinheiro"/>
    <x v="1"/>
  </r>
  <r>
    <s v="00039"/>
    <x v="231"/>
    <x v="9"/>
    <s v="05/2026"/>
    <d v="2026-05-04T00:00:00"/>
    <x v="362"/>
    <n v="36.300000000000004"/>
    <n v="0"/>
    <n v="0"/>
    <n v="0"/>
    <n v="36.300000000000004"/>
    <s v="Dinheiro"/>
    <x v="1"/>
  </r>
  <r>
    <s v="00058"/>
    <x v="88"/>
    <x v="9"/>
    <s v="05/2026"/>
    <d v="2026-05-04T00:00:00"/>
    <x v="362"/>
    <n v="45.99"/>
    <n v="0"/>
    <n v="0"/>
    <n v="0"/>
    <n v="45.99"/>
    <s v="Dinheiro"/>
    <x v="1"/>
  </r>
  <r>
    <s v="00032"/>
    <x v="120"/>
    <x v="88"/>
    <s v="05/2026"/>
    <d v="2026-05-04T00:00:00"/>
    <x v="362"/>
    <n v="100.39"/>
    <n v="0"/>
    <n v="0"/>
    <n v="0"/>
    <n v="100.39"/>
    <s v="Dinheiro"/>
    <x v="1"/>
  </r>
  <r>
    <s v="00133"/>
    <x v="24"/>
    <x v="8"/>
    <s v="05/2026"/>
    <d v="2026-05-04T00:00:00"/>
    <x v="362"/>
    <n v="100"/>
    <n v="0"/>
    <n v="0"/>
    <n v="0"/>
    <n v="100"/>
    <s v="Dinheiro"/>
    <x v="1"/>
  </r>
  <r>
    <s v="00613"/>
    <x v="467"/>
    <x v="8"/>
    <s v="05/2026"/>
    <d v="2026-05-04T00:00:00"/>
    <x v="362"/>
    <n v="40"/>
    <n v="0"/>
    <n v="0"/>
    <n v="0"/>
    <n v="40"/>
    <s v="Dinheiro"/>
    <x v="1"/>
  </r>
  <r>
    <s v="00614"/>
    <x v="468"/>
    <x v="8"/>
    <s v="05/2026"/>
    <d v="2026-05-04T00:00:00"/>
    <x v="362"/>
    <n v="60"/>
    <n v="0"/>
    <n v="0"/>
    <n v="0"/>
    <n v="60"/>
    <s v="Dinheiro"/>
    <x v="1"/>
  </r>
  <r>
    <s v="00448"/>
    <x v="282"/>
    <x v="76"/>
    <s v="05/2026"/>
    <d v="2026-05-04T00:00:00"/>
    <x v="362"/>
    <n v="40"/>
    <n v="0"/>
    <n v="0"/>
    <n v="0"/>
    <n v="40"/>
    <s v="Dinheiro"/>
    <x v="1"/>
  </r>
  <r>
    <s v="00403"/>
    <x v="160"/>
    <x v="9"/>
    <s v="05/2026"/>
    <d v="2026-05-05T00:00:00"/>
    <x v="363"/>
    <n v="270"/>
    <n v="0"/>
    <n v="0"/>
    <n v="0"/>
    <n v="270"/>
    <s v="Dinheiro"/>
    <x v="1"/>
  </r>
  <r>
    <s v="00583"/>
    <x v="428"/>
    <x v="88"/>
    <s v="05/2026"/>
    <d v="2026-05-05T00:00:00"/>
    <x v="363"/>
    <n v="277.55"/>
    <n v="0"/>
    <n v="0"/>
    <n v="0"/>
    <n v="277.55"/>
    <s v="Dinheiro"/>
    <x v="1"/>
  </r>
  <r>
    <s v="00036"/>
    <x v="109"/>
    <x v="88"/>
    <s v="05/2026"/>
    <d v="2026-05-05T00:00:00"/>
    <x v="363"/>
    <n v="20.25"/>
    <n v="0"/>
    <n v="0"/>
    <n v="0"/>
    <n v="20.25"/>
    <s v="Dinheiro"/>
    <x v="1"/>
  </r>
  <r>
    <s v="00511"/>
    <x v="241"/>
    <x v="12"/>
    <s v="05/2026"/>
    <d v="2026-05-05T00:00:00"/>
    <x v="363"/>
    <n v="30"/>
    <n v="0"/>
    <n v="0"/>
    <n v="0"/>
    <n v="30"/>
    <s v="Dinheiro"/>
    <x v="1"/>
  </r>
  <r>
    <s v="00583"/>
    <x v="428"/>
    <x v="88"/>
    <s v="05/2026"/>
    <d v="2026-05-06T00:00:00"/>
    <x v="364"/>
    <n v="98.570000000000007"/>
    <n v="0"/>
    <n v="0"/>
    <n v="0"/>
    <n v="98.570000000000007"/>
    <s v="Dinheiro"/>
    <x v="1"/>
  </r>
  <r>
    <s v="00403"/>
    <x v="160"/>
    <x v="9"/>
    <s v="05/2026"/>
    <d v="2026-05-07T00:00:00"/>
    <x v="365"/>
    <n v="750"/>
    <n v="0"/>
    <n v="0"/>
    <n v="0"/>
    <n v="750"/>
    <s v="Dinheiro"/>
    <x v="1"/>
  </r>
  <r>
    <s v="00328"/>
    <x v="270"/>
    <x v="45"/>
    <s v="05/2026"/>
    <d v="2026-05-08T00:00:00"/>
    <x v="366"/>
    <n v="33.99"/>
    <n v="0"/>
    <n v="0"/>
    <n v="0"/>
    <n v="33.99"/>
    <s v="Dinheiro"/>
    <x v="1"/>
  </r>
  <r>
    <s v="00736"/>
    <x v="647"/>
    <x v="88"/>
    <s v="05/2026"/>
    <d v="2026-05-08T00:00:00"/>
    <x v="366"/>
    <n v="180.62"/>
    <n v="0"/>
    <n v="0"/>
    <n v="0"/>
    <n v="180.62"/>
    <s v="Dinheiro"/>
    <x v="1"/>
  </r>
  <r>
    <s v="00036"/>
    <x v="109"/>
    <x v="88"/>
    <s v="05/2026"/>
    <d v="2026-05-09T00:00:00"/>
    <x v="367"/>
    <n v="60"/>
    <n v="0"/>
    <n v="0"/>
    <n v="0"/>
    <n v="60"/>
    <s v="Dinheiro"/>
    <x v="1"/>
  </r>
  <r>
    <s v="00464"/>
    <x v="273"/>
    <x v="88"/>
    <s v="05/2026"/>
    <d v="2026-05-09T00:00:00"/>
    <x v="367"/>
    <n v="13.5"/>
    <n v="0"/>
    <n v="0"/>
    <n v="0"/>
    <n v="13.5"/>
    <s v="Dinheiro"/>
    <x v="1"/>
  </r>
  <r>
    <s v="00705"/>
    <x v="593"/>
    <x v="8"/>
    <s v="05/2026"/>
    <d v="2026-05-11T00:00:00"/>
    <x v="353"/>
    <n v="250"/>
    <n v="0"/>
    <n v="0"/>
    <n v="0"/>
    <n v="250"/>
    <s v="Dinheiro"/>
    <x v="1"/>
  </r>
  <r>
    <s v="00614"/>
    <x v="468"/>
    <x v="8"/>
    <s v="05/2026"/>
    <d v="2026-05-11T00:00:00"/>
    <x v="353"/>
    <n v="550"/>
    <n v="0"/>
    <n v="0"/>
    <n v="0"/>
    <n v="550"/>
    <s v="Dinheiro"/>
    <x v="1"/>
  </r>
  <r>
    <s v="00594"/>
    <x v="448"/>
    <x v="88"/>
    <s v="05/2026"/>
    <d v="2026-05-11T00:00:00"/>
    <x v="353"/>
    <n v="46.6"/>
    <n v="0"/>
    <n v="0"/>
    <n v="0"/>
    <n v="46.6"/>
    <s v="Dinheiro"/>
    <x v="1"/>
  </r>
  <r>
    <s v="00202"/>
    <x v="632"/>
    <x v="30"/>
    <s v="05/2026"/>
    <d v="2026-05-11T00:00:00"/>
    <x v="353"/>
    <n v="1520"/>
    <n v="0"/>
    <n v="0"/>
    <n v="0"/>
    <n v="1520"/>
    <s v="Dinheiro"/>
    <x v="1"/>
  </r>
  <r>
    <s v="00428"/>
    <x v="606"/>
    <x v="8"/>
    <s v="05/2026"/>
    <d v="2026-05-11T00:00:00"/>
    <x v="353"/>
    <n v="170"/>
    <n v="0"/>
    <n v="0"/>
    <n v="0"/>
    <n v="170"/>
    <s v="Dinheiro"/>
    <x v="1"/>
  </r>
  <r>
    <s v="00133"/>
    <x v="24"/>
    <x v="8"/>
    <s v="05/2026"/>
    <d v="2026-05-11T00:00:00"/>
    <x v="353"/>
    <n v="1620"/>
    <n v="0"/>
    <n v="0"/>
    <n v="0"/>
    <n v="1620"/>
    <s v="Dinheiro"/>
    <x v="1"/>
  </r>
  <r>
    <s v="00336"/>
    <x v="648"/>
    <x v="8"/>
    <s v="05/2026"/>
    <d v="2026-05-11T00:00:00"/>
    <x v="353"/>
    <n v="530"/>
    <n v="0"/>
    <n v="0"/>
    <n v="0"/>
    <n v="530"/>
    <s v="Dinheiro"/>
    <x v="1"/>
  </r>
  <r>
    <s v="00511"/>
    <x v="241"/>
    <x v="8"/>
    <s v="05/2026"/>
    <d v="2026-05-11T00:00:00"/>
    <x v="353"/>
    <n v="500"/>
    <n v="0"/>
    <n v="0"/>
    <n v="0"/>
    <n v="500"/>
    <s v="Dinheiro"/>
    <x v="1"/>
  </r>
  <r>
    <s v="00351"/>
    <x v="42"/>
    <x v="8"/>
    <s v="05/2026"/>
    <d v="2026-05-11T00:00:00"/>
    <x v="353"/>
    <n v="150"/>
    <n v="0"/>
    <n v="0"/>
    <n v="0"/>
    <n v="150"/>
    <s v="Dinheiro"/>
    <x v="1"/>
  </r>
  <r>
    <s v="00351"/>
    <x v="42"/>
    <x v="8"/>
    <s v="05/2026"/>
    <d v="2026-05-11T00:00:00"/>
    <x v="353"/>
    <n v="300"/>
    <n v="0"/>
    <n v="0"/>
    <n v="0"/>
    <n v="300"/>
    <s v="Dinheiro"/>
    <x v="1"/>
  </r>
  <r>
    <s v="00448"/>
    <x v="282"/>
    <x v="8"/>
    <s v="05/2026"/>
    <d v="2026-05-11T00:00:00"/>
    <x v="353"/>
    <n v="150"/>
    <n v="0"/>
    <n v="0"/>
    <n v="0"/>
    <n v="150"/>
    <s v="Dinheiro"/>
    <x v="1"/>
  </r>
  <r>
    <s v="00690"/>
    <x v="545"/>
    <x v="8"/>
    <s v="05/2026"/>
    <d v="2026-05-11T00:00:00"/>
    <x v="353"/>
    <n v="100"/>
    <n v="0"/>
    <n v="0"/>
    <n v="0"/>
    <n v="100"/>
    <s v="Dinheiro"/>
    <x v="1"/>
  </r>
  <r>
    <s v="00168"/>
    <x v="39"/>
    <x v="8"/>
    <s v="05/2026"/>
    <d v="2026-05-11T00:00:00"/>
    <x v="353"/>
    <n v="200"/>
    <n v="0"/>
    <n v="0"/>
    <n v="0"/>
    <n v="200"/>
    <s v="Dinheiro"/>
    <x v="1"/>
  </r>
  <r>
    <s v="00353"/>
    <x v="61"/>
    <x v="8"/>
    <s v="05/2026"/>
    <d v="2026-05-11T00:00:00"/>
    <x v="353"/>
    <n v="650"/>
    <n v="0"/>
    <n v="0"/>
    <n v="0"/>
    <n v="650"/>
    <s v="Dinheiro"/>
    <x v="1"/>
  </r>
  <r>
    <s v="00397"/>
    <x v="152"/>
    <x v="8"/>
    <s v="05/2026"/>
    <d v="2026-05-11T00:00:00"/>
    <x v="353"/>
    <n v="150"/>
    <n v="0"/>
    <n v="0"/>
    <n v="0"/>
    <n v="150"/>
    <s v="Dinheiro"/>
    <x v="1"/>
  </r>
  <r>
    <s v="00397"/>
    <x v="152"/>
    <x v="8"/>
    <s v="05/2026"/>
    <d v="2026-05-11T00:00:00"/>
    <x v="353"/>
    <n v="150"/>
    <n v="0"/>
    <n v="0"/>
    <n v="0"/>
    <n v="150"/>
    <s v="Dinheiro"/>
    <x v="1"/>
  </r>
  <r>
    <s v="00037"/>
    <x v="177"/>
    <x v="38"/>
    <s v="05/2026"/>
    <d v="2026-05-11T00:00:00"/>
    <x v="353"/>
    <n v="119.81"/>
    <n v="0"/>
    <n v="0"/>
    <n v="0"/>
    <n v="119.81"/>
    <s v="Dinheiro"/>
    <x v="1"/>
  </r>
  <r>
    <s v="00447"/>
    <x v="247"/>
    <x v="8"/>
    <s v="05/2026"/>
    <d v="2026-05-12T00:00:00"/>
    <x v="354"/>
    <n v="150"/>
    <n v="0"/>
    <n v="0"/>
    <n v="0"/>
    <n v="150"/>
    <s v="Dinheiro"/>
    <x v="1"/>
  </r>
  <r>
    <s v="00447"/>
    <x v="247"/>
    <x v="8"/>
    <s v="05/2026"/>
    <d v="2026-05-12T00:00:00"/>
    <x v="354"/>
    <n v="200"/>
    <n v="0"/>
    <n v="0"/>
    <n v="0"/>
    <n v="200"/>
    <s v="Dinheiro"/>
    <x v="1"/>
  </r>
  <r>
    <s v="00028"/>
    <x v="108"/>
    <x v="45"/>
    <s v="05/2026"/>
    <d v="2026-05-12T00:00:00"/>
    <x v="354"/>
    <n v="40"/>
    <n v="0"/>
    <n v="0"/>
    <n v="0"/>
    <n v="40"/>
    <s v="Dinheiro"/>
    <x v="1"/>
  </r>
  <r>
    <s v="00036"/>
    <x v="109"/>
    <x v="88"/>
    <s v="05/2026"/>
    <d v="2026-05-12T00:00:00"/>
    <x v="354"/>
    <n v="4.9000000000000004"/>
    <n v="0"/>
    <n v="0"/>
    <n v="0"/>
    <n v="4.9000000000000004"/>
    <s v="Dinheiro"/>
    <x v="1"/>
  </r>
  <r>
    <s v="00036"/>
    <x v="109"/>
    <x v="88"/>
    <s v="05/2026"/>
    <d v="2026-05-13T00:00:00"/>
    <x v="368"/>
    <n v="13.58"/>
    <n v="0"/>
    <n v="0"/>
    <n v="0"/>
    <n v="13.58"/>
    <s v="Dinheiro"/>
    <x v="1"/>
  </r>
  <r>
    <s v="00583"/>
    <x v="428"/>
    <x v="88"/>
    <s v="05/2026"/>
    <d v="2026-05-13T00:00:00"/>
    <x v="368"/>
    <n v="133.68"/>
    <n v="0"/>
    <n v="0"/>
    <n v="0"/>
    <n v="133.68"/>
    <s v="Dinheiro"/>
    <x v="1"/>
  </r>
  <r>
    <s v="00682"/>
    <x v="562"/>
    <x v="38"/>
    <s v="05/2026"/>
    <d v="2026-05-13T00:00:00"/>
    <x v="368"/>
    <n v="11.6"/>
    <n v="0"/>
    <n v="0"/>
    <n v="0"/>
    <n v="11.6"/>
    <s v="Dinheiro"/>
    <x v="1"/>
  </r>
  <r>
    <s v="00037"/>
    <x v="177"/>
    <x v="38"/>
    <s v="05/2026"/>
    <d v="2026-05-13T00:00:00"/>
    <x v="368"/>
    <n v="9.9600000000000009"/>
    <n v="0"/>
    <n v="0"/>
    <n v="0"/>
    <n v="9.9600000000000009"/>
    <s v="Dinheiro"/>
    <x v="1"/>
  </r>
  <r>
    <s v="00036"/>
    <x v="109"/>
    <x v="25"/>
    <s v="05/2026"/>
    <d v="2026-05-14T00:00:00"/>
    <x v="369"/>
    <n v="10.57"/>
    <n v="0"/>
    <n v="0"/>
    <n v="0"/>
    <n v="10.57"/>
    <s v="Dinheiro"/>
    <x v="1"/>
  </r>
  <r>
    <s v="00028"/>
    <x v="108"/>
    <x v="45"/>
    <s v="05/2026"/>
    <d v="2026-05-14T00:00:00"/>
    <x v="369"/>
    <n v="28"/>
    <n v="0"/>
    <n v="0"/>
    <n v="0"/>
    <n v="28"/>
    <s v="Dinheiro"/>
    <x v="1"/>
  </r>
  <r>
    <s v="00036"/>
    <x v="109"/>
    <x v="88"/>
    <s v="05/2026"/>
    <d v="2026-05-15T00:00:00"/>
    <x v="355"/>
    <n v="21.900000000000002"/>
    <n v="0"/>
    <n v="0"/>
    <n v="0"/>
    <n v="21.900000000000002"/>
    <s v="Dinheiro"/>
    <x v="1"/>
  </r>
  <r>
    <s v="00037"/>
    <x v="177"/>
    <x v="38"/>
    <s v="05/2026"/>
    <d v="2026-05-15T00:00:00"/>
    <x v="355"/>
    <n v="53"/>
    <n v="0"/>
    <n v="0"/>
    <n v="0"/>
    <n v="53"/>
    <s v="Dinheiro"/>
    <x v="1"/>
  </r>
  <r>
    <s v="00397"/>
    <x v="152"/>
    <x v="8"/>
    <s v="05/2026"/>
    <d v="2026-05-15T00:00:00"/>
    <x v="355"/>
    <n v="50"/>
    <n v="0"/>
    <n v="0"/>
    <n v="0"/>
    <n v="50"/>
    <s v="Dinheiro"/>
    <x v="1"/>
  </r>
  <r>
    <s v="00397"/>
    <x v="152"/>
    <x v="8"/>
    <s v="05/2026"/>
    <d v="2026-05-15T00:00:00"/>
    <x v="355"/>
    <n v="70"/>
    <n v="0"/>
    <n v="0"/>
    <n v="0"/>
    <n v="70"/>
    <s v="Dinheiro"/>
    <x v="1"/>
  </r>
  <r>
    <s v="00502"/>
    <x v="331"/>
    <x v="8"/>
    <s v="05/2026"/>
    <d v="2026-05-15T00:00:00"/>
    <x v="355"/>
    <n v="50"/>
    <n v="0"/>
    <n v="0"/>
    <n v="0"/>
    <n v="50"/>
    <s v="Dinheiro"/>
    <x v="1"/>
  </r>
  <r>
    <s v="00028"/>
    <x v="108"/>
    <x v="45"/>
    <s v="05/2026"/>
    <d v="2026-05-18T00:00:00"/>
    <x v="357"/>
    <n v="28"/>
    <n v="0"/>
    <n v="0"/>
    <n v="0"/>
    <n v="28"/>
    <s v="Dinheiro"/>
    <x v="1"/>
  </r>
  <r>
    <s v="00154"/>
    <x v="12"/>
    <x v="38"/>
    <s v="05/2026"/>
    <d v="2026-05-18T00:00:00"/>
    <x v="357"/>
    <n v="18.350000000000001"/>
    <n v="0"/>
    <n v="0"/>
    <n v="0"/>
    <n v="18.350000000000001"/>
    <s v="Dinheiro"/>
    <x v="1"/>
  </r>
  <r>
    <s v="00428"/>
    <x v="606"/>
    <x v="8"/>
    <s v="05/2026"/>
    <d v="2026-05-18T00:00:00"/>
    <x v="357"/>
    <n v="60"/>
    <n v="0"/>
    <n v="0"/>
    <n v="0"/>
    <n v="60"/>
    <s v="Dinheiro"/>
    <x v="1"/>
  </r>
  <r>
    <s v="00035"/>
    <x v="204"/>
    <x v="27"/>
    <s v="05/2026"/>
    <d v="2026-05-19T00:00:00"/>
    <x v="358"/>
    <n v="9"/>
    <n v="0"/>
    <n v="0"/>
    <n v="0"/>
    <n v="9"/>
    <s v="Dinheiro"/>
    <x v="1"/>
  </r>
  <r>
    <s v="00041"/>
    <x v="354"/>
    <x v="27"/>
    <s v="05/2026"/>
    <d v="2026-05-19T00:00:00"/>
    <x v="358"/>
    <n v="30"/>
    <n v="0"/>
    <n v="0"/>
    <n v="0"/>
    <n v="30"/>
    <s v="Dinheiro"/>
    <x v="1"/>
  </r>
  <r>
    <s v="00041"/>
    <x v="354"/>
    <x v="27"/>
    <s v="05/2026"/>
    <d v="2026-05-19T00:00:00"/>
    <x v="358"/>
    <n v="30"/>
    <n v="0"/>
    <n v="0"/>
    <n v="0"/>
    <n v="30"/>
    <s v="Dinheiro"/>
    <x v="1"/>
  </r>
  <r>
    <s v="00445"/>
    <x v="267"/>
    <x v="27"/>
    <s v="05/2026"/>
    <d v="2026-05-19T00:00:00"/>
    <x v="358"/>
    <n v="25"/>
    <n v="0"/>
    <n v="0"/>
    <n v="0"/>
    <n v="25"/>
    <s v="Dinheiro"/>
    <x v="1"/>
  </r>
  <r>
    <s v="00610"/>
    <x v="463"/>
    <x v="47"/>
    <s v="05/2026"/>
    <d v="2026-05-19T00:00:00"/>
    <x v="358"/>
    <n v="14.07"/>
    <n v="0"/>
    <n v="0"/>
    <n v="0"/>
    <n v="14.07"/>
    <s v="Dinheiro"/>
    <x v="1"/>
  </r>
  <r>
    <s v="00328"/>
    <x v="270"/>
    <x v="45"/>
    <s v="05/2026"/>
    <d v="2026-05-20T00:00:00"/>
    <x v="370"/>
    <n v="58.76"/>
    <n v="0"/>
    <n v="0"/>
    <n v="0"/>
    <n v="58.76"/>
    <s v="Dinheiro"/>
    <x v="1"/>
  </r>
  <r>
    <s v="ENF250093"/>
    <x v="649"/>
    <x v="8"/>
    <s v="05/2026"/>
    <d v="2026-05-20T00:00:00"/>
    <x v="370"/>
    <n v="50"/>
    <n v="0"/>
    <n v="0"/>
    <n v="0"/>
    <n v="50"/>
    <s v="Dinheiro"/>
    <x v="1"/>
  </r>
  <r>
    <s v="00036"/>
    <x v="109"/>
    <x v="45"/>
    <s v="05/2026"/>
    <d v="2026-05-21T00:00:00"/>
    <x v="371"/>
    <n v="18.39"/>
    <n v="0"/>
    <n v="0"/>
    <n v="0"/>
    <n v="18.39"/>
    <s v="Dinheiro"/>
    <x v="1"/>
  </r>
  <r>
    <s v="00028"/>
    <x v="108"/>
    <x v="45"/>
    <s v="05/2026"/>
    <d v="2026-05-21T00:00:00"/>
    <x v="371"/>
    <n v="30"/>
    <n v="0"/>
    <n v="0"/>
    <n v="0"/>
    <n v="30"/>
    <s v="Dinheiro"/>
    <x v="1"/>
  </r>
  <r>
    <s v="00032"/>
    <x v="120"/>
    <x v="27"/>
    <s v="05/2026"/>
    <d v="2026-05-21T00:00:00"/>
    <x v="371"/>
    <n v="87.2"/>
    <n v="0"/>
    <n v="0"/>
    <n v="0"/>
    <n v="87.2"/>
    <s v="Dinheiro"/>
    <x v="1"/>
  </r>
  <r>
    <s v="00036"/>
    <x v="109"/>
    <x v="45"/>
    <s v="05/2026"/>
    <d v="2026-05-21T00:00:00"/>
    <x v="371"/>
    <n v="10.6"/>
    <n v="0"/>
    <n v="0"/>
    <n v="0"/>
    <n v="10.6"/>
    <s v="Dinheiro"/>
    <x v="1"/>
  </r>
  <r>
    <s v="00028"/>
    <x v="108"/>
    <x v="45"/>
    <s v="05/2026"/>
    <d v="2026-05-21T00:00:00"/>
    <x v="371"/>
    <n v="28"/>
    <n v="0"/>
    <n v="0"/>
    <n v="0"/>
    <n v="28"/>
    <s v="Dinheiro"/>
    <x v="1"/>
  </r>
  <r>
    <s v="00036"/>
    <x v="109"/>
    <x v="45"/>
    <s v="05/2026"/>
    <d v="2026-05-22T00:00:00"/>
    <x v="359"/>
    <n v="23.1"/>
    <n v="0"/>
    <n v="0"/>
    <n v="0"/>
    <n v="23.1"/>
    <s v="Dinheiro"/>
    <x v="1"/>
  </r>
  <r>
    <s v="00330"/>
    <x v="14"/>
    <x v="13"/>
    <s v="05/2026"/>
    <d v="2026-05-22T00:00:00"/>
    <x v="359"/>
    <n v="60"/>
    <n v="0"/>
    <n v="0"/>
    <n v="0"/>
    <n v="60"/>
    <s v="Dinheiro"/>
    <x v="1"/>
  </r>
  <r>
    <s v="00715"/>
    <x v="613"/>
    <x v="8"/>
    <s v="05/2026"/>
    <d v="2026-05-22T00:00:00"/>
    <x v="359"/>
    <n v="50"/>
    <n v="0"/>
    <n v="0"/>
    <n v="0"/>
    <n v="50"/>
    <s v="Dinheiro"/>
    <x v="1"/>
  </r>
  <r>
    <s v="00039"/>
    <x v="231"/>
    <x v="45"/>
    <s v="05/2026"/>
    <d v="2026-05-25T00:00:00"/>
    <x v="360"/>
    <n v="19.900000000000002"/>
    <n v="0"/>
    <n v="0"/>
    <n v="0"/>
    <n v="19.900000000000002"/>
    <s v="Dinheiro"/>
    <x v="1"/>
  </r>
  <r>
    <s v="00467"/>
    <x v="275"/>
    <x v="27"/>
    <s v="05/2026"/>
    <d v="2026-05-25T00:00:00"/>
    <x v="360"/>
    <n v="30"/>
    <n v="0"/>
    <n v="0"/>
    <n v="0"/>
    <n v="30"/>
    <s v="Dinheiro"/>
    <x v="1"/>
  </r>
  <r>
    <s v="00028"/>
    <x v="108"/>
    <x v="45"/>
    <s v="05/2026"/>
    <d v="2026-05-25T00:00:00"/>
    <x v="360"/>
    <n v="44"/>
    <n v="0"/>
    <n v="0"/>
    <n v="0"/>
    <n v="44"/>
    <s v="Dinheiro"/>
    <x v="1"/>
  </r>
  <r>
    <s v="00328"/>
    <x v="270"/>
    <x v="45"/>
    <s v="05/2026"/>
    <d v="2026-05-25T00:00:00"/>
    <x v="360"/>
    <n v="67.69"/>
    <n v="0"/>
    <n v="0"/>
    <n v="0"/>
    <n v="67.69"/>
    <s v="Dinheiro"/>
    <x v="1"/>
  </r>
  <r>
    <s v="00351"/>
    <x v="42"/>
    <x v="32"/>
    <s v="05/2026"/>
    <d v="2026-05-01T00:00:00"/>
    <x v="372"/>
    <n v="255.42000000000002"/>
    <n v="0"/>
    <n v="0"/>
    <n v="0"/>
    <n v="255.42000000000002"/>
    <s v="Dinheiro"/>
    <x v="1"/>
  </r>
  <r>
    <s v="00316"/>
    <x v="17"/>
    <x v="32"/>
    <s v="05/2026"/>
    <d v="2026-05-01T00:00:00"/>
    <x v="372"/>
    <n v="255.42000000000002"/>
    <n v="0"/>
    <n v="0"/>
    <n v="0"/>
    <n v="255.42000000000002"/>
    <s v="Dinheiro"/>
    <x v="1"/>
  </r>
  <r>
    <s v="00692"/>
    <x v="569"/>
    <x v="32"/>
    <s v="05/2026"/>
    <d v="2026-05-01T00:00:00"/>
    <x v="372"/>
    <n v="255.42000000000002"/>
    <n v="0"/>
    <n v="0"/>
    <n v="0"/>
    <n v="255.42000000000002"/>
    <s v="Dinheiro"/>
    <x v="1"/>
  </r>
  <r>
    <s v="00223"/>
    <x v="32"/>
    <x v="32"/>
    <s v="05/2026"/>
    <d v="2026-05-01T00:00:00"/>
    <x v="372"/>
    <n v="255.42000000000002"/>
    <n v="0"/>
    <n v="0"/>
    <n v="0"/>
    <n v="255.42000000000002"/>
    <s v="Dinheiro"/>
    <x v="1"/>
  </r>
  <r>
    <s v="00160"/>
    <x v="31"/>
    <x v="32"/>
    <s v="05/2026"/>
    <d v="2026-05-01T00:00:00"/>
    <x v="372"/>
    <n v="131.82"/>
    <n v="0"/>
    <n v="0"/>
    <n v="0"/>
    <n v="131.82"/>
    <s v="Dinheiro"/>
    <x v="1"/>
  </r>
  <r>
    <s v="00478"/>
    <x v="290"/>
    <x v="32"/>
    <s v="05/2026"/>
    <d v="2026-05-01T00:00:00"/>
    <x v="372"/>
    <n v="255.42000000000002"/>
    <n v="0"/>
    <n v="0"/>
    <n v="0"/>
    <n v="255.42000000000002"/>
    <s v="Dinheiro"/>
    <x v="1"/>
  </r>
  <r>
    <s v="00447"/>
    <x v="247"/>
    <x v="32"/>
    <s v="05/2026"/>
    <d v="2026-05-01T00:00:00"/>
    <x v="372"/>
    <n v="255.42000000000002"/>
    <n v="0"/>
    <n v="0"/>
    <n v="0"/>
    <n v="255.42000000000002"/>
    <s v="Dinheiro"/>
    <x v="1"/>
  </r>
  <r>
    <s v="00448"/>
    <x v="282"/>
    <x v="32"/>
    <s v="05/2026"/>
    <d v="2026-05-01T00:00:00"/>
    <x v="372"/>
    <n v="255.42000000000002"/>
    <n v="0"/>
    <n v="0"/>
    <n v="0"/>
    <n v="255.42000000000002"/>
    <s v="Dinheiro"/>
    <x v="1"/>
  </r>
  <r>
    <s v="00715"/>
    <x v="613"/>
    <x v="32"/>
    <s v="05/2026"/>
    <d v="2026-05-01T00:00:00"/>
    <x v="372"/>
    <n v="255.42000000000002"/>
    <n v="0"/>
    <n v="0"/>
    <n v="0"/>
    <n v="255.42000000000002"/>
    <s v="Dinheiro"/>
    <x v="1"/>
  </r>
  <r>
    <s v="00502"/>
    <x v="331"/>
    <x v="32"/>
    <s v="05/2026"/>
    <d v="2026-05-01T00:00:00"/>
    <x v="372"/>
    <n v="255.42000000000002"/>
    <n v="0"/>
    <n v="0"/>
    <n v="0"/>
    <n v="255.42000000000002"/>
    <s v="Dinheiro"/>
    <x v="1"/>
  </r>
  <r>
    <s v="00613"/>
    <x v="467"/>
    <x v="32"/>
    <s v="05/2026"/>
    <d v="2026-05-01T00:00:00"/>
    <x v="372"/>
    <n v="255.42000000000002"/>
    <n v="0"/>
    <n v="0"/>
    <n v="0"/>
    <n v="255.42000000000002"/>
    <s v="Dinheiro"/>
    <x v="1"/>
  </r>
  <r>
    <s v="00397"/>
    <x v="152"/>
    <x v="32"/>
    <s v="05/2026"/>
    <d v="2026-05-01T00:00:00"/>
    <x v="372"/>
    <n v="255.42000000000002"/>
    <n v="0"/>
    <n v="0"/>
    <n v="0"/>
    <n v="255.42000000000002"/>
    <s v="Dinheiro"/>
    <x v="1"/>
  </r>
  <r>
    <s v="00498"/>
    <x v="242"/>
    <x v="32"/>
    <s v="05/2026"/>
    <d v="2026-05-01T00:00:00"/>
    <x v="372"/>
    <n v="255.42000000000002"/>
    <n v="0"/>
    <n v="0"/>
    <n v="0"/>
    <n v="255.42000000000002"/>
    <s v="Dinheiro"/>
    <x v="1"/>
  </r>
  <r>
    <s v="00349"/>
    <x v="25"/>
    <x v="32"/>
    <s v="05/2026"/>
    <d v="2026-05-01T00:00:00"/>
    <x v="372"/>
    <n v="255.42000000000002"/>
    <n v="0"/>
    <n v="0"/>
    <n v="0"/>
    <n v="255.42000000000002"/>
    <s v="Dinheiro"/>
    <x v="1"/>
  </r>
  <r>
    <s v="00705"/>
    <x v="593"/>
    <x v="32"/>
    <s v="05/2026"/>
    <d v="2026-05-01T00:00:00"/>
    <x v="372"/>
    <n v="255.42000000000002"/>
    <n v="0"/>
    <n v="0"/>
    <n v="0"/>
    <n v="255.42000000000002"/>
    <s v="Dinheiro"/>
    <x v="1"/>
  </r>
  <r>
    <s v="00511"/>
    <x v="241"/>
    <x v="32"/>
    <s v="05/2026"/>
    <d v="2026-05-01T00:00:00"/>
    <x v="372"/>
    <n v="255.42000000000002"/>
    <n v="0"/>
    <n v="0"/>
    <n v="0"/>
    <n v="255.42000000000002"/>
    <s v="Dinheiro"/>
    <x v="1"/>
  </r>
  <r>
    <s v="00731"/>
    <x v="628"/>
    <x v="32"/>
    <s v="05/2026"/>
    <d v="2026-05-01T00:00:00"/>
    <x v="372"/>
    <n v="255.42000000000002"/>
    <n v="0"/>
    <n v="0"/>
    <n v="0"/>
    <n v="255.42000000000002"/>
    <s v="Dinheiro"/>
    <x v="1"/>
  </r>
  <r>
    <s v="00614"/>
    <x v="468"/>
    <x v="32"/>
    <s v="05/2026"/>
    <d v="2026-05-01T00:00:00"/>
    <x v="372"/>
    <n v="255.42000000000002"/>
    <n v="0"/>
    <n v="0"/>
    <n v="0"/>
    <n v="255.42000000000002"/>
    <s v="Dinheiro"/>
    <x v="1"/>
  </r>
  <r>
    <s v="00734"/>
    <x v="650"/>
    <x v="32"/>
    <s v="05/2026"/>
    <d v="2026-05-01T00:00:00"/>
    <x v="372"/>
    <n v="255.42000000000002"/>
    <n v="0"/>
    <n v="0"/>
    <n v="0"/>
    <n v="255.42000000000002"/>
    <s v="Dinheiro"/>
    <x v="1"/>
  </r>
  <r>
    <s v="00168"/>
    <x v="39"/>
    <x v="32"/>
    <s v="05/2026"/>
    <d v="2026-05-01T00:00:00"/>
    <x v="372"/>
    <n v="255.42000000000002"/>
    <n v="0"/>
    <n v="0"/>
    <n v="0"/>
    <n v="255.42000000000002"/>
    <s v="Dinheiro"/>
    <x v="1"/>
  </r>
  <r>
    <s v="00464"/>
    <x v="273"/>
    <x v="32"/>
    <s v="05/2026"/>
    <d v="2026-05-01T00:00:00"/>
    <x v="372"/>
    <n v="255.42000000000002"/>
    <n v="0"/>
    <n v="0"/>
    <n v="0"/>
    <n v="255.42000000000002"/>
    <s v="Dinheiro"/>
    <x v="1"/>
  </r>
  <r>
    <s v="00133"/>
    <x v="24"/>
    <x v="32"/>
    <s v="05/2026"/>
    <d v="2026-05-01T00:00:00"/>
    <x v="372"/>
    <n v="255.42000000000002"/>
    <n v="0"/>
    <n v="0"/>
    <n v="0"/>
    <n v="255.42000000000002"/>
    <s v="Dinheiro"/>
    <x v="1"/>
  </r>
  <r>
    <s v="00478"/>
    <x v="290"/>
    <x v="1"/>
    <s v="05/2026"/>
    <d v="2026-05-01T00:00:00"/>
    <x v="372"/>
    <n v="168.84"/>
    <n v="0"/>
    <n v="0"/>
    <n v="0"/>
    <n v="168.84"/>
    <s v="Dinheiro"/>
    <x v="1"/>
  </r>
  <r>
    <s v="00614"/>
    <x v="468"/>
    <x v="1"/>
    <s v="05/2026"/>
    <d v="2026-05-01T00:00:00"/>
    <x v="372"/>
    <n v="431.48"/>
    <n v="0"/>
    <n v="0"/>
    <n v="0"/>
    <n v="431.48"/>
    <s v="Dinheiro"/>
    <x v="1"/>
  </r>
  <r>
    <s v="00613"/>
    <x v="467"/>
    <x v="1"/>
    <s v="05/2026"/>
    <d v="2026-05-01T00:00:00"/>
    <x v="372"/>
    <n v="393.96000000000004"/>
    <n v="0"/>
    <n v="0"/>
    <n v="0"/>
    <n v="393.96000000000004"/>
    <s v="Dinheiro"/>
    <x v="1"/>
  </r>
  <r>
    <s v="00397"/>
    <x v="152"/>
    <x v="1"/>
    <s v="05/2026"/>
    <d v="2026-05-01T00:00:00"/>
    <x v="372"/>
    <n v="375.2"/>
    <n v="0"/>
    <n v="0"/>
    <n v="0"/>
    <n v="375.2"/>
    <s v="Dinheiro"/>
    <x v="1"/>
  </r>
  <r>
    <s v="00223"/>
    <x v="32"/>
    <x v="1"/>
    <s v="05/2026"/>
    <d v="2026-05-01T00:00:00"/>
    <x v="372"/>
    <n v="244.20000000000002"/>
    <n v="0"/>
    <n v="0"/>
    <n v="0"/>
    <n v="244.20000000000002"/>
    <s v="Dinheiro"/>
    <x v="1"/>
  </r>
  <r>
    <s v="00498"/>
    <x v="242"/>
    <x v="1"/>
    <s v="05/2026"/>
    <d v="2026-05-01T00:00:00"/>
    <x v="372"/>
    <n v="356.44"/>
    <n v="0"/>
    <n v="0"/>
    <n v="0"/>
    <n v="356.44"/>
    <s v="Dinheiro"/>
    <x v="1"/>
  </r>
  <r>
    <s v="00511"/>
    <x v="241"/>
    <x v="1"/>
    <s v="05/2026"/>
    <d v="2026-05-01T00:00:00"/>
    <x v="372"/>
    <n v="412.72"/>
    <n v="0"/>
    <n v="0"/>
    <n v="0"/>
    <n v="412.72"/>
    <s v="Dinheiro"/>
    <x v="1"/>
  </r>
  <r>
    <s v="00502"/>
    <x v="331"/>
    <x v="1"/>
    <s v="05/2026"/>
    <d v="2026-05-01T00:00:00"/>
    <x v="372"/>
    <n v="337.68"/>
    <n v="0"/>
    <n v="0"/>
    <n v="0"/>
    <n v="337.68"/>
    <s v="Dinheiro"/>
    <x v="1"/>
  </r>
  <r>
    <s v="00448"/>
    <x v="282"/>
    <x v="1"/>
    <s v="02/2026"/>
    <d v="2026-05-01T00:00:00"/>
    <x v="372"/>
    <n v="393.96000000000004"/>
    <n v="0"/>
    <n v="0"/>
    <n v="0"/>
    <n v="393.96000000000004"/>
    <s v="Dinheiro"/>
    <x v="1"/>
  </r>
  <r>
    <s v="00316"/>
    <x v="17"/>
    <x v="1"/>
    <s v="05/2026"/>
    <d v="2026-05-01T00:00:00"/>
    <x v="372"/>
    <n v="375.2"/>
    <n v="0"/>
    <n v="0"/>
    <n v="0"/>
    <n v="375.2"/>
    <s v="Dinheiro"/>
    <x v="1"/>
  </r>
  <r>
    <s v="00692"/>
    <x v="569"/>
    <x v="1"/>
    <s v="05/2026"/>
    <d v="2026-05-01T00:00:00"/>
    <x v="372"/>
    <n v="256.2"/>
    <n v="0"/>
    <n v="0"/>
    <n v="0"/>
    <n v="256.2"/>
    <s v="Dinheiro"/>
    <x v="1"/>
  </r>
  <r>
    <s v="00133"/>
    <x v="24"/>
    <x v="1"/>
    <s v="05/2026"/>
    <d v="2026-05-01T00:00:00"/>
    <x v="372"/>
    <n v="297.16000000000003"/>
    <n v="0"/>
    <n v="0"/>
    <n v="0"/>
    <n v="297.16000000000003"/>
    <s v="Dinheiro"/>
    <x v="1"/>
  </r>
  <r>
    <s v="00447"/>
    <x v="247"/>
    <x v="1"/>
    <s v="05/2026"/>
    <d v="2026-05-01T00:00:00"/>
    <x v="372"/>
    <n v="575.70000000000005"/>
    <n v="0"/>
    <n v="0"/>
    <n v="0"/>
    <n v="575.70000000000005"/>
    <s v="Dinheiro"/>
    <x v="1"/>
  </r>
  <r>
    <s v="00712"/>
    <x v="598"/>
    <x v="32"/>
    <s v="05/2026"/>
    <d v="2026-05-04T00:00:00"/>
    <x v="372"/>
    <n v="255.42000000000002"/>
    <n v="0"/>
    <n v="0"/>
    <n v="0"/>
    <n v="255.42000000000002"/>
    <s v="Dinheiro"/>
    <x v="1"/>
  </r>
  <r>
    <s v="00723"/>
    <x v="623"/>
    <x v="1"/>
    <s v="05/2026"/>
    <d v="2026-05-01T00:00:00"/>
    <x v="372"/>
    <n v="244"/>
    <n v="0"/>
    <n v="0"/>
    <n v="0"/>
    <n v="244"/>
    <s v="Dinheiro"/>
    <x v="1"/>
  </r>
  <r>
    <s v="00464"/>
    <x v="273"/>
    <x v="1"/>
    <s v="05/2026"/>
    <d v="2026-05-01T00:00:00"/>
    <x v="372"/>
    <n v="280.60000000000002"/>
    <n v="0"/>
    <n v="0"/>
    <n v="0"/>
    <n v="280.60000000000002"/>
    <s v="Dinheiro"/>
    <x v="1"/>
  </r>
  <r>
    <s v="00411"/>
    <x v="181"/>
    <x v="1"/>
    <s v="05/2026"/>
    <d v="2026-05-01T00:00:00"/>
    <x v="372"/>
    <n v="61"/>
    <n v="0"/>
    <n v="0"/>
    <n v="0"/>
    <n v="61"/>
    <s v="Dinheiro"/>
    <x v="1"/>
  </r>
  <r>
    <s v="00351"/>
    <x v="42"/>
    <x v="1"/>
    <s v="05/2026"/>
    <d v="2026-05-01T00:00:00"/>
    <x v="372"/>
    <n v="524"/>
    <n v="0"/>
    <n v="0"/>
    <n v="0"/>
    <n v="524"/>
    <s v="Dinheiro"/>
    <x v="1"/>
  </r>
  <r>
    <s v="00684"/>
    <x v="549"/>
    <x v="1"/>
    <s v="05/2026"/>
    <d v="2026-05-01T00:00:00"/>
    <x v="372"/>
    <n v="268.39999999999998"/>
    <n v="0"/>
    <n v="0"/>
    <n v="0"/>
    <n v="268.39999999999998"/>
    <s v="Dinheiro"/>
    <x v="1"/>
  </r>
  <r>
    <s v="00712"/>
    <x v="598"/>
    <x v="1"/>
    <s v="05/2026"/>
    <d v="2026-05-01T00:00:00"/>
    <x v="372"/>
    <n v="280.60000000000002"/>
    <n v="0"/>
    <n v="0"/>
    <n v="0"/>
    <n v="280.60000000000002"/>
    <s v="Dinheiro"/>
    <x v="1"/>
  </r>
  <r>
    <s v="00690"/>
    <x v="545"/>
    <x v="1"/>
    <s v="05/2026"/>
    <d v="2026-05-01T00:00:00"/>
    <x v="372"/>
    <n v="501.6"/>
    <n v="0"/>
    <n v="0"/>
    <n v="0"/>
    <n v="501.6"/>
    <s v="Dinheiro"/>
    <x v="1"/>
  </r>
  <r>
    <s v="00410"/>
    <x v="176"/>
    <x v="1"/>
    <s v="05/2026"/>
    <d v="2026-05-01T00:00:00"/>
    <x v="372"/>
    <n v="244"/>
    <n v="0"/>
    <n v="0"/>
    <n v="0"/>
    <n v="244"/>
    <s v="Dinheiro"/>
    <x v="1"/>
  </r>
  <r>
    <s v="00731"/>
    <x v="628"/>
    <x v="1"/>
    <s v="05/2026"/>
    <d v="2026-05-01T00:00:00"/>
    <x v="372"/>
    <n v="244"/>
    <n v="0"/>
    <n v="0"/>
    <n v="0"/>
    <n v="244"/>
    <s v="Dinheiro"/>
    <x v="1"/>
  </r>
  <r>
    <s v="00349"/>
    <x v="25"/>
    <x v="1"/>
    <s v="05/2026"/>
    <d v="2026-05-01T00:00:00"/>
    <x v="372"/>
    <n v="441"/>
    <n v="0"/>
    <n v="0"/>
    <n v="0"/>
    <n v="441"/>
    <s v="Dinheiro"/>
    <x v="1"/>
  </r>
  <r>
    <s v="00168"/>
    <x v="39"/>
    <x v="1"/>
    <s v="05/2026"/>
    <d v="2026-05-01T00:00:00"/>
    <x v="372"/>
    <n v="407.52"/>
    <n v="0"/>
    <n v="0"/>
    <n v="0"/>
    <n v="407.52"/>
    <s v="Dinheiro"/>
    <x v="1"/>
  </r>
  <r>
    <s v="00715"/>
    <x v="613"/>
    <x v="1"/>
    <s v="05/2026"/>
    <d v="2026-05-01T00:00:00"/>
    <x v="372"/>
    <n v="305"/>
    <n v="0"/>
    <n v="0"/>
    <n v="0"/>
    <n v="305"/>
    <s v="Dinheiro"/>
    <x v="1"/>
  </r>
  <r>
    <s v="00705"/>
    <x v="593"/>
    <x v="1"/>
    <s v="05/2026"/>
    <d v="2026-05-01T00:00:00"/>
    <x v="372"/>
    <n v="244"/>
    <n v="0"/>
    <n v="0"/>
    <n v="0"/>
    <n v="244"/>
    <s v="Dinheiro"/>
    <x v="1"/>
  </r>
  <r>
    <s v="00160"/>
    <x v="31"/>
    <x v="1"/>
    <s v="05/2026"/>
    <d v="2026-05-01T00:00:00"/>
    <x v="372"/>
    <n v="195.20000000000002"/>
    <n v="0"/>
    <n v="0"/>
    <n v="0"/>
    <n v="195.20000000000002"/>
    <s v="Dinheiro"/>
    <x v="1"/>
  </r>
  <r>
    <s v="00734"/>
    <x v="650"/>
    <x v="1"/>
    <s v="05/2026"/>
    <d v="2026-05-01T00:00:00"/>
    <x v="372"/>
    <n v="280.60000000000002"/>
    <n v="0"/>
    <n v="0"/>
    <n v="0"/>
    <n v="280.60000000000002"/>
    <s v="Dinheiro"/>
    <x v="1"/>
  </r>
  <r>
    <s v="00362"/>
    <x v="7"/>
    <x v="3"/>
    <s v="05/2026"/>
    <d v="2026-05-04T00:00:00"/>
    <x v="362"/>
    <n v="11.33"/>
    <n v="0"/>
    <n v="0"/>
    <n v="0"/>
    <n v="11.33"/>
    <s v="Dinheiro"/>
    <x v="1"/>
  </r>
  <r>
    <s v="00362"/>
    <x v="7"/>
    <x v="3"/>
    <s v="05/2026"/>
    <d v="2026-05-04T00:00:00"/>
    <x v="362"/>
    <n v="76.650000000000006"/>
    <n v="0"/>
    <n v="0"/>
    <n v="0"/>
    <n v="76.650000000000006"/>
    <s v="Dinheiro"/>
    <x v="1"/>
  </r>
  <r>
    <s v="00302"/>
    <x v="96"/>
    <x v="38"/>
    <s v="05/2026"/>
    <d v="2026-05-04T00:00:00"/>
    <x v="362"/>
    <n v="536"/>
    <n v="0"/>
    <n v="0"/>
    <n v="0"/>
    <n v="536"/>
    <s v="Dinheiro"/>
    <x v="1"/>
  </r>
  <r>
    <s v="00049"/>
    <x v="571"/>
    <x v="27"/>
    <s v="05/2026"/>
    <d v="2026-05-04T00:00:00"/>
    <x v="362"/>
    <n v="29.900000000000002"/>
    <n v="0"/>
    <n v="0"/>
    <n v="0"/>
    <n v="29.900000000000002"/>
    <s v="Dinheiro"/>
    <x v="1"/>
  </r>
  <r>
    <s v="00193"/>
    <x v="3"/>
    <x v="0"/>
    <s v="05/2026"/>
    <d v="2026-05-04T00:00:00"/>
    <x v="362"/>
    <n v="1800"/>
    <n v="0"/>
    <n v="0"/>
    <n v="0"/>
    <n v="1800"/>
    <s v="Dinheiro"/>
    <x v="1"/>
  </r>
  <r>
    <s v="00193"/>
    <x v="3"/>
    <x v="0"/>
    <s v="05/2026"/>
    <d v="2026-05-04T00:00:00"/>
    <x v="362"/>
    <n v="2800"/>
    <n v="0"/>
    <n v="0"/>
    <n v="0"/>
    <n v="2800"/>
    <s v="Dinheiro"/>
    <x v="1"/>
  </r>
  <r>
    <s v="00362"/>
    <x v="7"/>
    <x v="34"/>
    <s v="05/2026"/>
    <d v="2026-05-04T00:00:00"/>
    <x v="362"/>
    <n v="4713.8599999999997"/>
    <n v="0"/>
    <n v="0"/>
    <n v="0"/>
    <n v="4713.8599999999997"/>
    <s v="Dinheiro"/>
    <x v="1"/>
  </r>
  <r>
    <s v="00362"/>
    <x v="7"/>
    <x v="3"/>
    <s v="05/2026"/>
    <d v="2026-05-05T00:00:00"/>
    <x v="363"/>
    <n v="160.47999999999999"/>
    <n v="0"/>
    <n v="0"/>
    <n v="0"/>
    <n v="160.47999999999999"/>
    <s v="Dinheiro"/>
    <x v="1"/>
  </r>
  <r>
    <s v="00362"/>
    <x v="7"/>
    <x v="34"/>
    <s v="05/2026"/>
    <d v="2026-05-05T00:00:00"/>
    <x v="363"/>
    <n v="135.52000000000001"/>
    <n v="0"/>
    <n v="0"/>
    <n v="0"/>
    <n v="135.52000000000001"/>
    <s v="Dinheiro"/>
    <x v="1"/>
  </r>
  <r>
    <s v="00362"/>
    <x v="7"/>
    <x v="3"/>
    <s v="05/2026"/>
    <d v="2026-05-05T00:00:00"/>
    <x v="363"/>
    <n v="26.28"/>
    <n v="0"/>
    <n v="0"/>
    <n v="0"/>
    <n v="26.28"/>
    <s v="Dinheiro"/>
    <x v="1"/>
  </r>
  <r>
    <s v="00362"/>
    <x v="7"/>
    <x v="3"/>
    <s v="05/2026"/>
    <d v="2026-05-05T00:00:00"/>
    <x v="363"/>
    <n v="557.11"/>
    <n v="0"/>
    <n v="0"/>
    <n v="0"/>
    <n v="557.11"/>
    <s v="Dinheiro"/>
    <x v="1"/>
  </r>
  <r>
    <s v="00362"/>
    <x v="7"/>
    <x v="3"/>
    <s v="05/2026"/>
    <d v="2026-05-05T00:00:00"/>
    <x v="363"/>
    <n v="3.2600000000000002"/>
    <n v="0"/>
    <n v="0"/>
    <n v="0"/>
    <n v="3.2600000000000002"/>
    <s v="Dinheiro"/>
    <x v="1"/>
  </r>
  <r>
    <s v="00362"/>
    <x v="7"/>
    <x v="3"/>
    <s v="05/2026"/>
    <d v="2026-05-05T00:00:00"/>
    <x v="363"/>
    <n v="385.56"/>
    <n v="0"/>
    <n v="0"/>
    <n v="0"/>
    <n v="385.56"/>
    <s v="Dinheiro"/>
    <x v="1"/>
  </r>
  <r>
    <s v="00362"/>
    <x v="7"/>
    <x v="3"/>
    <s v="05/2026"/>
    <d v="2026-05-05T00:00:00"/>
    <x v="363"/>
    <n v="41.06"/>
    <n v="0"/>
    <n v="0"/>
    <n v="0"/>
    <n v="41.06"/>
    <s v="Dinheiro"/>
    <x v="1"/>
  </r>
  <r>
    <s v="00362"/>
    <x v="7"/>
    <x v="3"/>
    <s v="05/2026"/>
    <d v="2026-05-05T00:00:00"/>
    <x v="363"/>
    <n v="72.27"/>
    <n v="0"/>
    <n v="0"/>
    <n v="0"/>
    <n v="72.27"/>
    <s v="Dinheiro"/>
    <x v="1"/>
  </r>
  <r>
    <s v="00349"/>
    <x v="25"/>
    <x v="38"/>
    <s v="05/2026"/>
    <d v="2026-05-05T00:00:00"/>
    <x v="363"/>
    <n v="50"/>
    <n v="0"/>
    <n v="0"/>
    <n v="0"/>
    <n v="50"/>
    <s v="Dinheiro"/>
    <x v="1"/>
  </r>
  <r>
    <s v="00277"/>
    <x v="47"/>
    <x v="16"/>
    <s v="05/2026"/>
    <d v="2026-05-05T00:00:00"/>
    <x v="363"/>
    <n v="391.33"/>
    <n v="0"/>
    <n v="0"/>
    <n v="0"/>
    <n v="391.33"/>
    <s v="Dinheiro"/>
    <x v="1"/>
  </r>
  <r>
    <s v="00088"/>
    <x v="29"/>
    <x v="62"/>
    <s v="05/2026"/>
    <d v="2026-05-01T00:00:00"/>
    <x v="363"/>
    <n v="129.97"/>
    <n v="0"/>
    <n v="0"/>
    <n v="0"/>
    <n v="129.97"/>
    <s v="Dinheiro"/>
    <x v="1"/>
  </r>
  <r>
    <s v="00024"/>
    <x v="0"/>
    <x v="0"/>
    <s v="05/2026"/>
    <d v="2026-05-05T00:00:00"/>
    <x v="363"/>
    <n v="200"/>
    <n v="0"/>
    <n v="0"/>
    <n v="0"/>
    <n v="200"/>
    <s v="Dinheiro"/>
    <x v="1"/>
  </r>
  <r>
    <s v="00024"/>
    <x v="0"/>
    <x v="0"/>
    <s v="05/2026"/>
    <d v="2026-05-05T00:00:00"/>
    <x v="363"/>
    <n v="700"/>
    <n v="0"/>
    <n v="0"/>
    <n v="0"/>
    <n v="700"/>
    <s v="Dinheiro"/>
    <x v="1"/>
  </r>
  <r>
    <s v="00668"/>
    <x v="541"/>
    <x v="93"/>
    <s v="05/2026"/>
    <d v="2026-05-05T00:00:00"/>
    <x v="363"/>
    <n v="1000"/>
    <n v="0"/>
    <n v="0"/>
    <n v="0"/>
    <n v="1000"/>
    <s v="Dinheiro"/>
    <x v="1"/>
  </r>
  <r>
    <s v="00362"/>
    <x v="7"/>
    <x v="3"/>
    <s v="05/2026"/>
    <d v="2026-05-06T00:00:00"/>
    <x v="364"/>
    <n v="816.87"/>
    <n v="0"/>
    <n v="0"/>
    <n v="0"/>
    <n v="816.87"/>
    <s v="Dinheiro"/>
    <x v="1"/>
  </r>
  <r>
    <s v="00362"/>
    <x v="7"/>
    <x v="3"/>
    <s v="05/2026"/>
    <d v="2026-05-06T00:00:00"/>
    <x v="364"/>
    <n v="28.47"/>
    <n v="0"/>
    <n v="0"/>
    <n v="0"/>
    <n v="28.47"/>
    <s v="Dinheiro"/>
    <x v="1"/>
  </r>
  <r>
    <s v="00302"/>
    <x v="96"/>
    <x v="38"/>
    <s v="05/2026"/>
    <d v="2026-05-06T00:00:00"/>
    <x v="364"/>
    <n v="290"/>
    <n v="0"/>
    <n v="0"/>
    <n v="0"/>
    <n v="290"/>
    <s v="Dinheiro"/>
    <x v="1"/>
  </r>
  <r>
    <s v="00102"/>
    <x v="84"/>
    <x v="10"/>
    <s v="05/2026"/>
    <d v="2026-05-04T00:00:00"/>
    <x v="364"/>
    <n v="1585.26"/>
    <n v="0"/>
    <n v="0"/>
    <n v="0"/>
    <n v="1585.26"/>
    <s v="Dinheiro"/>
    <x v="1"/>
  </r>
  <r>
    <s v="00074"/>
    <x v="54"/>
    <x v="16"/>
    <s v="05/2026"/>
    <d v="2026-05-06T00:00:00"/>
    <x v="364"/>
    <n v="99"/>
    <n v="0"/>
    <n v="0"/>
    <n v="0"/>
    <n v="99"/>
    <s v="Dinheiro"/>
    <x v="1"/>
  </r>
  <r>
    <s v="00014"/>
    <x v="187"/>
    <x v="50"/>
    <s v="05/2026"/>
    <d v="2026-05-06T00:00:00"/>
    <x v="364"/>
    <n v="5096.29"/>
    <n v="0"/>
    <n v="0"/>
    <n v="0"/>
    <n v="5096.29"/>
    <s v="Dinheiro"/>
    <x v="1"/>
  </r>
  <r>
    <s v="00258"/>
    <x v="43"/>
    <x v="0"/>
    <s v="05/2026"/>
    <d v="2026-05-05T00:00:00"/>
    <x v="364"/>
    <n v="2046.7"/>
    <n v="0"/>
    <n v="0"/>
    <n v="0"/>
    <n v="2046.7"/>
    <s v="Dinheiro"/>
    <x v="1"/>
  </r>
  <r>
    <s v="00285"/>
    <x v="303"/>
    <x v="18"/>
    <s v="04/2026"/>
    <d v="2026-05-05T00:00:00"/>
    <x v="364"/>
    <n v="1440"/>
    <n v="0"/>
    <n v="0"/>
    <n v="0"/>
    <n v="1440"/>
    <s v="Dinheiro"/>
    <x v="1"/>
  </r>
  <r>
    <s v="00615"/>
    <x v="487"/>
    <x v="25"/>
    <s v="05/2026"/>
    <d v="2026-05-05T00:00:00"/>
    <x v="364"/>
    <n v="2022.21"/>
    <n v="0"/>
    <n v="0"/>
    <n v="0"/>
    <n v="2022.21"/>
    <s v="Dinheiro"/>
    <x v="1"/>
  </r>
  <r>
    <s v="00016"/>
    <x v="185"/>
    <x v="102"/>
    <s v="05/2026"/>
    <d v="2026-05-06T00:00:00"/>
    <x v="364"/>
    <n v="102.52"/>
    <n v="0"/>
    <n v="0"/>
    <n v="0"/>
    <n v="102.52"/>
    <s v="Dinheiro"/>
    <x v="1"/>
  </r>
  <r>
    <s v="00075"/>
    <x v="197"/>
    <x v="18"/>
    <s v="04/2026"/>
    <d v="2026-04-27T00:00:00"/>
    <x v="364"/>
    <n v="2648.94"/>
    <n v="0"/>
    <n v="0"/>
    <n v="0"/>
    <n v="2648.94"/>
    <s v="Dinheiro"/>
    <x v="1"/>
  </r>
  <r>
    <s v="00362"/>
    <x v="7"/>
    <x v="3"/>
    <s v="05/2026"/>
    <d v="2026-05-07T00:00:00"/>
    <x v="365"/>
    <n v="127.02"/>
    <n v="0"/>
    <n v="0"/>
    <n v="0"/>
    <n v="127.02"/>
    <s v="Dinheiro"/>
    <x v="1"/>
  </r>
  <r>
    <s v="00362"/>
    <x v="7"/>
    <x v="3"/>
    <s v="05/2026"/>
    <d v="2026-05-07T00:00:00"/>
    <x v="365"/>
    <n v="54.75"/>
    <n v="0"/>
    <n v="0"/>
    <n v="0"/>
    <n v="54.75"/>
    <s v="Dinheiro"/>
    <x v="1"/>
  </r>
  <r>
    <s v="00351"/>
    <x v="42"/>
    <x v="15"/>
    <s v="05/2026"/>
    <d v="2026-05-07T00:00:00"/>
    <x v="365"/>
    <n v="1724"/>
    <n v="0"/>
    <n v="0"/>
    <n v="0"/>
    <n v="1724"/>
    <s v="Dinheiro"/>
    <x v="1"/>
  </r>
  <r>
    <s v="00316"/>
    <x v="17"/>
    <x v="15"/>
    <s v="05/2026"/>
    <d v="2026-05-07T00:00:00"/>
    <x v="365"/>
    <n v="1572"/>
    <n v="0"/>
    <n v="0"/>
    <n v="0"/>
    <n v="1572"/>
    <s v="Dinheiro"/>
    <x v="1"/>
  </r>
  <r>
    <s v="00223"/>
    <x v="32"/>
    <x v="15"/>
    <s v="05/2026"/>
    <d v="2026-05-07T00:00:00"/>
    <x v="365"/>
    <n v="1346"/>
    <n v="0"/>
    <n v="0"/>
    <n v="0"/>
    <n v="1346"/>
    <s v="Dinheiro"/>
    <x v="1"/>
  </r>
  <r>
    <s v="00692"/>
    <x v="569"/>
    <x v="15"/>
    <s v="05/2026"/>
    <d v="2026-05-07T00:00:00"/>
    <x v="365"/>
    <n v="1621"/>
    <n v="0"/>
    <n v="0"/>
    <n v="0"/>
    <n v="1621"/>
    <s v="Dinheiro"/>
    <x v="1"/>
  </r>
  <r>
    <s v="00160"/>
    <x v="31"/>
    <x v="15"/>
    <s v="05/2026"/>
    <d v="2026-05-07T00:00:00"/>
    <x v="365"/>
    <n v="172"/>
    <n v="0"/>
    <n v="0"/>
    <n v="0"/>
    <n v="172"/>
    <s v="Dinheiro"/>
    <x v="1"/>
  </r>
  <r>
    <s v="00478"/>
    <x v="290"/>
    <x v="15"/>
    <s v="05/2026"/>
    <d v="2026-05-07T00:00:00"/>
    <x v="365"/>
    <n v="1573"/>
    <n v="0"/>
    <n v="0"/>
    <n v="0"/>
    <n v="1573"/>
    <s v="Dinheiro"/>
    <x v="1"/>
  </r>
  <r>
    <s v="00447"/>
    <x v="247"/>
    <x v="15"/>
    <s v="05/2026"/>
    <d v="2026-05-07T00:00:00"/>
    <x v="365"/>
    <n v="1472"/>
    <n v="0"/>
    <n v="0"/>
    <n v="0"/>
    <n v="1472"/>
    <s v="Dinheiro"/>
    <x v="1"/>
  </r>
  <r>
    <s v="00448"/>
    <x v="282"/>
    <x v="15"/>
    <s v="05/2026"/>
    <d v="2026-05-07T00:00:00"/>
    <x v="365"/>
    <n v="1573"/>
    <n v="0"/>
    <n v="0"/>
    <n v="0"/>
    <n v="1573"/>
    <s v="Dinheiro"/>
    <x v="1"/>
  </r>
  <r>
    <s v="00715"/>
    <x v="613"/>
    <x v="15"/>
    <s v="05/2026"/>
    <d v="2026-05-07T00:00:00"/>
    <x v="365"/>
    <n v="1725"/>
    <n v="0"/>
    <n v="0"/>
    <n v="0"/>
    <n v="1725"/>
    <s v="Dinheiro"/>
    <x v="1"/>
  </r>
  <r>
    <s v="00502"/>
    <x v="331"/>
    <x v="15"/>
    <s v="05/2026"/>
    <d v="2026-05-07T00:00:00"/>
    <x v="365"/>
    <n v="1809"/>
    <n v="0"/>
    <n v="0"/>
    <n v="0"/>
    <n v="1809"/>
    <s v="Dinheiro"/>
    <x v="1"/>
  </r>
  <r>
    <s v="00613"/>
    <x v="467"/>
    <x v="15"/>
    <s v="05/2026"/>
    <d v="2026-05-07T00:00:00"/>
    <x v="365"/>
    <n v="1573"/>
    <n v="0"/>
    <n v="0"/>
    <n v="0"/>
    <n v="1573"/>
    <s v="Dinheiro"/>
    <x v="1"/>
  </r>
  <r>
    <s v="00397"/>
    <x v="152"/>
    <x v="15"/>
    <s v="05/2026"/>
    <d v="2026-05-07T00:00:00"/>
    <x v="365"/>
    <n v="1573"/>
    <n v="0"/>
    <n v="0"/>
    <n v="0"/>
    <n v="1573"/>
    <s v="Dinheiro"/>
    <x v="1"/>
  </r>
  <r>
    <s v="00498"/>
    <x v="242"/>
    <x v="15"/>
    <s v="05/2026"/>
    <d v="2026-05-07T00:00:00"/>
    <x v="365"/>
    <n v="1816"/>
    <n v="0"/>
    <n v="0"/>
    <n v="0"/>
    <n v="1816"/>
    <s v="Dinheiro"/>
    <x v="1"/>
  </r>
  <r>
    <s v="00349"/>
    <x v="25"/>
    <x v="15"/>
    <s v="05/2026"/>
    <d v="2026-05-07T00:00:00"/>
    <x v="365"/>
    <n v="1725"/>
    <n v="0"/>
    <n v="0"/>
    <n v="0"/>
    <n v="1725"/>
    <s v="Dinheiro"/>
    <x v="1"/>
  </r>
  <r>
    <s v="00411"/>
    <x v="181"/>
    <x v="15"/>
    <s v="05/2026"/>
    <d v="2026-05-07T00:00:00"/>
    <x v="365"/>
    <n v="1708"/>
    <n v="0"/>
    <n v="0"/>
    <n v="0"/>
    <n v="1708"/>
    <s v="Dinheiro"/>
    <x v="1"/>
  </r>
  <r>
    <s v="ENF250195"/>
    <x v="651"/>
    <x v="20"/>
    <s v="05/2026"/>
    <d v="2026-05-08T00:00:00"/>
    <x v="365"/>
    <n v="11"/>
    <n v="0"/>
    <n v="0"/>
    <n v="0"/>
    <n v="11"/>
    <s v="Dinheiro"/>
    <x v="1"/>
  </r>
  <r>
    <s v="00705"/>
    <x v="593"/>
    <x v="15"/>
    <s v="05/2026"/>
    <d v="2026-05-07T00:00:00"/>
    <x v="365"/>
    <n v="1776"/>
    <n v="0"/>
    <n v="0"/>
    <n v="0"/>
    <n v="1776"/>
    <s v="Dinheiro"/>
    <x v="1"/>
  </r>
  <r>
    <s v="00511"/>
    <x v="241"/>
    <x v="15"/>
    <s v="05/2026"/>
    <d v="2026-05-07T00:00:00"/>
    <x v="365"/>
    <n v="1725"/>
    <n v="0"/>
    <n v="0"/>
    <n v="0"/>
    <n v="1725"/>
    <s v="Dinheiro"/>
    <x v="1"/>
  </r>
  <r>
    <s v="00614"/>
    <x v="468"/>
    <x v="15"/>
    <s v="05/2026"/>
    <d v="2026-05-12T00:00:00"/>
    <x v="365"/>
    <n v="1573"/>
    <n v="0"/>
    <n v="0"/>
    <n v="0"/>
    <n v="1573"/>
    <s v="Dinheiro"/>
    <x v="1"/>
  </r>
  <r>
    <s v="00168"/>
    <x v="39"/>
    <x v="15"/>
    <s v="05/2026"/>
    <d v="2026-05-07T00:00:00"/>
    <x v="365"/>
    <n v="1816"/>
    <n v="0"/>
    <n v="0"/>
    <n v="0"/>
    <n v="1816"/>
    <s v="Dinheiro"/>
    <x v="1"/>
  </r>
  <r>
    <s v="00022"/>
    <x v="115"/>
    <x v="46"/>
    <s v="05/2026"/>
    <d v="2026-05-07T00:00:00"/>
    <x v="365"/>
    <n v="165.15"/>
    <n v="0"/>
    <n v="0"/>
    <n v="0"/>
    <n v="165.15"/>
    <s v="Dinheiro"/>
    <x v="1"/>
  </r>
  <r>
    <s v="00464"/>
    <x v="273"/>
    <x v="15"/>
    <s v="05/2026"/>
    <d v="2026-05-07T00:00:00"/>
    <x v="365"/>
    <n v="1314"/>
    <n v="0"/>
    <n v="0"/>
    <n v="0"/>
    <n v="1314"/>
    <s v="Dinheiro"/>
    <x v="1"/>
  </r>
  <r>
    <s v="00133"/>
    <x v="24"/>
    <x v="15"/>
    <s v="05/2026"/>
    <d v="2026-05-07T00:00:00"/>
    <x v="365"/>
    <n v="1894"/>
    <n v="0"/>
    <n v="0"/>
    <n v="0"/>
    <n v="1894"/>
    <s v="Dinheiro"/>
    <x v="1"/>
  </r>
  <r>
    <s v="00168"/>
    <x v="39"/>
    <x v="14"/>
    <s v="05/2026"/>
    <d v="2026-05-07T00:00:00"/>
    <x v="365"/>
    <n v="1000"/>
    <n v="0"/>
    <n v="0"/>
    <n v="0"/>
    <n v="1000"/>
    <s v="Dinheiro"/>
    <x v="1"/>
  </r>
  <r>
    <s v="00353"/>
    <x v="61"/>
    <x v="41"/>
    <s v="05/2026"/>
    <d v="2026-05-07T00:00:00"/>
    <x v="365"/>
    <n v="5000"/>
    <n v="0"/>
    <n v="0"/>
    <n v="0"/>
    <n v="5000"/>
    <s v="Dinheiro"/>
    <x v="1"/>
  </r>
  <r>
    <s v="00353"/>
    <x v="61"/>
    <x v="41"/>
    <s v="05/2026"/>
    <d v="2026-05-07T00:00:00"/>
    <x v="365"/>
    <n v="1000"/>
    <n v="0"/>
    <n v="0"/>
    <n v="0"/>
    <n v="1000"/>
    <s v="Dinheiro"/>
    <x v="1"/>
  </r>
  <r>
    <s v="00353"/>
    <x v="61"/>
    <x v="14"/>
    <s v="05/2026"/>
    <d v="2026-05-07T00:00:00"/>
    <x v="365"/>
    <n v="500"/>
    <n v="0"/>
    <n v="0"/>
    <n v="0"/>
    <n v="500"/>
    <s v="Dinheiro"/>
    <x v="1"/>
  </r>
  <r>
    <s v="00330"/>
    <x v="14"/>
    <x v="13"/>
    <s v="05/2026"/>
    <d v="2026-05-07T00:00:00"/>
    <x v="365"/>
    <n v="550"/>
    <n v="0"/>
    <n v="0"/>
    <n v="0"/>
    <n v="550"/>
    <s v="Dinheiro"/>
    <x v="1"/>
  </r>
  <r>
    <s v="00714"/>
    <x v="612"/>
    <x v="19"/>
    <s v="05/2026"/>
    <d v="2026-05-07T00:00:00"/>
    <x v="365"/>
    <n v="2002.16"/>
    <n v="0"/>
    <n v="0"/>
    <n v="0"/>
    <n v="2002.16"/>
    <s v="Dinheiro"/>
    <x v="1"/>
  </r>
  <r>
    <s v="00714"/>
    <x v="612"/>
    <x v="32"/>
    <s v="05/2026"/>
    <d v="2026-05-08T00:00:00"/>
    <x v="365"/>
    <n v="107.11"/>
    <n v="0"/>
    <n v="0"/>
    <n v="0"/>
    <n v="107.16"/>
    <s v="Dinheiro"/>
    <x v="1"/>
  </r>
  <r>
    <s v="00085"/>
    <x v="555"/>
    <x v="22"/>
    <s v="05/2026"/>
    <d v="2026-05-11T00:00:00"/>
    <x v="366"/>
    <n v="8626.23"/>
    <n v="0"/>
    <n v="0"/>
    <n v="0"/>
    <n v="8626.23"/>
    <s v="Dinheiro"/>
    <x v="1"/>
  </r>
  <r>
    <s v="00362"/>
    <x v="7"/>
    <x v="3"/>
    <s v="05/2026"/>
    <d v="2026-05-08T00:00:00"/>
    <x v="366"/>
    <n v="105.12"/>
    <n v="0"/>
    <n v="0"/>
    <n v="0"/>
    <n v="105.12"/>
    <s v="Dinheiro"/>
    <x v="1"/>
  </r>
  <r>
    <s v="00362"/>
    <x v="7"/>
    <x v="3"/>
    <s v="05/2026"/>
    <d v="2026-05-08T00:00:00"/>
    <x v="366"/>
    <n v="335.07"/>
    <n v="0"/>
    <n v="0"/>
    <n v="0"/>
    <n v="335.07"/>
    <s v="Dinheiro"/>
    <x v="1"/>
  </r>
  <r>
    <s v="00085"/>
    <x v="555"/>
    <x v="22"/>
    <s v="05/2026"/>
    <d v="2026-05-08T00:00:00"/>
    <x v="366"/>
    <n v="1680.95"/>
    <n v="0"/>
    <n v="0"/>
    <n v="0"/>
    <n v="1680.95"/>
    <s v="Dinheiro"/>
    <x v="1"/>
  </r>
  <r>
    <s v="00009"/>
    <x v="53"/>
    <x v="24"/>
    <s v="05/2026"/>
    <d v="2026-05-11T00:00:00"/>
    <x v="366"/>
    <n v="28087.8"/>
    <n v="0"/>
    <n v="0"/>
    <n v="0"/>
    <n v="28087.8"/>
    <s v="Dinheiro"/>
    <x v="1"/>
  </r>
  <r>
    <s v="00734"/>
    <x v="650"/>
    <x v="14"/>
    <s v="05/2026"/>
    <d v="2026-05-08T00:00:00"/>
    <x v="366"/>
    <n v="480"/>
    <n v="0"/>
    <n v="0"/>
    <n v="0"/>
    <n v="480"/>
    <s v="Dinheiro"/>
    <x v="1"/>
  </r>
  <r>
    <s v="00411"/>
    <x v="181"/>
    <x v="31"/>
    <s v="05/2026"/>
    <d v="2026-05-08T00:00:00"/>
    <x v="366"/>
    <n v="2245.5"/>
    <n v="0"/>
    <n v="0"/>
    <n v="0"/>
    <n v="2245.5"/>
    <s v="Dinheiro"/>
    <x v="1"/>
  </r>
  <r>
    <s v="00601"/>
    <x v="506"/>
    <x v="29"/>
    <s v="05/2026"/>
    <d v="2026-05-11T00:00:00"/>
    <x v="353"/>
    <n v="840"/>
    <n v="0"/>
    <n v="0"/>
    <n v="0"/>
    <n v="840"/>
    <s v="Dinheiro"/>
    <x v="1"/>
  </r>
  <r>
    <s v="00478"/>
    <x v="290"/>
    <x v="29"/>
    <s v="05/2026"/>
    <d v="2026-05-11T00:00:00"/>
    <x v="353"/>
    <n v="1472"/>
    <n v="0"/>
    <n v="0"/>
    <n v="0"/>
    <n v="1472"/>
    <s v="Dinheiro"/>
    <x v="1"/>
  </r>
  <r>
    <s v="00235"/>
    <x v="86"/>
    <x v="29"/>
    <s v="05/2026"/>
    <d v="2026-05-11T00:00:00"/>
    <x v="353"/>
    <n v="4224"/>
    <n v="0"/>
    <n v="0"/>
    <n v="0"/>
    <n v="4224"/>
    <s v="Dinheiro"/>
    <x v="1"/>
  </r>
  <r>
    <s v="00503"/>
    <x v="338"/>
    <x v="29"/>
    <s v="05/2026"/>
    <d v="2026-05-11T00:00:00"/>
    <x v="353"/>
    <n v="1848"/>
    <n v="0"/>
    <n v="0"/>
    <n v="0"/>
    <n v="1848"/>
    <s v="Dinheiro"/>
    <x v="1"/>
  </r>
  <r>
    <s v="00671"/>
    <x v="560"/>
    <x v="29"/>
    <s v="05/2026"/>
    <d v="2026-05-11T00:00:00"/>
    <x v="353"/>
    <n v="1104"/>
    <n v="0"/>
    <n v="0"/>
    <n v="0"/>
    <n v="1104"/>
    <s v="Dinheiro"/>
    <x v="1"/>
  </r>
  <r>
    <s v="00355"/>
    <x v="83"/>
    <x v="29"/>
    <s v="05/2026"/>
    <d v="2026-05-11T00:00:00"/>
    <x v="353"/>
    <n v="2596"/>
    <n v="0"/>
    <n v="0"/>
    <n v="0"/>
    <n v="2596"/>
    <s v="Dinheiro"/>
    <x v="1"/>
  </r>
  <r>
    <s v="00696"/>
    <x v="579"/>
    <x v="29"/>
    <s v="05/2026"/>
    <d v="2026-05-11T00:00:00"/>
    <x v="353"/>
    <n v="504"/>
    <n v="0"/>
    <n v="0"/>
    <n v="0"/>
    <n v="504"/>
    <s v="Dinheiro"/>
    <x v="1"/>
  </r>
  <r>
    <s v="00491"/>
    <x v="315"/>
    <x v="29"/>
    <s v="05/2026"/>
    <d v="2026-05-11T00:00:00"/>
    <x v="353"/>
    <n v="504"/>
    <n v="0"/>
    <n v="0"/>
    <n v="0"/>
    <n v="504"/>
    <s v="Dinheiro"/>
    <x v="1"/>
  </r>
  <r>
    <s v="00584"/>
    <x v="459"/>
    <x v="29"/>
    <s v="05/2026"/>
    <d v="2026-05-11T00:00:00"/>
    <x v="353"/>
    <n v="840"/>
    <n v="0"/>
    <n v="0"/>
    <n v="0"/>
    <n v="840"/>
    <s v="Dinheiro"/>
    <x v="1"/>
  </r>
  <r>
    <s v="00353"/>
    <x v="61"/>
    <x v="29"/>
    <s v="05/2026"/>
    <d v="2026-05-11T00:00:00"/>
    <x v="353"/>
    <n v="1196"/>
    <n v="0"/>
    <n v="0"/>
    <n v="0"/>
    <n v="1196"/>
    <s v="Dinheiro"/>
    <x v="1"/>
  </r>
  <r>
    <s v="00502"/>
    <x v="331"/>
    <x v="29"/>
    <s v="05/2026"/>
    <d v="2026-05-11T00:00:00"/>
    <x v="353"/>
    <n v="1071"/>
    <n v="0"/>
    <n v="0"/>
    <n v="0"/>
    <n v="1071"/>
    <s v="Dinheiro"/>
    <x v="1"/>
  </r>
  <r>
    <s v="00190"/>
    <x v="70"/>
    <x v="29"/>
    <s v="05/2026"/>
    <d v="2026-05-11T00:00:00"/>
    <x v="353"/>
    <n v="1748"/>
    <n v="0"/>
    <n v="0"/>
    <n v="0"/>
    <n v="1748"/>
    <s v="Dinheiro"/>
    <x v="1"/>
  </r>
  <r>
    <s v="00652"/>
    <x v="534"/>
    <x v="29"/>
    <s v="05/2026"/>
    <d v="2026-05-11T00:00:00"/>
    <x v="353"/>
    <n v="1764"/>
    <n v="0"/>
    <n v="0"/>
    <n v="0"/>
    <n v="1764"/>
    <s v="Dinheiro"/>
    <x v="1"/>
  </r>
  <r>
    <s v="00622"/>
    <x v="488"/>
    <x v="29"/>
    <s v="05/2026"/>
    <d v="2026-05-11T00:00:00"/>
    <x v="353"/>
    <n v="2940"/>
    <n v="0"/>
    <n v="0"/>
    <n v="0"/>
    <n v="2940"/>
    <s v="Dinheiro"/>
    <x v="1"/>
  </r>
  <r>
    <s v="00654"/>
    <x v="526"/>
    <x v="29"/>
    <s v="05/2026"/>
    <d v="2026-05-11T00:00:00"/>
    <x v="353"/>
    <n v="252"/>
    <n v="0"/>
    <n v="0"/>
    <n v="0"/>
    <n v="252"/>
    <s v="Dinheiro"/>
    <x v="1"/>
  </r>
  <r>
    <s v="00722"/>
    <x v="605"/>
    <x v="29"/>
    <s v="05/2026"/>
    <d v="2026-05-11T00:00:00"/>
    <x v="353"/>
    <n v="1092"/>
    <n v="0"/>
    <n v="0"/>
    <n v="0"/>
    <n v="1092"/>
    <s v="Dinheiro"/>
    <x v="1"/>
  </r>
  <r>
    <s v="00169"/>
    <x v="633"/>
    <x v="29"/>
    <s v="05/2026"/>
    <d v="2026-05-11T00:00:00"/>
    <x v="353"/>
    <n v="1092"/>
    <n v="0"/>
    <n v="0"/>
    <n v="0"/>
    <n v="1092"/>
    <s v="Dinheiro"/>
    <x v="1"/>
  </r>
  <r>
    <s v="00681"/>
    <x v="565"/>
    <x v="29"/>
    <s v="05/2026"/>
    <d v="2026-05-11T00:00:00"/>
    <x v="353"/>
    <n v="252"/>
    <n v="0"/>
    <n v="0"/>
    <n v="0"/>
    <n v="252"/>
    <s v="Dinheiro"/>
    <x v="1"/>
  </r>
  <r>
    <s v="00432"/>
    <x v="213"/>
    <x v="30"/>
    <s v="05/2026"/>
    <d v="2026-05-11T00:00:00"/>
    <x v="353"/>
    <n v="1360"/>
    <n v="0"/>
    <n v="0"/>
    <n v="0"/>
    <n v="1360"/>
    <s v="Dinheiro"/>
    <x v="1"/>
  </r>
  <r>
    <s v="00332"/>
    <x v="28"/>
    <x v="30"/>
    <s v="05/2026"/>
    <d v="2026-05-11T00:00:00"/>
    <x v="353"/>
    <n v="640"/>
    <n v="0"/>
    <n v="0"/>
    <n v="0"/>
    <n v="640"/>
    <s v="Dinheiro"/>
    <x v="1"/>
  </r>
  <r>
    <s v="00488"/>
    <x v="312"/>
    <x v="30"/>
    <s v="05/2026"/>
    <d v="2026-05-11T00:00:00"/>
    <x v="353"/>
    <n v="720"/>
    <n v="0"/>
    <n v="0"/>
    <n v="0"/>
    <n v="720"/>
    <s v="Dinheiro"/>
    <x v="1"/>
  </r>
  <r>
    <s v="00488"/>
    <x v="312"/>
    <x v="30"/>
    <s v="05/2026"/>
    <d v="2026-05-11T00:00:00"/>
    <x v="353"/>
    <n v="1280"/>
    <n v="0"/>
    <n v="0"/>
    <n v="0"/>
    <n v="1280"/>
    <s v="Dinheiro"/>
    <x v="1"/>
  </r>
  <r>
    <s v="00190"/>
    <x v="70"/>
    <x v="30"/>
    <s v="05/2026"/>
    <d v="2026-05-11T00:00:00"/>
    <x v="353"/>
    <n v="1920"/>
    <n v="0"/>
    <n v="0"/>
    <n v="0"/>
    <n v="1920"/>
    <s v="Dinheiro"/>
    <x v="1"/>
  </r>
  <r>
    <s v="00235"/>
    <x v="86"/>
    <x v="30"/>
    <s v="05/2026"/>
    <d v="2026-05-11T00:00:00"/>
    <x v="353"/>
    <n v="80"/>
    <n v="0"/>
    <n v="0"/>
    <n v="0"/>
    <n v="80"/>
    <s v="Dinheiro"/>
    <x v="1"/>
  </r>
  <r>
    <s v="00235"/>
    <x v="86"/>
    <x v="30"/>
    <s v="05/2026"/>
    <d v="2026-05-11T00:00:00"/>
    <x v="353"/>
    <n v="640"/>
    <n v="0"/>
    <n v="0"/>
    <n v="0"/>
    <n v="640"/>
    <s v="Dinheiro"/>
    <x v="1"/>
  </r>
  <r>
    <s v="00380"/>
    <x v="91"/>
    <x v="30"/>
    <s v="05/2026"/>
    <d v="2026-05-11T00:00:00"/>
    <x v="353"/>
    <n v="2400"/>
    <n v="0"/>
    <n v="0"/>
    <n v="0"/>
    <n v="2400"/>
    <s v="Dinheiro"/>
    <x v="1"/>
  </r>
  <r>
    <s v="00380"/>
    <x v="91"/>
    <x v="30"/>
    <s v="05/2026"/>
    <d v="2026-05-11T00:00:00"/>
    <x v="353"/>
    <n v="160"/>
    <n v="0"/>
    <n v="0"/>
    <n v="0"/>
    <n v="160"/>
    <s v="Dinheiro"/>
    <x v="1"/>
  </r>
  <r>
    <s v="00634"/>
    <x v="496"/>
    <x v="30"/>
    <s v="05/2026"/>
    <d v="2026-05-11T00:00:00"/>
    <x v="353"/>
    <n v="1920"/>
    <n v="0"/>
    <n v="0"/>
    <n v="0"/>
    <n v="1920"/>
    <s v="Dinheiro"/>
    <x v="1"/>
  </r>
  <r>
    <s v="00278"/>
    <x v="316"/>
    <x v="30"/>
    <s v="05/2026"/>
    <d v="2026-05-11T00:00:00"/>
    <x v="353"/>
    <n v="1360"/>
    <n v="0"/>
    <n v="0"/>
    <n v="0"/>
    <n v="1360"/>
    <s v="Dinheiro"/>
    <x v="1"/>
  </r>
  <r>
    <s v="00362"/>
    <x v="7"/>
    <x v="3"/>
    <s v="05/2026"/>
    <d v="2026-05-11T00:00:00"/>
    <x v="353"/>
    <n v="6.57"/>
    <n v="0"/>
    <n v="0"/>
    <n v="0"/>
    <n v="6.57"/>
    <s v="Dinheiro"/>
    <x v="1"/>
  </r>
  <r>
    <s v="00378"/>
    <x v="87"/>
    <x v="29"/>
    <s v="05/2026"/>
    <d v="2026-05-11T00:00:00"/>
    <x v="353"/>
    <n v="3312"/>
    <n v="0"/>
    <n v="0"/>
    <n v="0"/>
    <n v="3312"/>
    <s v="Dinheiro"/>
    <x v="1"/>
  </r>
  <r>
    <s v="00560"/>
    <x v="400"/>
    <x v="29"/>
    <s v="05/2026"/>
    <d v="2026-05-11T00:00:00"/>
    <x v="353"/>
    <n v="336"/>
    <n v="0"/>
    <n v="0"/>
    <n v="0"/>
    <n v="336"/>
    <s v="Dinheiro"/>
    <x v="1"/>
  </r>
  <r>
    <s v="00616"/>
    <x v="482"/>
    <x v="29"/>
    <s v="05/2026"/>
    <d v="2026-05-11T00:00:00"/>
    <x v="353"/>
    <n v="420"/>
    <n v="0"/>
    <n v="0"/>
    <n v="0"/>
    <n v="420"/>
    <s v="Dinheiro"/>
    <x v="1"/>
  </r>
  <r>
    <s v="00397"/>
    <x v="152"/>
    <x v="29"/>
    <s v="05/2026"/>
    <d v="2026-05-11T00:00:00"/>
    <x v="353"/>
    <n v="1672"/>
    <n v="0"/>
    <n v="0"/>
    <n v="0"/>
    <n v="1672"/>
    <s v="Dinheiro"/>
    <x v="1"/>
  </r>
  <r>
    <s v="00618"/>
    <x v="481"/>
    <x v="29"/>
    <s v="05/2026"/>
    <d v="2026-05-11T00:00:00"/>
    <x v="353"/>
    <n v="420"/>
    <n v="0"/>
    <n v="0"/>
    <n v="0"/>
    <n v="420"/>
    <s v="Dinheiro"/>
    <x v="1"/>
  </r>
  <r>
    <s v="00378"/>
    <x v="87"/>
    <x v="30"/>
    <s v="05/2026"/>
    <d v="2026-05-11T00:00:00"/>
    <x v="353"/>
    <n v="280"/>
    <n v="0"/>
    <n v="0"/>
    <n v="0"/>
    <n v="280"/>
    <s v="Dinheiro"/>
    <x v="1"/>
  </r>
  <r>
    <s v="00497"/>
    <x v="324"/>
    <x v="85"/>
    <s v="05/2026"/>
    <d v="2026-05-11T00:00:00"/>
    <x v="353"/>
    <n v="67.7"/>
    <n v="0"/>
    <n v="0"/>
    <n v="0"/>
    <n v="67.7"/>
    <s v="Dinheiro"/>
    <x v="1"/>
  </r>
  <r>
    <s v="00497"/>
    <x v="324"/>
    <x v="85"/>
    <s v="05/2026"/>
    <d v="2026-05-11T00:00:00"/>
    <x v="353"/>
    <n v="269.37"/>
    <n v="0"/>
    <n v="0"/>
    <n v="0"/>
    <n v="269.37"/>
    <s v="Dinheiro"/>
    <x v="1"/>
  </r>
  <r>
    <s v="00680"/>
    <x v="559"/>
    <x v="22"/>
    <s v="05/2026"/>
    <d v="2026-05-11T00:00:00"/>
    <x v="353"/>
    <n v="2875.41"/>
    <n v="0"/>
    <n v="0"/>
    <n v="0"/>
    <n v="2875.41"/>
    <s v="Dinheiro"/>
    <x v="1"/>
  </r>
  <r>
    <s v="00680"/>
    <x v="559"/>
    <x v="22"/>
    <s v="05/2026"/>
    <d v="2026-05-11T00:00:00"/>
    <x v="353"/>
    <n v="560.32000000000005"/>
    <n v="0"/>
    <n v="0"/>
    <n v="0"/>
    <n v="560.32000000000005"/>
    <s v="Dinheiro"/>
    <x v="1"/>
  </r>
  <r>
    <s v="00101"/>
    <x v="171"/>
    <x v="58"/>
    <s v="05/2026"/>
    <d v="2026-05-10T00:00:00"/>
    <x v="353"/>
    <n v="605"/>
    <n v="0"/>
    <n v="0"/>
    <n v="0"/>
    <n v="605"/>
    <s v="Dinheiro"/>
    <x v="1"/>
  </r>
  <r>
    <s v="00355"/>
    <x v="83"/>
    <x v="41"/>
    <s v="05/2026"/>
    <d v="2026-05-11T00:00:00"/>
    <x v="353"/>
    <n v="1298"/>
    <n v="0"/>
    <n v="0"/>
    <n v="0"/>
    <n v="1298"/>
    <s v="Dinheiro"/>
    <x v="1"/>
  </r>
  <r>
    <s v="00712"/>
    <x v="598"/>
    <x v="15"/>
    <s v="05/2026"/>
    <d v="2026-05-11T00:00:00"/>
    <x v="353"/>
    <n v="1573"/>
    <n v="0"/>
    <n v="0"/>
    <n v="0"/>
    <n v="1573"/>
    <s v="Dinheiro"/>
    <x v="1"/>
  </r>
  <r>
    <s v="00738"/>
    <x v="652"/>
    <x v="13"/>
    <s v="05/2026"/>
    <d v="2026-05-11T00:00:00"/>
    <x v="353"/>
    <n v="15"/>
    <n v="0"/>
    <n v="0"/>
    <n v="0"/>
    <n v="15"/>
    <s v="Dinheiro"/>
    <x v="1"/>
  </r>
  <r>
    <s v="00677"/>
    <x v="558"/>
    <x v="29"/>
    <s v="05/2026"/>
    <d v="2026-05-11T00:00:00"/>
    <x v="353"/>
    <n v="1344"/>
    <n v="0"/>
    <n v="0"/>
    <n v="0"/>
    <n v="1344"/>
    <s v="Dinheiro"/>
    <x v="1"/>
  </r>
  <r>
    <s v="00521"/>
    <x v="359"/>
    <x v="30"/>
    <s v="05/2026"/>
    <d v="2026-05-11T00:00:00"/>
    <x v="353"/>
    <n v="2100"/>
    <n v="0"/>
    <n v="0"/>
    <n v="0"/>
    <n v="2100"/>
    <s v="Dinheiro"/>
    <x v="1"/>
  </r>
  <r>
    <s v="00735"/>
    <x v="653"/>
    <x v="29"/>
    <s v="05/2026"/>
    <d v="2026-05-12T00:00:00"/>
    <x v="354"/>
    <n v="504"/>
    <n v="0"/>
    <n v="0"/>
    <n v="0"/>
    <n v="504"/>
    <s v="Dinheiro"/>
    <x v="1"/>
  </r>
  <r>
    <s v="00632"/>
    <x v="493"/>
    <x v="30"/>
    <s v="05/2026"/>
    <d v="2026-05-11T00:00:00"/>
    <x v="354"/>
    <n v="240"/>
    <n v="0"/>
    <n v="0"/>
    <n v="0"/>
    <n v="240"/>
    <s v="Dinheiro"/>
    <x v="1"/>
  </r>
  <r>
    <s v="00739"/>
    <x v="654"/>
    <x v="88"/>
    <s v="05/2026"/>
    <d v="2026-05-12T00:00:00"/>
    <x v="354"/>
    <n v="116.36"/>
    <n v="0"/>
    <n v="0"/>
    <n v="0"/>
    <n v="116.36"/>
    <s v="Dinheiro"/>
    <x v="1"/>
  </r>
  <r>
    <s v="00741"/>
    <x v="655"/>
    <x v="29"/>
    <s v="05/2026"/>
    <d v="2026-05-12T00:00:00"/>
    <x v="354"/>
    <n v="168"/>
    <n v="0"/>
    <n v="0"/>
    <n v="0"/>
    <n v="168"/>
    <s v="Dinheiro"/>
    <x v="1"/>
  </r>
  <r>
    <s v="00530"/>
    <x v="371"/>
    <x v="11"/>
    <s v="05/2026"/>
    <d v="2026-05-12T00:00:00"/>
    <x v="354"/>
    <n v="200"/>
    <n v="0"/>
    <n v="0"/>
    <n v="0"/>
    <n v="200"/>
    <s v="Dinheiro"/>
    <x v="1"/>
  </r>
  <r>
    <s v="00529"/>
    <x v="379"/>
    <x v="11"/>
    <s v="05/2026"/>
    <d v="2026-05-12T00:00:00"/>
    <x v="354"/>
    <n v="247.5"/>
    <n v="0"/>
    <n v="0"/>
    <n v="0"/>
    <n v="247.5"/>
    <s v="Dinheiro"/>
    <x v="1"/>
  </r>
  <r>
    <s v="00699"/>
    <x v="581"/>
    <x v="11"/>
    <s v="05/2026"/>
    <d v="2026-05-12T00:00:00"/>
    <x v="354"/>
    <n v="1560"/>
    <n v="0"/>
    <n v="0"/>
    <n v="0"/>
    <n v="1560"/>
    <s v="Dinheiro"/>
    <x v="1"/>
  </r>
  <r>
    <s v="00742"/>
    <x v="656"/>
    <x v="30"/>
    <s v="05/2026"/>
    <d v="2026-05-12T00:00:00"/>
    <x v="354"/>
    <n v="960"/>
    <n v="0"/>
    <n v="0"/>
    <n v="0"/>
    <n v="960"/>
    <s v="Dinheiro"/>
    <x v="1"/>
  </r>
  <r>
    <s v="00381"/>
    <x v="99"/>
    <x v="26"/>
    <s v="04/2026"/>
    <d v="2026-04-25T00:00:00"/>
    <x v="354"/>
    <n v="434.19"/>
    <n v="0"/>
    <n v="0"/>
    <n v="0"/>
    <n v="434.19"/>
    <s v="Dinheiro"/>
    <x v="1"/>
  </r>
  <r>
    <s v="00282"/>
    <x v="11"/>
    <x v="10"/>
    <s v="04/2026"/>
    <d v="2026-04-27T00:00:00"/>
    <x v="354"/>
    <n v="5350"/>
    <n v="0"/>
    <n v="0"/>
    <n v="0"/>
    <n v="5350"/>
    <s v="Dinheiro"/>
    <x v="1"/>
  </r>
  <r>
    <s v="00075"/>
    <x v="197"/>
    <x v="18"/>
    <s v="04/2026"/>
    <d v="2026-04-17T00:00:00"/>
    <x v="354"/>
    <n v="1719.73"/>
    <n v="0"/>
    <n v="0"/>
    <n v="0"/>
    <n v="1719.73"/>
    <s v="Dinheiro"/>
    <x v="1"/>
  </r>
  <r>
    <s v="00607"/>
    <x v="52"/>
    <x v="16"/>
    <s v="05/2026"/>
    <d v="2026-05-12T00:00:00"/>
    <x v="354"/>
    <n v="290.61"/>
    <n v="0"/>
    <n v="0"/>
    <n v="0"/>
    <n v="290.61"/>
    <s v="Dinheiro"/>
    <x v="1"/>
  </r>
  <r>
    <s v="00546"/>
    <x v="402"/>
    <x v="11"/>
    <s v="05/2026"/>
    <d v="2026-05-10T00:00:00"/>
    <x v="354"/>
    <n v="997.5"/>
    <n v="0"/>
    <n v="0"/>
    <n v="0"/>
    <n v="997.5"/>
    <s v="Dinheiro"/>
    <x v="1"/>
  </r>
  <r>
    <s v="00362"/>
    <x v="7"/>
    <x v="3"/>
    <s v="05/2026"/>
    <d v="2026-05-12T00:00:00"/>
    <x v="354"/>
    <n v="1837.14"/>
    <n v="0"/>
    <n v="0"/>
    <n v="0"/>
    <n v="1837.14"/>
    <s v="Dinheiro"/>
    <x v="1"/>
  </r>
  <r>
    <s v="RAD260124"/>
    <x v="657"/>
    <x v="28"/>
    <s v="05/2026"/>
    <d v="2026-05-13T00:00:00"/>
    <x v="368"/>
    <n v="69"/>
    <n v="0"/>
    <n v="0"/>
    <n v="0"/>
    <n v="69"/>
    <s v="Dinheiro"/>
    <x v="1"/>
  </r>
  <r>
    <s v="00154"/>
    <x v="12"/>
    <x v="33"/>
    <s v="05/2026"/>
    <d v="2026-05-13T00:00:00"/>
    <x v="368"/>
    <n v="12000"/>
    <n v="0"/>
    <n v="0"/>
    <n v="0"/>
    <n v="12000"/>
    <s v="Dinheiro"/>
    <x v="1"/>
  </r>
  <r>
    <s v="00362"/>
    <x v="7"/>
    <x v="3"/>
    <s v="05/2026"/>
    <d v="2026-05-13T00:00:00"/>
    <x v="368"/>
    <n v="2.19"/>
    <n v="0"/>
    <n v="0"/>
    <n v="0"/>
    <n v="2.19"/>
    <s v="Dinheiro"/>
    <x v="1"/>
  </r>
  <r>
    <s v="00477"/>
    <x v="288"/>
    <x v="11"/>
    <s v="05/2026"/>
    <d v="2026-05-14T00:00:00"/>
    <x v="369"/>
    <n v="1050"/>
    <n v="0"/>
    <n v="0"/>
    <n v="0"/>
    <n v="1050"/>
    <s v="Dinheiro"/>
    <x v="1"/>
  </r>
  <r>
    <s v="00526"/>
    <x v="368"/>
    <x v="41"/>
    <s v="05/2026"/>
    <d v="2026-05-14T00:00:00"/>
    <x v="369"/>
    <n v="1500"/>
    <n v="0"/>
    <n v="0"/>
    <n v="0"/>
    <n v="1500"/>
    <s v="Dinheiro"/>
    <x v="1"/>
  </r>
  <r>
    <s v="00725"/>
    <x v="637"/>
    <x v="26"/>
    <s v="05/2026"/>
    <d v="2026-05-15T00:00:00"/>
    <x v="355"/>
    <n v="350"/>
    <n v="0"/>
    <n v="0"/>
    <n v="0"/>
    <n v="350"/>
    <s v="Dinheiro"/>
    <x v="1"/>
  </r>
  <r>
    <s v="00106"/>
    <x v="6"/>
    <x v="61"/>
    <s v="05/2026"/>
    <d v="2026-05-15T00:00:00"/>
    <x v="355"/>
    <n v="900"/>
    <n v="0"/>
    <n v="0"/>
    <n v="0"/>
    <n v="900"/>
    <s v="Dinheiro"/>
    <x v="1"/>
  </r>
  <r>
    <s v="00068"/>
    <x v="98"/>
    <x v="39"/>
    <s v="05/2026"/>
    <d v="2026-05-15T00:00:00"/>
    <x v="355"/>
    <n v="1621"/>
    <n v="0"/>
    <n v="0"/>
    <n v="0"/>
    <n v="1621"/>
    <s v="Dinheiro"/>
    <x v="1"/>
  </r>
  <r>
    <s v="00006"/>
    <x v="137"/>
    <x v="53"/>
    <s v="05/2026"/>
    <d v="2026-05-15T00:00:00"/>
    <x v="355"/>
    <n v="1621"/>
    <n v="0"/>
    <n v="0"/>
    <n v="0"/>
    <n v="1621"/>
    <s v="Dinheiro"/>
    <x v="1"/>
  </r>
  <r>
    <s v="00018"/>
    <x v="95"/>
    <x v="16"/>
    <s v="05/2026"/>
    <d v="2026-05-15T00:00:00"/>
    <x v="355"/>
    <n v="650"/>
    <n v="0"/>
    <n v="0"/>
    <n v="0"/>
    <n v="650"/>
    <s v="Dinheiro"/>
    <x v="1"/>
  </r>
  <r>
    <s v="00065"/>
    <x v="92"/>
    <x v="36"/>
    <s v="05/2026"/>
    <d v="2026-05-15T00:00:00"/>
    <x v="355"/>
    <n v="20702.95"/>
    <n v="0"/>
    <n v="0"/>
    <n v="0"/>
    <n v="20702.95"/>
    <s v="Dinheiro"/>
    <x v="1"/>
  </r>
  <r>
    <s v="00103"/>
    <x v="97"/>
    <x v="72"/>
    <s v="05/2026"/>
    <d v="2026-05-15T00:00:00"/>
    <x v="355"/>
    <n v="139"/>
    <n v="0"/>
    <n v="0"/>
    <n v="0"/>
    <n v="139"/>
    <s v="Dinheiro"/>
    <x v="1"/>
  </r>
  <r>
    <s v="00733"/>
    <x v="658"/>
    <x v="8"/>
    <s v="06/2026"/>
    <d v="2026-05-15T00:00:00"/>
    <x v="355"/>
    <n v="1803.6000000000001"/>
    <n v="0"/>
    <n v="0"/>
    <n v="0"/>
    <n v="1803.6000000000001"/>
    <s v="Dinheiro"/>
    <x v="1"/>
  </r>
  <r>
    <s v="00102"/>
    <x v="84"/>
    <x v="16"/>
    <s v="05/2026"/>
    <d v="2026-05-15T00:00:00"/>
    <x v="355"/>
    <n v="700"/>
    <n v="0"/>
    <n v="0"/>
    <n v="0"/>
    <n v="700"/>
    <s v="Dinheiro"/>
    <x v="1"/>
  </r>
  <r>
    <s v="00102"/>
    <x v="84"/>
    <x v="36"/>
    <s v="05/2026"/>
    <d v="2026-05-15T00:00:00"/>
    <x v="355"/>
    <n v="4034.26"/>
    <n v="0"/>
    <n v="0"/>
    <n v="0"/>
    <n v="4034.26"/>
    <s v="Dinheiro"/>
    <x v="1"/>
  </r>
  <r>
    <s v="00709"/>
    <x v="607"/>
    <x v="93"/>
    <s v="05/2026"/>
    <d v="2026-05-15T00:00:00"/>
    <x v="355"/>
    <n v="490"/>
    <n v="0"/>
    <n v="0"/>
    <n v="0"/>
    <n v="490"/>
    <s v="Dinheiro"/>
    <x v="1"/>
  </r>
  <r>
    <s v="00362"/>
    <x v="7"/>
    <x v="3"/>
    <s v="05/2026"/>
    <d v="2026-05-15T00:00:00"/>
    <x v="355"/>
    <n v="2.19"/>
    <n v="0"/>
    <n v="0"/>
    <n v="0"/>
    <n v="2.19"/>
    <s v="Dinheiro"/>
    <x v="1"/>
  </r>
  <r>
    <s v="00362"/>
    <x v="7"/>
    <x v="34"/>
    <s v="05/2026"/>
    <d v="2026-05-15T00:00:00"/>
    <x v="355"/>
    <n v="210.38"/>
    <n v="0"/>
    <n v="0"/>
    <n v="0"/>
    <n v="210.38"/>
    <s v="Dinheiro"/>
    <x v="1"/>
  </r>
  <r>
    <s v="00362"/>
    <x v="7"/>
    <x v="3"/>
    <s v="05/2026"/>
    <d v="2026-05-15T00:00:00"/>
    <x v="355"/>
    <n v="2.19"/>
    <n v="0"/>
    <n v="0"/>
    <n v="0"/>
    <n v="2.19"/>
    <s v="Dinheiro"/>
    <x v="1"/>
  </r>
  <r>
    <s v="00362"/>
    <x v="7"/>
    <x v="3"/>
    <s v="05/2026"/>
    <d v="2026-05-18T00:00:00"/>
    <x v="357"/>
    <n v="2.19"/>
    <n v="0"/>
    <n v="0"/>
    <n v="0"/>
    <n v="2.19"/>
    <s v="Dinheiro"/>
    <x v="1"/>
  </r>
  <r>
    <s v="00362"/>
    <x v="7"/>
    <x v="34"/>
    <s v="05/2026"/>
    <d v="2026-05-18T00:00:00"/>
    <x v="357"/>
    <n v="5381.79"/>
    <n v="0"/>
    <n v="0"/>
    <n v="0"/>
    <n v="5381.79"/>
    <s v="Dinheiro"/>
    <x v="1"/>
  </r>
  <r>
    <s v="00668"/>
    <x v="541"/>
    <x v="93"/>
    <s v="05/2026"/>
    <d v="2026-05-18T00:00:00"/>
    <x v="357"/>
    <n v="2000"/>
    <n v="0"/>
    <n v="0"/>
    <n v="0"/>
    <n v="2000"/>
    <s v="Dinheiro"/>
    <x v="1"/>
  </r>
  <r>
    <s v="00302"/>
    <x v="96"/>
    <x v="38"/>
    <s v="05/2026"/>
    <d v="2026-05-19T00:00:00"/>
    <x v="358"/>
    <n v="250"/>
    <n v="0"/>
    <n v="0"/>
    <n v="0"/>
    <n v="250"/>
    <s v="Dinheiro"/>
    <x v="1"/>
  </r>
  <r>
    <s v="00744"/>
    <x v="659"/>
    <x v="104"/>
    <s v="05/2026"/>
    <d v="2026-05-19T00:00:00"/>
    <x v="358"/>
    <n v="3995.6800000000003"/>
    <n v="0"/>
    <n v="0"/>
    <n v="0"/>
    <n v="3995.6800000000003"/>
    <s v="Dinheiro"/>
    <x v="1"/>
  </r>
  <r>
    <s v="00709"/>
    <x v="607"/>
    <x v="93"/>
    <s v="05/2026"/>
    <d v="2026-05-19T00:00:00"/>
    <x v="358"/>
    <n v="280"/>
    <n v="0"/>
    <n v="0"/>
    <n v="0"/>
    <n v="280"/>
    <s v="Dinheiro"/>
    <x v="1"/>
  </r>
  <r>
    <s v="00109"/>
    <x v="90"/>
    <x v="35"/>
    <s v="05/2026"/>
    <d v="2026-05-19T00:00:00"/>
    <x v="358"/>
    <n v="222.38"/>
    <n v="0"/>
    <n v="0"/>
    <n v="0"/>
    <n v="222.38"/>
    <s v="Dinheiro"/>
    <x v="1"/>
  </r>
  <r>
    <s v="00362"/>
    <x v="7"/>
    <x v="3"/>
    <s v="05/2026"/>
    <d v="2026-05-19T00:00:00"/>
    <x v="358"/>
    <n v="18.28"/>
    <n v="0"/>
    <n v="0"/>
    <n v="0"/>
    <n v="18.28"/>
    <s v="Dinheiro"/>
    <x v="1"/>
  </r>
  <r>
    <s v="00362"/>
    <x v="7"/>
    <x v="3"/>
    <s v="05/2026"/>
    <d v="2026-05-20T00:00:00"/>
    <x v="370"/>
    <n v="4.38"/>
    <n v="0"/>
    <n v="0"/>
    <n v="0"/>
    <n v="4.38"/>
    <s v="Dinheiro"/>
    <x v="1"/>
  </r>
  <r>
    <s v="00468"/>
    <x v="236"/>
    <x v="34"/>
    <s v="05/2026"/>
    <d v="2026-05-20T00:00:00"/>
    <x v="370"/>
    <n v="10346.719999999999"/>
    <n v="0"/>
    <n v="0"/>
    <n v="0"/>
    <n v="10346.719999999999"/>
    <s v="Dinheiro"/>
    <x v="1"/>
  </r>
  <r>
    <s v="00675"/>
    <x v="128"/>
    <x v="12"/>
    <s v="05/2026"/>
    <d v="2026-05-20T00:00:00"/>
    <x v="370"/>
    <n v="49.25"/>
    <n v="0"/>
    <n v="0"/>
    <n v="0"/>
    <n v="49.25"/>
    <s v="Dinheiro"/>
    <x v="1"/>
  </r>
  <r>
    <s v="00072"/>
    <x v="105"/>
    <x v="40"/>
    <s v="05/2026"/>
    <d v="2026-05-20T00:00:00"/>
    <x v="370"/>
    <n v="18702.189999999999"/>
    <n v="0"/>
    <n v="0"/>
    <n v="0"/>
    <n v="18702.189999999999"/>
    <s v="Dinheiro"/>
    <x v="1"/>
  </r>
  <r>
    <s v="00104"/>
    <x v="380"/>
    <x v="80"/>
    <s v="05/2026"/>
    <d v="2026-05-20T00:00:00"/>
    <x v="370"/>
    <n v="81.59"/>
    <n v="0"/>
    <n v="0"/>
    <n v="0"/>
    <n v="81.59"/>
    <s v="Dinheiro"/>
    <x v="1"/>
  </r>
  <r>
    <s v="00022"/>
    <x v="115"/>
    <x v="68"/>
    <s v="05/2026"/>
    <d v="2026-05-20T00:00:00"/>
    <x v="370"/>
    <n v="1473.02"/>
    <n v="0"/>
    <n v="0"/>
    <n v="0"/>
    <n v="1473.02"/>
    <s v="Dinheiro"/>
    <x v="1"/>
  </r>
  <r>
    <s v="00032"/>
    <x v="120"/>
    <x v="27"/>
    <s v="05/2026"/>
    <d v="2026-05-20T00:00:00"/>
    <x v="371"/>
    <n v="317.5"/>
    <n v="0"/>
    <n v="0"/>
    <n v="0"/>
    <n v="317.5"/>
    <s v="Dinheiro"/>
    <x v="1"/>
  </r>
  <r>
    <s v="00104"/>
    <x v="380"/>
    <x v="43"/>
    <s v="05/2026"/>
    <d v="2026-05-21T00:00:00"/>
    <x v="371"/>
    <n v="3101.82"/>
    <n v="0"/>
    <n v="0"/>
    <n v="0"/>
    <n v="3101.82"/>
    <s v="Dinheiro"/>
    <x v="1"/>
  </r>
  <r>
    <s v="00745"/>
    <x v="660"/>
    <x v="105"/>
    <s v="05/2026"/>
    <d v="2026-05-21T00:00:00"/>
    <x v="371"/>
    <n v="1500"/>
    <n v="0"/>
    <n v="0"/>
    <n v="0"/>
    <n v="1500"/>
    <s v="Dinheiro"/>
    <x v="1"/>
  </r>
  <r>
    <s v="00362"/>
    <x v="7"/>
    <x v="3"/>
    <s v="05/2026"/>
    <d v="2026-05-25T00:00:00"/>
    <x v="360"/>
    <n v="13.14"/>
    <n v="0"/>
    <n v="0"/>
    <n v="0"/>
    <n v="13.14"/>
    <s v="Dinheiro"/>
    <x v="1"/>
  </r>
  <r>
    <s v="00075"/>
    <x v="197"/>
    <x v="86"/>
    <s v="05/2026"/>
    <d v="2026-05-25T00:00:00"/>
    <x v="360"/>
    <n v="575.83000000000004"/>
    <n v="0"/>
    <n v="0"/>
    <n v="0"/>
    <n v="575.83000000000004"/>
    <s v="Dinheiro"/>
    <x v="1"/>
  </r>
  <r>
    <s v="00576"/>
    <x v="456"/>
    <x v="94"/>
    <s v="05/2026"/>
    <d v="2026-05-25T00:00:00"/>
    <x v="360"/>
    <n v="1439.58"/>
    <n v="0"/>
    <n v="0"/>
    <n v="0"/>
    <n v="1439.58"/>
    <s v="Dinheiro"/>
    <x v="1"/>
  </r>
  <r>
    <s v="00065"/>
    <x v="92"/>
    <x v="10"/>
    <s v="05/2026"/>
    <d v="2026-05-22T00:00:00"/>
    <x v="360"/>
    <n v="2407.54"/>
    <n v="0"/>
    <n v="0"/>
    <n v="0"/>
    <n v="2407.54"/>
    <s v="Dinheiro"/>
    <x v="1"/>
  </r>
  <r>
    <s v="00011"/>
    <x v="45"/>
    <x v="16"/>
    <s v="05/2026"/>
    <d v="2026-05-25T00:00:00"/>
    <x v="360"/>
    <n v="1076.32"/>
    <n v="0"/>
    <n v="0"/>
    <n v="0"/>
    <n v="1076.32"/>
    <s v="Dinheiro"/>
    <x v="1"/>
  </r>
  <r>
    <s v="00011"/>
    <x v="45"/>
    <x v="16"/>
    <s v="05/2026"/>
    <d v="2026-05-25T00:00:00"/>
    <x v="360"/>
    <n v="807.1"/>
    <n v="0"/>
    <n v="0"/>
    <n v="0"/>
    <n v="807.1"/>
    <s v="Dinheiro"/>
    <x v="1"/>
  </r>
  <r>
    <s v="00381"/>
    <x v="99"/>
    <x v="26"/>
    <s v="05/2026"/>
    <d v="2026-05-25T00:00:00"/>
    <x v="360"/>
    <n v="390"/>
    <n v="0"/>
    <n v="0"/>
    <n v="0"/>
    <n v="390"/>
    <s v="Dinheiro"/>
    <x v="1"/>
  </r>
  <r>
    <s v="00067"/>
    <x v="132"/>
    <x v="51"/>
    <s v="05/2026"/>
    <d v="2026-05-25T00:00:00"/>
    <x v="360"/>
    <n v="370"/>
    <n v="0"/>
    <n v="0"/>
    <n v="0"/>
    <n v="370"/>
    <s v="Dinheiro"/>
    <x v="1"/>
  </r>
  <r>
    <s v="00685"/>
    <x v="584"/>
    <x v="9"/>
    <s v="05/2026"/>
    <d v="2026-05-20T00:00:00"/>
    <x v="360"/>
    <n v="2974.14"/>
    <n v="0"/>
    <n v="0"/>
    <n v="0"/>
    <n v="2974.14"/>
    <s v="Dinheiro"/>
    <x v="1"/>
  </r>
  <r>
    <s v="00362"/>
    <x v="7"/>
    <x v="3"/>
    <s v="05/2026"/>
    <d v="2026-05-25T00:00:00"/>
    <x v="360"/>
    <n v="2.19"/>
    <n v="0"/>
    <n v="0"/>
    <n v="0"/>
    <n v="2.19"/>
    <s v="Dinheiro"/>
    <x v="1"/>
  </r>
  <r>
    <s v="00362"/>
    <x v="7"/>
    <x v="48"/>
    <s v="05/2026"/>
    <d v="2026-05-26T00:00:00"/>
    <x v="361"/>
    <n v="8683.25"/>
    <n v="0"/>
    <n v="0"/>
    <n v="0"/>
    <n v="8683.25"/>
    <s v="Dinheiro"/>
    <x v="1"/>
  </r>
  <r>
    <s v="00746"/>
    <x v="661"/>
    <x v="45"/>
    <s v="05/2026"/>
    <d v="2026-05-26T00:00:00"/>
    <x v="361"/>
    <n v="163.92000000000002"/>
    <n v="0"/>
    <n v="0"/>
    <n v="0"/>
    <n v="163.92000000000002"/>
    <s v="Dinheiro"/>
    <x v="1"/>
  </r>
  <r>
    <s v="00015"/>
    <x v="363"/>
    <x v="23"/>
    <s v="05/2026"/>
    <d v="2026-05-26T00:00:00"/>
    <x v="361"/>
    <n v="2516.2200000000003"/>
    <n v="0"/>
    <n v="0"/>
    <n v="0"/>
    <n v="2516.2200000000003"/>
    <s v="Dinheiro"/>
    <x v="1"/>
  </r>
  <r>
    <s v="00597"/>
    <x v="640"/>
    <x v="39"/>
    <s v="05/2026"/>
    <d v="2026-05-26T00:00:00"/>
    <x v="361"/>
    <n v="990.17000000000007"/>
    <n v="0"/>
    <n v="0"/>
    <n v="0"/>
    <n v="990.17000000000007"/>
    <s v="Dinheiro"/>
    <x v="1"/>
  </r>
  <r>
    <s v="00732"/>
    <x v="641"/>
    <x v="39"/>
    <s v="05/2026"/>
    <d v="2026-05-25T00:00:00"/>
    <x v="361"/>
    <n v="990.17000000000007"/>
    <n v="0"/>
    <n v="0"/>
    <n v="0"/>
    <n v="990.17000000000007"/>
    <s v="Dinheiro"/>
    <x v="1"/>
  </r>
  <r>
    <m/>
    <x v="574"/>
    <x v="96"/>
    <m/>
    <m/>
    <x v="301"/>
    <m/>
    <m/>
    <m/>
    <m/>
    <m/>
    <m/>
    <x v="2"/>
  </r>
  <r>
    <m/>
    <x v="574"/>
    <x v="96"/>
    <m/>
    <m/>
    <x v="301"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D7D60-BDB2-4318-9BA6-AB3108B21320}" name="PivotTable1" cacheId="4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787" firstHeaderRow="1" firstDataRow="4" firstDataCol="1"/>
  <pivotFields count="15">
    <pivotField showAll="0"/>
    <pivotField axis="axisRow" showAll="0" sortType="descending">
      <items count="667">
        <item sd="0" x="292"/>
        <item sd="0" x="163"/>
        <item sd="0" x="432"/>
        <item sd="0" x="450"/>
        <item sd="0" x="480"/>
        <item sd="0" x="51"/>
        <item sd="0" x="159"/>
        <item sd="0" x="413"/>
        <item sd="0" x="77"/>
        <item sd="0" x="205"/>
        <item sd="0" x="301"/>
        <item sd="0" x="42"/>
        <item sd="0" x="223"/>
        <item sd="0" x="423"/>
        <item sd="0" x="334"/>
        <item sd="0" x="329"/>
        <item sd="0" x="232"/>
        <item sd="0" x="6"/>
        <item sd="0" x="73"/>
        <item sd="0" x="57"/>
        <item sd="0" x="123"/>
        <item sd="0" x="70"/>
        <item sd="0" x="125"/>
        <item sd="0" x="134"/>
        <item sd="0" x="124"/>
        <item sd="0" x="238"/>
        <item sd="0" x="398"/>
        <item sd="0" x="399"/>
        <item sd="0" x="373"/>
        <item sd="0" x="74"/>
        <item sd="0" x="211"/>
        <item sd="0" x="17"/>
        <item sd="0" x="193"/>
        <item sd="0" x="106"/>
        <item sd="0" x="477"/>
        <item sd="0" x="461"/>
        <item sd="0" x="411"/>
        <item sd="0" x="120"/>
        <item sd="0" x="81"/>
        <item sd="0" x="49"/>
        <item sd="0" x="138"/>
        <item sd="0" x="184"/>
        <item sd="0" x="200"/>
        <item sd="0" x="199"/>
        <item sd="0" x="54"/>
        <item sd="0" x="198"/>
        <item sd="0" x="204"/>
        <item sd="0" x="306"/>
        <item sd="0" x="354"/>
        <item sd="0" x="449"/>
        <item sd="0" x="231"/>
        <item sd="0" x="422"/>
        <item sd="0" x="37"/>
        <item sd="0" x="313"/>
        <item sd="0" x="431"/>
        <item sd="0" x="107"/>
        <item sd="0" x="147"/>
        <item sd="0" x="389"/>
        <item sd="0" x="43"/>
        <item sd="0" x="130"/>
        <item sd="0" x="227"/>
        <item sd="0" x="14"/>
        <item sd="0" x="114"/>
        <item sd="0" x="155"/>
        <item sd="0" x="291"/>
        <item sd="0" x="110"/>
        <item sd="0" x="32"/>
        <item sd="0" x="444"/>
        <item sd="0" x="222"/>
        <item sd="0" x="370"/>
        <item sd="0" x="464"/>
        <item sd="0" x="109"/>
        <item sd="0" x="421"/>
        <item sd="0" x="325"/>
        <item sd="0" x="412"/>
        <item sd="0" x="101"/>
        <item sd="0" x="275"/>
        <item sd="0" x="345"/>
        <item sd="0" x="270"/>
        <item sd="0" x="388"/>
        <item sd="0" x="400"/>
        <item sd="0" x="458"/>
        <item sd="0" x="72"/>
        <item sd="0" x="351"/>
        <item sd="0" x="140"/>
        <item sd="0" x="50"/>
        <item sd="0" x="48"/>
        <item sd="0" x="127"/>
        <item sd="0" x="137"/>
        <item sd="0" x="148"/>
        <item sd="0" x="303"/>
        <item sd="0" x="100"/>
        <item sd="0" x="377"/>
        <item sd="0" x="256"/>
        <item sd="0" x="31"/>
        <item sd="0" x="433"/>
        <item sd="0" x="320"/>
        <item sd="0" x="440"/>
        <item sd="0" x="451"/>
        <item sd="0" x="82"/>
        <item sd="0" x="255"/>
        <item sd="0" x="239"/>
        <item sd="0" x="253"/>
        <item sd="0" x="380"/>
        <item sd="0" x="385"/>
        <item sd="0" x="15"/>
        <item sd="0" x="250"/>
        <item sd="0" x="225"/>
        <item sd="0" x="46"/>
        <item sd="0" x="118"/>
        <item sd="0" x="463"/>
        <item sd="0" x="237"/>
        <item sd="0" x="104"/>
        <item sd="0" x="402"/>
        <item sd="0" x="379"/>
        <item sd="0" x="272"/>
        <item sd="0" x="252"/>
        <item sd="0" x="158"/>
        <item sd="0" x="80"/>
        <item sd="0" x="11"/>
        <item sd="0" x="290"/>
        <item sd="0" x="280"/>
        <item sd="0" x="295"/>
        <item sd="0" x="102"/>
        <item sd="0" x="342"/>
        <item sd="0" x="349"/>
        <item sd="0" x="64"/>
        <item sd="0" x="208"/>
        <item sd="0" x="119"/>
        <item sd="0" x="209"/>
        <item sd="0" x="401"/>
        <item sd="0" x="353"/>
        <item sd="0" x="86"/>
        <item sd="0" x="319"/>
        <item sd="0" x="383"/>
        <item sd="0" x="362"/>
        <item sd="0" x="18"/>
        <item sd="0" x="221"/>
        <item sd="0" x="197"/>
        <item sd="0" x="247"/>
        <item sd="0" x="187"/>
        <item sd="0" x="392"/>
        <item sd="0" x="279"/>
        <item sd="0" x="30"/>
        <item sd="0" x="165"/>
        <item sd="0" x="356"/>
        <item sd="0" x="58"/>
        <item sd="0" x="63"/>
        <item sd="0" x="365"/>
        <item sd="0" x="405"/>
        <item sd="0" x="376"/>
        <item sd="0" x="167"/>
        <item sd="0" x="160"/>
        <item sd="0" x="3"/>
        <item sd="0" x="294"/>
        <item sd="0" x="112"/>
        <item sd="0" x="257"/>
        <item sd="0" x="212"/>
        <item sd="0" x="260"/>
        <item sd="0" x="489"/>
        <item sd="0" x="61"/>
        <item sd="0" x="115"/>
        <item sd="0" x="304"/>
        <item sd="0" x="5"/>
        <item sd="0" x="131"/>
        <item sd="0" x="406"/>
        <item sd="0" x="192"/>
        <item sd="0" x="53"/>
        <item sd="0" x="367"/>
        <item sd="0" x="132"/>
        <item sd="0" x="424"/>
        <item sd="0" x="308"/>
        <item sd="0" x="111"/>
        <item sd="0" x="478"/>
        <item sd="0" x="407"/>
        <item sd="0" x="38"/>
        <item sd="0" x="66"/>
        <item sd="0" x="311"/>
        <item sd="0" x="416"/>
        <item sd="0" x="162"/>
        <item sd="0" x="19"/>
        <item sd="0" x="157"/>
        <item sd="0" x="76"/>
        <item sd="0" x="469"/>
        <item sd="0" x="28"/>
        <item sd="0" x="174"/>
        <item sd="0" x="149"/>
        <item sd="0" x="378"/>
        <item sd="0" x="10"/>
        <item sd="0" x="302"/>
        <item sd="0" x="332"/>
        <item sd="0" x="0"/>
        <item sd="0" x="234"/>
        <item sd="0" x="330"/>
        <item sd="0" x="438"/>
        <item sd="0" x="233"/>
        <item sd="0" x="142"/>
        <item sd="0" x="92"/>
        <item sd="0" x="226"/>
        <item sd="0" x="245"/>
        <item sd="0" x="44"/>
        <item sd="0" x="183"/>
        <item sd="0" x="269"/>
        <item sd="0" x="282"/>
        <item sd="0" x="285"/>
        <item sd="0" x="393"/>
        <item sd="0" x="299"/>
        <item sd="0" x="323"/>
        <item sd="0" x="178"/>
        <item sd="0" x="36"/>
        <item sd="0" x="2"/>
        <item sd="0" x="188"/>
        <item sd="0" x="300"/>
        <item sd="0" x="298"/>
        <item sd="0" x="141"/>
        <item sd="0" x="203"/>
        <item sd="0" x="34"/>
        <item sd="0" x="410"/>
        <item sd="0" x="341"/>
        <item sd="0" x="264"/>
        <item sd="0" x="281"/>
        <item sd="0" x="161"/>
        <item sd="0" x="116"/>
        <item sd="0" x="182"/>
        <item sd="0" x="151"/>
        <item sd="0" x="366"/>
        <item sd="0" x="89"/>
        <item sd="0" x="7"/>
        <item sd="0" x="390"/>
        <item sd="0" x="59"/>
        <item sd="0" x="357"/>
        <item sd="0" x="207"/>
        <item sd="0" x="79"/>
        <item sd="0" x="453"/>
        <item sd="0" x="219"/>
        <item sd="0" x="293"/>
        <item sd="0" x="284"/>
        <item sd="0" x="317"/>
        <item sd="0" x="429"/>
        <item sd="0" x="261"/>
        <item sd="0" x="191"/>
        <item sd="0" x="1"/>
        <item sd="0" x="186"/>
        <item sd="0" x="460"/>
        <item sd="0" x="164"/>
        <item sd="0" x="210"/>
        <item sd="0" x="331"/>
        <item sd="0" x="220"/>
        <item sd="0" x="338"/>
        <item sd="0" x="20"/>
        <item sd="0" x="117"/>
        <item sd="0" x="452"/>
        <item sd="0" x="179"/>
        <item sd="0" x="190"/>
        <item sd="0" x="21"/>
        <item sd="0" x="467"/>
        <item sd="0" x="152"/>
        <item sd="0" x="202"/>
        <item sd="0" x="122"/>
        <item sd="0" x="529"/>
        <item sd="0" x="434"/>
        <item sd="0" x="430"/>
        <item sd="0" x="194"/>
        <item sd="0" x="364"/>
        <item sd="0" x="189"/>
        <item sd="0" x="95"/>
        <item sd="0" x="408"/>
        <item sd="0" x="445"/>
        <item sd="0" x="441"/>
        <item sd="0" x="175"/>
        <item sd="0" x="465"/>
        <item sd="0" x="150"/>
        <item sd="0" x="481"/>
        <item sd="0" x="361"/>
        <item sd="0" x="286"/>
        <item sd="0" x="242"/>
        <item sd="0" x="22"/>
        <item sd="0" x="314"/>
        <item sd="0" x="276"/>
        <item sd="0" x="267"/>
        <item sd="0" x="8"/>
        <item sd="0" x="277"/>
        <item sd="0" x="176"/>
        <item sd="0" x="395"/>
        <item sd="0" x="248"/>
        <item sd="0" x="40"/>
        <item sd="0" x="12"/>
        <item sd="0" x="372"/>
        <item sd="0" x="229"/>
        <item sd="0" x="60"/>
        <item sd="0" x="435"/>
        <item sd="0" x="145"/>
        <item sd="0" x="26"/>
        <item sd="0" x="274"/>
        <item sd="0" x="103"/>
        <item sd="0" x="133"/>
        <item sd="0" x="83"/>
        <item sd="0" x="25"/>
        <item sd="0" x="67"/>
        <item sd="0" x="69"/>
        <item sd="0" x="322"/>
        <item sd="0" x="258"/>
        <item sd="0" x="454"/>
        <item sd="0" x="268"/>
        <item sd="0" x="213"/>
        <item sd="0" x="316"/>
        <item sd="0" x="126"/>
        <item sd="0" x="181"/>
        <item sd="0" x="249"/>
        <item sd="0" x="180"/>
        <item sd="0" x="214"/>
        <item sd="0" x="87"/>
        <item sd="0" x="224"/>
        <item sd="0" x="318"/>
        <item sd="0" x="396"/>
        <item sd="0" x="289"/>
        <item sd="0" x="75"/>
        <item sd="0" x="78"/>
        <item sd="0" x="218"/>
        <item sd="0" x="93"/>
        <item sd="0" x="476"/>
        <item sd="0" x="462"/>
        <item sd="0" x="96"/>
        <item sd="0" x="307"/>
        <item sd="0" x="419"/>
        <item sd="0" x="324"/>
        <item sd="0" x="90"/>
        <item sd="0" x="146"/>
        <item sd="0" x="230"/>
        <item sd="0" x="409"/>
        <item sd="0" x="328"/>
        <item sd="0" x="244"/>
        <item sd="0" x="105"/>
        <item sd="0" x="166"/>
        <item sd="0" x="369"/>
        <item sd="0" x="171"/>
        <item sd="0" x="27"/>
        <item sd="0" x="113"/>
        <item sd="0" x="143"/>
        <item sd="0" x="337"/>
        <item sd="0" x="16"/>
        <item sd="0" x="121"/>
        <item sd="0" x="206"/>
        <item sd="0" x="305"/>
        <item sd="0" x="355"/>
        <item sd="0" x="228"/>
        <item sd="0" x="84"/>
        <item sd="0" x="139"/>
        <item sd="0" x="35"/>
        <item sd="0" x="29"/>
        <item sd="0" x="136"/>
        <item sd="0" x="339"/>
        <item sd="0" x="368"/>
        <item sd="0" x="196"/>
        <item sd="0" x="266"/>
        <item sd="0" x="309"/>
        <item sd="0" x="85"/>
        <item sd="0" x="33"/>
        <item sd="0" x="156"/>
        <item sd="0" x="482"/>
        <item sd="0" x="52"/>
        <item sd="0" x="47"/>
        <item sd="0" x="457"/>
        <item sd="0" x="426"/>
        <item sd="0" x="346"/>
        <item sd="0" x="352"/>
        <item sd="0" x="456"/>
        <item sd="0" x="278"/>
        <item sd="0" x="45"/>
        <item sd="0" x="326"/>
        <item sd="0" x="170"/>
        <item sd="0" x="479"/>
        <item sd="0" x="350"/>
        <item sd="0" x="397"/>
        <item sd="0" x="310"/>
        <item sd="0" x="288"/>
        <item sd="0" x="169"/>
        <item sd="0" x="382"/>
        <item sd="0" x="13"/>
        <item sd="0" x="195"/>
        <item sd="0" x="344"/>
        <item sd="0" x="425"/>
        <item sd="0" x="347"/>
        <item sd="0" x="442"/>
        <item sd="0" x="427"/>
        <item sd="0" x="241"/>
        <item sd="0" x="446"/>
        <item sd="0" x="41"/>
        <item sd="0" x="375"/>
        <item sd="0" x="384"/>
        <item sd="0" x="215"/>
        <item sd="0" x="360"/>
        <item sd="0" x="415"/>
        <item sd="0" x="144"/>
        <item sd="0" x="9"/>
        <item sd="0" x="262"/>
        <item sd="0" x="216"/>
        <item sd="0" x="251"/>
        <item sd="0" x="363"/>
        <item sd="0" x="447"/>
        <item sd="0" x="55"/>
        <item sd="0" x="417"/>
        <item sd="0" x="71"/>
        <item sd="0" x="259"/>
        <item sd="0" x="56"/>
        <item sd="0" x="386"/>
        <item sd="0" x="381"/>
        <item sd="0" x="343"/>
        <item sd="0" x="135"/>
        <item sd="0" x="348"/>
        <item sd="0" x="448"/>
        <item sd="0" x="455"/>
        <item sd="0" x="336"/>
        <item sd="0" x="333"/>
        <item sd="0" x="201"/>
        <item sd="0" x="94"/>
        <item sd="0" x="436"/>
        <item sd="0" x="97"/>
        <item sd="0" x="443"/>
        <item sd="0" x="468"/>
        <item sd="0" x="153"/>
        <item sd="0" x="374"/>
        <item sd="0" x="68"/>
        <item sd="0" x="403"/>
        <item sd="0" x="327"/>
        <item sd="0" x="128"/>
        <item sd="0" x="217"/>
        <item sd="0" x="358"/>
        <item sd="0" x="246"/>
        <item sd="0" x="335"/>
        <item sd="0" x="315"/>
        <item sd="0" x="39"/>
        <item sd="0" x="108"/>
        <item sd="0" x="263"/>
        <item sd="0" x="414"/>
        <item sd="0" x="236"/>
        <item sd="0" x="321"/>
        <item sd="0" x="296"/>
        <item sd="0" x="168"/>
        <item sd="0" x="129"/>
        <item sd="0" x="265"/>
        <item sd="0" x="177"/>
        <item sd="0" x="172"/>
        <item sd="0" x="99"/>
        <item sd="0" x="312"/>
        <item sd="0" x="387"/>
        <item sd="0" x="420"/>
        <item sd="0" x="359"/>
        <item sd="0" x="91"/>
        <item sd="0" x="439"/>
        <item sd="0" x="254"/>
        <item sd="0" x="4"/>
        <item sd="0" x="283"/>
        <item sd="0" x="235"/>
        <item sd="0" x="154"/>
        <item sd="0" x="273"/>
        <item sd="0" x="297"/>
        <item sd="0" x="62"/>
        <item sd="0" x="88"/>
        <item sd="0" x="466"/>
        <item sd="0" x="287"/>
        <item sd="0" x="65"/>
        <item sd="0" x="23"/>
        <item sd="0" x="185"/>
        <item sd="0" x="340"/>
        <item sd="0" m="1" x="664"/>
        <item sd="0" x="98"/>
        <item sd="0" x="459"/>
        <item sd="0" x="391"/>
        <item sd="0" x="437"/>
        <item sd="0" x="243"/>
        <item sd="0" x="24"/>
        <item sd="0" x="418"/>
        <item sd="0" x="173"/>
        <item sd="0" x="404"/>
        <item sd="0" x="271"/>
        <item sd="0" x="428"/>
        <item sd="0" x="371"/>
        <item sd="0" x="394"/>
        <item sd="0" x="574"/>
        <item sd="0" x="488"/>
        <item sd="0" x="470"/>
        <item sd="0" x="471"/>
        <item sd="0" x="472"/>
        <item sd="0" x="483"/>
        <item sd="0" x="484"/>
        <item sd="0" x="473"/>
        <item sd="0" x="485"/>
        <item sd="0" x="490"/>
        <item sd="0" x="491"/>
        <item sd="0" x="486"/>
        <item sd="0" x="487"/>
        <item sd="0" x="474"/>
        <item sd="0" x="475"/>
        <item sd="0" x="492"/>
        <item sd="0" x="493"/>
        <item sd="0" x="494"/>
        <item sd="0" x="495"/>
        <item sd="0" x="496"/>
        <item sd="0" x="504"/>
        <item sd="0" x="240"/>
        <item sd="0" x="505"/>
        <item sd="0" x="506"/>
        <item sd="0" x="507"/>
        <item sd="0" x="497"/>
        <item sd="0" x="498"/>
        <item sd="0" x="499"/>
        <item sd="0" x="508"/>
        <item sd="0" x="500"/>
        <item sd="0" x="501"/>
        <item sd="0" x="502"/>
        <item sd="0" x="503"/>
        <item sd="0" x="509"/>
        <item sd="0" x="510"/>
        <item sd="0" x="511"/>
        <item sd="0" x="512"/>
        <item sd="0" x="513"/>
        <item sd="0" x="514"/>
        <item sd="0" x="515"/>
        <item sd="0" x="516"/>
        <item sd="0" x="517"/>
        <item sd="0" x="522"/>
        <item sd="0" x="523"/>
        <item sd="0" x="524"/>
        <item sd="0" x="525"/>
        <item sd="0" x="526"/>
        <item sd="0" x="527"/>
        <item sd="0" x="528"/>
        <item sd="0" x="530"/>
        <item sd="0" x="531"/>
        <item sd="0" x="532"/>
        <item sd="0" x="535"/>
        <item sd="0" x="533"/>
        <item sd="0" x="534"/>
        <item sd="0" x="536"/>
        <item sd="0" x="537"/>
        <item sd="0" x="538"/>
        <item sd="0" x="539"/>
        <item sd="0" x="540"/>
        <item sd="0" x="541"/>
        <item sd="0" x="542"/>
        <item sd="0" x="543"/>
        <item sd="0" x="518"/>
        <item sd="0" x="519"/>
        <item sd="0" x="520"/>
        <item sd="0" x="521"/>
        <item sd="0" x="544"/>
        <item sd="0" x="546"/>
        <item sd="0" x="547"/>
        <item sd="0" x="548"/>
        <item sd="0" x="549"/>
        <item sd="0" x="550"/>
        <item sd="0" x="551"/>
        <item sd="0" x="552"/>
        <item sd="0" x="553"/>
        <item sd="0" x="554"/>
        <item sd="0" x="555"/>
        <item sd="0" x="556"/>
        <item sd="0" x="558"/>
        <item sd="0" x="557"/>
        <item sd="0" x="559"/>
        <item sd="0" x="560"/>
        <item sd="0" x="561"/>
        <item sd="0" x="562"/>
        <item sd="0" x="563"/>
        <item sd="0" x="564"/>
        <item sd="0" x="565"/>
        <item sd="0" x="566"/>
        <item sd="0" x="567"/>
        <item sd="0" x="545"/>
        <item sd="0" x="568"/>
        <item m="1" x="665"/>
        <item x="569"/>
        <item x="570"/>
        <item x="571"/>
        <item x="575"/>
        <item x="576"/>
        <item x="577"/>
        <item x="578"/>
        <item x="579"/>
        <item x="585"/>
        <item x="588"/>
        <item x="589"/>
        <item x="572"/>
        <item x="580"/>
        <item x="581"/>
        <item x="586"/>
        <item x="590"/>
        <item x="582"/>
        <item sd="0" x="573"/>
        <item x="591"/>
        <item x="583"/>
        <item x="584"/>
        <item x="587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42"/>
        <item sd="0" x="643"/>
        <item x="623"/>
        <item x="624"/>
        <item x="629"/>
        <item sd="0" x="630"/>
        <item x="631"/>
        <item x="632"/>
        <item x="633"/>
        <item x="634"/>
        <item x="625"/>
        <item x="626"/>
        <item sd="0" x="627"/>
        <item x="635"/>
        <item x="636"/>
        <item x="637"/>
        <item x="638"/>
        <item x="639"/>
        <item x="628"/>
        <item x="644"/>
        <item x="645"/>
        <item x="640"/>
        <item x="641"/>
        <item x="647"/>
        <item x="648"/>
        <item x="650"/>
        <item x="651"/>
        <item m="1" x="663"/>
        <item x="652"/>
        <item x="653"/>
        <item x="654"/>
        <item x="655"/>
        <item x="656"/>
        <item x="646"/>
        <item x="657"/>
        <item m="1" x="662"/>
        <item x="649"/>
        <item x="658"/>
        <item x="659"/>
        <item x="660"/>
        <item x="66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defaultSubtotal="0">
      <items count="107">
        <item x="10"/>
        <item x="85"/>
        <item x="18"/>
        <item x="29"/>
        <item x="30"/>
        <item x="64"/>
        <item x="35"/>
        <item x="94"/>
        <item x="41"/>
        <item x="20"/>
        <item x="28"/>
        <item x="33"/>
        <item x="15"/>
        <item x="31"/>
        <item x="55"/>
        <item x="80"/>
        <item x="43"/>
        <item x="68"/>
        <item x="19"/>
        <item x="46"/>
        <item x="75"/>
        <item x="32"/>
        <item x="1"/>
        <item x="14"/>
        <item x="63"/>
        <item x="8"/>
        <item x="5"/>
        <item x="79"/>
        <item x="42"/>
        <item x="86"/>
        <item x="62"/>
        <item x="24"/>
        <item x="50"/>
        <item x="23"/>
        <item x="58"/>
        <item x="12"/>
        <item x="9"/>
        <item x="66"/>
        <item x="2"/>
        <item x="54"/>
        <item x="36"/>
        <item x="22"/>
        <item x="51"/>
        <item x="27"/>
        <item x="47"/>
        <item x="25"/>
        <item x="45"/>
        <item x="59"/>
        <item x="76"/>
        <item x="84"/>
        <item x="17"/>
        <item x="53"/>
        <item x="39"/>
        <item x="72"/>
        <item x="57"/>
        <item x="74"/>
        <item x="78"/>
        <item x="37"/>
        <item x="26"/>
        <item x="21"/>
        <item x="16"/>
        <item x="61"/>
        <item x="38"/>
        <item x="93"/>
        <item x="82"/>
        <item x="81"/>
        <item x="13"/>
        <item x="7"/>
        <item x="3"/>
        <item m="1" x="106"/>
        <item x="6"/>
        <item x="4"/>
        <item x="34"/>
        <item x="60"/>
        <item x="0"/>
        <item x="52"/>
        <item x="65"/>
        <item x="44"/>
        <item x="73"/>
        <item x="56"/>
        <item x="40"/>
        <item x="67"/>
        <item x="70"/>
        <item x="77"/>
        <item x="83"/>
        <item x="71"/>
        <item x="49"/>
        <item x="48"/>
        <item x="11"/>
        <item x="96"/>
        <item x="89"/>
        <item x="69"/>
        <item x="87"/>
        <item x="88"/>
        <item x="90"/>
        <item x="91"/>
        <item x="92"/>
        <item x="95"/>
        <item x="105"/>
        <item x="97"/>
        <item x="98"/>
        <item x="99"/>
        <item x="100"/>
        <item x="101"/>
        <item x="102"/>
        <item x="103"/>
        <item x="104"/>
      </items>
    </pivotField>
    <pivotField showAll="0"/>
    <pivotField showAll="0"/>
    <pivotField showAll="0">
      <items count="3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64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1"/>
        <item x="163"/>
        <item x="160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94"/>
        <item x="177"/>
        <item x="178"/>
        <item x="179"/>
        <item x="180"/>
        <item x="181"/>
        <item x="159"/>
        <item x="161"/>
        <item x="182"/>
        <item x="183"/>
        <item x="184"/>
        <item x="185"/>
        <item x="162"/>
        <item x="186"/>
        <item x="187"/>
        <item x="188"/>
        <item x="189"/>
        <item x="190"/>
        <item x="191"/>
        <item x="192"/>
        <item x="193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301"/>
        <item x="206"/>
        <item x="207"/>
        <item x="208"/>
        <item x="209"/>
        <item x="210"/>
        <item x="217"/>
        <item x="214"/>
        <item x="215"/>
        <item x="216"/>
        <item x="211"/>
        <item x="212"/>
        <item x="213"/>
        <item x="223"/>
        <item x="218"/>
        <item x="219"/>
        <item x="220"/>
        <item x="221"/>
        <item x="222"/>
        <item x="234"/>
        <item x="235"/>
        <item x="224"/>
        <item x="225"/>
        <item x="226"/>
        <item x="227"/>
        <item x="228"/>
        <item x="229"/>
        <item x="230"/>
        <item x="231"/>
        <item x="232"/>
        <item x="233"/>
        <item x="236"/>
        <item x="239"/>
        <item x="240"/>
        <item x="241"/>
        <item x="242"/>
        <item x="243"/>
        <item x="244"/>
        <item x="245"/>
        <item x="237"/>
        <item x="246"/>
        <item x="247"/>
        <item x="248"/>
        <item x="249"/>
        <item x="250"/>
        <item x="251"/>
        <item x="252"/>
        <item x="238"/>
        <item x="253"/>
        <item x="254"/>
        <item x="255"/>
        <item x="256"/>
        <item x="257"/>
        <item x="258"/>
        <item x="263"/>
        <item x="264"/>
        <item x="265"/>
        <item x="266"/>
        <item x="259"/>
        <item x="260"/>
        <item x="267"/>
        <item x="261"/>
        <item x="268"/>
        <item x="269"/>
        <item x="270"/>
        <item x="271"/>
        <item x="262"/>
        <item x="272"/>
        <item x="273"/>
        <item x="274"/>
        <item x="275"/>
        <item x="276"/>
        <item x="278"/>
        <item x="280"/>
        <item x="281"/>
        <item x="277"/>
        <item x="282"/>
        <item x="283"/>
        <item x="284"/>
        <item x="279"/>
        <item x="285"/>
        <item x="286"/>
        <item x="287"/>
        <item x="288"/>
        <item x="289"/>
        <item x="290"/>
        <item x="291"/>
        <item x="292"/>
        <item x="293"/>
        <item x="302"/>
        <item x="303"/>
        <item x="294"/>
        <item x="295"/>
        <item x="296"/>
        <item x="297"/>
        <item x="298"/>
        <item x="299"/>
        <item x="300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49"/>
        <item x="352"/>
        <item x="332"/>
        <item x="335"/>
        <item x="330"/>
        <item x="331"/>
        <item x="333"/>
        <item x="334"/>
        <item x="348"/>
        <item x="336"/>
        <item x="337"/>
        <item x="338"/>
        <item x="350"/>
        <item x="351"/>
        <item x="339"/>
        <item x="340"/>
        <item x="341"/>
        <item x="342"/>
        <item x="343"/>
        <item x="344"/>
        <item x="345"/>
        <item x="346"/>
        <item x="347"/>
        <item x="362"/>
        <item x="363"/>
        <item x="364"/>
        <item x="365"/>
        <item x="366"/>
        <item x="367"/>
        <item x="353"/>
        <item x="354"/>
        <item x="368"/>
        <item x="369"/>
        <item x="355"/>
        <item x="372"/>
        <item x="356"/>
        <item x="357"/>
        <item x="358"/>
        <item x="359"/>
        <item x="360"/>
        <item x="361"/>
        <item x="370"/>
        <item x="371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Col" multipleItemSelectionAllowed="1" showAll="0">
      <items count="5">
        <item sd="0" x="0"/>
        <item x="1"/>
        <item x="2"/>
        <item m="1" x="3"/>
        <item t="default"/>
      </items>
    </pivotField>
    <pivotField axis="axisCol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"/>
    <field x="2"/>
  </rowFields>
  <rowItems count="781">
    <i>
      <x v="227"/>
    </i>
    <i>
      <x v="167"/>
    </i>
    <i>
      <x v="332"/>
    </i>
    <i>
      <x v="197"/>
    </i>
    <i>
      <x v="119"/>
    </i>
    <i>
      <x v="39"/>
    </i>
    <i>
      <x v="286"/>
    </i>
    <i>
      <x v="160"/>
    </i>
    <i>
      <x v="66"/>
    </i>
    <i>
      <x v="435"/>
    </i>
    <i>
      <x v="346"/>
    </i>
    <i>
      <x v="163"/>
    </i>
    <i>
      <x v="153"/>
    </i>
    <i>
      <x v="164"/>
    </i>
    <i>
      <x v="431"/>
    </i>
    <i>
      <x v="161"/>
    </i>
    <i>
      <x v="40"/>
    </i>
    <i>
      <x v="471"/>
    </i>
    <i>
      <x v="136"/>
    </i>
    <i>
      <x v="296"/>
    </i>
    <i>
      <x v="120"/>
    </i>
    <i>
      <x v="311"/>
    </i>
    <i>
      <x v="191"/>
    </i>
    <i>
      <x v="21"/>
    </i>
    <i>
      <x v="11"/>
    </i>
    <i>
      <x v="297"/>
    </i>
    <i>
      <x v="31"/>
    </i>
    <i>
      <x v="138"/>
    </i>
    <i>
      <x v="256"/>
    </i>
    <i>
      <x v="140"/>
    </i>
    <i>
      <x v="556"/>
    </i>
    <i>
      <x v="368"/>
    </i>
    <i>
      <x v="246"/>
    </i>
    <i>
      <x v="94"/>
    </i>
    <i>
      <x v="275"/>
    </i>
    <i>
      <x v="132"/>
    </i>
    <i>
      <x v="385"/>
    </i>
    <i>
      <x v="466"/>
    </i>
    <i>
      <x v="462"/>
    </i>
    <i>
      <x v="88"/>
    </i>
    <i>
      <x v="139"/>
    </i>
    <i>
      <x v="340"/>
    </i>
    <i>
      <x v="152"/>
    </i>
    <i>
      <x v="249"/>
    </i>
    <i>
      <x v="307"/>
    </i>
    <i>
      <x v="58"/>
    </i>
    <i>
      <x v="255"/>
    </i>
    <i>
      <x v="430"/>
    </i>
    <i>
      <x v="448"/>
    </i>
    <i>
      <x v="41"/>
    </i>
    <i>
      <x v="130"/>
    </i>
    <i>
      <x v="419"/>
    </i>
    <i>
      <x v="103"/>
    </i>
    <i>
      <x v="480"/>
    </i>
    <i>
      <x v="398"/>
    </i>
    <i>
      <x v="455"/>
    </i>
    <i>
      <x v="213"/>
    </i>
    <i>
      <x v="447"/>
    </i>
    <i>
      <x v="304"/>
    </i>
    <i>
      <x v="336"/>
    </i>
    <i>
      <x v="352"/>
    </i>
    <i>
      <x v="38"/>
    </i>
    <i>
      <x v="124"/>
    </i>
    <i>
      <x v="402"/>
    </i>
    <i>
      <x v="305"/>
    </i>
    <i>
      <x v="82"/>
    </i>
    <i>
      <x v="289"/>
    </i>
    <i>
      <x v="234"/>
    </i>
    <i>
      <x v="375"/>
    </i>
    <i>
      <x v="62"/>
    </i>
    <i>
      <x v="268"/>
    </i>
    <i>
      <x v="202"/>
    </i>
    <i>
      <x v="17"/>
    </i>
    <i>
      <x v="539"/>
    </i>
    <i>
      <x v="258"/>
    </i>
    <i>
      <x v="444"/>
    </i>
    <i>
      <x v="90"/>
    </i>
    <i>
      <x v="52"/>
    </i>
    <i>
      <x v="105"/>
    </i>
    <i>
      <x v="498"/>
    </i>
    <i>
      <x v="560"/>
    </i>
    <i>
      <x v="436"/>
    </i>
    <i>
      <x v="176"/>
    </i>
    <i>
      <x v="366"/>
    </i>
    <i>
      <x v="65"/>
    </i>
    <i>
      <x v="592"/>
    </i>
    <i r="1">
      <x v="36"/>
    </i>
    <i>
      <x v="114"/>
    </i>
    <i>
      <x v="184"/>
    </i>
    <i>
      <x v="265"/>
    </i>
    <i>
      <x v="127"/>
    </i>
    <i>
      <x v="122"/>
    </i>
    <i>
      <x v="404"/>
    </i>
    <i>
      <x v="248"/>
    </i>
    <i>
      <x v="145"/>
    </i>
    <i>
      <x v="203"/>
    </i>
    <i>
      <x v="28"/>
    </i>
    <i>
      <x v="322"/>
    </i>
    <i>
      <x v="113"/>
    </i>
    <i>
      <x v="85"/>
    </i>
    <i>
      <x v="501"/>
    </i>
    <i>
      <x v="257"/>
    </i>
    <i>
      <x v="118"/>
    </i>
    <i>
      <x v="232"/>
    </i>
    <i>
      <x v="330"/>
    </i>
    <i>
      <x v="491"/>
    </i>
    <i>
      <x v="182"/>
    </i>
    <i>
      <x v="175"/>
    </i>
    <i>
      <x v="280"/>
    </i>
    <i>
      <x v="335"/>
    </i>
    <i>
      <x v="129"/>
    </i>
    <i>
      <x v="316"/>
    </i>
    <i>
      <x v="394"/>
    </i>
    <i>
      <x v="117"/>
    </i>
    <i>
      <x v="93"/>
    </i>
    <i>
      <x v="49"/>
    </i>
    <i>
      <x v="231"/>
    </i>
    <i>
      <x v="196"/>
    </i>
    <i>
      <x v="318"/>
    </i>
    <i>
      <x v="363"/>
    </i>
    <i>
      <x v="467"/>
    </i>
    <i>
      <x v="254"/>
    </i>
    <i>
      <x v="285"/>
    </i>
    <i>
      <x v="572"/>
    </i>
    <i r="1">
      <x v="12"/>
    </i>
    <i r="1">
      <x v="21"/>
    </i>
    <i r="1">
      <x v="22"/>
    </i>
    <i r="1">
      <x v="23"/>
    </i>
    <i r="1">
      <x v="25"/>
    </i>
    <i r="1">
      <x v="26"/>
    </i>
    <i>
      <x v="214"/>
    </i>
    <i>
      <x v="115"/>
    </i>
    <i>
      <x v="222"/>
    </i>
    <i>
      <x v="557"/>
    </i>
    <i>
      <x v="111"/>
    </i>
    <i>
      <x v="276"/>
    </i>
    <i>
      <x v="341"/>
    </i>
    <i>
      <x v="199"/>
    </i>
    <i>
      <x v="576"/>
    </i>
    <i r="1">
      <x v="52"/>
    </i>
    <i>
      <x v="263"/>
    </i>
    <i>
      <x v="61"/>
    </i>
    <i>
      <x v="443"/>
    </i>
    <i>
      <x v="80"/>
    </i>
    <i>
      <x v="143"/>
    </i>
    <i>
      <x v="169"/>
    </i>
    <i>
      <x v="533"/>
    </i>
    <i>
      <x v="495"/>
    </i>
    <i>
      <x v="502"/>
    </i>
    <i>
      <x v="338"/>
    </i>
    <i>
      <x v="274"/>
    </i>
    <i>
      <x v="361"/>
    </i>
    <i>
      <x v="530"/>
    </i>
    <i>
      <x v="414"/>
    </i>
    <i>
      <x v="595"/>
    </i>
    <i r="1">
      <x v="12"/>
    </i>
    <i r="1">
      <x v="21"/>
    </i>
    <i r="1">
      <x v="22"/>
    </i>
    <i r="1">
      <x v="25"/>
    </i>
    <i>
      <x v="359"/>
    </i>
    <i>
      <x v="360"/>
    </i>
    <i>
      <x v="457"/>
    </i>
    <i>
      <x v="393"/>
    </i>
    <i>
      <x v="287"/>
    </i>
    <i>
      <x v="180"/>
    </i>
    <i>
      <x v="181"/>
    </i>
    <i>
      <x v="272"/>
    </i>
    <i>
      <x v="171"/>
    </i>
    <i>
      <x v="470"/>
    </i>
    <i>
      <x v="345"/>
    </i>
    <i>
      <x v="218"/>
    </i>
    <i>
      <x v="515"/>
    </i>
    <i>
      <x v="210"/>
    </i>
    <i>
      <x v="585"/>
    </i>
    <i r="1">
      <x v="88"/>
    </i>
    <i>
      <x v="37"/>
    </i>
    <i>
      <x v="615"/>
    </i>
    <i r="1">
      <x v="12"/>
    </i>
    <i r="1">
      <x v="21"/>
    </i>
    <i r="1">
      <x v="22"/>
    </i>
    <i r="1">
      <x v="25"/>
    </i>
    <i>
      <x v="291"/>
    </i>
    <i>
      <x v="30"/>
    </i>
    <i>
      <x v="308"/>
    </i>
    <i>
      <x v="20"/>
    </i>
    <i>
      <x v="2"/>
    </i>
    <i>
      <x v="59"/>
    </i>
    <i>
      <x v="663"/>
    </i>
    <i r="1">
      <x v="106"/>
    </i>
    <i>
      <x v="326"/>
    </i>
    <i>
      <x v="622"/>
    </i>
    <i r="1">
      <x v="88"/>
    </i>
    <i>
      <x v="292"/>
    </i>
    <i>
      <x v="558"/>
    </i>
    <i>
      <x v="250"/>
    </i>
    <i>
      <x v="631"/>
    </i>
    <i r="1">
      <x v="3"/>
    </i>
    <i r="1">
      <x v="4"/>
    </i>
    <i>
      <x v="536"/>
    </i>
    <i>
      <x v="614"/>
    </i>
    <i r="1">
      <x v="12"/>
    </i>
    <i r="1">
      <x v="18"/>
    </i>
    <i r="1">
      <x v="21"/>
    </i>
    <i r="1">
      <x v="22"/>
    </i>
    <i>
      <x v="639"/>
    </i>
    <i r="1">
      <x v="74"/>
    </i>
    <i>
      <x v="18"/>
    </i>
    <i>
      <x v="600"/>
    </i>
    <i r="1">
      <x v="12"/>
    </i>
    <i r="1">
      <x v="21"/>
    </i>
    <i r="1">
      <x v="22"/>
    </i>
    <i r="1">
      <x v="23"/>
    </i>
    <i>
      <x v="646"/>
    </i>
    <i r="1">
      <x v="52"/>
    </i>
    <i>
      <x v="395"/>
    </i>
    <i>
      <x v="179"/>
    </i>
    <i>
      <x v="417"/>
    </i>
    <i>
      <x v="208"/>
    </i>
    <i>
      <x v="387"/>
    </i>
    <i>
      <x v="245"/>
    </i>
    <i>
      <x v="426"/>
    </i>
    <i>
      <x v="454"/>
    </i>
    <i>
      <x v="298"/>
    </i>
    <i>
      <x v="284"/>
    </i>
    <i>
      <x v="632"/>
    </i>
    <i r="1">
      <x v="4"/>
    </i>
    <i>
      <x v="157"/>
    </i>
    <i>
      <x v="437"/>
    </i>
    <i>
      <x v="532"/>
    </i>
    <i>
      <x v="283"/>
    </i>
    <i>
      <x v="406"/>
    </i>
    <i>
      <x v="559"/>
    </i>
    <i>
      <x v="168"/>
    </i>
    <i>
      <x v="561"/>
    </i>
    <i>
      <x v="477"/>
    </i>
    <i>
      <x v="397"/>
    </i>
    <i>
      <x v="348"/>
    </i>
    <i>
      <x v="580"/>
    </i>
    <i r="1">
      <x v="25"/>
    </i>
    <i>
      <x v="26"/>
    </i>
    <i>
      <x v="165"/>
    </i>
    <i>
      <x v="400"/>
    </i>
    <i>
      <x v="496"/>
    </i>
    <i>
      <x v="525"/>
    </i>
    <i>
      <x v="99"/>
    </i>
    <i>
      <x v="386"/>
    </i>
    <i>
      <x v="344"/>
    </i>
    <i>
      <x v="27"/>
    </i>
    <i>
      <x v="216"/>
    </i>
    <i>
      <x v="126"/>
    </i>
    <i>
      <x v="579"/>
    </i>
    <i r="1">
      <x v="3"/>
    </i>
    <i>
      <x v="349"/>
    </i>
    <i>
      <x v="6"/>
    </i>
    <i>
      <x v="415"/>
    </i>
    <i>
      <x v="566"/>
    </i>
    <i>
      <x v="453"/>
    </i>
    <i>
      <x v="123"/>
    </i>
    <i>
      <x v="137"/>
    </i>
    <i>
      <x v="434"/>
    </i>
    <i>
      <x v="5"/>
    </i>
    <i>
      <x v="569"/>
    </i>
    <i>
      <x v="116"/>
    </i>
    <i>
      <x v="317"/>
    </i>
    <i>
      <x v="247"/>
    </i>
    <i>
      <x v="241"/>
    </i>
    <i>
      <x v="376"/>
    </i>
    <i>
      <x v="337"/>
    </i>
    <i>
      <x v="413"/>
    </i>
    <i>
      <x v="121"/>
    </i>
    <i>
      <x v="314"/>
    </i>
    <i>
      <x v="461"/>
    </i>
    <i>
      <x v="357"/>
    </i>
    <i>
      <x v="299"/>
    </i>
    <i>
      <x v="662"/>
    </i>
    <i r="1">
      <x v="25"/>
    </i>
    <i>
      <x v="452"/>
    </i>
    <i>
      <x v="609"/>
    </i>
    <i r="1">
      <x v="63"/>
    </i>
    <i>
      <x v="358"/>
    </i>
    <i>
      <x v="621"/>
    </i>
    <i r="1">
      <x v="88"/>
    </i>
    <i>
      <x v="209"/>
    </i>
    <i>
      <x v="325"/>
    </i>
    <i>
      <x v="389"/>
    </i>
    <i>
      <x v="310"/>
    </i>
    <i>
      <x v="50"/>
    </i>
    <i>
      <x v="313"/>
    </i>
    <i>
      <x v="611"/>
    </i>
    <i r="1">
      <x v="3"/>
    </i>
    <i>
      <x v="664"/>
    </i>
    <i r="1">
      <x v="98"/>
    </i>
    <i>
      <x v="342"/>
    </i>
    <i>
      <x v="44"/>
    </i>
    <i>
      <x v="221"/>
    </i>
    <i>
      <x v="151"/>
    </i>
    <i>
      <x v="206"/>
    </i>
    <i>
      <x v="427"/>
    </i>
    <i>
      <x v="43"/>
    </i>
    <i>
      <x v="432"/>
    </i>
    <i>
      <x v="526"/>
    </i>
    <i>
      <x v="71"/>
    </i>
    <i>
      <x v="518"/>
    </i>
    <i>
      <x v="441"/>
    </i>
    <i>
      <x v="390"/>
    </i>
    <i>
      <x v="367"/>
    </i>
    <i>
      <x v="399"/>
    </i>
    <i>
      <x v="7"/>
    </i>
    <i>
      <x v="156"/>
    </i>
    <i>
      <x v="259"/>
    </i>
    <i>
      <x v="383"/>
    </i>
    <i>
      <x v="244"/>
    </i>
    <i>
      <x v="350"/>
    </i>
    <i>
      <x v="229"/>
    </i>
    <i>
      <x v="633"/>
    </i>
    <i r="1">
      <x v="3"/>
    </i>
    <i>
      <x v="550"/>
    </i>
    <i>
      <x v="29"/>
    </i>
    <i>
      <x v="273"/>
    </i>
    <i>
      <x v="564"/>
    </i>
    <i>
      <x v="108"/>
    </i>
    <i>
      <x v="87"/>
    </i>
    <i>
      <x v="339"/>
    </i>
    <i>
      <x v="158"/>
    </i>
    <i>
      <x v="524"/>
    </i>
    <i>
      <x v="112"/>
    </i>
    <i>
      <x v="647"/>
    </i>
    <i r="1">
      <x v="52"/>
    </i>
    <i>
      <x v="607"/>
    </i>
    <i r="1">
      <x v="3"/>
    </i>
    <i r="1">
      <x v="103"/>
    </i>
    <i>
      <x v="97"/>
    </i>
    <i>
      <x v="485"/>
    </i>
    <i>
      <x v="460"/>
    </i>
    <i>
      <x v="230"/>
    </i>
    <i>
      <x v="391"/>
    </i>
    <i>
      <x v="473"/>
    </i>
    <i>
      <x v="418"/>
    </i>
    <i>
      <x v="458"/>
    </i>
    <i>
      <x v="147"/>
    </i>
    <i>
      <x v="650"/>
    </i>
    <i r="1">
      <x v="21"/>
    </i>
    <i r="1">
      <x v="22"/>
    </i>
    <i r="1">
      <x v="23"/>
    </i>
    <i>
      <x v="78"/>
    </i>
    <i>
      <x v="282"/>
    </i>
    <i>
      <x v="220"/>
    </i>
    <i>
      <x v="412"/>
    </i>
    <i>
      <x v="657"/>
    </i>
    <i r="1">
      <x v="4"/>
    </i>
    <i>
      <x v="356"/>
    </i>
    <i>
      <x v="236"/>
    </i>
    <i>
      <x v="608"/>
    </i>
    <i r="1">
      <x v="21"/>
    </i>
    <i r="1">
      <x v="22"/>
    </i>
    <i r="1">
      <x v="25"/>
    </i>
    <i>
      <x v="422"/>
    </i>
    <i>
      <x v="173"/>
    </i>
    <i>
      <x v="53"/>
    </i>
    <i>
      <x v="513"/>
    </i>
    <i>
      <x v="494"/>
    </i>
    <i>
      <x v="570"/>
    </i>
    <i>
      <x v="146"/>
    </i>
    <i>
      <x v="484"/>
    </i>
    <i>
      <x v="178"/>
    </i>
    <i>
      <x v="281"/>
    </i>
    <i>
      <x v="13"/>
    </i>
    <i>
      <x v="144"/>
    </i>
    <i>
      <x v="293"/>
    </i>
    <i>
      <x v="500"/>
    </i>
    <i>
      <x v="188"/>
    </i>
    <i>
      <x v="306"/>
    </i>
    <i>
      <x v="487"/>
    </i>
    <i>
      <x v="91"/>
    </i>
    <i>
      <x v="407"/>
    </i>
    <i>
      <x v="201"/>
    </i>
    <i>
      <x v="519"/>
    </i>
    <i>
      <x v="237"/>
    </i>
    <i>
      <x v="353"/>
    </i>
    <i>
      <x v="618"/>
    </i>
    <i r="1">
      <x v="23"/>
    </i>
    <i r="1">
      <x v="27"/>
    </i>
    <i r="1">
      <x v="63"/>
    </i>
    <i>
      <x v="445"/>
    </i>
    <i>
      <x v="110"/>
    </i>
    <i>
      <x v="200"/>
    </i>
    <i>
      <x v="529"/>
    </i>
    <i>
      <x v="135"/>
    </i>
    <i>
      <x v="378"/>
    </i>
    <i>
      <x v="540"/>
    </i>
    <i>
      <x v="269"/>
    </i>
    <i>
      <x v="19"/>
    </i>
    <i>
      <x v="100"/>
    </i>
    <i>
      <x v="370"/>
    </i>
    <i>
      <x v="277"/>
    </i>
    <i>
      <x v="555"/>
    </i>
    <i>
      <x v="177"/>
    </i>
    <i>
      <x v="242"/>
    </i>
    <i>
      <x v="319"/>
    </i>
    <i>
      <x v="219"/>
    </i>
    <i>
      <x v="459"/>
    </i>
    <i>
      <x v="42"/>
    </i>
    <i>
      <x v="476"/>
    </i>
    <i>
      <x v="187"/>
    </i>
    <i>
      <x v="347"/>
    </i>
    <i>
      <x v="640"/>
    </i>
    <i r="1">
      <x v="58"/>
    </i>
    <i>
      <x v="538"/>
    </i>
    <i>
      <x v="620"/>
    </i>
    <i r="1">
      <x v="97"/>
    </i>
    <i>
      <x v="543"/>
    </i>
    <i>
      <x v="48"/>
    </i>
    <i>
      <x v="423"/>
    </i>
    <i>
      <x v="649"/>
    </i>
    <i r="1">
      <x v="25"/>
    </i>
    <i>
      <x v="186"/>
    </i>
    <i>
      <x v="159"/>
    </i>
    <i>
      <x v="643"/>
    </i>
    <i r="1">
      <x v="21"/>
    </i>
    <i r="1">
      <x v="22"/>
    </i>
    <i r="1">
      <x v="23"/>
    </i>
    <i>
      <x v="654"/>
    </i>
    <i r="1">
      <x v="3"/>
    </i>
    <i>
      <x v="150"/>
    </i>
    <i>
      <x v="638"/>
    </i>
    <i r="1">
      <x v="38"/>
    </i>
    <i>
      <x v="3"/>
    </i>
    <i>
      <x v="382"/>
    </i>
    <i>
      <x v="300"/>
    </i>
    <i>
      <x v="212"/>
    </i>
    <i>
      <x v="577"/>
    </i>
    <i r="1">
      <x v="99"/>
    </i>
    <i>
      <x v="627"/>
    </i>
    <i r="1">
      <x v="22"/>
    </i>
    <i r="1">
      <x v="23"/>
    </i>
    <i>
      <x v="521"/>
    </i>
    <i>
      <x v="109"/>
    </i>
    <i>
      <x v="642"/>
    </i>
    <i r="1">
      <x v="63"/>
    </i>
    <i>
      <x v="333"/>
    </i>
    <i>
      <x v="409"/>
    </i>
    <i>
      <x v="81"/>
    </i>
    <i>
      <x v="545"/>
    </i>
    <i>
      <x v="323"/>
    </i>
    <i>
      <x v="331"/>
    </i>
    <i>
      <x v="552"/>
    </i>
    <i>
      <x v="24"/>
    </i>
    <i>
      <x v="198"/>
    </i>
    <i>
      <x v="410"/>
    </i>
    <i>
      <x v="134"/>
    </i>
    <i>
      <x v="174"/>
    </i>
    <i>
      <x v="68"/>
    </i>
    <i>
      <x v="294"/>
    </i>
    <i>
      <x v="421"/>
    </i>
    <i>
      <x v="546"/>
    </i>
    <i>
      <x v="565"/>
    </i>
    <i>
      <x v="324"/>
    </i>
    <i>
      <x v="527"/>
    </i>
    <i>
      <x v="76"/>
    </i>
    <i>
      <x v="433"/>
    </i>
    <i>
      <x v="149"/>
    </i>
    <i>
      <x v="1"/>
    </i>
    <i>
      <x v="185"/>
    </i>
    <i>
      <x v="544"/>
    </i>
    <i>
      <x v="512"/>
    </i>
    <i>
      <x v="442"/>
    </i>
    <i>
      <x v="104"/>
    </i>
    <i>
      <x v="590"/>
    </i>
    <i r="1">
      <x v="9"/>
    </i>
    <i>
      <x v="84"/>
    </i>
    <i>
      <x v="554"/>
    </i>
    <i>
      <x v="503"/>
    </i>
    <i>
      <x v="362"/>
    </i>
    <i>
      <x v="384"/>
    </i>
    <i>
      <x v="16"/>
    </i>
    <i>
      <x v="516"/>
    </i>
    <i>
      <x v="472"/>
    </i>
    <i>
      <x v="23"/>
    </i>
    <i>
      <x v="45"/>
    </i>
    <i>
      <x v="4"/>
    </i>
    <i>
      <x v="301"/>
    </i>
    <i>
      <x v="582"/>
    </i>
    <i r="1">
      <x v="10"/>
    </i>
    <i>
      <x v="584"/>
    </i>
    <i r="1">
      <x v="36"/>
    </i>
    <i>
      <x v="372"/>
    </i>
    <i>
      <x v="15"/>
    </i>
    <i>
      <x v="128"/>
    </i>
    <i>
      <x v="588"/>
    </i>
    <i r="1">
      <x v="1"/>
    </i>
    <i>
      <x v="98"/>
    </i>
    <i>
      <x v="239"/>
    </i>
    <i>
      <x v="309"/>
    </i>
    <i>
      <x v="33"/>
    </i>
    <i>
      <x v="63"/>
    </i>
    <i>
      <x v="388"/>
    </i>
    <i>
      <x v="25"/>
    </i>
    <i>
      <x v="463"/>
    </i>
    <i>
      <x v="438"/>
    </i>
    <i>
      <x v="60"/>
    </i>
    <i>
      <x v="648"/>
    </i>
    <i r="1">
      <x v="93"/>
    </i>
    <i>
      <x v="303"/>
    </i>
    <i>
      <x v="67"/>
    </i>
    <i>
      <x v="425"/>
    </i>
    <i>
      <x v="522"/>
    </i>
    <i>
      <x v="610"/>
    </i>
    <i r="1">
      <x v="104"/>
    </i>
    <i>
      <x v="575"/>
    </i>
    <i r="1">
      <x v="22"/>
    </i>
    <i>
      <x v="320"/>
    </i>
    <i>
      <x v="514"/>
    </i>
    <i>
      <x v="656"/>
    </i>
    <i r="1">
      <x v="3"/>
    </i>
    <i>
      <x v="451"/>
    </i>
    <i>
      <x v="665"/>
    </i>
    <i r="1">
      <x v="46"/>
    </i>
    <i>
      <x v="47"/>
    </i>
    <i>
      <x v="450"/>
    </i>
    <i>
      <x v="192"/>
    </i>
    <i>
      <x v="364"/>
    </i>
    <i>
      <x v="593"/>
    </i>
    <i r="1">
      <x v="23"/>
    </i>
    <i>
      <x v="573"/>
    </i>
    <i r="1">
      <x v="38"/>
    </i>
    <i>
      <x v="606"/>
    </i>
    <i r="1">
      <x v="35"/>
    </i>
    <i>
      <x v="497"/>
    </i>
    <i>
      <x v="315"/>
    </i>
    <i>
      <x v="142"/>
    </i>
    <i>
      <x v="634"/>
    </i>
    <i r="1">
      <x v="10"/>
    </i>
    <i>
      <x v="278"/>
    </i>
    <i>
      <x v="507"/>
    </i>
    <i>
      <x v="183"/>
    </i>
    <i>
      <x v="155"/>
    </i>
    <i>
      <x v="141"/>
    </i>
    <i>
      <x v="531"/>
    </i>
    <i>
      <x v="562"/>
    </i>
    <i>
      <x v="148"/>
    </i>
    <i>
      <x v="380"/>
    </i>
    <i>
      <x v="86"/>
    </i>
    <i>
      <x v="636"/>
    </i>
    <i r="1">
      <x v="9"/>
    </i>
    <i r="1">
      <x v="25"/>
    </i>
    <i>
      <x v="279"/>
    </i>
    <i>
      <x v="189"/>
    </i>
    <i>
      <x v="464"/>
    </i>
    <i>
      <x v="102"/>
    </i>
    <i>
      <x v="72"/>
    </i>
    <i>
      <x v="655"/>
    </i>
    <i r="1">
      <x v="93"/>
    </i>
    <i>
      <x v="83"/>
    </i>
    <i>
      <x v="599"/>
    </i>
    <i r="1">
      <x v="23"/>
    </i>
    <i>
      <x v="328"/>
    </i>
    <i>
      <x v="89"/>
    </i>
    <i>
      <x v="74"/>
    </i>
    <i>
      <x v="505"/>
    </i>
    <i>
      <x v="429"/>
    </i>
    <i>
      <x v="240"/>
    </i>
    <i>
      <x v="355"/>
    </i>
    <i>
      <x v="22"/>
    </i>
    <i>
      <x v="456"/>
    </i>
    <i>
      <x v="166"/>
    </i>
    <i>
      <x v="190"/>
    </i>
    <i>
      <x v="645"/>
    </i>
    <i r="1">
      <x v="23"/>
    </i>
    <i>
      <x v="567"/>
    </i>
    <i>
      <x v="32"/>
    </i>
    <i>
      <x v="73"/>
    </i>
    <i>
      <x v="334"/>
    </i>
    <i>
      <x v="581"/>
    </i>
    <i r="1">
      <x v="10"/>
    </i>
    <i>
      <x v="35"/>
    </i>
    <i>
      <x v="133"/>
    </i>
    <i>
      <x v="469"/>
    </i>
    <i>
      <x v="591"/>
    </i>
    <i r="1">
      <x v="10"/>
    </i>
    <i>
      <x v="193"/>
    </i>
    <i>
      <x v="312"/>
    </i>
    <i>
      <x v="629"/>
    </i>
    <i r="1">
      <x v="10"/>
    </i>
    <i>
      <x v="154"/>
    </i>
    <i>
      <x v="194"/>
    </i>
    <i>
      <x v="541"/>
    </i>
    <i>
      <x v="553"/>
    </i>
    <i>
      <x v="14"/>
    </i>
    <i>
      <x v="587"/>
    </i>
    <i r="1">
      <x v="10"/>
    </i>
    <i>
      <x v="403"/>
    </i>
    <i>
      <x v="79"/>
    </i>
    <i>
      <x v="271"/>
    </i>
    <i>
      <x v="474"/>
    </i>
    <i>
      <x v="596"/>
    </i>
    <i r="1">
      <x v="38"/>
    </i>
    <i>
      <x v="369"/>
    </i>
    <i>
      <x v="9"/>
    </i>
    <i>
      <x v="288"/>
    </i>
    <i>
      <x v="601"/>
    </i>
    <i r="1">
      <x v="23"/>
    </i>
    <i>
      <x v="131"/>
    </i>
    <i>
      <x v="46"/>
    </i>
    <i>
      <x v="486"/>
    </i>
    <i>
      <x v="602"/>
    </i>
    <i r="1">
      <x v="45"/>
    </i>
    <i>
      <x v="75"/>
    </i>
    <i>
      <x v="92"/>
    </i>
    <i>
      <x v="56"/>
    </i>
    <i>
      <x v="374"/>
    </i>
    <i>
      <x v="64"/>
    </i>
    <i>
      <x v="10"/>
    </i>
    <i>
      <x v="266"/>
    </i>
    <i>
      <x v="489"/>
    </i>
    <i>
      <x v="172"/>
    </i>
    <i>
      <x v="408"/>
    </i>
    <i>
      <x v="619"/>
    </i>
    <i r="1">
      <x v="10"/>
    </i>
    <i>
      <x v="428"/>
    </i>
    <i>
      <x v="101"/>
    </i>
    <i>
      <x v="162"/>
    </i>
    <i>
      <x v="659"/>
    </i>
    <i r="1">
      <x v="10"/>
    </i>
    <i>
      <x v="490"/>
    </i>
    <i>
      <x v="612"/>
    </i>
    <i r="1">
      <x v="10"/>
    </i>
    <i>
      <x v="302"/>
    </i>
    <i>
      <x v="613"/>
    </i>
    <i r="1">
      <x v="10"/>
    </i>
    <i>
      <x v="233"/>
    </i>
    <i>
      <x v="34"/>
    </i>
    <i>
      <x v="243"/>
    </i>
    <i>
      <x v="262"/>
    </i>
    <i>
      <x v="411"/>
    </i>
    <i>
      <x v="424"/>
    </i>
    <i>
      <x v="354"/>
    </i>
    <i>
      <x v="217"/>
    </i>
    <i>
      <x v="95"/>
    </i>
    <i>
      <x v="481"/>
    </i>
    <i>
      <x v="365"/>
    </i>
    <i>
      <x v="637"/>
    </i>
    <i>
      <x v="475"/>
    </i>
    <i>
      <x v="440"/>
    </i>
    <i>
      <x v="563"/>
    </i>
    <i>
      <x v="371"/>
    </i>
    <i>
      <x v="211"/>
    </i>
    <i>
      <x v="204"/>
    </i>
    <i>
      <x v="630"/>
    </i>
    <i>
      <x v="658"/>
    </i>
    <i r="1">
      <x v="25"/>
    </i>
    <i>
      <x v="603"/>
    </i>
    <i r="1">
      <x v="92"/>
    </i>
    <i>
      <x v="626"/>
    </i>
    <i>
      <x v="226"/>
    </i>
    <i>
      <x v="589"/>
    </i>
    <i>
      <x v="510"/>
    </i>
    <i>
      <x v="416"/>
    </i>
    <i>
      <x v="392"/>
    </i>
    <i>
      <x v="661"/>
    </i>
    <i r="1">
      <x v="25"/>
    </i>
    <i>
      <x v="260"/>
    </i>
    <i>
      <x v="253"/>
    </i>
    <i>
      <x v="635"/>
    </i>
    <i r="1">
      <x v="25"/>
    </i>
    <i>
      <x v="261"/>
    </i>
    <i>
      <x v="568"/>
    </i>
    <i>
      <x v="343"/>
    </i>
    <i>
      <x v="251"/>
    </i>
    <i>
      <x v="264"/>
    </i>
    <i>
      <x v="508"/>
    </i>
    <i>
      <x v="228"/>
    </i>
    <i>
      <x v="547"/>
    </i>
    <i>
      <x v="493"/>
    </i>
    <i>
      <x v="548"/>
    </i>
    <i>
      <x v="482"/>
    </i>
    <i>
      <x v="483"/>
    </i>
    <i>
      <x v="644"/>
    </i>
    <i r="1">
      <x v="25"/>
    </i>
    <i>
      <x v="235"/>
    </i>
    <i>
      <x v="509"/>
    </i>
    <i>
      <x v="106"/>
    </i>
    <i>
      <x v="478"/>
    </i>
    <i>
      <x v="8"/>
    </i>
    <i>
      <x v="405"/>
    </i>
    <i>
      <x v="224"/>
    </i>
    <i>
      <x v="449"/>
    </i>
    <i>
      <x v="225"/>
    </i>
    <i>
      <x v="329"/>
    </i>
    <i>
      <x v="468"/>
    </i>
    <i>
      <x v="396"/>
    </i>
    <i>
      <x v="12"/>
    </i>
    <i>
      <x v="401"/>
    </i>
    <i>
      <x v="77"/>
    </i>
    <i>
      <x v="267"/>
    </i>
    <i>
      <x v="351"/>
    </i>
    <i>
      <x v="54"/>
    </i>
    <i>
      <x v="252"/>
    </i>
    <i>
      <x v="499"/>
    </i>
    <i>
      <x v="616"/>
    </i>
    <i r="1">
      <x v="9"/>
    </i>
    <i>
      <x v="628"/>
    </i>
    <i r="1">
      <x v="46"/>
    </i>
    <i>
      <x v="574"/>
    </i>
    <i r="1">
      <x v="43"/>
    </i>
    <i r="1">
      <x v="44"/>
    </i>
    <i>
      <x v="51"/>
    </i>
    <i>
      <x v="55"/>
    </i>
    <i>
      <x v="195"/>
    </i>
    <i>
      <x v="170"/>
    </i>
    <i>
      <x v="57"/>
    </i>
    <i>
      <x v="594"/>
    </i>
    <i r="1">
      <x v="101"/>
    </i>
    <i>
      <x v="295"/>
    </i>
    <i>
      <x v="549"/>
    </i>
    <i>
      <x v="511"/>
    </i>
    <i>
      <x v="107"/>
    </i>
    <i>
      <x v="327"/>
    </i>
    <i>
      <x v="321"/>
    </i>
    <i>
      <x v="537"/>
    </i>
    <i>
      <x v="420"/>
    </i>
    <i>
      <x v="492"/>
    </i>
    <i>
      <x v="578"/>
    </i>
    <i r="1">
      <x v="38"/>
    </i>
    <i>
      <x v="586"/>
    </i>
    <i r="1">
      <x v="44"/>
    </i>
    <i>
      <x v="70"/>
    </i>
    <i>
      <x v="624"/>
    </i>
    <i r="1">
      <x v="23"/>
    </i>
    <i>
      <x v="523"/>
    </i>
    <i>
      <x v="542"/>
    </i>
    <i>
      <x v="290"/>
    </i>
    <i>
      <x v="641"/>
    </i>
    <i r="1">
      <x v="51"/>
    </i>
    <i>
      <x v="446"/>
    </i>
    <i>
      <x v="223"/>
    </i>
    <i>
      <x v="207"/>
    </i>
    <i>
      <x v="270"/>
    </i>
    <i>
      <x v="205"/>
    </i>
    <i>
      <x v="377"/>
    </i>
    <i>
      <x v="623"/>
    </i>
    <i r="1">
      <x v="35"/>
    </i>
    <i>
      <x v="583"/>
    </i>
    <i r="1">
      <x v="48"/>
    </i>
    <i>
      <x v="36"/>
    </i>
    <i>
      <x v="96"/>
    </i>
    <i>
      <x v="534"/>
    </i>
    <i>
      <x v="520"/>
    </i>
    <i>
      <x v="506"/>
    </i>
    <i>
      <x v="381"/>
    </i>
    <i>
      <x v="379"/>
    </i>
    <i>
      <x v="69"/>
    </i>
    <i>
      <x v="517"/>
    </i>
    <i>
      <x v="215"/>
    </i>
    <i>
      <x v="653"/>
    </i>
    <i r="1">
      <x v="66"/>
    </i>
    <i>
      <x v="617"/>
    </i>
    <i r="1">
      <x v="46"/>
    </i>
    <i>
      <x v="125"/>
    </i>
    <i>
      <x v="439"/>
    </i>
    <i>
      <x v="373"/>
    </i>
    <i>
      <x v="238"/>
    </i>
    <i>
      <x v="504"/>
    </i>
    <i>
      <x v="488"/>
    </i>
    <i>
      <x v="604"/>
    </i>
    <i r="1">
      <x v="102"/>
    </i>
    <i>
      <x v="651"/>
    </i>
    <i r="1">
      <x v="9"/>
    </i>
    <i>
      <x v="528"/>
    </i>
    <i>
      <x v="597"/>
    </i>
    <i r="1">
      <x v="46"/>
    </i>
    <i>
      <x v="551"/>
    </i>
    <i>
      <x v="598"/>
    </i>
    <i r="1">
      <x v="36"/>
    </i>
    <i>
      <x v="535"/>
    </i>
    <i>
      <x v="605"/>
    </i>
    <i r="1">
      <x v="57"/>
    </i>
    <i>
      <x/>
    </i>
    <i>
      <x v="479"/>
    </i>
    <i>
      <x v="625"/>
    </i>
    <i r="1">
      <x/>
    </i>
    <i t="grand">
      <x/>
    </i>
  </rowItems>
  <colFields count="3">
    <field x="12"/>
    <field x="14"/>
    <field x="13"/>
  </colFields>
  <colItems count="10">
    <i>
      <x/>
    </i>
    <i>
      <x v="1"/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t="default">
      <x v="2"/>
    </i>
    <i t="grand">
      <x/>
    </i>
  </colItems>
  <dataFields count="1">
    <dataField name="Sum of Pago" fld="10" baseField="0" baseItem="0"/>
  </dataFields>
  <formats count="25">
    <format dxfId="52">
      <pivotArea field="14" grandRow="1" outline="0" collapsedLevelsAreSubtotals="1" axis="axisCol" fieldPosition="1">
        <references count="1">
          <reference field="14" count="5" selected="0">
            <x v="7"/>
            <x v="8"/>
            <x v="9"/>
            <x v="10"/>
            <x v="11"/>
          </reference>
        </references>
      </pivotArea>
    </format>
    <format dxfId="53">
      <pivotArea collapsedLevelsAreSubtotals="1" fieldPosition="0">
        <references count="3">
          <reference field="1" count="0" selected="0"/>
          <reference field="2" count="1">
            <x v="22"/>
          </reference>
          <reference field="14" count="7" selected="0">
            <x v="5"/>
            <x v="6"/>
            <x v="7"/>
            <x v="8"/>
            <x v="9"/>
            <x v="10"/>
            <x v="11"/>
          </reference>
        </references>
      </pivotArea>
    </format>
    <format dxfId="54">
      <pivotArea outline="0" collapsedLevelsAreSubtotals="1" fieldPosition="0">
        <references count="1">
          <reference field="14" count="11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5">
      <pivotArea grandCol="1" outline="0" collapsedLevelsAreSubtotals="1" fieldPosition="0"/>
    </format>
    <format dxfId="56">
      <pivotArea field="13" type="button" dataOnly="0" labelOnly="1" outline="0" axis="axisCol" fieldPosition="2"/>
    </format>
    <format dxfId="57">
      <pivotArea field="5" type="button" dataOnly="0" labelOnly="1" outline="0"/>
    </format>
    <format dxfId="58">
      <pivotArea type="topRight" dataOnly="0" labelOnly="1" outline="0" fieldPosition="0"/>
    </format>
    <format dxfId="59">
      <pivotArea dataOnly="0" labelOnly="1" fieldPosition="0">
        <references count="1">
          <reference field="14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60">
      <pivotArea dataOnly="0" labelOnly="1" grandCol="1" outline="0" fieldPosition="0"/>
    </format>
    <format dxfId="61">
      <pivotArea collapsedLevelsAreSubtotals="1" fieldPosition="0">
        <references count="3">
          <reference field="1" count="1" selected="0">
            <x v="66"/>
          </reference>
          <reference field="2" count="1">
            <x v="22"/>
          </reference>
          <reference field="14" count="7" selected="0">
            <x v="5"/>
            <x v="6"/>
            <x v="7"/>
            <x v="8"/>
            <x v="9"/>
            <x v="10"/>
            <x v="11"/>
          </reference>
        </references>
      </pivotArea>
    </format>
    <format dxfId="62">
      <pivotArea outline="0" collapsedLevelsAreSubtotals="1" fieldPosition="0">
        <references count="1">
          <reference field="14" count="1" selected="0">
            <x v="12"/>
          </reference>
        </references>
      </pivotArea>
    </format>
    <format dxfId="63">
      <pivotArea collapsedLevelsAreSubtotals="1" fieldPosition="0">
        <references count="2">
          <reference field="1" count="1" selected="0">
            <x v="227"/>
          </reference>
          <reference field="2" count="1">
            <x v="68"/>
          </reference>
        </references>
      </pivotArea>
    </format>
    <format dxfId="64">
      <pivotArea dataOnly="0" labelOnly="1" fieldPosition="0">
        <references count="2">
          <reference field="1" count="1" selected="0">
            <x v="227"/>
          </reference>
          <reference field="2" count="1">
            <x v="68"/>
          </reference>
        </references>
      </pivotArea>
    </format>
    <format dxfId="65">
      <pivotArea collapsedLevelsAreSubtotals="1" fieldPosition="0">
        <references count="2">
          <reference field="1" count="1" selected="0">
            <x v="227"/>
          </reference>
          <reference field="2" count="2">
            <x v="71"/>
            <x v="72"/>
          </reference>
        </references>
      </pivotArea>
    </format>
    <format dxfId="66">
      <pivotArea dataOnly="0" labelOnly="1" fieldPosition="0">
        <references count="2">
          <reference field="1" count="1" selected="0">
            <x v="227"/>
          </reference>
          <reference field="2" count="2">
            <x v="71"/>
            <x v="72"/>
          </reference>
        </references>
      </pivotArea>
    </format>
    <format dxfId="67">
      <pivotArea collapsedLevelsAreSubtotals="1" fieldPosition="0">
        <references count="2">
          <reference field="1" count="1" selected="0">
            <x v="227"/>
          </reference>
          <reference field="2" count="1">
            <x v="71"/>
          </reference>
        </references>
      </pivotArea>
    </format>
    <format dxfId="68">
      <pivotArea dataOnly="0" labelOnly="1" fieldPosition="0">
        <references count="2">
          <reference field="1" count="1" selected="0">
            <x v="227"/>
          </reference>
          <reference field="2" count="1">
            <x v="71"/>
          </reference>
        </references>
      </pivotArea>
    </format>
    <format dxfId="69">
      <pivotArea outline="0" collapsedLevelsAreSubtotals="1" fieldPosition="0">
        <references count="1">
          <reference field="12" count="1" selected="0" defaultSubtotal="1">
            <x v="1"/>
          </reference>
        </references>
      </pivotArea>
    </format>
    <format dxfId="70">
      <pivotArea collapsedLevelsAreSubtotals="1" fieldPosition="0">
        <references count="1">
          <reference field="1" count="1">
            <x v="66"/>
          </reference>
        </references>
      </pivotArea>
    </format>
    <format dxfId="71">
      <pivotArea dataOnly="0" labelOnly="1" fieldPosition="0">
        <references count="1">
          <reference field="1" count="1">
            <x v="66"/>
          </reference>
        </references>
      </pivotArea>
    </format>
    <format dxfId="72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73">
      <pivotArea field="12" type="button" dataOnly="0" labelOnly="1" outline="0" axis="axisCol" fieldPosition="0"/>
    </format>
    <format dxfId="74">
      <pivotArea dataOnly="0" labelOnly="1" fieldPosition="0">
        <references count="1">
          <reference field="12" count="1">
            <x v="0"/>
          </reference>
        </references>
      </pivotArea>
    </format>
    <format dxfId="75">
      <pivotArea collapsedLevelsAreSubtotals="1" fieldPosition="0">
        <references count="1">
          <reference field="1" count="1">
            <x v="66"/>
          </reference>
        </references>
      </pivotArea>
    </format>
    <format dxfId="76">
      <pivotArea dataOnly="0" labelOnly="1" fieldPosition="0">
        <references count="1">
          <reference field="1" count="1">
            <x v="6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A8110-5113-4193-837C-86708A2C5785}" name="PivotTable1" cacheId="4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K121" firstHeaderRow="1" firstDataRow="4" firstDataCol="1"/>
  <pivotFields count="15">
    <pivotField showAll="0"/>
    <pivotField axis="axisRow" showAll="0">
      <items count="667">
        <item x="292"/>
        <item x="163"/>
        <item x="432"/>
        <item x="450"/>
        <item x="51"/>
        <item x="159"/>
        <item x="413"/>
        <item x="77"/>
        <item x="205"/>
        <item x="301"/>
        <item x="42"/>
        <item x="223"/>
        <item x="423"/>
        <item x="334"/>
        <item x="329"/>
        <item x="232"/>
        <item x="6"/>
        <item x="73"/>
        <item x="57"/>
        <item x="123"/>
        <item x="70"/>
        <item x="125"/>
        <item x="134"/>
        <item x="124"/>
        <item x="238"/>
        <item x="398"/>
        <item x="399"/>
        <item x="373"/>
        <item x="74"/>
        <item x="211"/>
        <item x="17"/>
        <item x="193"/>
        <item x="106"/>
        <item x="477"/>
        <item x="461"/>
        <item x="411"/>
        <item x="120"/>
        <item x="81"/>
        <item x="49"/>
        <item x="138"/>
        <item x="184"/>
        <item x="200"/>
        <item x="199"/>
        <item x="54"/>
        <item x="198"/>
        <item x="204"/>
        <item x="306"/>
        <item x="354"/>
        <item x="449"/>
        <item x="231"/>
        <item x="422"/>
        <item x="37"/>
        <item x="313"/>
        <item x="431"/>
        <item x="107"/>
        <item x="147"/>
        <item x="389"/>
        <item x="43"/>
        <item x="130"/>
        <item x="227"/>
        <item x="14"/>
        <item x="114"/>
        <item x="155"/>
        <item x="291"/>
        <item x="110"/>
        <item x="32"/>
        <item x="444"/>
        <item x="222"/>
        <item x="370"/>
        <item x="464"/>
        <item x="109"/>
        <item x="421"/>
        <item x="325"/>
        <item x="412"/>
        <item x="101"/>
        <item x="275"/>
        <item x="345"/>
        <item x="270"/>
        <item x="388"/>
        <item x="400"/>
        <item x="458"/>
        <item x="72"/>
        <item x="351"/>
        <item x="140"/>
        <item x="50"/>
        <item x="48"/>
        <item x="127"/>
        <item x="137"/>
        <item x="148"/>
        <item x="303"/>
        <item x="100"/>
        <item x="377"/>
        <item x="256"/>
        <item x="31"/>
        <item x="433"/>
        <item x="320"/>
        <item x="440"/>
        <item x="451"/>
        <item x="82"/>
        <item x="255"/>
        <item x="239"/>
        <item x="253"/>
        <item x="380"/>
        <item x="385"/>
        <item x="15"/>
        <item x="250"/>
        <item x="225"/>
        <item x="46"/>
        <item x="118"/>
        <item x="463"/>
        <item x="237"/>
        <item x="104"/>
        <item x="402"/>
        <item x="379"/>
        <item x="272"/>
        <item x="252"/>
        <item x="158"/>
        <item x="80"/>
        <item x="11"/>
        <item x="290"/>
        <item x="280"/>
        <item x="295"/>
        <item x="102"/>
        <item x="342"/>
        <item x="349"/>
        <item x="64"/>
        <item x="208"/>
        <item x="119"/>
        <item x="209"/>
        <item x="401"/>
        <item x="353"/>
        <item x="86"/>
        <item x="319"/>
        <item x="383"/>
        <item x="362"/>
        <item x="18"/>
        <item x="221"/>
        <item x="197"/>
        <item x="247"/>
        <item x="187"/>
        <item x="392"/>
        <item x="279"/>
        <item x="30"/>
        <item x="165"/>
        <item x="356"/>
        <item x="58"/>
        <item x="63"/>
        <item x="365"/>
        <item x="405"/>
        <item x="376"/>
        <item x="167"/>
        <item x="160"/>
        <item x="3"/>
        <item x="294"/>
        <item x="112"/>
        <item x="257"/>
        <item x="212"/>
        <item x="260"/>
        <item x="489"/>
        <item x="61"/>
        <item x="115"/>
        <item x="304"/>
        <item x="5"/>
        <item x="131"/>
        <item x="406"/>
        <item x="192"/>
        <item x="53"/>
        <item x="367"/>
        <item x="132"/>
        <item x="424"/>
        <item x="308"/>
        <item x="111"/>
        <item x="478"/>
        <item x="407"/>
        <item x="38"/>
        <item x="66"/>
        <item x="311"/>
        <item x="416"/>
        <item x="162"/>
        <item x="19"/>
        <item x="157"/>
        <item x="76"/>
        <item x="469"/>
        <item x="28"/>
        <item x="174"/>
        <item x="149"/>
        <item x="378"/>
        <item x="10"/>
        <item x="302"/>
        <item x="332"/>
        <item x="0"/>
        <item x="234"/>
        <item x="330"/>
        <item x="438"/>
        <item x="233"/>
        <item x="142"/>
        <item x="92"/>
        <item x="226"/>
        <item x="245"/>
        <item x="44"/>
        <item x="183"/>
        <item x="269"/>
        <item x="282"/>
        <item x="285"/>
        <item x="393"/>
        <item x="299"/>
        <item x="323"/>
        <item x="178"/>
        <item x="36"/>
        <item x="2"/>
        <item x="188"/>
        <item x="300"/>
        <item x="298"/>
        <item x="141"/>
        <item x="203"/>
        <item x="34"/>
        <item x="410"/>
        <item x="341"/>
        <item x="264"/>
        <item x="281"/>
        <item x="161"/>
        <item x="116"/>
        <item x="182"/>
        <item x="151"/>
        <item x="366"/>
        <item x="89"/>
        <item x="7"/>
        <item x="390"/>
        <item x="59"/>
        <item x="357"/>
        <item x="207"/>
        <item x="79"/>
        <item x="453"/>
        <item x="219"/>
        <item x="293"/>
        <item x="284"/>
        <item x="317"/>
        <item x="429"/>
        <item x="261"/>
        <item x="191"/>
        <item x="1"/>
        <item x="186"/>
        <item x="460"/>
        <item x="164"/>
        <item x="210"/>
        <item x="331"/>
        <item x="220"/>
        <item x="338"/>
        <item x="20"/>
        <item x="117"/>
        <item x="452"/>
        <item x="179"/>
        <item x="190"/>
        <item x="21"/>
        <item x="467"/>
        <item x="152"/>
        <item x="202"/>
        <item x="122"/>
        <item x="529"/>
        <item x="434"/>
        <item x="430"/>
        <item x="194"/>
        <item x="364"/>
        <item x="189"/>
        <item x="95"/>
        <item x="408"/>
        <item x="445"/>
        <item x="441"/>
        <item x="175"/>
        <item x="465"/>
        <item x="150"/>
        <item x="361"/>
        <item x="286"/>
        <item x="242"/>
        <item x="22"/>
        <item x="314"/>
        <item x="276"/>
        <item x="267"/>
        <item x="8"/>
        <item x="277"/>
        <item x="176"/>
        <item x="395"/>
        <item x="248"/>
        <item x="40"/>
        <item x="12"/>
        <item x="372"/>
        <item x="229"/>
        <item x="60"/>
        <item x="435"/>
        <item x="145"/>
        <item x="26"/>
        <item x="274"/>
        <item x="103"/>
        <item x="133"/>
        <item x="83"/>
        <item x="25"/>
        <item x="67"/>
        <item x="69"/>
        <item x="322"/>
        <item x="258"/>
        <item x="454"/>
        <item x="268"/>
        <item x="213"/>
        <item x="316"/>
        <item x="126"/>
        <item x="181"/>
        <item x="249"/>
        <item x="180"/>
        <item x="214"/>
        <item x="87"/>
        <item x="224"/>
        <item x="318"/>
        <item x="396"/>
        <item x="289"/>
        <item x="75"/>
        <item x="78"/>
        <item x="218"/>
        <item x="93"/>
        <item x="476"/>
        <item x="462"/>
        <item x="96"/>
        <item x="307"/>
        <item x="419"/>
        <item x="324"/>
        <item x="90"/>
        <item x="146"/>
        <item x="230"/>
        <item x="409"/>
        <item x="328"/>
        <item x="244"/>
        <item x="105"/>
        <item x="166"/>
        <item x="369"/>
        <item x="171"/>
        <item x="27"/>
        <item x="113"/>
        <item x="143"/>
        <item x="337"/>
        <item x="16"/>
        <item x="121"/>
        <item x="206"/>
        <item x="305"/>
        <item x="355"/>
        <item x="228"/>
        <item x="84"/>
        <item x="139"/>
        <item x="35"/>
        <item x="29"/>
        <item x="136"/>
        <item x="339"/>
        <item x="368"/>
        <item x="196"/>
        <item x="266"/>
        <item x="309"/>
        <item x="85"/>
        <item x="33"/>
        <item x="156"/>
        <item x="52"/>
        <item x="47"/>
        <item x="457"/>
        <item x="426"/>
        <item x="346"/>
        <item x="352"/>
        <item x="456"/>
        <item x="278"/>
        <item x="45"/>
        <item x="326"/>
        <item x="170"/>
        <item x="479"/>
        <item x="350"/>
        <item x="397"/>
        <item x="310"/>
        <item x="288"/>
        <item x="169"/>
        <item x="382"/>
        <item x="13"/>
        <item x="195"/>
        <item x="344"/>
        <item x="425"/>
        <item x="347"/>
        <item x="442"/>
        <item x="427"/>
        <item x="241"/>
        <item x="446"/>
        <item x="41"/>
        <item x="375"/>
        <item x="384"/>
        <item x="215"/>
        <item x="360"/>
        <item x="415"/>
        <item x="144"/>
        <item x="9"/>
        <item x="262"/>
        <item x="216"/>
        <item x="251"/>
        <item x="363"/>
        <item x="447"/>
        <item x="55"/>
        <item x="417"/>
        <item x="71"/>
        <item x="259"/>
        <item x="56"/>
        <item x="386"/>
        <item x="381"/>
        <item x="343"/>
        <item x="135"/>
        <item x="348"/>
        <item x="448"/>
        <item x="455"/>
        <item x="336"/>
        <item x="333"/>
        <item x="201"/>
        <item x="94"/>
        <item x="436"/>
        <item x="97"/>
        <item x="443"/>
        <item x="468"/>
        <item x="153"/>
        <item x="374"/>
        <item x="68"/>
        <item x="403"/>
        <item x="327"/>
        <item x="128"/>
        <item x="217"/>
        <item x="358"/>
        <item x="246"/>
        <item x="335"/>
        <item x="315"/>
        <item x="39"/>
        <item x="108"/>
        <item x="263"/>
        <item x="414"/>
        <item x="236"/>
        <item x="321"/>
        <item x="296"/>
        <item x="168"/>
        <item x="129"/>
        <item x="265"/>
        <item x="177"/>
        <item x="172"/>
        <item x="99"/>
        <item x="312"/>
        <item x="387"/>
        <item x="420"/>
        <item x="359"/>
        <item x="91"/>
        <item x="439"/>
        <item x="254"/>
        <item x="4"/>
        <item x="283"/>
        <item x="235"/>
        <item x="154"/>
        <item x="273"/>
        <item x="297"/>
        <item x="62"/>
        <item x="88"/>
        <item x="466"/>
        <item x="287"/>
        <item x="65"/>
        <item x="23"/>
        <item x="185"/>
        <item x="340"/>
        <item m="1" x="664"/>
        <item x="98"/>
        <item x="459"/>
        <item x="391"/>
        <item x="437"/>
        <item x="243"/>
        <item x="24"/>
        <item x="418"/>
        <item x="173"/>
        <item x="404"/>
        <item x="271"/>
        <item x="428"/>
        <item x="371"/>
        <item x="394"/>
        <item x="574"/>
        <item x="480"/>
        <item x="481"/>
        <item x="482"/>
        <item x="488"/>
        <item x="470"/>
        <item x="471"/>
        <item x="472"/>
        <item x="483"/>
        <item x="484"/>
        <item x="473"/>
        <item x="485"/>
        <item x="490"/>
        <item x="491"/>
        <item x="486"/>
        <item x="487"/>
        <item x="474"/>
        <item x="475"/>
        <item x="492"/>
        <item x="493"/>
        <item x="494"/>
        <item x="495"/>
        <item x="496"/>
        <item x="504"/>
        <item x="240"/>
        <item x="505"/>
        <item x="506"/>
        <item x="507"/>
        <item x="497"/>
        <item x="498"/>
        <item x="499"/>
        <item x="508"/>
        <item x="500"/>
        <item x="501"/>
        <item x="502"/>
        <item x="503"/>
        <item x="509"/>
        <item x="510"/>
        <item x="511"/>
        <item x="512"/>
        <item x="513"/>
        <item x="514"/>
        <item x="515"/>
        <item x="516"/>
        <item x="517"/>
        <item x="522"/>
        <item x="523"/>
        <item x="524"/>
        <item x="525"/>
        <item x="526"/>
        <item x="527"/>
        <item x="528"/>
        <item x="530"/>
        <item x="531"/>
        <item x="532"/>
        <item x="535"/>
        <item x="533"/>
        <item x="534"/>
        <item x="536"/>
        <item x="537"/>
        <item x="538"/>
        <item x="539"/>
        <item x="540"/>
        <item x="541"/>
        <item x="542"/>
        <item x="543"/>
        <item x="518"/>
        <item x="519"/>
        <item x="520"/>
        <item x="521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8"/>
        <item x="557"/>
        <item x="559"/>
        <item x="560"/>
        <item x="561"/>
        <item x="562"/>
        <item x="563"/>
        <item x="564"/>
        <item x="565"/>
        <item x="566"/>
        <item x="567"/>
        <item x="545"/>
        <item x="568"/>
        <item m="1" x="665"/>
        <item x="569"/>
        <item x="570"/>
        <item x="571"/>
        <item x="575"/>
        <item x="576"/>
        <item x="577"/>
        <item x="578"/>
        <item x="579"/>
        <item x="585"/>
        <item x="588"/>
        <item x="589"/>
        <item x="572"/>
        <item x="580"/>
        <item x="581"/>
        <item x="586"/>
        <item x="590"/>
        <item x="582"/>
        <item x="573"/>
        <item x="591"/>
        <item x="583"/>
        <item x="584"/>
        <item x="587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42"/>
        <item x="643"/>
        <item x="623"/>
        <item x="624"/>
        <item x="629"/>
        <item x="630"/>
        <item x="631"/>
        <item x="632"/>
        <item x="633"/>
        <item x="634"/>
        <item x="625"/>
        <item x="626"/>
        <item x="627"/>
        <item x="635"/>
        <item x="636"/>
        <item x="637"/>
        <item x="638"/>
        <item x="639"/>
        <item x="628"/>
        <item x="644"/>
        <item x="645"/>
        <item x="640"/>
        <item x="641"/>
        <item x="647"/>
        <item x="648"/>
        <item x="650"/>
        <item x="651"/>
        <item m="1" x="663"/>
        <item x="652"/>
        <item x="653"/>
        <item x="654"/>
        <item x="655"/>
        <item x="656"/>
        <item x="646"/>
        <item x="657"/>
        <item m="1" x="662"/>
        <item x="649"/>
        <item x="658"/>
        <item x="659"/>
        <item x="660"/>
        <item x="661"/>
        <item t="default"/>
      </items>
    </pivotField>
    <pivotField axis="axisRow" showAll="0" sortType="descending">
      <items count="108">
        <item sd="0" x="10"/>
        <item sd="0" x="85"/>
        <item sd="0" x="18"/>
        <item sd="0" x="29"/>
        <item sd="0" x="30"/>
        <item sd="0" x="64"/>
        <item sd="0" x="35"/>
        <item sd="0" x="94"/>
        <item sd="0" x="41"/>
        <item sd="0" x="20"/>
        <item sd="0" x="28"/>
        <item sd="0" x="33"/>
        <item sd="0" x="15"/>
        <item sd="0" x="31"/>
        <item sd="0" x="55"/>
        <item sd="0" x="80"/>
        <item sd="0" x="43"/>
        <item sd="0" x="68"/>
        <item sd="0" x="19"/>
        <item sd="0" x="46"/>
        <item sd="0" x="75"/>
        <item sd="0" x="32"/>
        <item sd="0" x="1"/>
        <item sd="0" x="14"/>
        <item sd="0" x="63"/>
        <item sd="0" x="8"/>
        <item sd="0" x="5"/>
        <item sd="0" x="79"/>
        <item sd="0" x="42"/>
        <item sd="0" x="86"/>
        <item sd="0" x="62"/>
        <item sd="0" x="24"/>
        <item sd="0" x="50"/>
        <item sd="0" x="23"/>
        <item sd="0" x="58"/>
        <item sd="0" x="12"/>
        <item sd="0" x="9"/>
        <item sd="0" x="66"/>
        <item sd="0" x="2"/>
        <item sd="0" x="54"/>
        <item sd="0" x="36"/>
        <item sd="0" x="22"/>
        <item sd="0" x="51"/>
        <item sd="0" x="27"/>
        <item sd="0" x="47"/>
        <item sd="0" x="25"/>
        <item sd="0" x="45"/>
        <item sd="0" x="59"/>
        <item sd="0" x="76"/>
        <item sd="0" x="84"/>
        <item sd="0" x="17"/>
        <item sd="0" x="53"/>
        <item sd="0" x="39"/>
        <item sd="0" x="72"/>
        <item sd="0" x="57"/>
        <item sd="0" x="74"/>
        <item sd="0" x="78"/>
        <item sd="0" x="37"/>
        <item sd="0" x="26"/>
        <item sd="0" x="21"/>
        <item sd="0" x="16"/>
        <item sd="0" x="61"/>
        <item sd="0" x="38"/>
        <item sd="0" x="93"/>
        <item sd="0" x="82"/>
        <item sd="0" x="81"/>
        <item sd="0" x="13"/>
        <item sd="0" x="7"/>
        <item sd="0" x="3"/>
        <item sd="0" m="1" x="106"/>
        <item sd="0" x="6"/>
        <item sd="0" x="4"/>
        <item sd="0" x="34"/>
        <item sd="0" x="60"/>
        <item sd="0" x="0"/>
        <item sd="0" x="52"/>
        <item sd="0" x="65"/>
        <item sd="0" x="44"/>
        <item sd="0" x="73"/>
        <item sd="0" x="56"/>
        <item sd="0" x="40"/>
        <item sd="0" x="67"/>
        <item sd="0" x="70"/>
        <item sd="0" x="77"/>
        <item sd="0" x="83"/>
        <item sd="0" x="71"/>
        <item sd="0" x="49"/>
        <item sd="0" x="48"/>
        <item sd="0" x="11"/>
        <item sd="0" x="96"/>
        <item sd="0" x="89"/>
        <item sd="0" x="69"/>
        <item sd="0" x="87"/>
        <item sd="0" x="88"/>
        <item sd="0" x="90"/>
        <item sd="0" x="91"/>
        <item sd="0" x="92"/>
        <item sd="0" x="95"/>
        <item sd="0" x="105"/>
        <item sd="0" x="97"/>
        <item sd="0" x="98"/>
        <item sd="0" x="99"/>
        <item sd="0" x="100"/>
        <item sd="0" x="101"/>
        <item sd="0" x="102"/>
        <item sd="0" x="103"/>
        <item x="104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64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1"/>
        <item x="163"/>
        <item x="160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94"/>
        <item x="177"/>
        <item x="178"/>
        <item x="179"/>
        <item x="180"/>
        <item x="181"/>
        <item x="159"/>
        <item x="161"/>
        <item x="182"/>
        <item x="183"/>
        <item x="184"/>
        <item x="185"/>
        <item x="162"/>
        <item x="186"/>
        <item x="187"/>
        <item x="188"/>
        <item x="189"/>
        <item x="190"/>
        <item x="191"/>
        <item x="192"/>
        <item x="193"/>
        <item x="195"/>
        <item x="196"/>
        <item x="197"/>
        <item x="198"/>
        <item x="199"/>
        <item x="200"/>
        <item x="201"/>
        <item x="202"/>
        <item x="203"/>
        <item x="301"/>
        <item x="204"/>
        <item x="205"/>
        <item x="206"/>
        <item x="207"/>
        <item x="208"/>
        <item x="209"/>
        <item x="210"/>
        <item x="217"/>
        <item x="214"/>
        <item x="215"/>
        <item x="216"/>
        <item x="211"/>
        <item x="212"/>
        <item x="213"/>
        <item x="223"/>
        <item x="218"/>
        <item x="219"/>
        <item x="220"/>
        <item x="221"/>
        <item x="222"/>
        <item x="234"/>
        <item x="235"/>
        <item x="224"/>
        <item x="225"/>
        <item x="226"/>
        <item x="227"/>
        <item x="228"/>
        <item x="229"/>
        <item x="230"/>
        <item x="231"/>
        <item x="232"/>
        <item x="233"/>
        <item x="236"/>
        <item x="239"/>
        <item x="240"/>
        <item x="241"/>
        <item x="242"/>
        <item x="243"/>
        <item x="244"/>
        <item x="245"/>
        <item x="237"/>
        <item x="246"/>
        <item x="247"/>
        <item x="248"/>
        <item x="249"/>
        <item x="250"/>
        <item x="251"/>
        <item x="252"/>
        <item x="238"/>
        <item x="253"/>
        <item x="254"/>
        <item x="255"/>
        <item x="256"/>
        <item x="257"/>
        <item x="258"/>
        <item x="263"/>
        <item x="264"/>
        <item x="265"/>
        <item x="266"/>
        <item x="259"/>
        <item x="260"/>
        <item x="267"/>
        <item x="261"/>
        <item x="268"/>
        <item x="269"/>
        <item x="270"/>
        <item x="271"/>
        <item x="262"/>
        <item x="272"/>
        <item x="273"/>
        <item x="274"/>
        <item x="275"/>
        <item x="276"/>
        <item x="278"/>
        <item x="280"/>
        <item x="281"/>
        <item x="277"/>
        <item x="282"/>
        <item x="283"/>
        <item x="284"/>
        <item x="279"/>
        <item x="285"/>
        <item x="286"/>
        <item x="287"/>
        <item x="288"/>
        <item x="289"/>
        <item x="290"/>
        <item x="291"/>
        <item x="292"/>
        <item x="293"/>
        <item x="302"/>
        <item x="303"/>
        <item x="294"/>
        <item x="295"/>
        <item x="296"/>
        <item x="297"/>
        <item x="298"/>
        <item x="299"/>
        <item x="300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49"/>
        <item x="352"/>
        <item x="332"/>
        <item x="335"/>
        <item x="330"/>
        <item x="331"/>
        <item x="333"/>
        <item x="334"/>
        <item x="348"/>
        <item x="336"/>
        <item x="337"/>
        <item x="338"/>
        <item x="350"/>
        <item x="351"/>
        <item x="339"/>
        <item x="340"/>
        <item x="341"/>
        <item x="342"/>
        <item x="343"/>
        <item x="344"/>
        <item x="345"/>
        <item x="346"/>
        <item x="347"/>
        <item x="362"/>
        <item x="363"/>
        <item x="364"/>
        <item x="365"/>
        <item x="366"/>
        <item x="367"/>
        <item x="353"/>
        <item x="354"/>
        <item x="368"/>
        <item x="369"/>
        <item x="355"/>
        <item x="372"/>
        <item x="356"/>
        <item x="357"/>
        <item x="358"/>
        <item x="359"/>
        <item x="360"/>
        <item x="361"/>
        <item x="370"/>
        <item x="371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Col" multipleItemSelectionAllowed="1" showAll="0">
      <items count="5">
        <item sd="0" x="0"/>
        <item x="1"/>
        <item x="2"/>
        <item m="1" x="3"/>
        <item t="default"/>
      </items>
    </pivotField>
    <pivotField axis="axisCol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1"/>
  </rowFields>
  <rowItems count="108">
    <i>
      <x v="12"/>
    </i>
    <i>
      <x v="3"/>
    </i>
    <i>
      <x v="31"/>
    </i>
    <i>
      <x v="80"/>
    </i>
    <i>
      <x v="40"/>
    </i>
    <i>
      <x v="4"/>
    </i>
    <i>
      <x v="72"/>
    </i>
    <i>
      <x v="87"/>
    </i>
    <i>
      <x v="25"/>
    </i>
    <i>
      <x/>
    </i>
    <i>
      <x v="74"/>
    </i>
    <i>
      <x v="41"/>
    </i>
    <i>
      <x v="22"/>
    </i>
    <i>
      <x v="11"/>
    </i>
    <i>
      <x v="8"/>
    </i>
    <i>
      <x v="21"/>
    </i>
    <i>
      <x v="60"/>
    </i>
    <i>
      <x v="88"/>
    </i>
    <i>
      <x v="50"/>
    </i>
    <i>
      <x v="17"/>
    </i>
    <i>
      <x v="52"/>
    </i>
    <i>
      <x v="2"/>
    </i>
    <i>
      <x v="36"/>
    </i>
    <i>
      <x v="68"/>
    </i>
    <i>
      <x v="18"/>
    </i>
    <i>
      <x v="16"/>
    </i>
    <i>
      <x v="32"/>
    </i>
    <i>
      <x v="33"/>
    </i>
    <i>
      <x v="13"/>
    </i>
    <i>
      <x v="14"/>
    </i>
    <i>
      <x v="51"/>
    </i>
    <i>
      <x v="23"/>
    </i>
    <i>
      <x v="45"/>
    </i>
    <i>
      <x v="58"/>
    </i>
    <i>
      <x v="19"/>
    </i>
    <i>
      <x v="63"/>
    </i>
    <i>
      <x v="62"/>
    </i>
    <i>
      <x v="61"/>
    </i>
    <i>
      <x v="38"/>
    </i>
    <i>
      <x v="9"/>
    </i>
    <i>
      <x v="46"/>
    </i>
    <i>
      <x v="34"/>
    </i>
    <i>
      <x v="30"/>
    </i>
    <i>
      <x v="7"/>
    </i>
    <i>
      <x v="37"/>
    </i>
    <i>
      <x v="70"/>
    </i>
    <i>
      <x v="66"/>
    </i>
    <i>
      <x v="57"/>
    </i>
    <i>
      <x v="10"/>
    </i>
    <i>
      <x v="71"/>
    </i>
    <i>
      <x v="42"/>
    </i>
    <i>
      <x v="29"/>
    </i>
    <i>
      <x v="6"/>
    </i>
    <i>
      <x v="106"/>
    </i>
    <i r="1">
      <x v="663"/>
    </i>
    <i>
      <x v="20"/>
    </i>
    <i>
      <x v="55"/>
    </i>
    <i>
      <x v="97"/>
    </i>
    <i>
      <x v="48"/>
    </i>
    <i>
      <x v="43"/>
    </i>
    <i>
      <x v="53"/>
    </i>
    <i>
      <x v="81"/>
    </i>
    <i>
      <x v="85"/>
    </i>
    <i>
      <x v="93"/>
    </i>
    <i>
      <x v="35"/>
    </i>
    <i>
      <x v="47"/>
    </i>
    <i>
      <x v="94"/>
    </i>
    <i>
      <x v="26"/>
    </i>
    <i>
      <x v="1"/>
    </i>
    <i>
      <x v="39"/>
    </i>
    <i>
      <x v="98"/>
    </i>
    <i>
      <x v="27"/>
    </i>
    <i>
      <x v="76"/>
    </i>
    <i>
      <x v="92"/>
    </i>
    <i>
      <x v="84"/>
    </i>
    <i>
      <x v="75"/>
    </i>
    <i>
      <x v="83"/>
    </i>
    <i>
      <x v="15"/>
    </i>
    <i>
      <x v="86"/>
    </i>
    <i>
      <x v="91"/>
    </i>
    <i>
      <x v="65"/>
    </i>
    <i>
      <x v="5"/>
    </i>
    <i>
      <x v="54"/>
    </i>
    <i>
      <x v="24"/>
    </i>
    <i>
      <x v="44"/>
    </i>
    <i>
      <x v="99"/>
    </i>
    <i>
      <x v="100"/>
    </i>
    <i>
      <x v="79"/>
    </i>
    <i>
      <x v="104"/>
    </i>
    <i>
      <x v="78"/>
    </i>
    <i>
      <x v="64"/>
    </i>
    <i>
      <x v="28"/>
    </i>
    <i>
      <x v="77"/>
    </i>
    <i>
      <x v="67"/>
    </i>
    <i>
      <x v="59"/>
    </i>
    <i>
      <x v="82"/>
    </i>
    <i>
      <x v="95"/>
    </i>
    <i>
      <x v="56"/>
    </i>
    <i>
      <x v="105"/>
    </i>
    <i>
      <x v="96"/>
    </i>
    <i>
      <x v="90"/>
    </i>
    <i>
      <x v="101"/>
    </i>
    <i>
      <x v="73"/>
    </i>
    <i>
      <x v="49"/>
    </i>
    <i>
      <x v="102"/>
    </i>
    <i>
      <x v="89"/>
    </i>
    <i>
      <x v="103"/>
    </i>
    <i t="grand">
      <x/>
    </i>
  </rowItems>
  <colFields count="3">
    <field x="12"/>
    <field x="14"/>
    <field x="13"/>
  </colFields>
  <colItems count="10">
    <i>
      <x/>
    </i>
    <i>
      <x v="1"/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t="default">
      <x v="2"/>
    </i>
    <i t="grand">
      <x/>
    </i>
  </colItems>
  <dataFields count="1">
    <dataField name="Sum of Pago" fld="10" baseField="0" baseItem="0" numFmtId="167"/>
  </dataFields>
  <formats count="40">
    <format dxfId="12">
      <pivotArea grandCol="1" outline="0" collapsedLevelsAreSubtotals="1" fieldPosition="0"/>
    </format>
    <format dxfId="13">
      <pivotArea field="5" type="button" dataOnly="0" labelOnly="1" outline="0"/>
    </format>
    <format dxfId="14">
      <pivotArea type="topRight" dataOnly="0" labelOnly="1" outline="0" fieldPosition="0"/>
    </format>
    <format dxfId="15">
      <pivotArea dataOnly="0" labelOnly="1" fieldPosition="0">
        <references count="2">
          <reference field="1" count="1">
            <x v="287"/>
          </reference>
          <reference field="2" count="1" selected="0">
            <x v="4"/>
          </reference>
        </references>
      </pivotArea>
    </format>
    <format dxfId="16">
      <pivotArea dataOnly="0" labelOnly="1" fieldPosition="0">
        <references count="2">
          <reference field="1" count="1">
            <x v="303"/>
          </reference>
          <reference field="2" count="1" selected="0">
            <x v="4"/>
          </reference>
        </references>
      </pivotArea>
    </format>
    <format dxfId="17">
      <pivotArea dataOnly="0" labelOnly="1" fieldPosition="0">
        <references count="2">
          <reference field="1" count="1">
            <x v="441"/>
          </reference>
          <reference field="2" count="1" selected="0">
            <x v="4"/>
          </reference>
        </references>
      </pivotArea>
    </format>
    <format dxfId="18">
      <pivotArea dataOnly="0" labelOnly="1" fieldPosition="0">
        <references count="2">
          <reference field="1" count="3">
            <x v="495"/>
            <x v="498"/>
            <x v="501"/>
          </reference>
          <reference field="2" count="1" selected="0">
            <x v="4"/>
          </reference>
        </references>
      </pivotArea>
    </format>
    <format dxfId="19">
      <pivotArea dataOnly="0" labelOnly="1" fieldPosition="0">
        <references count="2">
          <reference field="1" count="1">
            <x v="262"/>
          </reference>
          <reference field="2" count="1" selected="0">
            <x v="3"/>
          </reference>
        </references>
      </pivotArea>
    </format>
    <format dxfId="20">
      <pivotArea dataOnly="0" labelOnly="1" fieldPosition="0">
        <references count="2">
          <reference field="1" count="1">
            <x v="383"/>
          </reference>
          <reference field="2" count="1" selected="0">
            <x v="3"/>
          </reference>
        </references>
      </pivotArea>
    </format>
    <format dxfId="21">
      <pivotArea dataOnly="0" labelOnly="1" fieldPosition="0">
        <references count="2">
          <reference field="1" count="2">
            <x v="129"/>
            <x v="131"/>
          </reference>
          <reference field="2" count="1" selected="0">
            <x v="3"/>
          </reference>
        </references>
      </pivotArea>
    </format>
    <format dxfId="22">
      <pivotArea dataOnly="0" labelOnly="1" fieldPosition="0">
        <references count="2">
          <reference field="1" count="1">
            <x v="131"/>
          </reference>
          <reference field="2" count="1" selected="0">
            <x v="3"/>
          </reference>
        </references>
      </pivotArea>
    </format>
    <format dxfId="23">
      <pivotArea type="topRight" dataOnly="0" labelOnly="1" outline="0" offset="I1" fieldPosition="0"/>
    </format>
    <format dxfId="24">
      <pivotArea outline="0" collapsedLevelsAreSubtotals="1" fieldPosition="0"/>
    </format>
    <format dxfId="25">
      <pivotArea field="12" type="button" dataOnly="0" labelOnly="1" outline="0" axis="axisCol" fieldPosition="0"/>
    </format>
    <format dxfId="26">
      <pivotArea field="14" type="button" dataOnly="0" labelOnly="1" outline="0" axis="axisCol" fieldPosition="1"/>
    </format>
    <format dxfId="27">
      <pivotArea field="13" type="button" dataOnly="0" labelOnly="1" outline="0" axis="axisCol" fieldPosition="2"/>
    </format>
    <format dxfId="28">
      <pivotArea type="topRight" dataOnly="0" labelOnly="1" outline="0" fieldPosition="0"/>
    </format>
    <format dxfId="29">
      <pivotArea dataOnly="0" labelOnly="1" grandCol="1" outline="0" fieldPosition="0"/>
    </format>
    <format dxfId="30">
      <pivotArea collapsedLevelsAreSubtotals="1" fieldPosition="0">
        <references count="3">
          <reference field="2" count="1">
            <x v="4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31">
      <pivotArea collapsedLevelsAreSubtotals="1" fieldPosition="0">
        <references count="3">
          <reference field="2" count="1">
            <x v="3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32">
      <pivotArea collapsedLevelsAreSubtotals="1" fieldPosition="0">
        <references count="3">
          <reference field="2" count="1">
            <x v="87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33">
      <pivotArea collapsedLevelsAreSubtotals="1" fieldPosition="0">
        <references count="3">
          <reference field="2" count="1">
            <x v="40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34">
      <pivotArea collapsedLevelsAreSubtotals="1" fieldPosition="0">
        <references count="3">
          <reference field="2" count="1">
            <x v="0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35">
      <pivotArea collapsedLevelsAreSubtotals="1" fieldPosition="0">
        <references count="4">
          <reference field="1" count="1">
            <x v="585"/>
          </reference>
          <reference field="2" count="1" selected="0">
            <x v="88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36">
      <pivotArea collapsedLevelsAreSubtotals="1" fieldPosition="0">
        <references count="4">
          <reference field="1" count="1">
            <x v="294"/>
          </reference>
          <reference field="2" count="1" selected="0">
            <x v="93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37">
      <pivotArea collapsedLevelsAreSubtotals="1" fieldPosition="0">
        <references count="3">
          <reference field="2" count="1">
            <x v="93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38">
      <pivotArea collapsedLevelsAreSubtotals="1" fieldPosition="0">
        <references count="4">
          <reference field="1" count="1">
            <x v="646"/>
          </reference>
          <reference field="2" count="1" selected="0">
            <x v="52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39">
      <pivotArea collapsedLevelsAreSubtotals="1" fieldPosition="0">
        <references count="4">
          <reference field="1" count="1">
            <x v="576"/>
          </reference>
          <reference field="2" count="1" selected="0">
            <x v="52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40">
      <pivotArea collapsedLevelsAreSubtotals="1" fieldPosition="0">
        <references count="3">
          <reference field="2" count="1">
            <x v="87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41">
      <pivotArea collapsedLevelsAreSubtotals="1" fieldPosition="0">
        <references count="3">
          <reference field="2" count="1">
            <x v="3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42">
      <pivotArea collapsedLevelsAreSubtotals="1" fieldPosition="0">
        <references count="3">
          <reference field="2" count="1">
            <x v="4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43">
      <pivotArea collapsedLevelsAreSubtotals="1" fieldPosition="0">
        <references count="3">
          <reference field="2" count="1">
            <x v="52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44">
      <pivotArea collapsedLevelsAreSubtotals="1" fieldPosition="0">
        <references count="3">
          <reference field="2" count="1">
            <x v="37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45">
      <pivotArea collapsedLevelsAreSubtotals="1" fieldPosition="0">
        <references count="3">
          <reference field="2" count="1">
            <x v="97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46">
      <pivotArea collapsedLevelsAreSubtotals="1" fieldPosition="0">
        <references count="3">
          <reference field="1" count="1">
            <x v="104"/>
          </reference>
          <reference field="2" count="1" selected="0">
            <x v="18"/>
          </reference>
          <reference field="12" count="1" selected="0">
            <x v="0"/>
          </reference>
        </references>
      </pivotArea>
    </format>
    <format dxfId="47">
      <pivotArea collapsedLevelsAreSubtotals="1" fieldPosition="0">
        <references count="4">
          <reference field="1" count="1">
            <x v="104"/>
          </reference>
          <reference field="2" count="1" selected="0">
            <x v="18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48">
      <pivotArea collapsedLevelsAreSubtotals="1" fieldPosition="0">
        <references count="3">
          <reference field="2" count="1">
            <x v="2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49">
      <pivotArea collapsedLevelsAreSubtotals="1" fieldPosition="0">
        <references count="4">
          <reference field="1" count="1">
            <x v="162"/>
          </reference>
          <reference field="2" count="1" selected="0">
            <x v="21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50">
      <pivotArea collapsedLevelsAreSubtotals="1" fieldPosition="0">
        <references count="4">
          <reference field="1" count="1">
            <x v="162"/>
          </reference>
          <reference field="2" count="1" selected="0">
            <x v="22"/>
          </reference>
          <reference field="12" count="1" selected="0">
            <x v="1"/>
          </reference>
          <reference field="14" count="1" selected="0">
            <x v="4"/>
          </reference>
        </references>
      </pivotArea>
    </format>
    <format dxfId="51">
      <pivotArea collapsedLevelsAreSubtotals="1" fieldPosition="0">
        <references count="4">
          <reference field="1" count="1">
            <x v="162"/>
          </reference>
          <reference field="2" count="1" selected="0">
            <x v="22"/>
          </reference>
          <reference field="12" count="1" selected="0">
            <x v="1"/>
          </reference>
          <reference field="1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axa" xr10:uid="{92027245-FBC8-4AC1-B06A-9BDD358B1EB6}" sourceName="Taxa">
  <pivotTables>
    <pivotTable tabId="23" name="PivotTable1"/>
  </pivotTables>
  <data>
    <tabular pivotCacheId="1537889332">
      <items count="107">
        <i x="10" s="1"/>
        <i x="85" s="1"/>
        <i x="18" s="1"/>
        <i x="29" s="1"/>
        <i x="30" s="1"/>
        <i x="64" s="1"/>
        <i x="35" s="1"/>
        <i x="94" s="1"/>
        <i x="41" s="1"/>
        <i x="20" s="1"/>
        <i x="28" s="1"/>
        <i x="33" s="1"/>
        <i x="15" s="1"/>
        <i x="31" s="1"/>
        <i x="55" s="1"/>
        <i x="80" s="1"/>
        <i x="43" s="1"/>
        <i x="68" s="1"/>
        <i x="19" s="1"/>
        <i x="46" s="1"/>
        <i x="75" s="1"/>
        <i x="32" s="1"/>
        <i x="1" s="1"/>
        <i x="91" s="1"/>
        <i x="14" s="1"/>
        <i x="103" s="1"/>
        <i x="63" s="1"/>
        <i x="8" s="1"/>
        <i x="5" s="1"/>
        <i x="98" s="1"/>
        <i x="79" s="1"/>
        <i x="42" s="1"/>
        <i x="86" s="1"/>
        <i x="62" s="1"/>
        <i x="24" s="1"/>
        <i x="50" s="1"/>
        <i x="23" s="1"/>
        <i x="102" s="1"/>
        <i x="58" s="1"/>
        <i x="12" s="1"/>
        <i x="9" s="1"/>
        <i x="66" s="1"/>
        <i x="2" s="1"/>
        <i x="69" s="1"/>
        <i x="54" s="1"/>
        <i x="36" s="1"/>
        <i x="22" s="1"/>
        <i x="51" s="1"/>
        <i x="27" s="1"/>
        <i x="47" s="1"/>
        <i x="25" s="1"/>
        <i x="45" s="1"/>
        <i x="92" s="1"/>
        <i x="89" s="1"/>
        <i x="59" s="1"/>
        <i x="76" s="1"/>
        <i x="84" s="1"/>
        <i x="17" s="1"/>
        <i x="53" s="1"/>
        <i x="39" s="1"/>
        <i x="72" s="1"/>
        <i x="57" s="1"/>
        <i x="74" s="1"/>
        <i x="100" s="1"/>
        <i x="78" s="1"/>
        <i x="37" s="1"/>
        <i x="26" s="1"/>
        <i x="21" s="1"/>
        <i x="16" s="1"/>
        <i x="61" s="1"/>
        <i x="105" s="1"/>
        <i x="38" s="1"/>
        <i x="93" s="1"/>
        <i x="82" s="1"/>
        <i x="81" s="1"/>
        <i x="90" s="1"/>
        <i x="13" s="1"/>
        <i x="7" s="1"/>
        <i x="3" s="1"/>
        <i x="6" s="1"/>
        <i x="4" s="1"/>
        <i x="34" s="1"/>
        <i x="60" s="1"/>
        <i x="0" s="1"/>
        <i x="52" s="1"/>
        <i x="65" s="1"/>
        <i x="44" s="1"/>
        <i x="73" s="1"/>
        <i x="56" s="1"/>
        <i x="40" s="1"/>
        <i x="67" s="1"/>
        <i x="70" s="1"/>
        <i x="77" s="1"/>
        <i x="83" s="1"/>
        <i x="71" s="1"/>
        <i x="99" s="1"/>
        <i x="104" s="1"/>
        <i x="49" s="1"/>
        <i x="48" s="1"/>
        <i x="11" s="1"/>
        <i x="101" s="1"/>
        <i x="87" s="1"/>
        <i x="88" s="1"/>
        <i x="95" s="1"/>
        <i x="97" s="1"/>
        <i x="106" s="1" nd="1"/>
        <i x="9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axa" xr10:uid="{55C8AE5E-EFA1-4485-BEDC-F64408DE0885}" cache="SegmentaçãodeDados_Taxa" caption="Taxa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1F20-B18D-42FA-967A-AF7890880881}">
  <dimension ref="A3:Y787"/>
  <sheetViews>
    <sheetView zoomScaleNormal="100" workbookViewId="0">
      <pane xSplit="1" ySplit="6" topLeftCell="B7" activePane="bottomRight" state="frozen"/>
      <selection pane="bottomRight" activeCell="A15" sqref="A15:XFD15"/>
      <selection pane="bottomLeft" activeCell="A7" sqref="A7"/>
      <selection pane="topRight" activeCell="B1" sqref="B1"/>
    </sheetView>
  </sheetViews>
  <sheetFormatPr defaultColWidth="10.42578125" defaultRowHeight="12.75"/>
  <cols>
    <col min="1" max="1" width="102.140625" bestFit="1" customWidth="1"/>
    <col min="2" max="2" width="21" style="15" customWidth="1"/>
    <col min="3" max="6" width="11.42578125" style="16" bestFit="1" customWidth="1"/>
    <col min="7" max="7" width="11.42578125" style="26" bestFit="1" customWidth="1"/>
    <col min="8" max="8" width="15.5703125" style="16" bestFit="1" customWidth="1"/>
    <col min="9" max="9" width="13.140625" style="16" bestFit="1" customWidth="1"/>
    <col min="10" max="10" width="11.7109375" style="16" bestFit="1" customWidth="1"/>
    <col min="11" max="12" width="13" style="16" bestFit="1" customWidth="1"/>
    <col min="13" max="13" width="11.42578125" style="16" bestFit="1" customWidth="1"/>
    <col min="14" max="14" width="10.85546875" style="19" bestFit="1" customWidth="1"/>
    <col min="15" max="16" width="11.42578125" style="15" bestFit="1" customWidth="1"/>
    <col min="17" max="17" width="10" style="15" bestFit="1" customWidth="1"/>
    <col min="18" max="18" width="13.140625" style="15" bestFit="1" customWidth="1"/>
    <col min="19" max="19" width="11.7109375" style="15" bestFit="1" customWidth="1"/>
    <col min="20" max="20" width="13" bestFit="1" customWidth="1"/>
    <col min="21" max="24" width="10.140625" bestFit="1" customWidth="1"/>
    <col min="25" max="25" width="11.5703125" bestFit="1" customWidth="1"/>
  </cols>
  <sheetData>
    <row r="3" spans="1:25">
      <c r="A3" s="4" t="s">
        <v>0</v>
      </c>
      <c r="B3" s="36" t="s">
        <v>1</v>
      </c>
      <c r="C3"/>
      <c r="D3" s="15"/>
      <c r="E3" s="15"/>
      <c r="F3" s="15"/>
      <c r="G3" s="15"/>
      <c r="H3" s="15"/>
      <c r="I3" s="15"/>
      <c r="J3" s="15"/>
      <c r="K3" s="15"/>
      <c r="L3"/>
      <c r="M3"/>
      <c r="N3"/>
      <c r="O3"/>
      <c r="P3"/>
      <c r="Q3"/>
      <c r="R3"/>
      <c r="S3"/>
    </row>
    <row r="4" spans="1:25">
      <c r="B4" s="15">
        <v>2025</v>
      </c>
      <c r="C4">
        <v>2026</v>
      </c>
      <c r="D4"/>
      <c r="E4"/>
      <c r="F4"/>
      <c r="G4"/>
      <c r="H4" t="s">
        <v>2</v>
      </c>
      <c r="I4" t="s">
        <v>3</v>
      </c>
      <c r="J4" t="s">
        <v>4</v>
      </c>
      <c r="K4" s="15" t="s">
        <v>5</v>
      </c>
      <c r="L4"/>
      <c r="M4"/>
      <c r="N4"/>
      <c r="O4"/>
      <c r="P4"/>
      <c r="Q4"/>
      <c r="R4"/>
      <c r="S4"/>
    </row>
    <row r="5" spans="1:25">
      <c r="B5"/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/>
      <c r="I5" t="s">
        <v>11</v>
      </c>
      <c r="J5"/>
      <c r="K5" s="15"/>
      <c r="L5"/>
      <c r="M5"/>
      <c r="N5"/>
      <c r="O5"/>
      <c r="P5"/>
      <c r="Q5"/>
      <c r="R5"/>
      <c r="S5"/>
    </row>
    <row r="6" spans="1:25">
      <c r="A6" s="4" t="s">
        <v>12</v>
      </c>
      <c r="B6"/>
      <c r="C6"/>
      <c r="D6"/>
      <c r="E6"/>
      <c r="F6"/>
      <c r="G6"/>
      <c r="H6"/>
      <c r="I6"/>
      <c r="J6"/>
      <c r="K6" s="15"/>
      <c r="L6"/>
      <c r="M6"/>
      <c r="N6"/>
      <c r="O6"/>
      <c r="P6"/>
      <c r="Q6"/>
      <c r="R6"/>
      <c r="S6"/>
    </row>
    <row r="7" spans="1:25">
      <c r="A7" s="8" t="s">
        <v>13</v>
      </c>
      <c r="B7" s="15">
        <v>392933.76999999973</v>
      </c>
      <c r="C7" s="15">
        <v>29305.320000000011</v>
      </c>
      <c r="D7" s="15">
        <v>28000.93</v>
      </c>
      <c r="E7" s="15">
        <v>28015.73</v>
      </c>
      <c r="F7" s="15">
        <v>25593.320000000007</v>
      </c>
      <c r="G7" s="15">
        <v>23816.559999999998</v>
      </c>
      <c r="H7" s="18">
        <v>134731.86000000002</v>
      </c>
      <c r="I7" s="58"/>
      <c r="J7" s="58"/>
      <c r="K7" s="15">
        <v>527665.62999999966</v>
      </c>
      <c r="L7"/>
      <c r="M7"/>
      <c r="N7"/>
      <c r="O7"/>
      <c r="P7"/>
      <c r="Q7"/>
      <c r="R7"/>
      <c r="S7"/>
    </row>
    <row r="8" spans="1:25">
      <c r="A8" s="8" t="s">
        <v>14</v>
      </c>
      <c r="B8" s="15">
        <v>347873.16</v>
      </c>
      <c r="C8" s="15">
        <v>27343.18</v>
      </c>
      <c r="D8" s="15">
        <v>27343.18</v>
      </c>
      <c r="E8" s="15">
        <v>25123.8</v>
      </c>
      <c r="F8" s="15">
        <v>28087.8</v>
      </c>
      <c r="G8" s="15">
        <v>28087.8</v>
      </c>
      <c r="H8" s="18">
        <v>135985.76</v>
      </c>
      <c r="I8" s="58"/>
      <c r="J8" s="58"/>
      <c r="K8" s="15">
        <v>483858.91999999993</v>
      </c>
      <c r="L8"/>
      <c r="M8"/>
      <c r="N8"/>
      <c r="O8"/>
      <c r="P8"/>
      <c r="Q8"/>
      <c r="R8"/>
      <c r="S8"/>
    </row>
    <row r="9" spans="1:25">
      <c r="A9" s="8" t="s">
        <v>15</v>
      </c>
      <c r="B9" s="15">
        <v>248831.74000000002</v>
      </c>
      <c r="C9" s="15">
        <v>20778.97</v>
      </c>
      <c r="D9" s="15">
        <v>18546.780000000002</v>
      </c>
      <c r="E9" s="15">
        <v>19708.53</v>
      </c>
      <c r="F9" s="15">
        <v>18081.140000000003</v>
      </c>
      <c r="G9" s="15">
        <v>18702.189999999999</v>
      </c>
      <c r="H9" s="18">
        <v>95817.61</v>
      </c>
      <c r="I9" s="58"/>
      <c r="J9" s="58"/>
      <c r="K9" s="15">
        <v>344649.35000000003</v>
      </c>
      <c r="L9"/>
      <c r="M9"/>
      <c r="N9"/>
      <c r="O9"/>
      <c r="P9"/>
      <c r="Q9"/>
      <c r="R9"/>
      <c r="S9"/>
    </row>
    <row r="10" spans="1:25" s="25" customFormat="1">
      <c r="A10" s="8" t="s">
        <v>16</v>
      </c>
      <c r="B10" s="15">
        <v>203292.17999999996</v>
      </c>
      <c r="C10" s="15">
        <v>10094.52</v>
      </c>
      <c r="D10" s="15">
        <v>20366.73</v>
      </c>
      <c r="E10" s="15">
        <v>17478.580000000002</v>
      </c>
      <c r="F10" s="15">
        <v>24738.89</v>
      </c>
      <c r="G10" s="15">
        <v>23110.49</v>
      </c>
      <c r="H10" s="18">
        <v>95789.21</v>
      </c>
      <c r="I10" s="58"/>
      <c r="J10" s="58"/>
      <c r="K10" s="15">
        <v>299081.38999999996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>
      <c r="A11" s="8" t="s">
        <v>17</v>
      </c>
      <c r="B11" s="15">
        <v>105519.3</v>
      </c>
      <c r="C11" s="15">
        <v>10698.66</v>
      </c>
      <c r="D11" s="15"/>
      <c r="E11" s="15">
        <v>10702.08</v>
      </c>
      <c r="F11" s="15">
        <v>15153.55</v>
      </c>
      <c r="G11" s="15">
        <v>5350</v>
      </c>
      <c r="H11" s="18">
        <v>41904.289999999994</v>
      </c>
      <c r="I11" s="58"/>
      <c r="J11" s="58"/>
      <c r="K11" s="15">
        <v>147423.59</v>
      </c>
      <c r="L11"/>
      <c r="M11"/>
      <c r="N11"/>
      <c r="O11"/>
      <c r="P11"/>
      <c r="Q11"/>
      <c r="R11"/>
      <c r="S11"/>
    </row>
    <row r="12" spans="1:25">
      <c r="A12" s="8" t="s">
        <v>18</v>
      </c>
      <c r="B12" s="15">
        <v>129034.06000000001</v>
      </c>
      <c r="C12" s="15"/>
      <c r="D12" s="15"/>
      <c r="E12" s="15"/>
      <c r="F12" s="15"/>
      <c r="G12" s="15"/>
      <c r="H12" s="18"/>
      <c r="I12" s="58"/>
      <c r="J12" s="58"/>
      <c r="K12" s="15">
        <v>129034.06000000001</v>
      </c>
      <c r="L12"/>
      <c r="M12"/>
      <c r="N12"/>
      <c r="O12"/>
      <c r="P12"/>
      <c r="Q12"/>
      <c r="R12"/>
      <c r="S12"/>
    </row>
    <row r="13" spans="1:25" s="23" customFormat="1">
      <c r="A13" s="8" t="s">
        <v>19</v>
      </c>
      <c r="B13" s="15">
        <v>56958.33</v>
      </c>
      <c r="C13" s="15">
        <v>12000</v>
      </c>
      <c r="D13" s="15">
        <v>12104</v>
      </c>
      <c r="E13" s="15">
        <v>12900</v>
      </c>
      <c r="F13" s="15">
        <v>12000</v>
      </c>
      <c r="G13" s="15">
        <v>12018.35</v>
      </c>
      <c r="H13" s="18">
        <v>61022.35</v>
      </c>
      <c r="I13" s="58"/>
      <c r="J13" s="58"/>
      <c r="K13" s="15">
        <v>117980.68000000001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1:25" s="25" customFormat="1">
      <c r="A14" s="8" t="s">
        <v>20</v>
      </c>
      <c r="B14" s="15">
        <v>64175.78</v>
      </c>
      <c r="C14" s="15">
        <v>7826.8600000000006</v>
      </c>
      <c r="D14" s="15">
        <v>9960</v>
      </c>
      <c r="E14" s="15">
        <v>9192</v>
      </c>
      <c r="F14" s="15">
        <v>9280.2900000000009</v>
      </c>
      <c r="G14" s="15">
        <v>8346</v>
      </c>
      <c r="H14" s="18">
        <v>44605.15</v>
      </c>
      <c r="I14" s="58"/>
      <c r="J14" s="58"/>
      <c r="K14" s="15">
        <v>108780.93</v>
      </c>
      <c r="L14"/>
    </row>
    <row r="15" spans="1:25" s="23" customFormat="1">
      <c r="A15" s="108" t="s">
        <v>21</v>
      </c>
      <c r="B15" s="109">
        <v>74988.28</v>
      </c>
      <c r="C15" s="109">
        <v>4278.62</v>
      </c>
      <c r="D15" s="109">
        <v>8150.42</v>
      </c>
      <c r="E15" s="109">
        <v>6411</v>
      </c>
      <c r="F15" s="109">
        <v>6526</v>
      </c>
      <c r="G15" s="109">
        <v>3545.62</v>
      </c>
      <c r="H15" s="38">
        <v>28911.66</v>
      </c>
      <c r="I15" s="110"/>
      <c r="J15" s="110"/>
      <c r="K15" s="109">
        <v>103899.93999999999</v>
      </c>
    </row>
    <row r="16" spans="1:25" s="7" customFormat="1">
      <c r="A16" s="8" t="s">
        <v>22</v>
      </c>
      <c r="B16" s="15">
        <v>38460</v>
      </c>
      <c r="C16" s="15">
        <v>7266</v>
      </c>
      <c r="D16" s="15">
        <v>10346.719999999999</v>
      </c>
      <c r="E16" s="15">
        <v>10346.719999999999</v>
      </c>
      <c r="F16" s="15">
        <v>10346.719999999999</v>
      </c>
      <c r="G16" s="15">
        <v>10346.719999999999</v>
      </c>
      <c r="H16" s="18">
        <v>48652.880000000005</v>
      </c>
      <c r="I16" s="58"/>
      <c r="J16" s="58"/>
      <c r="K16" s="15">
        <v>87112.88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1:11" customFormat="1">
      <c r="A17" s="8" t="s">
        <v>23</v>
      </c>
      <c r="B17" s="15">
        <v>48941.16</v>
      </c>
      <c r="C17" s="15">
        <v>7809.73</v>
      </c>
      <c r="D17" s="15">
        <v>8325.7800000000007</v>
      </c>
      <c r="E17" s="15">
        <v>7183.96</v>
      </c>
      <c r="F17" s="15">
        <v>8386.69</v>
      </c>
      <c r="G17" s="15">
        <v>6319.52</v>
      </c>
      <c r="H17" s="18">
        <v>38025.680000000008</v>
      </c>
      <c r="I17" s="58"/>
      <c r="J17" s="58"/>
      <c r="K17" s="15">
        <v>86966.840000000011</v>
      </c>
    </row>
    <row r="18" spans="1:11" customFormat="1">
      <c r="A18" s="8" t="s">
        <v>24</v>
      </c>
      <c r="B18" s="15">
        <v>58623.339999999989</v>
      </c>
      <c r="C18" s="15">
        <v>9468.5999999999985</v>
      </c>
      <c r="D18" s="15">
        <v>4384.28</v>
      </c>
      <c r="E18" s="15"/>
      <c r="F18" s="15">
        <v>7583.57</v>
      </c>
      <c r="G18" s="15"/>
      <c r="H18" s="18">
        <v>21436.449999999997</v>
      </c>
      <c r="I18" s="58"/>
      <c r="J18" s="58"/>
      <c r="K18" s="15">
        <v>80059.789999999979</v>
      </c>
    </row>
    <row r="19" spans="1:11" customFormat="1">
      <c r="A19" s="8" t="s">
        <v>25</v>
      </c>
      <c r="B19" s="15">
        <v>46556.02</v>
      </c>
      <c r="C19" s="15">
        <v>6480.36</v>
      </c>
      <c r="D19" s="15">
        <v>7496.21</v>
      </c>
      <c r="E19" s="15">
        <v>7937</v>
      </c>
      <c r="F19" s="15">
        <v>4857.42</v>
      </c>
      <c r="G19" s="15">
        <v>4600</v>
      </c>
      <c r="H19" s="18">
        <v>31370.989999999998</v>
      </c>
      <c r="I19" s="58"/>
      <c r="J19" s="58"/>
      <c r="K19" s="15">
        <v>77927.009999999995</v>
      </c>
    </row>
    <row r="20" spans="1:11" customFormat="1">
      <c r="A20" s="8" t="s">
        <v>26</v>
      </c>
      <c r="B20" s="15">
        <v>65379.810000000005</v>
      </c>
      <c r="C20" s="15"/>
      <c r="D20" s="15"/>
      <c r="E20" s="15"/>
      <c r="F20" s="15"/>
      <c r="G20" s="15"/>
      <c r="H20" s="18"/>
      <c r="I20" s="58"/>
      <c r="J20" s="58"/>
      <c r="K20" s="15">
        <v>65379.810000000005</v>
      </c>
    </row>
    <row r="21" spans="1:11" customFormat="1">
      <c r="A21" s="8" t="s">
        <v>27</v>
      </c>
      <c r="B21" s="15">
        <v>40709.889999999992</v>
      </c>
      <c r="C21" s="15">
        <v>4026.2200000000003</v>
      </c>
      <c r="D21" s="15">
        <v>5244.22</v>
      </c>
      <c r="E21" s="15">
        <v>7183.59</v>
      </c>
      <c r="F21" s="15">
        <v>3939.58</v>
      </c>
      <c r="G21" s="15">
        <v>3678.94</v>
      </c>
      <c r="H21" s="18">
        <v>24072.55</v>
      </c>
      <c r="I21" s="58"/>
      <c r="J21" s="58"/>
      <c r="K21" s="15">
        <v>64782.44</v>
      </c>
    </row>
    <row r="22" spans="1:11" customFormat="1">
      <c r="A22" s="8" t="s">
        <v>28</v>
      </c>
      <c r="B22" s="15">
        <v>34858.399999999994</v>
      </c>
      <c r="C22" s="15">
        <v>6136.33</v>
      </c>
      <c r="D22" s="15">
        <v>4717.62</v>
      </c>
      <c r="E22" s="15">
        <v>4586.75</v>
      </c>
      <c r="F22" s="15">
        <v>5505.75</v>
      </c>
      <c r="G22" s="15">
        <v>1638.17</v>
      </c>
      <c r="H22" s="18">
        <v>22584.620000000003</v>
      </c>
      <c r="I22" s="58"/>
      <c r="J22" s="58"/>
      <c r="K22" s="15">
        <v>57443.02</v>
      </c>
    </row>
    <row r="23" spans="1:11" customFormat="1">
      <c r="A23" s="8" t="s">
        <v>29</v>
      </c>
      <c r="B23" s="15">
        <v>51744.79</v>
      </c>
      <c r="C23" s="15"/>
      <c r="D23" s="15"/>
      <c r="E23" s="15"/>
      <c r="F23" s="15"/>
      <c r="G23" s="15"/>
      <c r="H23" s="18"/>
      <c r="I23" s="58"/>
      <c r="J23" s="58"/>
      <c r="K23" s="15">
        <v>51744.79</v>
      </c>
    </row>
    <row r="24" spans="1:11" customFormat="1">
      <c r="A24" s="8" t="s">
        <v>30</v>
      </c>
      <c r="B24" s="15">
        <v>30885.739999999998</v>
      </c>
      <c r="C24" s="15">
        <v>2843</v>
      </c>
      <c r="D24" s="15">
        <v>4459.42</v>
      </c>
      <c r="E24" s="15">
        <v>4699.42</v>
      </c>
      <c r="F24" s="15">
        <v>4031</v>
      </c>
      <c r="G24" s="15">
        <v>4166.58</v>
      </c>
      <c r="H24" s="18">
        <v>20199.419999999998</v>
      </c>
      <c r="I24" s="58"/>
      <c r="J24" s="58"/>
      <c r="K24" s="15">
        <v>51085.159999999996</v>
      </c>
    </row>
    <row r="25" spans="1:11" customFormat="1">
      <c r="A25" s="8" t="s">
        <v>31</v>
      </c>
      <c r="B25" s="15">
        <v>46068.87</v>
      </c>
      <c r="C25" s="15"/>
      <c r="D25" s="15">
        <v>285.42</v>
      </c>
      <c r="E25" s="15"/>
      <c r="F25" s="15"/>
      <c r="G25" s="15"/>
      <c r="H25" s="18">
        <v>285.42</v>
      </c>
      <c r="I25" s="58"/>
      <c r="J25" s="58"/>
      <c r="K25" s="15">
        <v>46354.29</v>
      </c>
    </row>
    <row r="26" spans="1:11" customFormat="1">
      <c r="A26" s="8" t="s">
        <v>32</v>
      </c>
      <c r="B26" s="15">
        <v>27760</v>
      </c>
      <c r="C26" s="15">
        <v>2280</v>
      </c>
      <c r="D26" s="15">
        <v>3136</v>
      </c>
      <c r="E26" s="15">
        <v>2904</v>
      </c>
      <c r="F26" s="15">
        <v>5311</v>
      </c>
      <c r="G26" s="15">
        <v>3894</v>
      </c>
      <c r="H26" s="18">
        <v>17525</v>
      </c>
      <c r="I26" s="58"/>
      <c r="J26" s="58"/>
      <c r="K26" s="15">
        <v>45285</v>
      </c>
    </row>
    <row r="27" spans="1:11" customFormat="1">
      <c r="A27" s="8" t="s">
        <v>33</v>
      </c>
      <c r="B27" s="15">
        <v>26550.850000000002</v>
      </c>
      <c r="C27" s="15">
        <v>2371</v>
      </c>
      <c r="D27" s="15">
        <v>4403.42</v>
      </c>
      <c r="E27" s="15">
        <v>4317.97</v>
      </c>
      <c r="F27" s="15">
        <v>4164.8999999999996</v>
      </c>
      <c r="G27" s="15">
        <v>3469.26</v>
      </c>
      <c r="H27" s="18">
        <v>18726.55</v>
      </c>
      <c r="I27" s="58"/>
      <c r="J27" s="58"/>
      <c r="K27" s="15">
        <v>45277.400000000009</v>
      </c>
    </row>
    <row r="28" spans="1:11" customFormat="1">
      <c r="A28" s="8" t="s">
        <v>34</v>
      </c>
      <c r="B28" s="15">
        <v>31360</v>
      </c>
      <c r="C28" s="15">
        <v>2260</v>
      </c>
      <c r="D28" s="15">
        <v>2940</v>
      </c>
      <c r="E28" s="15">
        <v>1932</v>
      </c>
      <c r="F28" s="15">
        <v>3128</v>
      </c>
      <c r="G28" s="15">
        <v>3592</v>
      </c>
      <c r="H28" s="18">
        <v>13852</v>
      </c>
      <c r="I28" s="58"/>
      <c r="J28" s="58"/>
      <c r="K28" s="15">
        <v>45212</v>
      </c>
    </row>
    <row r="29" spans="1:11" customFormat="1">
      <c r="A29" s="8" t="s">
        <v>35</v>
      </c>
      <c r="B29" s="15">
        <v>34245.020000000004</v>
      </c>
      <c r="C29" s="15">
        <v>3514.5800000000004</v>
      </c>
      <c r="D29" s="15">
        <v>2498.73</v>
      </c>
      <c r="E29" s="15">
        <v>2058</v>
      </c>
      <c r="F29" s="15">
        <v>1197.9000000000001</v>
      </c>
      <c r="G29" s="15">
        <v>900</v>
      </c>
      <c r="H29" s="18">
        <v>10169.210000000001</v>
      </c>
      <c r="I29" s="58"/>
      <c r="J29" s="58"/>
      <c r="K29" s="15">
        <v>44414.23000000001</v>
      </c>
    </row>
    <row r="30" spans="1:11" customFormat="1">
      <c r="A30" s="8" t="s">
        <v>36</v>
      </c>
      <c r="B30" s="15">
        <v>31742.46</v>
      </c>
      <c r="C30" s="15">
        <v>2980</v>
      </c>
      <c r="D30" s="15">
        <v>2720</v>
      </c>
      <c r="E30" s="15"/>
      <c r="F30" s="15">
        <v>980</v>
      </c>
      <c r="G30" s="15">
        <v>3668</v>
      </c>
      <c r="H30" s="18">
        <v>10348</v>
      </c>
      <c r="I30" s="58"/>
      <c r="J30" s="58"/>
      <c r="K30" s="15">
        <v>42090.46</v>
      </c>
    </row>
    <row r="31" spans="1:11" customFormat="1">
      <c r="A31" s="8" t="s">
        <v>37</v>
      </c>
      <c r="B31" s="15">
        <v>27564.52</v>
      </c>
      <c r="C31" s="15">
        <v>2539.1</v>
      </c>
      <c r="D31" s="15">
        <v>2638.02</v>
      </c>
      <c r="E31" s="15">
        <v>2916.02</v>
      </c>
      <c r="F31" s="15">
        <v>2622</v>
      </c>
      <c r="G31" s="15">
        <v>3123.42</v>
      </c>
      <c r="H31" s="18">
        <v>13838.56</v>
      </c>
      <c r="I31" s="58"/>
      <c r="J31" s="58"/>
      <c r="K31" s="15">
        <v>41403.079999999994</v>
      </c>
    </row>
    <row r="32" spans="1:11" customFormat="1">
      <c r="A32" s="8" t="s">
        <v>38</v>
      </c>
      <c r="B32" s="15">
        <v>27818.179999999997</v>
      </c>
      <c r="C32" s="15">
        <v>4526.1100000000006</v>
      </c>
      <c r="D32" s="15">
        <v>1752.8200000000002</v>
      </c>
      <c r="E32" s="15">
        <v>1811.42</v>
      </c>
      <c r="F32" s="15">
        <v>2570.42</v>
      </c>
      <c r="G32" s="15">
        <v>2621.42</v>
      </c>
      <c r="H32" s="18">
        <v>13282.19</v>
      </c>
      <c r="I32" s="58"/>
      <c r="J32" s="58"/>
      <c r="K32" s="15">
        <v>41100.369999999995</v>
      </c>
    </row>
    <row r="33" spans="1:11" customFormat="1">
      <c r="A33" s="8" t="s">
        <v>39</v>
      </c>
      <c r="B33" s="15">
        <v>30532.959999999999</v>
      </c>
      <c r="C33" s="15">
        <v>1259</v>
      </c>
      <c r="D33" s="15">
        <v>1834.8600000000001</v>
      </c>
      <c r="E33" s="15">
        <v>970</v>
      </c>
      <c r="F33" s="15">
        <v>3353</v>
      </c>
      <c r="G33" s="15">
        <v>2202.62</v>
      </c>
      <c r="H33" s="18">
        <v>9619.48</v>
      </c>
      <c r="I33" s="58"/>
      <c r="J33" s="58"/>
      <c r="K33" s="15">
        <v>40152.44</v>
      </c>
    </row>
    <row r="34" spans="1:11" customFormat="1">
      <c r="A34" s="8" t="s">
        <v>40</v>
      </c>
      <c r="B34" s="15">
        <v>26337.78</v>
      </c>
      <c r="C34" s="15"/>
      <c r="D34" s="15"/>
      <c r="E34" s="15">
        <v>3179.78</v>
      </c>
      <c r="F34" s="15">
        <v>3192.21</v>
      </c>
      <c r="G34" s="15">
        <v>4944.5</v>
      </c>
      <c r="H34" s="18">
        <v>11316.49</v>
      </c>
      <c r="I34" s="58"/>
      <c r="J34" s="58"/>
      <c r="K34" s="15">
        <v>37654.269999999997</v>
      </c>
    </row>
    <row r="35" spans="1:11" customFormat="1">
      <c r="A35" s="8" t="s">
        <v>41</v>
      </c>
      <c r="B35" s="15">
        <v>22585.440000000002</v>
      </c>
      <c r="C35" s="15">
        <v>2731</v>
      </c>
      <c r="D35" s="15">
        <v>2077.42</v>
      </c>
      <c r="E35" s="15">
        <v>3349.67</v>
      </c>
      <c r="F35" s="15">
        <v>2424</v>
      </c>
      <c r="G35" s="15">
        <v>4295.62</v>
      </c>
      <c r="H35" s="18">
        <v>14877.71</v>
      </c>
      <c r="I35" s="58"/>
      <c r="J35" s="58"/>
      <c r="K35" s="15">
        <v>37463.15</v>
      </c>
    </row>
    <row r="36" spans="1:11" customFormat="1">
      <c r="A36" s="8" t="s">
        <v>42</v>
      </c>
      <c r="B36" s="15">
        <v>14210.220000000001</v>
      </c>
      <c r="C36" s="15">
        <v>4397.03</v>
      </c>
      <c r="D36" s="15">
        <v>4584.4400000000005</v>
      </c>
      <c r="E36" s="15">
        <v>4693.6099999999997</v>
      </c>
      <c r="F36" s="15">
        <v>4100.17</v>
      </c>
      <c r="G36" s="15">
        <v>5096.29</v>
      </c>
      <c r="H36" s="18">
        <v>22871.54</v>
      </c>
      <c r="I36" s="58"/>
      <c r="J36" s="58"/>
      <c r="K36" s="15">
        <v>37081.760000000002</v>
      </c>
    </row>
    <row r="37" spans="1:11" customFormat="1">
      <c r="A37" s="8" t="s">
        <v>43</v>
      </c>
      <c r="B37" s="15"/>
      <c r="C37" s="15">
        <v>983.63</v>
      </c>
      <c r="D37" s="15">
        <v>8490.92</v>
      </c>
      <c r="E37" s="15">
        <v>7896.85</v>
      </c>
      <c r="F37" s="15">
        <v>9304.76</v>
      </c>
      <c r="G37" s="15">
        <v>10307.18</v>
      </c>
      <c r="H37" s="18">
        <v>36983.340000000004</v>
      </c>
      <c r="I37" s="58"/>
      <c r="J37" s="58"/>
      <c r="K37" s="15">
        <v>36983.340000000004</v>
      </c>
    </row>
    <row r="38" spans="1:11" customFormat="1">
      <c r="A38" s="8" t="s">
        <v>44</v>
      </c>
      <c r="B38" s="15">
        <v>23394.290000000005</v>
      </c>
      <c r="C38" s="15">
        <v>1846.4</v>
      </c>
      <c r="D38" s="15">
        <v>1883.42</v>
      </c>
      <c r="E38" s="15">
        <v>1846.4</v>
      </c>
      <c r="F38" s="15">
        <v>1846.4</v>
      </c>
      <c r="G38" s="15">
        <v>1883.42</v>
      </c>
      <c r="H38" s="18">
        <v>9306.0400000000009</v>
      </c>
      <c r="I38" s="58"/>
      <c r="J38" s="58"/>
      <c r="K38" s="15">
        <v>32700.330000000009</v>
      </c>
    </row>
    <row r="39" spans="1:11" customFormat="1">
      <c r="A39" s="8" t="s">
        <v>45</v>
      </c>
      <c r="B39" s="15">
        <v>16669.689999999999</v>
      </c>
      <c r="C39" s="15">
        <v>2772</v>
      </c>
      <c r="D39" s="15">
        <v>2898.38</v>
      </c>
      <c r="E39" s="15">
        <v>3396.1400000000003</v>
      </c>
      <c r="F39" s="15">
        <v>3001</v>
      </c>
      <c r="G39" s="15">
        <v>3523.1</v>
      </c>
      <c r="H39" s="18">
        <v>15590.62</v>
      </c>
      <c r="I39" s="58"/>
      <c r="J39" s="58"/>
      <c r="K39" s="15">
        <v>32260.309999999998</v>
      </c>
    </row>
    <row r="40" spans="1:11" customFormat="1">
      <c r="A40" s="8" t="s">
        <v>46</v>
      </c>
      <c r="B40" s="15">
        <v>21439.719999999998</v>
      </c>
      <c r="C40" s="15">
        <v>1347</v>
      </c>
      <c r="D40" s="15">
        <v>1558.42</v>
      </c>
      <c r="E40" s="15">
        <v>1781.62</v>
      </c>
      <c r="F40" s="15">
        <v>2784.71</v>
      </c>
      <c r="G40" s="15">
        <v>499.02</v>
      </c>
      <c r="H40" s="18">
        <v>7970.77</v>
      </c>
      <c r="I40" s="58"/>
      <c r="J40" s="58"/>
      <c r="K40" s="15">
        <v>29410.489999999998</v>
      </c>
    </row>
    <row r="41" spans="1:11" customFormat="1">
      <c r="A41" s="8" t="s">
        <v>47</v>
      </c>
      <c r="B41" s="15">
        <v>20168.939999999999</v>
      </c>
      <c r="C41" s="15">
        <v>1834.9</v>
      </c>
      <c r="D41" s="15">
        <v>495.42</v>
      </c>
      <c r="E41" s="15">
        <v>2076.83</v>
      </c>
      <c r="F41" s="15">
        <v>1816</v>
      </c>
      <c r="G41" s="15">
        <v>2577.86</v>
      </c>
      <c r="H41" s="18">
        <v>8801.01</v>
      </c>
      <c r="I41" s="58"/>
      <c r="J41" s="58"/>
      <c r="K41" s="15">
        <v>28969.949999999997</v>
      </c>
    </row>
    <row r="42" spans="1:11" customFormat="1">
      <c r="A42" s="8" t="s">
        <v>48</v>
      </c>
      <c r="B42" s="15">
        <v>15220</v>
      </c>
      <c r="C42" s="15">
        <v>2160</v>
      </c>
      <c r="D42" s="15"/>
      <c r="E42" s="15">
        <v>640</v>
      </c>
      <c r="F42" s="15">
        <v>5968</v>
      </c>
      <c r="G42" s="15">
        <v>4944</v>
      </c>
      <c r="H42" s="18">
        <v>13712</v>
      </c>
      <c r="I42" s="58"/>
      <c r="J42" s="58"/>
      <c r="K42" s="15">
        <v>28932</v>
      </c>
    </row>
    <row r="43" spans="1:11" customFormat="1">
      <c r="A43" s="8" t="s">
        <v>49</v>
      </c>
      <c r="B43" s="15">
        <v>16409.740000000002</v>
      </c>
      <c r="C43" s="15">
        <v>2032</v>
      </c>
      <c r="D43" s="15">
        <v>2830.42</v>
      </c>
      <c r="E43" s="15">
        <v>2387.1400000000003</v>
      </c>
      <c r="F43" s="15">
        <v>1974</v>
      </c>
      <c r="G43" s="15">
        <v>2923.1400000000003</v>
      </c>
      <c r="H43" s="18">
        <v>12146.7</v>
      </c>
      <c r="I43" s="58"/>
      <c r="J43" s="58"/>
      <c r="K43" s="15">
        <v>28556.440000000002</v>
      </c>
    </row>
    <row r="44" spans="1:11" customFormat="1">
      <c r="A44" s="8" t="s">
        <v>50</v>
      </c>
      <c r="B44" s="15">
        <v>19308.580000000002</v>
      </c>
      <c r="C44" s="15">
        <v>1621</v>
      </c>
      <c r="D44" s="15">
        <v>2121</v>
      </c>
      <c r="E44" s="15">
        <v>2154.4899999999998</v>
      </c>
      <c r="F44" s="15">
        <v>1621</v>
      </c>
      <c r="G44" s="15">
        <v>1621</v>
      </c>
      <c r="H44" s="18">
        <v>9138.49</v>
      </c>
      <c r="I44" s="58"/>
      <c r="J44" s="58"/>
      <c r="K44" s="15">
        <v>28447.07</v>
      </c>
    </row>
    <row r="45" spans="1:11" customFormat="1">
      <c r="A45" s="8" t="s">
        <v>51</v>
      </c>
      <c r="B45" s="15">
        <v>28193.010000000002</v>
      </c>
      <c r="C45" s="15"/>
      <c r="D45" s="15"/>
      <c r="E45" s="15"/>
      <c r="F45" s="15"/>
      <c r="G45" s="15"/>
      <c r="H45" s="18"/>
      <c r="I45" s="58"/>
      <c r="J45" s="58"/>
      <c r="K45" s="15">
        <v>28193.010000000002</v>
      </c>
    </row>
    <row r="46" spans="1:11" customFormat="1">
      <c r="A46" s="8" t="s">
        <v>52</v>
      </c>
      <c r="B46" s="15">
        <v>18198.789999999997</v>
      </c>
      <c r="C46" s="15">
        <v>3060.2200000000003</v>
      </c>
      <c r="D46" s="15">
        <v>1621</v>
      </c>
      <c r="E46" s="15">
        <v>1628.5</v>
      </c>
      <c r="F46" s="15">
        <v>1621</v>
      </c>
      <c r="G46" s="15">
        <v>1621</v>
      </c>
      <c r="H46" s="18">
        <v>9551.7200000000012</v>
      </c>
      <c r="I46" s="58"/>
      <c r="J46" s="58"/>
      <c r="K46" s="15">
        <v>27750.51</v>
      </c>
    </row>
    <row r="47" spans="1:11" customFormat="1">
      <c r="A47" s="8" t="s">
        <v>53</v>
      </c>
      <c r="B47" s="15">
        <v>16241.960000000001</v>
      </c>
      <c r="C47" s="15">
        <v>1925.25</v>
      </c>
      <c r="D47" s="15">
        <v>1993.42</v>
      </c>
      <c r="E47" s="15">
        <v>2769.12</v>
      </c>
      <c r="F47" s="15">
        <v>1872</v>
      </c>
      <c r="G47" s="15">
        <v>2703.12</v>
      </c>
      <c r="H47" s="18">
        <v>11262.91</v>
      </c>
      <c r="I47" s="58"/>
      <c r="J47" s="58"/>
      <c r="K47" s="15">
        <v>27504.869999999995</v>
      </c>
    </row>
    <row r="48" spans="1:11" customFormat="1">
      <c r="A48" s="8" t="s">
        <v>54</v>
      </c>
      <c r="B48" s="15">
        <v>19821.39</v>
      </c>
      <c r="C48" s="15">
        <v>2359</v>
      </c>
      <c r="D48" s="15">
        <v>2081.42</v>
      </c>
      <c r="E48" s="15">
        <v>1222</v>
      </c>
      <c r="F48" s="15">
        <v>1600.17</v>
      </c>
      <c r="G48" s="15"/>
      <c r="H48" s="18">
        <v>7262.59</v>
      </c>
      <c r="I48" s="58"/>
      <c r="J48" s="58"/>
      <c r="K48" s="15">
        <v>27083.979999999996</v>
      </c>
    </row>
    <row r="49" spans="1:11" customFormat="1">
      <c r="A49" s="8" t="s">
        <v>55</v>
      </c>
      <c r="B49" s="15">
        <v>16915</v>
      </c>
      <c r="C49" s="15">
        <v>5320</v>
      </c>
      <c r="D49" s="15">
        <v>1550</v>
      </c>
      <c r="E49" s="15">
        <v>855</v>
      </c>
      <c r="F49" s="15">
        <v>800</v>
      </c>
      <c r="G49" s="15">
        <v>1020</v>
      </c>
      <c r="H49" s="18">
        <v>9545</v>
      </c>
      <c r="I49" s="58"/>
      <c r="J49" s="58"/>
      <c r="K49" s="15">
        <v>26460</v>
      </c>
    </row>
    <row r="50" spans="1:11" customFormat="1">
      <c r="A50" s="8" t="s">
        <v>56</v>
      </c>
      <c r="B50" s="15">
        <v>18531.29</v>
      </c>
      <c r="C50" s="15">
        <v>1701</v>
      </c>
      <c r="D50" s="15">
        <v>1962.42</v>
      </c>
      <c r="E50" s="15">
        <v>3798.1800000000003</v>
      </c>
      <c r="F50" s="15"/>
      <c r="G50" s="15"/>
      <c r="H50" s="18">
        <v>7461.6</v>
      </c>
      <c r="I50" s="58"/>
      <c r="J50" s="58"/>
      <c r="K50" s="15">
        <v>25992.89</v>
      </c>
    </row>
    <row r="51" spans="1:11" customFormat="1">
      <c r="A51" s="8" t="s">
        <v>57</v>
      </c>
      <c r="B51" s="15">
        <v>13132.539999999999</v>
      </c>
      <c r="C51" s="15">
        <v>1991</v>
      </c>
      <c r="D51" s="15">
        <v>2158.8200000000002</v>
      </c>
      <c r="E51" s="15">
        <v>2344.02</v>
      </c>
      <c r="F51" s="15">
        <v>1869.4</v>
      </c>
      <c r="G51" s="15">
        <v>4014.5</v>
      </c>
      <c r="H51" s="18">
        <v>12377.74</v>
      </c>
      <c r="I51" s="58"/>
      <c r="J51" s="58"/>
      <c r="K51" s="15">
        <v>25510.280000000002</v>
      </c>
    </row>
    <row r="52" spans="1:11" customFormat="1">
      <c r="A52" s="8" t="s">
        <v>58</v>
      </c>
      <c r="B52" s="15">
        <v>15249.66</v>
      </c>
      <c r="C52" s="15">
        <v>1915.32</v>
      </c>
      <c r="D52" s="15">
        <v>2046.7</v>
      </c>
      <c r="E52" s="15">
        <v>2005.93</v>
      </c>
      <c r="F52" s="15">
        <v>2005.93</v>
      </c>
      <c r="G52" s="15">
        <v>2046.7</v>
      </c>
      <c r="H52" s="18">
        <v>10020.58</v>
      </c>
      <c r="I52" s="58"/>
      <c r="J52" s="58"/>
      <c r="K52" s="15">
        <v>25270.240000000002</v>
      </c>
    </row>
    <row r="53" spans="1:11" customFormat="1">
      <c r="A53" s="8" t="s">
        <v>59</v>
      </c>
      <c r="B53" s="15">
        <v>6263.9800000000005</v>
      </c>
      <c r="C53" s="15">
        <v>2859</v>
      </c>
      <c r="D53" s="15">
        <v>4354.42</v>
      </c>
      <c r="E53" s="15">
        <v>5047.18</v>
      </c>
      <c r="F53" s="15">
        <v>3979.9</v>
      </c>
      <c r="G53" s="15">
        <v>2462.38</v>
      </c>
      <c r="H53" s="18">
        <v>18702.88</v>
      </c>
      <c r="I53" s="58"/>
      <c r="J53" s="58"/>
      <c r="K53" s="15">
        <v>24966.860000000004</v>
      </c>
    </row>
    <row r="54" spans="1:11" customFormat="1">
      <c r="A54" s="8" t="s">
        <v>60</v>
      </c>
      <c r="B54" s="15">
        <v>15382</v>
      </c>
      <c r="C54" s="15">
        <v>1440</v>
      </c>
      <c r="D54" s="15">
        <v>1848</v>
      </c>
      <c r="E54" s="15">
        <v>1848</v>
      </c>
      <c r="F54" s="15">
        <v>2604</v>
      </c>
      <c r="G54" s="15">
        <v>504</v>
      </c>
      <c r="H54" s="18">
        <v>8244</v>
      </c>
      <c r="I54" s="58"/>
      <c r="J54" s="58"/>
      <c r="K54" s="15">
        <v>23626</v>
      </c>
    </row>
    <row r="55" spans="1:11" customFormat="1">
      <c r="A55" s="8" t="s">
        <v>61</v>
      </c>
      <c r="B55" s="15">
        <v>16320</v>
      </c>
      <c r="C55" s="15"/>
      <c r="D55" s="15">
        <v>1680</v>
      </c>
      <c r="E55" s="15">
        <v>1600</v>
      </c>
      <c r="F55" s="15">
        <v>1440</v>
      </c>
      <c r="G55" s="15">
        <v>2560</v>
      </c>
      <c r="H55" s="18">
        <v>7280</v>
      </c>
      <c r="I55" s="58"/>
      <c r="J55" s="58"/>
      <c r="K55" s="15">
        <v>23600</v>
      </c>
    </row>
    <row r="56" spans="1:11" customFormat="1">
      <c r="A56" s="8" t="s">
        <v>62</v>
      </c>
      <c r="B56" s="15">
        <v>21068.2</v>
      </c>
      <c r="C56" s="15">
        <v>1115.3899999999999</v>
      </c>
      <c r="D56" s="15"/>
      <c r="E56" s="15"/>
      <c r="F56" s="15"/>
      <c r="G56" s="15"/>
      <c r="H56" s="18">
        <v>1115.3899999999999</v>
      </c>
      <c r="I56" s="58"/>
      <c r="J56" s="58"/>
      <c r="K56" s="15">
        <v>22183.59</v>
      </c>
    </row>
    <row r="57" spans="1:11" customFormat="1">
      <c r="A57" s="8" t="s">
        <v>63</v>
      </c>
      <c r="B57" s="15">
        <v>13400</v>
      </c>
      <c r="C57" s="15"/>
      <c r="D57" s="15">
        <v>3360</v>
      </c>
      <c r="E57" s="15">
        <v>3456</v>
      </c>
      <c r="F57" s="15"/>
      <c r="G57" s="15"/>
      <c r="H57" s="18">
        <v>6816</v>
      </c>
      <c r="I57" s="58"/>
      <c r="J57" s="58"/>
      <c r="K57" s="15">
        <v>20216</v>
      </c>
    </row>
    <row r="58" spans="1:11" customFormat="1">
      <c r="A58" s="8" t="s">
        <v>64</v>
      </c>
      <c r="B58" s="15">
        <v>6396.72</v>
      </c>
      <c r="C58" s="15">
        <v>2687</v>
      </c>
      <c r="D58" s="15">
        <v>2334.42</v>
      </c>
      <c r="E58" s="15">
        <v>2372.66</v>
      </c>
      <c r="F58" s="15">
        <v>3103</v>
      </c>
      <c r="G58" s="15">
        <v>2869.9</v>
      </c>
      <c r="H58" s="18">
        <v>13366.98</v>
      </c>
      <c r="I58" s="58"/>
      <c r="J58" s="58"/>
      <c r="K58" s="15">
        <v>19763.700000000004</v>
      </c>
    </row>
    <row r="59" spans="1:11" customFormat="1">
      <c r="A59" s="8" t="s">
        <v>65</v>
      </c>
      <c r="B59" s="15">
        <v>5410.93</v>
      </c>
      <c r="C59" s="15">
        <v>2661.14</v>
      </c>
      <c r="D59" s="15">
        <v>2614.42</v>
      </c>
      <c r="E59" s="15">
        <v>2691.94</v>
      </c>
      <c r="F59" s="15">
        <v>2865.3199999999997</v>
      </c>
      <c r="G59" s="15">
        <v>3183.4100000000003</v>
      </c>
      <c r="H59" s="18">
        <v>14016.23</v>
      </c>
      <c r="I59" s="58"/>
      <c r="J59" s="58"/>
      <c r="K59" s="15">
        <v>19427.16</v>
      </c>
    </row>
    <row r="60" spans="1:11" customFormat="1">
      <c r="A60" s="8" t="s">
        <v>66</v>
      </c>
      <c r="B60" s="15">
        <v>5627.65</v>
      </c>
      <c r="C60" s="15">
        <v>1720</v>
      </c>
      <c r="D60" s="15">
        <v>3192</v>
      </c>
      <c r="E60" s="15">
        <v>2310</v>
      </c>
      <c r="F60" s="15">
        <v>2688</v>
      </c>
      <c r="G60" s="15">
        <v>2940</v>
      </c>
      <c r="H60" s="18">
        <v>12850</v>
      </c>
      <c r="I60" s="58"/>
      <c r="J60" s="58"/>
      <c r="K60" s="15">
        <v>18477.650000000001</v>
      </c>
    </row>
    <row r="61" spans="1:11" customFormat="1">
      <c r="A61" s="8" t="s">
        <v>67</v>
      </c>
      <c r="B61" s="15">
        <v>8239.9</v>
      </c>
      <c r="C61" s="15">
        <v>2250.5300000000002</v>
      </c>
      <c r="D61" s="15">
        <v>1027.31</v>
      </c>
      <c r="E61" s="15">
        <v>2455.92</v>
      </c>
      <c r="F61" s="15">
        <v>1757.08</v>
      </c>
      <c r="G61" s="15">
        <v>2516.2200000000003</v>
      </c>
      <c r="H61" s="18">
        <v>10007.060000000001</v>
      </c>
      <c r="I61" s="58"/>
      <c r="J61" s="58"/>
      <c r="K61" s="15">
        <v>18246.96</v>
      </c>
    </row>
    <row r="62" spans="1:11" customFormat="1">
      <c r="A62" s="8" t="s">
        <v>68</v>
      </c>
      <c r="B62" s="15">
        <v>8967.4</v>
      </c>
      <c r="C62" s="15">
        <v>1299</v>
      </c>
      <c r="D62" s="15">
        <v>1769.6</v>
      </c>
      <c r="E62" s="15">
        <v>1323.4</v>
      </c>
      <c r="F62" s="15">
        <v>2367.8200000000002</v>
      </c>
      <c r="G62" s="15">
        <v>2456.4</v>
      </c>
      <c r="H62" s="18">
        <v>9216.2199999999993</v>
      </c>
      <c r="I62" s="58"/>
      <c r="J62" s="58"/>
      <c r="K62" s="15">
        <v>18183.62</v>
      </c>
    </row>
    <row r="63" spans="1:11" customFormat="1">
      <c r="A63" s="8" t="s">
        <v>69</v>
      </c>
      <c r="B63" s="15">
        <v>12577.720000000001</v>
      </c>
      <c r="C63" s="15">
        <v>1872.6</v>
      </c>
      <c r="D63" s="15">
        <v>1720.42</v>
      </c>
      <c r="E63" s="15">
        <v>1864.22</v>
      </c>
      <c r="F63" s="15"/>
      <c r="G63" s="15"/>
      <c r="H63" s="18">
        <v>5457.24</v>
      </c>
      <c r="I63" s="58"/>
      <c r="J63" s="58"/>
      <c r="K63" s="15">
        <v>18034.960000000003</v>
      </c>
    </row>
    <row r="64" spans="1:11" customFormat="1">
      <c r="A64" s="8" t="s">
        <v>70</v>
      </c>
      <c r="B64" s="15">
        <v>9640</v>
      </c>
      <c r="C64" s="15">
        <v>2040</v>
      </c>
      <c r="D64" s="15">
        <v>1120</v>
      </c>
      <c r="E64" s="15">
        <v>1980</v>
      </c>
      <c r="F64" s="15">
        <v>720</v>
      </c>
      <c r="G64" s="15">
        <v>2100</v>
      </c>
      <c r="H64" s="18">
        <v>7960</v>
      </c>
      <c r="I64" s="58"/>
      <c r="J64" s="58"/>
      <c r="K64" s="15">
        <v>17600</v>
      </c>
    </row>
    <row r="65" spans="1:11" customFormat="1">
      <c r="A65" s="8" t="s">
        <v>71</v>
      </c>
      <c r="B65" s="15">
        <v>12160</v>
      </c>
      <c r="C65" s="15">
        <v>480</v>
      </c>
      <c r="D65" s="15"/>
      <c r="E65" s="15"/>
      <c r="F65" s="15">
        <v>3040</v>
      </c>
      <c r="G65" s="15">
        <v>1360</v>
      </c>
      <c r="H65" s="18">
        <v>4880</v>
      </c>
      <c r="I65" s="58"/>
      <c r="J65" s="58"/>
      <c r="K65" s="15">
        <v>17040</v>
      </c>
    </row>
    <row r="66" spans="1:11" customFormat="1">
      <c r="A66" s="8" t="s">
        <v>72</v>
      </c>
      <c r="B66" s="15">
        <v>16716.910000000003</v>
      </c>
      <c r="C66" s="15"/>
      <c r="D66" s="15"/>
      <c r="E66" s="15"/>
      <c r="F66" s="15"/>
      <c r="G66" s="15"/>
      <c r="H66" s="18"/>
      <c r="I66" s="58"/>
      <c r="J66" s="58"/>
      <c r="K66" s="15">
        <v>16716.910000000003</v>
      </c>
    </row>
    <row r="67" spans="1:11" customFormat="1">
      <c r="A67" s="8" t="s">
        <v>73</v>
      </c>
      <c r="B67" s="15">
        <v>9000</v>
      </c>
      <c r="C67" s="15">
        <v>1500</v>
      </c>
      <c r="D67" s="15">
        <v>1500</v>
      </c>
      <c r="E67" s="15">
        <v>1500</v>
      </c>
      <c r="F67" s="15">
        <v>1500</v>
      </c>
      <c r="G67" s="15">
        <v>1500</v>
      </c>
      <c r="H67" s="18">
        <v>7500</v>
      </c>
      <c r="I67" s="58"/>
      <c r="J67" s="58"/>
      <c r="K67" s="15">
        <v>16500</v>
      </c>
    </row>
    <row r="68" spans="1:11" customFormat="1">
      <c r="A68" s="8" t="s">
        <v>74</v>
      </c>
      <c r="B68" s="15">
        <v>16416</v>
      </c>
      <c r="C68" s="15"/>
      <c r="D68" s="15"/>
      <c r="E68" s="15"/>
      <c r="F68" s="15"/>
      <c r="G68" s="15"/>
      <c r="H68" s="18"/>
      <c r="I68" s="58"/>
      <c r="J68" s="58"/>
      <c r="K68" s="15">
        <v>16416</v>
      </c>
    </row>
    <row r="69" spans="1:11" customFormat="1">
      <c r="A69" s="8" t="s">
        <v>75</v>
      </c>
      <c r="B69" s="15">
        <v>11737.16</v>
      </c>
      <c r="C69" s="15">
        <v>1797</v>
      </c>
      <c r="D69" s="15">
        <v>2809.6800000000003</v>
      </c>
      <c r="E69" s="15"/>
      <c r="F69" s="15"/>
      <c r="G69" s="15"/>
      <c r="H69" s="18">
        <v>4606.68</v>
      </c>
      <c r="I69" s="58"/>
      <c r="J69" s="58"/>
      <c r="K69" s="15">
        <v>16343.84</v>
      </c>
    </row>
    <row r="70" spans="1:11" customFormat="1">
      <c r="A70" s="8" t="s">
        <v>76</v>
      </c>
      <c r="B70" s="15">
        <v>14880</v>
      </c>
      <c r="C70" s="15"/>
      <c r="D70" s="15">
        <v>644</v>
      </c>
      <c r="E70" s="15">
        <v>644</v>
      </c>
      <c r="F70" s="15"/>
      <c r="G70" s="15"/>
      <c r="H70" s="18">
        <v>1288</v>
      </c>
      <c r="I70" s="58"/>
      <c r="J70" s="58"/>
      <c r="K70" s="15">
        <v>16168</v>
      </c>
    </row>
    <row r="71" spans="1:11" customFormat="1">
      <c r="A71" s="8" t="s">
        <v>77</v>
      </c>
      <c r="B71" s="15">
        <v>10960</v>
      </c>
      <c r="C71" s="15">
        <v>640</v>
      </c>
      <c r="D71" s="15">
        <v>520</v>
      </c>
      <c r="E71" s="15">
        <v>1040</v>
      </c>
      <c r="F71" s="15">
        <v>1620</v>
      </c>
      <c r="G71" s="15">
        <v>1360</v>
      </c>
      <c r="H71" s="18">
        <v>5180</v>
      </c>
      <c r="I71" s="58"/>
      <c r="J71" s="58"/>
      <c r="K71" s="15">
        <v>16140</v>
      </c>
    </row>
    <row r="72" spans="1:11" customFormat="1">
      <c r="A72" s="8" t="s">
        <v>78</v>
      </c>
      <c r="B72" s="15">
        <v>15844.399999999998</v>
      </c>
      <c r="C72" s="15"/>
      <c r="D72" s="15"/>
      <c r="E72" s="15"/>
      <c r="F72" s="15"/>
      <c r="G72" s="15"/>
      <c r="H72" s="18"/>
      <c r="I72" s="58"/>
      <c r="J72" s="58"/>
      <c r="K72" s="15">
        <v>15844.399999999998</v>
      </c>
    </row>
    <row r="73" spans="1:11" customFormat="1">
      <c r="A73" s="8" t="s">
        <v>79</v>
      </c>
      <c r="B73" s="15">
        <v>15580</v>
      </c>
      <c r="C73" s="15"/>
      <c r="D73" s="15"/>
      <c r="E73" s="15"/>
      <c r="F73" s="15"/>
      <c r="G73" s="15"/>
      <c r="H73" s="18"/>
      <c r="I73" s="58"/>
      <c r="J73" s="58"/>
      <c r="K73" s="15">
        <v>15580</v>
      </c>
    </row>
    <row r="74" spans="1:11" customFormat="1">
      <c r="A74" s="8" t="s">
        <v>80</v>
      </c>
      <c r="B74" s="15">
        <v>13200</v>
      </c>
      <c r="C74" s="15"/>
      <c r="D74" s="15"/>
      <c r="E74" s="15">
        <v>1080</v>
      </c>
      <c r="F74" s="15">
        <v>720</v>
      </c>
      <c r="G74" s="15"/>
      <c r="H74" s="18">
        <v>1800</v>
      </c>
      <c r="I74" s="58"/>
      <c r="J74" s="58"/>
      <c r="K74" s="15">
        <v>15000</v>
      </c>
    </row>
    <row r="75" spans="1:11" customFormat="1">
      <c r="A75" s="8" t="s">
        <v>81</v>
      </c>
      <c r="B75" s="15">
        <v>9800</v>
      </c>
      <c r="C75" s="15">
        <v>910</v>
      </c>
      <c r="D75" s="15">
        <v>770</v>
      </c>
      <c r="E75" s="15">
        <v>1120</v>
      </c>
      <c r="F75" s="15">
        <v>1120</v>
      </c>
      <c r="G75" s="15">
        <v>1050</v>
      </c>
      <c r="H75" s="18">
        <v>4970</v>
      </c>
      <c r="I75" s="58"/>
      <c r="J75" s="58"/>
      <c r="K75" s="15">
        <v>14770</v>
      </c>
    </row>
    <row r="76" spans="1:11" customFormat="1">
      <c r="A76" s="8" t="s">
        <v>82</v>
      </c>
      <c r="B76" s="15">
        <v>14728.529999999999</v>
      </c>
      <c r="C76" s="15"/>
      <c r="D76" s="15"/>
      <c r="E76" s="15"/>
      <c r="F76" s="15"/>
      <c r="G76" s="15"/>
      <c r="H76" s="18"/>
      <c r="I76" s="58"/>
      <c r="J76" s="58"/>
      <c r="K76" s="15">
        <v>14728.529999999999</v>
      </c>
    </row>
    <row r="77" spans="1:11" customFormat="1">
      <c r="A77" s="8" t="s">
        <v>83</v>
      </c>
      <c r="B77" s="15">
        <v>13320</v>
      </c>
      <c r="C77" s="15">
        <v>1120</v>
      </c>
      <c r="D77" s="15"/>
      <c r="E77" s="15"/>
      <c r="F77" s="15"/>
      <c r="G77" s="15"/>
      <c r="H77" s="18">
        <v>1120</v>
      </c>
      <c r="I77" s="58"/>
      <c r="J77" s="58"/>
      <c r="K77" s="15">
        <v>14440</v>
      </c>
    </row>
    <row r="78" spans="1:11" customFormat="1">
      <c r="A78" s="8" t="s">
        <v>84</v>
      </c>
      <c r="B78" s="15">
        <v>14308.79</v>
      </c>
      <c r="C78" s="15"/>
      <c r="D78" s="15"/>
      <c r="E78" s="15"/>
      <c r="F78" s="15"/>
      <c r="G78" s="15"/>
      <c r="H78" s="18"/>
      <c r="I78" s="58"/>
      <c r="J78" s="58"/>
      <c r="K78" s="15">
        <v>14308.79</v>
      </c>
    </row>
    <row r="79" spans="1:11" customFormat="1">
      <c r="A79" s="8" t="s">
        <v>85</v>
      </c>
      <c r="B79" s="15">
        <v>9551</v>
      </c>
      <c r="C79" s="15">
        <v>900</v>
      </c>
      <c r="D79" s="15">
        <v>900</v>
      </c>
      <c r="E79" s="15">
        <v>900</v>
      </c>
      <c r="F79" s="15">
        <v>900</v>
      </c>
      <c r="G79" s="15">
        <v>900</v>
      </c>
      <c r="H79" s="18">
        <v>4500</v>
      </c>
      <c r="I79" s="58"/>
      <c r="J79" s="58"/>
      <c r="K79" s="15">
        <v>14051</v>
      </c>
    </row>
    <row r="80" spans="1:11" customFormat="1">
      <c r="A80" s="8" t="s">
        <v>86</v>
      </c>
      <c r="B80" s="15">
        <v>333</v>
      </c>
      <c r="C80" s="15">
        <v>2333</v>
      </c>
      <c r="D80" s="15">
        <v>3331</v>
      </c>
      <c r="E80" s="15">
        <v>3000</v>
      </c>
      <c r="F80" s="15">
        <v>2000</v>
      </c>
      <c r="G80" s="15">
        <v>3000</v>
      </c>
      <c r="H80" s="18">
        <v>13664</v>
      </c>
      <c r="I80" s="58"/>
      <c r="J80" s="58"/>
      <c r="K80" s="15">
        <v>13997</v>
      </c>
    </row>
    <row r="81" spans="1:11" customFormat="1">
      <c r="A81" s="8" t="s">
        <v>87</v>
      </c>
      <c r="B81" s="15">
        <v>10495.66</v>
      </c>
      <c r="C81" s="15">
        <v>1238.8</v>
      </c>
      <c r="D81" s="15">
        <v>750</v>
      </c>
      <c r="E81" s="15">
        <v>1500</v>
      </c>
      <c r="F81" s="15"/>
      <c r="G81" s="15"/>
      <c r="H81" s="18">
        <v>3488.8</v>
      </c>
      <c r="I81" s="58"/>
      <c r="J81" s="58"/>
      <c r="K81" s="15">
        <v>13984.46</v>
      </c>
    </row>
    <row r="82" spans="1:11" customFormat="1">
      <c r="A82" s="8" t="s">
        <v>88</v>
      </c>
      <c r="B82" s="15">
        <v>10460</v>
      </c>
      <c r="C82" s="15">
        <v>400</v>
      </c>
      <c r="D82" s="15"/>
      <c r="E82" s="15"/>
      <c r="F82" s="15">
        <v>720</v>
      </c>
      <c r="G82" s="15">
        <v>2000</v>
      </c>
      <c r="H82" s="18">
        <v>3120</v>
      </c>
      <c r="I82" s="58"/>
      <c r="J82" s="58"/>
      <c r="K82" s="15">
        <v>13580</v>
      </c>
    </row>
    <row r="83" spans="1:11" customFormat="1">
      <c r="A83" s="8" t="s">
        <v>89</v>
      </c>
      <c r="B83" s="15">
        <v>7753</v>
      </c>
      <c r="C83" s="15"/>
      <c r="D83" s="15">
        <v>1567</v>
      </c>
      <c r="E83" s="15">
        <v>824</v>
      </c>
      <c r="F83" s="15">
        <v>1454</v>
      </c>
      <c r="G83" s="15">
        <v>1440</v>
      </c>
      <c r="H83" s="18">
        <v>5285</v>
      </c>
      <c r="I83" s="58"/>
      <c r="J83" s="58"/>
      <c r="K83" s="15">
        <v>13038</v>
      </c>
    </row>
    <row r="84" spans="1:11" customFormat="1">
      <c r="A84" s="8" t="s">
        <v>90</v>
      </c>
      <c r="B84" s="15">
        <v>12981.039999999999</v>
      </c>
      <c r="C84" s="15"/>
      <c r="D84" s="15"/>
      <c r="E84" s="15"/>
      <c r="F84" s="15"/>
      <c r="G84" s="15"/>
      <c r="H84" s="18"/>
      <c r="I84" s="58"/>
      <c r="J84" s="58"/>
      <c r="K84" s="15">
        <v>12981.039999999999</v>
      </c>
    </row>
    <row r="85" spans="1:11" customFormat="1">
      <c r="A85" s="8" t="s">
        <v>91</v>
      </c>
      <c r="B85" s="15">
        <v>10546.81</v>
      </c>
      <c r="C85" s="15"/>
      <c r="D85" s="15"/>
      <c r="E85" s="15"/>
      <c r="F85" s="15">
        <v>2000</v>
      </c>
      <c r="G85" s="15"/>
      <c r="H85" s="18">
        <v>2000</v>
      </c>
      <c r="I85" s="58"/>
      <c r="J85" s="58"/>
      <c r="K85" s="15">
        <v>12546.81</v>
      </c>
    </row>
    <row r="86" spans="1:11" customFormat="1">
      <c r="A86" s="8" t="s">
        <v>92</v>
      </c>
      <c r="B86" s="15">
        <v>3040</v>
      </c>
      <c r="C86" s="15">
        <v>1200</v>
      </c>
      <c r="D86" s="15">
        <v>1400</v>
      </c>
      <c r="E86" s="15">
        <v>2560</v>
      </c>
      <c r="F86" s="15">
        <v>2400</v>
      </c>
      <c r="G86" s="15">
        <v>1920</v>
      </c>
      <c r="H86" s="18">
        <v>9480</v>
      </c>
      <c r="I86" s="58"/>
      <c r="J86" s="58"/>
      <c r="K86" s="15">
        <v>12520</v>
      </c>
    </row>
    <row r="87" spans="1:11" customFormat="1">
      <c r="A87" s="8" t="s">
        <v>93</v>
      </c>
      <c r="B87" s="15"/>
      <c r="C87" s="15">
        <v>2564.19</v>
      </c>
      <c r="D87" s="15">
        <v>3311.85</v>
      </c>
      <c r="E87" s="15">
        <v>3098.13</v>
      </c>
      <c r="F87" s="15"/>
      <c r="G87" s="15">
        <v>3435.73</v>
      </c>
      <c r="H87" s="18">
        <v>12409.9</v>
      </c>
      <c r="I87" s="58"/>
      <c r="J87" s="58"/>
      <c r="K87" s="15">
        <v>12409.9</v>
      </c>
    </row>
    <row r="88" spans="1:11" customFormat="1">
      <c r="A88" s="8" t="s">
        <v>94</v>
      </c>
      <c r="B88" s="15">
        <v>12300</v>
      </c>
      <c r="C88" s="15"/>
      <c r="D88" s="15"/>
      <c r="E88" s="15"/>
      <c r="F88" s="15"/>
      <c r="G88" s="15"/>
      <c r="H88" s="18"/>
      <c r="I88" s="58"/>
      <c r="J88" s="58"/>
      <c r="K88" s="15">
        <v>12300</v>
      </c>
    </row>
    <row r="89" spans="1:11" customFormat="1">
      <c r="A89" s="8" t="s">
        <v>95</v>
      </c>
      <c r="B89" s="15">
        <v>12280</v>
      </c>
      <c r="C89" s="15"/>
      <c r="D89" s="15"/>
      <c r="E89" s="15"/>
      <c r="F89" s="15"/>
      <c r="G89" s="15"/>
      <c r="H89" s="18"/>
      <c r="I89" s="58"/>
      <c r="J89" s="58"/>
      <c r="K89" s="15">
        <v>12280</v>
      </c>
    </row>
    <row r="90" spans="1:11" customFormat="1">
      <c r="A90" s="8" t="s">
        <v>96</v>
      </c>
      <c r="B90" s="15">
        <v>3571.66</v>
      </c>
      <c r="C90" s="15">
        <v>1249.06</v>
      </c>
      <c r="D90" s="15">
        <v>2836.36</v>
      </c>
      <c r="E90" s="15">
        <v>1498.68</v>
      </c>
      <c r="F90" s="15">
        <v>1616.68</v>
      </c>
      <c r="G90" s="15">
        <v>1439.58</v>
      </c>
      <c r="H90" s="18">
        <v>8640.36</v>
      </c>
      <c r="I90" s="58"/>
      <c r="J90" s="58"/>
      <c r="K90" s="15">
        <v>12212.02</v>
      </c>
    </row>
    <row r="91" spans="1:11" customFormat="1">
      <c r="A91" s="8" t="s">
        <v>97</v>
      </c>
      <c r="B91" s="15">
        <v>12000</v>
      </c>
      <c r="C91" s="15"/>
      <c r="D91" s="15"/>
      <c r="E91" s="15"/>
      <c r="F91" s="15"/>
      <c r="G91" s="15"/>
      <c r="H91" s="18"/>
      <c r="I91" s="58"/>
      <c r="J91" s="58"/>
      <c r="K91" s="15">
        <v>12000</v>
      </c>
    </row>
    <row r="92" spans="1:11" customFormat="1">
      <c r="A92" s="8" t="s">
        <v>98</v>
      </c>
      <c r="B92" s="15"/>
      <c r="C92" s="15"/>
      <c r="D92" s="15">
        <v>2978.08</v>
      </c>
      <c r="E92" s="15">
        <v>2964.29</v>
      </c>
      <c r="F92" s="15">
        <v>2964.29</v>
      </c>
      <c r="G92" s="15">
        <v>2974.14</v>
      </c>
      <c r="H92" s="18">
        <v>11880.8</v>
      </c>
      <c r="I92" s="58"/>
      <c r="J92" s="58"/>
      <c r="K92" s="15">
        <v>11880.8</v>
      </c>
    </row>
    <row r="93" spans="1:11" customFormat="1">
      <c r="A93" s="45" t="s">
        <v>99</v>
      </c>
      <c r="B93" s="15"/>
      <c r="C93" s="15"/>
      <c r="D93" s="15">
        <v>2978.08</v>
      </c>
      <c r="E93" s="15">
        <v>2964.29</v>
      </c>
      <c r="F93" s="15">
        <v>2964.29</v>
      </c>
      <c r="G93" s="15">
        <v>2974.14</v>
      </c>
      <c r="H93" s="18">
        <v>11880.8</v>
      </c>
      <c r="I93" s="58"/>
      <c r="J93" s="58"/>
      <c r="K93" s="15">
        <v>11880.8</v>
      </c>
    </row>
    <row r="94" spans="1:11" customFormat="1">
      <c r="A94" s="8" t="s">
        <v>100</v>
      </c>
      <c r="B94" s="15">
        <v>7180</v>
      </c>
      <c r="C94" s="15">
        <v>1020</v>
      </c>
      <c r="D94" s="15">
        <v>1080</v>
      </c>
      <c r="E94" s="15">
        <v>1125</v>
      </c>
      <c r="F94" s="15">
        <v>1095</v>
      </c>
      <c r="G94" s="15">
        <v>247.5</v>
      </c>
      <c r="H94" s="18">
        <v>4567.5</v>
      </c>
      <c r="I94" s="58"/>
      <c r="J94" s="58"/>
      <c r="K94" s="15">
        <v>11747.5</v>
      </c>
    </row>
    <row r="95" spans="1:11" customFormat="1">
      <c r="A95" s="8" t="s">
        <v>101</v>
      </c>
      <c r="B95" s="15">
        <v>10320</v>
      </c>
      <c r="C95" s="15">
        <v>600</v>
      </c>
      <c r="D95" s="15"/>
      <c r="E95" s="15"/>
      <c r="F95" s="15"/>
      <c r="G95" s="15">
        <v>640</v>
      </c>
      <c r="H95" s="18">
        <v>1240</v>
      </c>
      <c r="I95" s="58"/>
      <c r="J95" s="58"/>
      <c r="K95" s="15">
        <v>11560</v>
      </c>
    </row>
    <row r="96" spans="1:11" customFormat="1">
      <c r="A96" s="8" t="s">
        <v>102</v>
      </c>
      <c r="B96" s="15">
        <v>7808</v>
      </c>
      <c r="C96" s="15">
        <v>650</v>
      </c>
      <c r="D96" s="15">
        <v>849</v>
      </c>
      <c r="E96" s="15">
        <v>714</v>
      </c>
      <c r="F96" s="15">
        <v>828</v>
      </c>
      <c r="G96" s="15">
        <v>650</v>
      </c>
      <c r="H96" s="18">
        <v>3691</v>
      </c>
      <c r="I96" s="58"/>
      <c r="J96" s="58"/>
      <c r="K96" s="15">
        <v>11499</v>
      </c>
    </row>
    <row r="97" spans="1:11" customFormat="1">
      <c r="A97" s="8" t="s">
        <v>103</v>
      </c>
      <c r="B97" s="15">
        <v>11460</v>
      </c>
      <c r="C97" s="15"/>
      <c r="D97" s="15"/>
      <c r="E97" s="15"/>
      <c r="F97" s="15"/>
      <c r="G97" s="15"/>
      <c r="H97" s="18"/>
      <c r="I97" s="58"/>
      <c r="J97" s="58"/>
      <c r="K97" s="15">
        <v>11460</v>
      </c>
    </row>
    <row r="98" spans="1:11" customFormat="1">
      <c r="A98" s="8" t="s">
        <v>104</v>
      </c>
      <c r="B98" s="15">
        <v>11416.58</v>
      </c>
      <c r="C98" s="15"/>
      <c r="D98" s="15"/>
      <c r="E98" s="15"/>
      <c r="F98" s="15"/>
      <c r="G98" s="15"/>
      <c r="H98" s="18"/>
      <c r="I98" s="58"/>
      <c r="J98" s="58"/>
      <c r="K98" s="15">
        <v>11416.58</v>
      </c>
    </row>
    <row r="99" spans="1:11" customFormat="1">
      <c r="A99" s="8" t="s">
        <v>105</v>
      </c>
      <c r="B99" s="15">
        <v>11402.16</v>
      </c>
      <c r="C99" s="15"/>
      <c r="D99" s="15"/>
      <c r="E99" s="15"/>
      <c r="F99" s="15"/>
      <c r="G99" s="15"/>
      <c r="H99" s="18"/>
      <c r="I99" s="58"/>
      <c r="J99" s="58"/>
      <c r="K99" s="15">
        <v>11402.16</v>
      </c>
    </row>
    <row r="100" spans="1:11" customFormat="1">
      <c r="A100" s="8" t="s">
        <v>106</v>
      </c>
      <c r="B100" s="15">
        <v>5680</v>
      </c>
      <c r="C100" s="15">
        <v>720</v>
      </c>
      <c r="D100" s="15">
        <v>1008</v>
      </c>
      <c r="E100" s="15">
        <v>672</v>
      </c>
      <c r="F100" s="15">
        <v>1428</v>
      </c>
      <c r="G100" s="15">
        <v>1848</v>
      </c>
      <c r="H100" s="18">
        <v>5676</v>
      </c>
      <c r="I100" s="58"/>
      <c r="J100" s="58"/>
      <c r="K100" s="15">
        <v>11356</v>
      </c>
    </row>
    <row r="101" spans="1:11" customFormat="1">
      <c r="A101" s="8" t="s">
        <v>107</v>
      </c>
      <c r="B101" s="15">
        <v>8960</v>
      </c>
      <c r="C101" s="15">
        <v>1980</v>
      </c>
      <c r="D101" s="15">
        <v>320</v>
      </c>
      <c r="E101" s="15"/>
      <c r="F101" s="15"/>
      <c r="G101" s="15"/>
      <c r="H101" s="18">
        <v>2300</v>
      </c>
      <c r="I101" s="58"/>
      <c r="J101" s="58"/>
      <c r="K101" s="15">
        <v>11260</v>
      </c>
    </row>
    <row r="102" spans="1:11" customFormat="1">
      <c r="A102" s="8" t="s">
        <v>108</v>
      </c>
      <c r="B102" s="15">
        <v>1036.8</v>
      </c>
      <c r="C102" s="15">
        <v>1691</v>
      </c>
      <c r="D102" s="15">
        <v>1978.42</v>
      </c>
      <c r="E102" s="15">
        <v>2408.9</v>
      </c>
      <c r="F102" s="15">
        <v>1723</v>
      </c>
      <c r="G102" s="15">
        <v>2412.38</v>
      </c>
      <c r="H102" s="18">
        <v>10213.700000000001</v>
      </c>
      <c r="I102" s="58"/>
      <c r="J102" s="58"/>
      <c r="K102" s="15">
        <v>11250.5</v>
      </c>
    </row>
    <row r="103" spans="1:11" customFormat="1">
      <c r="A103" s="8" t="s">
        <v>109</v>
      </c>
      <c r="B103" s="15">
        <v>11240</v>
      </c>
      <c r="C103" s="15"/>
      <c r="D103" s="15"/>
      <c r="E103" s="15"/>
      <c r="F103" s="15"/>
      <c r="G103" s="15"/>
      <c r="H103" s="18"/>
      <c r="I103" s="58"/>
      <c r="J103" s="58"/>
      <c r="K103" s="15">
        <v>11240</v>
      </c>
    </row>
    <row r="104" spans="1:11" customFormat="1">
      <c r="A104" s="8" t="s">
        <v>110</v>
      </c>
      <c r="B104" s="15">
        <v>6337.9</v>
      </c>
      <c r="C104" s="15">
        <v>480</v>
      </c>
      <c r="D104" s="15">
        <v>1200</v>
      </c>
      <c r="E104" s="15">
        <v>787</v>
      </c>
      <c r="F104" s="15">
        <v>1180</v>
      </c>
      <c r="G104" s="15">
        <v>1076</v>
      </c>
      <c r="H104" s="18">
        <v>4723</v>
      </c>
      <c r="I104" s="58"/>
      <c r="J104" s="58"/>
      <c r="K104" s="15">
        <v>11060.9</v>
      </c>
    </row>
    <row r="105" spans="1:11" customFormat="1">
      <c r="A105" s="8" t="s">
        <v>111</v>
      </c>
      <c r="B105" s="15">
        <v>5985</v>
      </c>
      <c r="C105" s="15">
        <v>997.5</v>
      </c>
      <c r="D105" s="15">
        <v>997.5</v>
      </c>
      <c r="E105" s="15">
        <v>997.5</v>
      </c>
      <c r="F105" s="15">
        <v>997.5</v>
      </c>
      <c r="G105" s="15">
        <v>997.5</v>
      </c>
      <c r="H105" s="18">
        <v>4987.5</v>
      </c>
      <c r="I105" s="58"/>
      <c r="J105" s="58"/>
      <c r="K105" s="15">
        <v>10972.5</v>
      </c>
    </row>
    <row r="106" spans="1:11" customFormat="1">
      <c r="A106" s="8" t="s">
        <v>112</v>
      </c>
      <c r="B106" s="15">
        <v>10942.8</v>
      </c>
      <c r="C106" s="15"/>
      <c r="D106" s="15"/>
      <c r="E106" s="15"/>
      <c r="F106" s="15"/>
      <c r="G106" s="15"/>
      <c r="H106" s="18"/>
      <c r="I106" s="58"/>
      <c r="J106" s="58"/>
      <c r="K106" s="15">
        <v>10942.8</v>
      </c>
    </row>
    <row r="107" spans="1:11" customFormat="1">
      <c r="A107" s="8" t="s">
        <v>113</v>
      </c>
      <c r="B107" s="15">
        <v>5660</v>
      </c>
      <c r="C107" s="15">
        <v>720</v>
      </c>
      <c r="D107" s="15">
        <v>2776</v>
      </c>
      <c r="E107" s="15">
        <v>1772</v>
      </c>
      <c r="F107" s="15"/>
      <c r="G107" s="15"/>
      <c r="H107" s="18">
        <v>5268</v>
      </c>
      <c r="I107" s="58"/>
      <c r="J107" s="58"/>
      <c r="K107" s="15">
        <v>10928</v>
      </c>
    </row>
    <row r="108" spans="1:11" customFormat="1">
      <c r="A108" s="8" t="s">
        <v>114</v>
      </c>
      <c r="B108" s="15">
        <v>10327.98</v>
      </c>
      <c r="C108" s="15"/>
      <c r="D108" s="15"/>
      <c r="E108" s="15"/>
      <c r="F108" s="15"/>
      <c r="G108" s="15"/>
      <c r="H108" s="18"/>
      <c r="I108" s="58"/>
      <c r="J108" s="58"/>
      <c r="K108" s="15">
        <v>10327.98</v>
      </c>
    </row>
    <row r="109" spans="1:11" customFormat="1">
      <c r="A109" s="8" t="s">
        <v>115</v>
      </c>
      <c r="B109" s="15">
        <v>10230</v>
      </c>
      <c r="C109" s="15"/>
      <c r="D109" s="15"/>
      <c r="E109" s="15"/>
      <c r="F109" s="15"/>
      <c r="G109" s="15"/>
      <c r="H109" s="18"/>
      <c r="I109" s="58"/>
      <c r="J109" s="58"/>
      <c r="K109" s="15">
        <v>10230</v>
      </c>
    </row>
    <row r="110" spans="1:11" customFormat="1">
      <c r="A110" s="8" t="s">
        <v>116</v>
      </c>
      <c r="B110" s="15">
        <v>10160</v>
      </c>
      <c r="C110" s="15"/>
      <c r="D110" s="15"/>
      <c r="E110" s="15"/>
      <c r="F110" s="15"/>
      <c r="G110" s="15"/>
      <c r="H110" s="18"/>
      <c r="I110" s="58"/>
      <c r="J110" s="58"/>
      <c r="K110" s="15">
        <v>10160</v>
      </c>
    </row>
    <row r="111" spans="1:11" customFormat="1">
      <c r="A111" s="8" t="s">
        <v>117</v>
      </c>
      <c r="B111" s="15">
        <v>9600</v>
      </c>
      <c r="C111" s="15">
        <v>560</v>
      </c>
      <c r="D111" s="15"/>
      <c r="E111" s="15"/>
      <c r="F111" s="15"/>
      <c r="G111" s="15"/>
      <c r="H111" s="18">
        <v>560</v>
      </c>
      <c r="I111" s="58"/>
      <c r="J111" s="58"/>
      <c r="K111" s="15">
        <v>10160</v>
      </c>
    </row>
    <row r="112" spans="1:11" customFormat="1">
      <c r="A112" s="8" t="s">
        <v>118</v>
      </c>
      <c r="B112" s="15">
        <v>3107.41</v>
      </c>
      <c r="C112" s="15">
        <v>1533.3700000000001</v>
      </c>
      <c r="D112" s="15">
        <v>1659.14</v>
      </c>
      <c r="E112" s="15"/>
      <c r="F112" s="15">
        <v>1805.24</v>
      </c>
      <c r="G112" s="15">
        <v>2022.21</v>
      </c>
      <c r="H112" s="18">
        <v>7019.96</v>
      </c>
      <c r="I112" s="58"/>
      <c r="J112" s="58"/>
      <c r="K112" s="15">
        <v>10127.369999999999</v>
      </c>
    </row>
    <row r="113" spans="1:11" customFormat="1">
      <c r="A113" s="8" t="s">
        <v>119</v>
      </c>
      <c r="B113" s="15">
        <v>10080</v>
      </c>
      <c r="C113" s="15"/>
      <c r="D113" s="15"/>
      <c r="E113" s="15"/>
      <c r="F113" s="15"/>
      <c r="G113" s="15"/>
      <c r="H113" s="18"/>
      <c r="I113" s="58"/>
      <c r="J113" s="58"/>
      <c r="K113" s="15">
        <v>10080</v>
      </c>
    </row>
    <row r="114" spans="1:11" customFormat="1">
      <c r="A114" s="8" t="s">
        <v>120</v>
      </c>
      <c r="B114" s="15">
        <v>9924.66</v>
      </c>
      <c r="C114" s="15"/>
      <c r="D114" s="15"/>
      <c r="E114" s="15">
        <v>150</v>
      </c>
      <c r="F114" s="15"/>
      <c r="G114" s="15"/>
      <c r="H114" s="18">
        <v>150</v>
      </c>
      <c r="I114" s="58"/>
      <c r="J114" s="58"/>
      <c r="K114" s="15">
        <v>10074.66</v>
      </c>
    </row>
    <row r="115" spans="1:11" customFormat="1">
      <c r="A115" s="8" t="s">
        <v>121</v>
      </c>
      <c r="B115" s="15">
        <v>9785.58</v>
      </c>
      <c r="C115" s="15"/>
      <c r="D115" s="15"/>
      <c r="E115" s="15"/>
      <c r="F115" s="15"/>
      <c r="G115" s="15"/>
      <c r="H115" s="18"/>
      <c r="I115" s="58"/>
      <c r="J115" s="58"/>
      <c r="K115" s="15">
        <v>9785.58</v>
      </c>
    </row>
    <row r="116" spans="1:11" customFormat="1">
      <c r="A116" s="8" t="s">
        <v>122</v>
      </c>
      <c r="B116" s="15">
        <v>6655</v>
      </c>
      <c r="C116" s="15">
        <v>605</v>
      </c>
      <c r="D116" s="15">
        <v>605</v>
      </c>
      <c r="E116" s="15">
        <v>605</v>
      </c>
      <c r="F116" s="15">
        <v>605</v>
      </c>
      <c r="G116" s="15">
        <v>605</v>
      </c>
      <c r="H116" s="18">
        <v>3025</v>
      </c>
      <c r="I116" s="58"/>
      <c r="J116" s="58"/>
      <c r="K116" s="15">
        <v>9680</v>
      </c>
    </row>
    <row r="117" spans="1:11" customFormat="1">
      <c r="A117" s="8" t="s">
        <v>123</v>
      </c>
      <c r="B117" s="15">
        <v>9580</v>
      </c>
      <c r="C117" s="15"/>
      <c r="D117" s="15"/>
      <c r="E117" s="15"/>
      <c r="F117" s="15"/>
      <c r="G117" s="15"/>
      <c r="H117" s="18"/>
      <c r="I117" s="58"/>
      <c r="J117" s="58"/>
      <c r="K117" s="15">
        <v>9580</v>
      </c>
    </row>
    <row r="118" spans="1:11" customFormat="1">
      <c r="A118" s="8" t="s">
        <v>124</v>
      </c>
      <c r="B118" s="15">
        <v>8960</v>
      </c>
      <c r="C118" s="15"/>
      <c r="D118" s="15"/>
      <c r="E118" s="15"/>
      <c r="F118" s="15"/>
      <c r="G118" s="15"/>
      <c r="H118" s="18"/>
      <c r="I118" s="58"/>
      <c r="J118" s="58"/>
      <c r="K118" s="15">
        <v>8960</v>
      </c>
    </row>
    <row r="119" spans="1:11" customFormat="1">
      <c r="A119" s="8" t="s">
        <v>125</v>
      </c>
      <c r="B119" s="15">
        <v>4904.42</v>
      </c>
      <c r="C119" s="15"/>
      <c r="D119" s="15"/>
      <c r="E119" s="15">
        <v>4000</v>
      </c>
      <c r="F119" s="15"/>
      <c r="G119" s="15"/>
      <c r="H119" s="18">
        <v>4000</v>
      </c>
      <c r="I119" s="58"/>
      <c r="J119" s="58"/>
      <c r="K119" s="15">
        <v>8904.42</v>
      </c>
    </row>
    <row r="120" spans="1:11" customFormat="1">
      <c r="A120" s="8" t="s">
        <v>126</v>
      </c>
      <c r="B120" s="15">
        <v>8840</v>
      </c>
      <c r="C120" s="15"/>
      <c r="D120" s="15"/>
      <c r="E120" s="15"/>
      <c r="F120" s="15"/>
      <c r="G120" s="15"/>
      <c r="H120" s="18"/>
      <c r="I120" s="58"/>
      <c r="J120" s="58"/>
      <c r="K120" s="15">
        <v>8840</v>
      </c>
    </row>
    <row r="121" spans="1:11" customFormat="1">
      <c r="A121" s="8" t="s">
        <v>127</v>
      </c>
      <c r="B121" s="15">
        <v>8720</v>
      </c>
      <c r="C121" s="15"/>
      <c r="D121" s="15"/>
      <c r="E121" s="15"/>
      <c r="F121" s="15"/>
      <c r="G121" s="15"/>
      <c r="H121" s="18"/>
      <c r="I121" s="58"/>
      <c r="J121" s="58"/>
      <c r="K121" s="15">
        <v>8720</v>
      </c>
    </row>
    <row r="122" spans="1:11" customFormat="1">
      <c r="A122" s="8" t="s">
        <v>128</v>
      </c>
      <c r="B122" s="15">
        <v>1722.07</v>
      </c>
      <c r="C122" s="15"/>
      <c r="D122" s="15">
        <v>6906.92</v>
      </c>
      <c r="E122" s="15"/>
      <c r="F122" s="15"/>
      <c r="G122" s="15"/>
      <c r="H122" s="18">
        <v>6906.92</v>
      </c>
      <c r="I122" s="58"/>
      <c r="J122" s="58"/>
      <c r="K122" s="15">
        <v>8628.99</v>
      </c>
    </row>
    <row r="123" spans="1:11" customFormat="1">
      <c r="A123" s="8" t="s">
        <v>129</v>
      </c>
      <c r="B123" s="15">
        <v>8560</v>
      </c>
      <c r="C123" s="15"/>
      <c r="D123" s="15"/>
      <c r="E123" s="15"/>
      <c r="F123" s="15"/>
      <c r="G123" s="15"/>
      <c r="H123" s="18"/>
      <c r="I123" s="58"/>
      <c r="J123" s="58"/>
      <c r="K123" s="15">
        <v>8560</v>
      </c>
    </row>
    <row r="124" spans="1:11" customFormat="1">
      <c r="A124" s="8" t="s">
        <v>130</v>
      </c>
      <c r="B124" s="15">
        <v>8329.5299999999988</v>
      </c>
      <c r="C124" s="15"/>
      <c r="D124" s="15"/>
      <c r="E124" s="15"/>
      <c r="F124" s="15"/>
      <c r="G124" s="15"/>
      <c r="H124" s="18"/>
      <c r="I124" s="58"/>
      <c r="J124" s="58"/>
      <c r="K124" s="15">
        <v>8329.5299999999988</v>
      </c>
    </row>
    <row r="125" spans="1:11" customFormat="1">
      <c r="A125" s="8" t="s">
        <v>131</v>
      </c>
      <c r="B125" s="15">
        <v>8278.4</v>
      </c>
      <c r="C125" s="15"/>
      <c r="D125" s="15"/>
      <c r="E125" s="15"/>
      <c r="F125" s="15"/>
      <c r="G125" s="15"/>
      <c r="H125" s="18"/>
      <c r="I125" s="58"/>
      <c r="J125" s="58"/>
      <c r="K125" s="15">
        <v>8278.4</v>
      </c>
    </row>
    <row r="126" spans="1:11" customFormat="1">
      <c r="A126" s="8" t="s">
        <v>132</v>
      </c>
      <c r="B126" s="15">
        <v>5886.4</v>
      </c>
      <c r="C126" s="15">
        <v>2248.5700000000002</v>
      </c>
      <c r="D126" s="15"/>
      <c r="E126" s="15"/>
      <c r="F126" s="15"/>
      <c r="G126" s="15"/>
      <c r="H126" s="18">
        <v>2248.5700000000002</v>
      </c>
      <c r="I126" s="58"/>
      <c r="J126" s="58"/>
      <c r="K126" s="15">
        <v>8134.9699999999993</v>
      </c>
    </row>
    <row r="127" spans="1:11" customFormat="1">
      <c r="A127" s="8" t="s">
        <v>133</v>
      </c>
      <c r="B127" s="15">
        <v>3620</v>
      </c>
      <c r="C127" s="15">
        <v>880</v>
      </c>
      <c r="D127" s="15">
        <v>1008</v>
      </c>
      <c r="E127" s="15">
        <v>588</v>
      </c>
      <c r="F127" s="15">
        <v>1092</v>
      </c>
      <c r="G127" s="15">
        <v>840</v>
      </c>
      <c r="H127" s="18">
        <v>4408</v>
      </c>
      <c r="I127" s="58"/>
      <c r="J127" s="58"/>
      <c r="K127" s="15">
        <v>8028</v>
      </c>
    </row>
    <row r="128" spans="1:11" customFormat="1">
      <c r="A128" s="8" t="s">
        <v>134</v>
      </c>
      <c r="B128" s="15">
        <v>8011.8200000000006</v>
      </c>
      <c r="C128" s="15"/>
      <c r="D128" s="15"/>
      <c r="E128" s="15"/>
      <c r="F128" s="15"/>
      <c r="G128" s="15"/>
      <c r="H128" s="18"/>
      <c r="I128" s="58"/>
      <c r="J128" s="58"/>
      <c r="K128" s="15">
        <v>8011.8200000000006</v>
      </c>
    </row>
    <row r="129" spans="1:11" customFormat="1">
      <c r="A129" s="8" t="s">
        <v>135</v>
      </c>
      <c r="B129" s="15">
        <v>7985.4</v>
      </c>
      <c r="C129" s="15"/>
      <c r="D129" s="15"/>
      <c r="E129" s="15"/>
      <c r="F129" s="15"/>
      <c r="G129" s="15"/>
      <c r="H129" s="18"/>
      <c r="I129" s="58"/>
      <c r="J129" s="58"/>
      <c r="K129" s="15">
        <v>7985.4</v>
      </c>
    </row>
    <row r="130" spans="1:11" customFormat="1">
      <c r="A130" s="8" t="s">
        <v>136</v>
      </c>
      <c r="B130" s="15"/>
      <c r="C130" s="15"/>
      <c r="D130" s="15">
        <v>426.8</v>
      </c>
      <c r="E130" s="15">
        <v>2439.02</v>
      </c>
      <c r="F130" s="15">
        <v>2939.82</v>
      </c>
      <c r="G130" s="15">
        <v>2132.62</v>
      </c>
      <c r="H130" s="18">
        <v>7938.26</v>
      </c>
      <c r="I130" s="58"/>
      <c r="J130" s="58"/>
      <c r="K130" s="15">
        <v>7938.26</v>
      </c>
    </row>
    <row r="131" spans="1:11" customFormat="1">
      <c r="A131" s="45" t="s">
        <v>137</v>
      </c>
      <c r="B131" s="15"/>
      <c r="C131" s="15"/>
      <c r="D131" s="15"/>
      <c r="E131" s="15">
        <v>567.18000000000006</v>
      </c>
      <c r="F131" s="15">
        <v>1608</v>
      </c>
      <c r="G131" s="15">
        <v>1621</v>
      </c>
      <c r="H131" s="18">
        <v>3796.1800000000003</v>
      </c>
      <c r="I131" s="58"/>
      <c r="J131" s="58"/>
      <c r="K131" s="15">
        <v>3796.1800000000003</v>
      </c>
    </row>
    <row r="132" spans="1:11" customFormat="1">
      <c r="A132" s="45" t="s">
        <v>138</v>
      </c>
      <c r="B132" s="15"/>
      <c r="C132" s="15"/>
      <c r="D132" s="15"/>
      <c r="E132" s="15">
        <v>510.84000000000003</v>
      </c>
      <c r="F132" s="15">
        <v>255.42000000000002</v>
      </c>
      <c r="G132" s="15">
        <v>255.42000000000002</v>
      </c>
      <c r="H132" s="18">
        <v>1021.6800000000001</v>
      </c>
      <c r="I132" s="58"/>
      <c r="J132" s="58"/>
      <c r="K132" s="15">
        <v>1021.6800000000001</v>
      </c>
    </row>
    <row r="133" spans="1:11" customFormat="1">
      <c r="A133" s="45" t="s">
        <v>139</v>
      </c>
      <c r="B133" s="15"/>
      <c r="C133" s="15"/>
      <c r="D133" s="15">
        <v>109.80000000000001</v>
      </c>
      <c r="E133" s="15">
        <v>305</v>
      </c>
      <c r="F133" s="15">
        <v>268.39999999999998</v>
      </c>
      <c r="G133" s="59">
        <v>256.2</v>
      </c>
      <c r="H133" s="18">
        <v>939.40000000000009</v>
      </c>
      <c r="I133" s="58"/>
      <c r="J133" s="58"/>
      <c r="K133" s="15">
        <v>939.40000000000009</v>
      </c>
    </row>
    <row r="134" spans="1:11" customFormat="1">
      <c r="A134" s="45" t="s">
        <v>140</v>
      </c>
      <c r="B134" s="15"/>
      <c r="C134" s="15"/>
      <c r="D134" s="15">
        <v>210</v>
      </c>
      <c r="E134" s="15"/>
      <c r="F134" s="15"/>
      <c r="G134" s="15"/>
      <c r="H134" s="18">
        <v>210</v>
      </c>
      <c r="I134" s="58"/>
      <c r="J134" s="58"/>
      <c r="K134" s="15">
        <v>210</v>
      </c>
    </row>
    <row r="135" spans="1:11" customFormat="1">
      <c r="A135" s="45" t="s">
        <v>141</v>
      </c>
      <c r="B135" s="15"/>
      <c r="C135" s="15"/>
      <c r="D135" s="15">
        <v>72</v>
      </c>
      <c r="E135" s="15">
        <v>1056</v>
      </c>
      <c r="F135" s="15">
        <v>808</v>
      </c>
      <c r="G135" s="15"/>
      <c r="H135" s="18">
        <v>1936</v>
      </c>
      <c r="I135" s="58"/>
      <c r="J135" s="58"/>
      <c r="K135" s="15">
        <v>1936</v>
      </c>
    </row>
    <row r="136" spans="1:11" customFormat="1">
      <c r="A136" s="45" t="s">
        <v>142</v>
      </c>
      <c r="B136" s="15"/>
      <c r="C136" s="15"/>
      <c r="D136" s="15">
        <v>35</v>
      </c>
      <c r="E136" s="15"/>
      <c r="F136" s="15"/>
      <c r="G136" s="15"/>
      <c r="H136" s="18">
        <v>35</v>
      </c>
      <c r="I136" s="58"/>
      <c r="J136" s="58"/>
      <c r="K136" s="15">
        <v>35</v>
      </c>
    </row>
    <row r="137" spans="1:11" customFormat="1">
      <c r="A137" s="8" t="s">
        <v>143</v>
      </c>
      <c r="B137" s="15">
        <v>7921.4699999999993</v>
      </c>
      <c r="C137" s="15"/>
      <c r="D137" s="15"/>
      <c r="E137" s="15"/>
      <c r="F137" s="15"/>
      <c r="G137" s="15"/>
      <c r="H137" s="18"/>
      <c r="I137" s="58"/>
      <c r="J137" s="58"/>
      <c r="K137" s="15">
        <v>7921.4699999999993</v>
      </c>
    </row>
    <row r="138" spans="1:11" customFormat="1">
      <c r="A138" s="8" t="s">
        <v>144</v>
      </c>
      <c r="B138" s="15">
        <v>7911.34</v>
      </c>
      <c r="C138" s="15"/>
      <c r="D138" s="15"/>
      <c r="E138" s="15"/>
      <c r="F138" s="15"/>
      <c r="G138" s="15"/>
      <c r="H138" s="18"/>
      <c r="I138" s="58"/>
      <c r="J138" s="58"/>
      <c r="K138" s="15">
        <v>7911.34</v>
      </c>
    </row>
    <row r="139" spans="1:11" customFormat="1">
      <c r="A139" s="8" t="s">
        <v>145</v>
      </c>
      <c r="B139" s="15">
        <v>2511</v>
      </c>
      <c r="C139" s="15"/>
      <c r="D139" s="15"/>
      <c r="E139" s="15">
        <v>2661.6</v>
      </c>
      <c r="F139" s="15">
        <v>2661.6</v>
      </c>
      <c r="G139" s="15"/>
      <c r="H139" s="18">
        <v>5323.2</v>
      </c>
      <c r="I139" s="58"/>
      <c r="J139" s="58"/>
      <c r="K139" s="15">
        <v>7834.2000000000007</v>
      </c>
    </row>
    <row r="140" spans="1:11" customFormat="1">
      <c r="A140" s="8" t="s">
        <v>146</v>
      </c>
      <c r="B140" s="15"/>
      <c r="C140" s="15">
        <v>7692.56</v>
      </c>
      <c r="D140" s="15"/>
      <c r="E140" s="15"/>
      <c r="F140" s="15"/>
      <c r="G140" s="15"/>
      <c r="H140" s="18">
        <v>7692.56</v>
      </c>
      <c r="I140" s="58"/>
      <c r="J140" s="58"/>
      <c r="K140" s="15">
        <v>7692.56</v>
      </c>
    </row>
    <row r="141" spans="1:11" customFormat="1">
      <c r="A141" s="8" t="s">
        <v>147</v>
      </c>
      <c r="B141" s="15">
        <v>3556.28</v>
      </c>
      <c r="C141" s="15">
        <v>1750</v>
      </c>
      <c r="D141" s="15">
        <v>358.15000000000003</v>
      </c>
      <c r="E141" s="15"/>
      <c r="F141" s="15">
        <v>1800</v>
      </c>
      <c r="G141" s="15"/>
      <c r="H141" s="18">
        <v>3908.15</v>
      </c>
      <c r="I141" s="58"/>
      <c r="J141" s="58"/>
      <c r="K141" s="15">
        <v>7464.43</v>
      </c>
    </row>
    <row r="142" spans="1:11" customFormat="1">
      <c r="A142" s="8" t="s">
        <v>148</v>
      </c>
      <c r="B142" s="15">
        <v>4770.3999999999996</v>
      </c>
      <c r="C142" s="15">
        <v>150</v>
      </c>
      <c r="D142" s="15">
        <v>1816</v>
      </c>
      <c r="E142" s="15">
        <v>555.58000000000004</v>
      </c>
      <c r="F142" s="15"/>
      <c r="G142" s="15"/>
      <c r="H142" s="18">
        <v>2521.58</v>
      </c>
      <c r="I142" s="58"/>
      <c r="J142" s="58"/>
      <c r="K142" s="15">
        <v>7291.98</v>
      </c>
    </row>
    <row r="143" spans="1:11" customFormat="1">
      <c r="A143" s="8" t="s">
        <v>149</v>
      </c>
      <c r="B143" s="15">
        <v>6325.98</v>
      </c>
      <c r="C143" s="15"/>
      <c r="D143" s="15">
        <v>960</v>
      </c>
      <c r="E143" s="15"/>
      <c r="F143" s="15"/>
      <c r="G143" s="15"/>
      <c r="H143" s="18">
        <v>960</v>
      </c>
      <c r="I143" s="58"/>
      <c r="J143" s="58"/>
      <c r="K143" s="15">
        <v>7285.98</v>
      </c>
    </row>
    <row r="144" spans="1:11" customFormat="1">
      <c r="A144" s="8" t="s">
        <v>150</v>
      </c>
      <c r="B144" s="15">
        <v>7097.8</v>
      </c>
      <c r="C144" s="15"/>
      <c r="D144" s="15"/>
      <c r="E144" s="15"/>
      <c r="F144" s="15"/>
      <c r="G144" s="15"/>
      <c r="H144" s="18"/>
      <c r="I144" s="58"/>
      <c r="J144" s="58"/>
      <c r="K144" s="15">
        <v>7097.8</v>
      </c>
    </row>
    <row r="145" spans="1:11" customFormat="1">
      <c r="A145" s="8" t="s">
        <v>151</v>
      </c>
      <c r="B145" s="15"/>
      <c r="C145" s="15"/>
      <c r="D145" s="15">
        <v>800</v>
      </c>
      <c r="E145" s="15"/>
      <c r="F145" s="15">
        <v>6240</v>
      </c>
      <c r="G145" s="15"/>
      <c r="H145" s="18">
        <v>7040</v>
      </c>
      <c r="I145" s="58"/>
      <c r="J145" s="58"/>
      <c r="K145" s="15">
        <v>7040</v>
      </c>
    </row>
    <row r="146" spans="1:11" customFormat="1">
      <c r="A146" s="45" t="s">
        <v>152</v>
      </c>
      <c r="B146" s="15"/>
      <c r="C146" s="15"/>
      <c r="D146" s="15">
        <v>800</v>
      </c>
      <c r="E146" s="15"/>
      <c r="F146" s="15">
        <v>6240</v>
      </c>
      <c r="G146" s="15"/>
      <c r="H146" s="18">
        <v>7040</v>
      </c>
      <c r="I146" s="58"/>
      <c r="J146" s="58"/>
      <c r="K146" s="15">
        <v>7040</v>
      </c>
    </row>
    <row r="147" spans="1:11" customFormat="1">
      <c r="A147" s="8" t="s">
        <v>153</v>
      </c>
      <c r="B147" s="15">
        <v>6880</v>
      </c>
      <c r="C147" s="15"/>
      <c r="D147" s="15"/>
      <c r="E147" s="15"/>
      <c r="F147" s="15"/>
      <c r="G147" s="15"/>
      <c r="H147" s="18"/>
      <c r="I147" s="58"/>
      <c r="J147" s="58"/>
      <c r="K147" s="15">
        <v>6880</v>
      </c>
    </row>
    <row r="148" spans="1:11" customFormat="1">
      <c r="A148" s="8" t="s">
        <v>154</v>
      </c>
      <c r="B148" s="15">
        <v>4040</v>
      </c>
      <c r="C148" s="15">
        <v>550</v>
      </c>
      <c r="D148" s="15">
        <v>550</v>
      </c>
      <c r="E148" s="15">
        <v>550</v>
      </c>
      <c r="F148" s="15">
        <v>550</v>
      </c>
      <c r="G148" s="15">
        <v>610</v>
      </c>
      <c r="H148" s="18">
        <v>2810</v>
      </c>
      <c r="I148" s="58"/>
      <c r="J148" s="58"/>
      <c r="K148" s="15">
        <v>6850</v>
      </c>
    </row>
    <row r="149" spans="1:11" customFormat="1">
      <c r="A149" s="8" t="s">
        <v>155</v>
      </c>
      <c r="B149" s="15">
        <v>4728.0599999999995</v>
      </c>
      <c r="C149" s="15">
        <v>390</v>
      </c>
      <c r="D149" s="15">
        <v>431.59000000000003</v>
      </c>
      <c r="E149" s="15">
        <v>390</v>
      </c>
      <c r="F149" s="15"/>
      <c r="G149" s="15">
        <v>824.19</v>
      </c>
      <c r="H149" s="18">
        <v>2035.7800000000002</v>
      </c>
      <c r="I149" s="58"/>
      <c r="J149" s="58"/>
      <c r="K149" s="15">
        <v>6763.84</v>
      </c>
    </row>
    <row r="150" spans="1:11" customFormat="1">
      <c r="A150" s="8" t="s">
        <v>156</v>
      </c>
      <c r="B150" s="15">
        <v>6240</v>
      </c>
      <c r="C150" s="15"/>
      <c r="D150" s="15"/>
      <c r="E150" s="15"/>
      <c r="F150" s="15"/>
      <c r="G150" s="15">
        <v>336</v>
      </c>
      <c r="H150" s="18">
        <v>336</v>
      </c>
      <c r="I150" s="58"/>
      <c r="J150" s="58"/>
      <c r="K150" s="15">
        <v>6576</v>
      </c>
    </row>
    <row r="151" spans="1:11" customFormat="1">
      <c r="A151" s="8" t="s">
        <v>157</v>
      </c>
      <c r="B151" s="15">
        <v>6466.4</v>
      </c>
      <c r="C151" s="15"/>
      <c r="D151" s="15"/>
      <c r="E151" s="15"/>
      <c r="F151" s="15"/>
      <c r="G151" s="15"/>
      <c r="H151" s="18"/>
      <c r="I151" s="58"/>
      <c r="J151" s="58"/>
      <c r="K151" s="15">
        <v>6466.4</v>
      </c>
    </row>
    <row r="152" spans="1:11" customFormat="1">
      <c r="A152" s="8" t="s">
        <v>158</v>
      </c>
      <c r="B152" s="15">
        <v>4523.8600000000006</v>
      </c>
      <c r="C152" s="15">
        <v>370</v>
      </c>
      <c r="D152" s="15">
        <v>377.46</v>
      </c>
      <c r="E152" s="15">
        <v>370</v>
      </c>
      <c r="F152" s="15">
        <v>377.43</v>
      </c>
      <c r="G152" s="15">
        <v>370</v>
      </c>
      <c r="H152" s="18">
        <v>1864.89</v>
      </c>
      <c r="I152" s="58"/>
      <c r="J152" s="58"/>
      <c r="K152" s="15">
        <v>6388.7500000000009</v>
      </c>
    </row>
    <row r="153" spans="1:11" customFormat="1">
      <c r="A153" s="8" t="s">
        <v>159</v>
      </c>
      <c r="B153" s="15">
        <v>320</v>
      </c>
      <c r="C153" s="15">
        <v>640</v>
      </c>
      <c r="D153" s="15">
        <v>1512</v>
      </c>
      <c r="E153" s="15">
        <v>756</v>
      </c>
      <c r="F153" s="15">
        <v>1344</v>
      </c>
      <c r="G153" s="15">
        <v>1764</v>
      </c>
      <c r="H153" s="18">
        <v>6016</v>
      </c>
      <c r="I153" s="58"/>
      <c r="J153" s="58"/>
      <c r="K153" s="15">
        <v>6336</v>
      </c>
    </row>
    <row r="154" spans="1:11" customFormat="1">
      <c r="A154" s="8" t="s">
        <v>160</v>
      </c>
      <c r="B154" s="15">
        <v>3040</v>
      </c>
      <c r="C154" s="15">
        <v>1200</v>
      </c>
      <c r="D154" s="15">
        <v>1200</v>
      </c>
      <c r="E154" s="15">
        <v>640</v>
      </c>
      <c r="F154" s="15"/>
      <c r="G154" s="15">
        <v>240</v>
      </c>
      <c r="H154" s="18">
        <v>3280</v>
      </c>
      <c r="I154" s="58"/>
      <c r="J154" s="58"/>
      <c r="K154" s="15">
        <v>6320</v>
      </c>
    </row>
    <row r="155" spans="1:11" customFormat="1">
      <c r="A155" s="8" t="s">
        <v>161</v>
      </c>
      <c r="B155" s="15">
        <v>1920</v>
      </c>
      <c r="C155" s="15">
        <v>800</v>
      </c>
      <c r="D155" s="15">
        <v>840</v>
      </c>
      <c r="E155" s="15">
        <v>756</v>
      </c>
      <c r="F155" s="15">
        <v>1008</v>
      </c>
      <c r="G155" s="15">
        <v>840</v>
      </c>
      <c r="H155" s="18">
        <v>4244</v>
      </c>
      <c r="I155" s="58"/>
      <c r="J155" s="58"/>
      <c r="K155" s="15">
        <v>6164</v>
      </c>
    </row>
    <row r="156" spans="1:11" customFormat="1">
      <c r="A156" s="8" t="s">
        <v>162</v>
      </c>
      <c r="B156" s="15">
        <v>6148.7800000000007</v>
      </c>
      <c r="C156" s="15"/>
      <c r="D156" s="15"/>
      <c r="E156" s="15"/>
      <c r="F156" s="15"/>
      <c r="G156" s="15"/>
      <c r="H156" s="18"/>
      <c r="I156" s="58"/>
      <c r="J156" s="58"/>
      <c r="K156" s="15">
        <v>6148.7800000000007</v>
      </c>
    </row>
    <row r="157" spans="1:11" customFormat="1">
      <c r="A157" s="8" t="s">
        <v>163</v>
      </c>
      <c r="B157" s="15">
        <v>6120</v>
      </c>
      <c r="C157" s="15"/>
      <c r="D157" s="15"/>
      <c r="E157" s="15"/>
      <c r="F157" s="15"/>
      <c r="G157" s="15"/>
      <c r="H157" s="18"/>
      <c r="I157" s="58"/>
      <c r="J157" s="58"/>
      <c r="K157" s="15">
        <v>6120</v>
      </c>
    </row>
    <row r="158" spans="1:11" customFormat="1">
      <c r="A158" s="8" t="s">
        <v>164</v>
      </c>
      <c r="B158" s="15">
        <v>4506.49</v>
      </c>
      <c r="C158" s="15"/>
      <c r="D158" s="15">
        <v>389.85</v>
      </c>
      <c r="E158" s="15">
        <v>771.36</v>
      </c>
      <c r="F158" s="15"/>
      <c r="G158" s="15">
        <v>391.33</v>
      </c>
      <c r="H158" s="18">
        <v>1552.54</v>
      </c>
      <c r="I158" s="58"/>
      <c r="J158" s="58"/>
      <c r="K158" s="15">
        <v>6059.03</v>
      </c>
    </row>
    <row r="159" spans="1:11" customFormat="1">
      <c r="A159" s="8" t="s">
        <v>165</v>
      </c>
      <c r="B159" s="15">
        <v>3950.7</v>
      </c>
      <c r="C159" s="15">
        <v>1996.8</v>
      </c>
      <c r="D159" s="15"/>
      <c r="E159" s="15"/>
      <c r="F159" s="15"/>
      <c r="G159" s="15"/>
      <c r="H159" s="18">
        <v>1996.8</v>
      </c>
      <c r="I159" s="58"/>
      <c r="J159" s="58"/>
      <c r="K159" s="15">
        <v>5947.5</v>
      </c>
    </row>
    <row r="160" spans="1:11" customFormat="1">
      <c r="A160" s="8" t="s">
        <v>166</v>
      </c>
      <c r="B160" s="15">
        <v>5844.26</v>
      </c>
      <c r="C160" s="15"/>
      <c r="D160" s="15"/>
      <c r="E160" s="15"/>
      <c r="F160" s="15"/>
      <c r="G160" s="15"/>
      <c r="H160" s="18"/>
      <c r="I160" s="58"/>
      <c r="J160" s="58"/>
      <c r="K160" s="15">
        <v>5844.26</v>
      </c>
    </row>
    <row r="161" spans="1:11" customFormat="1">
      <c r="A161" s="8" t="s">
        <v>167</v>
      </c>
      <c r="B161" s="15"/>
      <c r="C161" s="15"/>
      <c r="D161" s="15"/>
      <c r="E161" s="15">
        <v>376.4</v>
      </c>
      <c r="F161" s="15">
        <v>2917.94</v>
      </c>
      <c r="G161" s="15">
        <v>2525.42</v>
      </c>
      <c r="H161" s="18">
        <v>5819.76</v>
      </c>
      <c r="I161" s="58"/>
      <c r="J161" s="58"/>
      <c r="K161" s="15">
        <v>5819.76</v>
      </c>
    </row>
    <row r="162" spans="1:11" customFormat="1">
      <c r="A162" s="45" t="s">
        <v>137</v>
      </c>
      <c r="B162" s="15"/>
      <c r="C162" s="15"/>
      <c r="D162" s="15"/>
      <c r="E162" s="15"/>
      <c r="F162" s="15">
        <v>1457.92</v>
      </c>
      <c r="G162" s="15">
        <v>1776</v>
      </c>
      <c r="H162" s="18">
        <v>3233.92</v>
      </c>
      <c r="I162" s="58"/>
      <c r="J162" s="58"/>
      <c r="K162" s="15">
        <v>3233.92</v>
      </c>
    </row>
    <row r="163" spans="1:11" customFormat="1">
      <c r="A163" s="45" t="s">
        <v>138</v>
      </c>
      <c r="B163" s="15"/>
      <c r="C163" s="15"/>
      <c r="D163" s="15"/>
      <c r="E163" s="15"/>
      <c r="F163" s="15">
        <v>255.42000000000002</v>
      </c>
      <c r="G163" s="15">
        <v>255.42000000000002</v>
      </c>
      <c r="H163" s="18">
        <v>510.84000000000003</v>
      </c>
      <c r="I163" s="58"/>
      <c r="J163" s="58"/>
      <c r="K163" s="15">
        <v>510.84000000000003</v>
      </c>
    </row>
    <row r="164" spans="1:11" customFormat="1">
      <c r="A164" s="45" t="s">
        <v>139</v>
      </c>
      <c r="B164" s="15"/>
      <c r="C164" s="15"/>
      <c r="D164" s="15"/>
      <c r="E164" s="15">
        <v>268.39999999999998</v>
      </c>
      <c r="F164" s="15">
        <v>280.60000000000002</v>
      </c>
      <c r="G164" s="59">
        <v>244</v>
      </c>
      <c r="H164" s="18">
        <v>793</v>
      </c>
      <c r="I164" s="58"/>
      <c r="J164" s="58"/>
      <c r="K164" s="15">
        <v>793</v>
      </c>
    </row>
    <row r="165" spans="1:11" customFormat="1">
      <c r="A165" s="45" t="s">
        <v>141</v>
      </c>
      <c r="B165" s="15"/>
      <c r="C165" s="15"/>
      <c r="D165" s="15"/>
      <c r="E165" s="15">
        <v>108</v>
      </c>
      <c r="F165" s="15">
        <v>924</v>
      </c>
      <c r="G165" s="15">
        <v>250</v>
      </c>
      <c r="H165" s="18">
        <v>1282</v>
      </c>
      <c r="I165" s="58"/>
      <c r="J165" s="58"/>
      <c r="K165" s="15">
        <v>1282</v>
      </c>
    </row>
    <row r="166" spans="1:11" customFormat="1">
      <c r="A166" s="8" t="s">
        <v>168</v>
      </c>
      <c r="B166" s="15">
        <v>2480</v>
      </c>
      <c r="C166" s="15">
        <v>560</v>
      </c>
      <c r="D166" s="15">
        <v>1008</v>
      </c>
      <c r="E166" s="15">
        <v>252</v>
      </c>
      <c r="F166" s="15">
        <v>1092</v>
      </c>
      <c r="G166" s="15">
        <v>420</v>
      </c>
      <c r="H166" s="18">
        <v>3332</v>
      </c>
      <c r="I166" s="58"/>
      <c r="J166" s="58"/>
      <c r="K166" s="15">
        <v>5812</v>
      </c>
    </row>
    <row r="167" spans="1:11" customFormat="1">
      <c r="A167" s="8" t="s">
        <v>169</v>
      </c>
      <c r="B167" s="15">
        <v>4135.2000000000007</v>
      </c>
      <c r="C167" s="15">
        <v>276.26</v>
      </c>
      <c r="D167" s="15">
        <v>276.26</v>
      </c>
      <c r="E167" s="15">
        <v>276.60000000000002</v>
      </c>
      <c r="F167" s="15">
        <v>276.26</v>
      </c>
      <c r="G167" s="15">
        <v>290.61</v>
      </c>
      <c r="H167" s="18">
        <v>1395.9900000000002</v>
      </c>
      <c r="I167" s="58"/>
      <c r="J167" s="58"/>
      <c r="K167" s="15">
        <v>5531.1900000000014</v>
      </c>
    </row>
    <row r="168" spans="1:11" customFormat="1">
      <c r="A168" s="8" t="s">
        <v>170</v>
      </c>
      <c r="B168" s="15">
        <v>5440</v>
      </c>
      <c r="C168" s="15"/>
      <c r="D168" s="15"/>
      <c r="E168" s="15"/>
      <c r="F168" s="15"/>
      <c r="G168" s="15"/>
      <c r="H168" s="18"/>
      <c r="I168" s="58"/>
      <c r="J168" s="58"/>
      <c r="K168" s="15">
        <v>5440</v>
      </c>
    </row>
    <row r="169" spans="1:11" customFormat="1">
      <c r="A169" s="8" t="s">
        <v>171</v>
      </c>
      <c r="B169" s="15">
        <v>5438.4699999999993</v>
      </c>
      <c r="C169" s="15"/>
      <c r="D169" s="15"/>
      <c r="E169" s="15"/>
      <c r="F169" s="15"/>
      <c r="G169" s="15"/>
      <c r="H169" s="18"/>
      <c r="I169" s="58"/>
      <c r="J169" s="58"/>
      <c r="K169" s="15">
        <v>5438.4699999999993</v>
      </c>
    </row>
    <row r="170" spans="1:11" customFormat="1">
      <c r="A170" s="8" t="s">
        <v>172</v>
      </c>
      <c r="B170" s="15">
        <v>4800</v>
      </c>
      <c r="C170" s="15"/>
      <c r="D170" s="15">
        <v>320</v>
      </c>
      <c r="E170" s="15"/>
      <c r="F170" s="15"/>
      <c r="G170" s="15"/>
      <c r="H170" s="18">
        <v>320</v>
      </c>
      <c r="I170" s="58"/>
      <c r="J170" s="58"/>
      <c r="K170" s="15">
        <v>5120</v>
      </c>
    </row>
    <row r="171" spans="1:11" customFormat="1">
      <c r="A171" s="8" t="s">
        <v>173</v>
      </c>
      <c r="B171" s="15">
        <v>5016.3999999999996</v>
      </c>
      <c r="C171" s="15"/>
      <c r="D171" s="15"/>
      <c r="E171" s="15"/>
      <c r="F171" s="15"/>
      <c r="G171" s="15"/>
      <c r="H171" s="18"/>
      <c r="I171" s="58"/>
      <c r="J171" s="58"/>
      <c r="K171" s="15">
        <v>5016.3999999999996</v>
      </c>
    </row>
    <row r="172" spans="1:11" customFormat="1">
      <c r="A172" s="8" t="s">
        <v>174</v>
      </c>
      <c r="B172" s="15">
        <v>4960</v>
      </c>
      <c r="C172" s="15"/>
      <c r="D172" s="15"/>
      <c r="E172" s="15"/>
      <c r="F172" s="15"/>
      <c r="G172" s="15"/>
      <c r="H172" s="18"/>
      <c r="I172" s="58"/>
      <c r="J172" s="58"/>
      <c r="K172" s="15">
        <v>4960</v>
      </c>
    </row>
    <row r="173" spans="1:11" customFormat="1">
      <c r="A173" s="8" t="s">
        <v>175</v>
      </c>
      <c r="B173" s="15">
        <v>1360</v>
      </c>
      <c r="C173" s="15">
        <v>640</v>
      </c>
      <c r="D173" s="15">
        <v>924</v>
      </c>
      <c r="E173" s="15">
        <v>504</v>
      </c>
      <c r="F173" s="15">
        <v>1008</v>
      </c>
      <c r="G173" s="15">
        <v>420</v>
      </c>
      <c r="H173" s="18">
        <v>3496</v>
      </c>
      <c r="I173" s="58"/>
      <c r="J173" s="58"/>
      <c r="K173" s="15">
        <v>4856</v>
      </c>
    </row>
    <row r="174" spans="1:11" customFormat="1">
      <c r="A174" s="8" t="s">
        <v>176</v>
      </c>
      <c r="B174" s="15">
        <v>3339.38</v>
      </c>
      <c r="C174" s="15"/>
      <c r="D174" s="15">
        <v>475.32</v>
      </c>
      <c r="E174" s="15">
        <v>475.32</v>
      </c>
      <c r="F174" s="15">
        <v>475.32</v>
      </c>
      <c r="G174" s="15"/>
      <c r="H174" s="18">
        <v>1425.96</v>
      </c>
      <c r="I174" s="58"/>
      <c r="J174" s="58"/>
      <c r="K174" s="15">
        <v>4765.34</v>
      </c>
    </row>
    <row r="175" spans="1:11" customFormat="1">
      <c r="A175" s="8" t="s">
        <v>177</v>
      </c>
      <c r="B175" s="15">
        <v>4494.8</v>
      </c>
      <c r="C175" s="15"/>
      <c r="D175" s="15"/>
      <c r="E175" s="15">
        <v>40</v>
      </c>
      <c r="F175" s="15"/>
      <c r="G175" s="15">
        <v>220</v>
      </c>
      <c r="H175" s="18">
        <v>260</v>
      </c>
      <c r="I175" s="58"/>
      <c r="J175" s="58"/>
      <c r="K175" s="15">
        <v>4754.8</v>
      </c>
    </row>
    <row r="176" spans="1:11" customFormat="1">
      <c r="A176" s="8" t="s">
        <v>178</v>
      </c>
      <c r="B176" s="15">
        <v>4751.34</v>
      </c>
      <c r="C176" s="15"/>
      <c r="D176" s="15"/>
      <c r="E176" s="15"/>
      <c r="F176" s="15"/>
      <c r="G176" s="15"/>
      <c r="H176" s="18"/>
      <c r="I176" s="58"/>
      <c r="J176" s="58"/>
      <c r="K176" s="15">
        <v>4751.34</v>
      </c>
    </row>
    <row r="177" spans="1:11" customFormat="1">
      <c r="A177" s="8" t="s">
        <v>179</v>
      </c>
      <c r="B177" s="15">
        <v>4511.0400000000009</v>
      </c>
      <c r="C177" s="15"/>
      <c r="D177" s="15"/>
      <c r="E177" s="15"/>
      <c r="F177" s="15"/>
      <c r="G177" s="15"/>
      <c r="H177" s="18"/>
      <c r="I177" s="58"/>
      <c r="J177" s="58"/>
      <c r="K177" s="15">
        <v>4511.0400000000009</v>
      </c>
    </row>
    <row r="178" spans="1:11" customFormat="1">
      <c r="A178" s="8" t="s">
        <v>180</v>
      </c>
      <c r="B178" s="15">
        <v>4500</v>
      </c>
      <c r="C178" s="15"/>
      <c r="D178" s="15"/>
      <c r="E178" s="15"/>
      <c r="F178" s="15"/>
      <c r="G178" s="15"/>
      <c r="H178" s="18"/>
      <c r="I178" s="58"/>
      <c r="J178" s="58"/>
      <c r="K178" s="15">
        <v>4500</v>
      </c>
    </row>
    <row r="179" spans="1:11" customFormat="1">
      <c r="A179" s="8" t="s">
        <v>181</v>
      </c>
      <c r="B179" s="15">
        <v>4403</v>
      </c>
      <c r="C179" s="15"/>
      <c r="D179" s="15"/>
      <c r="E179" s="15"/>
      <c r="F179" s="15"/>
      <c r="G179" s="15"/>
      <c r="H179" s="18"/>
      <c r="I179" s="58"/>
      <c r="J179" s="58"/>
      <c r="K179" s="15">
        <v>4403</v>
      </c>
    </row>
    <row r="180" spans="1:11" customFormat="1">
      <c r="A180" s="8" t="s">
        <v>182</v>
      </c>
      <c r="B180" s="15"/>
      <c r="C180" s="15"/>
      <c r="D180" s="15">
        <v>480</v>
      </c>
      <c r="E180" s="15">
        <v>840</v>
      </c>
      <c r="F180" s="15">
        <v>1440</v>
      </c>
      <c r="G180" s="15">
        <v>1560</v>
      </c>
      <c r="H180" s="18">
        <v>4320</v>
      </c>
      <c r="I180" s="58"/>
      <c r="J180" s="58"/>
      <c r="K180" s="15">
        <v>4320</v>
      </c>
    </row>
    <row r="181" spans="1:11" customFormat="1">
      <c r="A181" s="45" t="s">
        <v>183</v>
      </c>
      <c r="B181" s="15"/>
      <c r="C181" s="15"/>
      <c r="D181" s="15">
        <v>480</v>
      </c>
      <c r="E181" s="15">
        <v>840</v>
      </c>
      <c r="F181" s="15">
        <v>1440</v>
      </c>
      <c r="G181" s="15">
        <v>1560</v>
      </c>
      <c r="H181" s="18">
        <v>4320</v>
      </c>
      <c r="I181" s="58"/>
      <c r="J181" s="58"/>
      <c r="K181" s="15">
        <v>4320</v>
      </c>
    </row>
    <row r="182" spans="1:11" customFormat="1">
      <c r="A182" s="8" t="s">
        <v>184</v>
      </c>
      <c r="B182" s="15">
        <v>2423.86</v>
      </c>
      <c r="C182" s="15">
        <v>68.67</v>
      </c>
      <c r="D182" s="15"/>
      <c r="E182" s="15">
        <v>185.94</v>
      </c>
      <c r="F182" s="15">
        <v>634.96</v>
      </c>
      <c r="G182" s="15">
        <v>920.28000000000009</v>
      </c>
      <c r="H182" s="18">
        <v>1809.8500000000001</v>
      </c>
      <c r="I182" s="58"/>
      <c r="J182" s="58"/>
      <c r="K182" s="15">
        <v>4233.71</v>
      </c>
    </row>
    <row r="183" spans="1:11" customFormat="1">
      <c r="A183" s="8" t="s">
        <v>185</v>
      </c>
      <c r="B183" s="15"/>
      <c r="C183" s="15"/>
      <c r="D183" s="15"/>
      <c r="E183" s="15">
        <v>207.4</v>
      </c>
      <c r="F183" s="15">
        <v>1676.26</v>
      </c>
      <c r="G183" s="15">
        <v>2335.42</v>
      </c>
      <c r="H183" s="18">
        <v>4219.08</v>
      </c>
      <c r="I183" s="58"/>
      <c r="J183" s="58"/>
      <c r="K183" s="15">
        <v>4219.08</v>
      </c>
    </row>
    <row r="184" spans="1:11" customFormat="1">
      <c r="A184" s="45" t="s">
        <v>137</v>
      </c>
      <c r="B184" s="15"/>
      <c r="C184" s="15"/>
      <c r="D184" s="15"/>
      <c r="E184" s="15"/>
      <c r="F184" s="15">
        <v>1128.04</v>
      </c>
      <c r="G184" s="15">
        <v>1725</v>
      </c>
      <c r="H184" s="18">
        <v>2853.04</v>
      </c>
      <c r="I184" s="58"/>
      <c r="J184" s="58"/>
      <c r="K184" s="15">
        <v>2853.04</v>
      </c>
    </row>
    <row r="185" spans="1:11" customFormat="1">
      <c r="A185" s="45" t="s">
        <v>138</v>
      </c>
      <c r="B185" s="15"/>
      <c r="C185" s="15"/>
      <c r="D185" s="15"/>
      <c r="E185" s="15"/>
      <c r="F185" s="15">
        <v>255.42000000000002</v>
      </c>
      <c r="G185" s="15">
        <v>255.42000000000002</v>
      </c>
      <c r="H185" s="18">
        <v>510.84000000000003</v>
      </c>
      <c r="I185" s="58"/>
      <c r="J185" s="58"/>
      <c r="K185" s="15">
        <v>510.84000000000003</v>
      </c>
    </row>
    <row r="186" spans="1:11" customFormat="1">
      <c r="A186" s="45" t="s">
        <v>139</v>
      </c>
      <c r="B186" s="15"/>
      <c r="C186" s="15"/>
      <c r="D186" s="15"/>
      <c r="E186" s="15">
        <v>207.4</v>
      </c>
      <c r="F186" s="15">
        <v>292.8</v>
      </c>
      <c r="G186" s="59">
        <v>305</v>
      </c>
      <c r="H186" s="18">
        <v>805.2</v>
      </c>
      <c r="I186" s="58"/>
      <c r="J186" s="58"/>
      <c r="K186" s="15">
        <v>805.2</v>
      </c>
    </row>
    <row r="187" spans="1:11" customFormat="1">
      <c r="A187" s="45" t="s">
        <v>141</v>
      </c>
      <c r="B187" s="15"/>
      <c r="C187" s="15"/>
      <c r="D187" s="15"/>
      <c r="E187" s="15"/>
      <c r="F187" s="15"/>
      <c r="G187" s="15">
        <v>50</v>
      </c>
      <c r="H187" s="18">
        <v>50</v>
      </c>
      <c r="I187" s="58"/>
      <c r="J187" s="58"/>
      <c r="K187" s="15">
        <v>50</v>
      </c>
    </row>
    <row r="188" spans="1:11" customFormat="1">
      <c r="A188" s="8" t="s">
        <v>186</v>
      </c>
      <c r="B188" s="15">
        <v>4207.95</v>
      </c>
      <c r="C188" s="15"/>
      <c r="D188" s="15"/>
      <c r="E188" s="15"/>
      <c r="F188" s="15"/>
      <c r="G188" s="15"/>
      <c r="H188" s="18"/>
      <c r="I188" s="58"/>
      <c r="J188" s="58"/>
      <c r="K188" s="15">
        <v>4207.95</v>
      </c>
    </row>
    <row r="189" spans="1:11" customFormat="1">
      <c r="A189" s="8" t="s">
        <v>187</v>
      </c>
      <c r="B189" s="15">
        <v>4080</v>
      </c>
      <c r="C189" s="15"/>
      <c r="D189" s="15"/>
      <c r="E189" s="15"/>
      <c r="F189" s="15"/>
      <c r="G189" s="15"/>
      <c r="H189" s="18"/>
      <c r="I189" s="58"/>
      <c r="J189" s="58"/>
      <c r="K189" s="15">
        <v>4080</v>
      </c>
    </row>
    <row r="190" spans="1:11" customFormat="1">
      <c r="A190" s="8" t="s">
        <v>188</v>
      </c>
      <c r="B190" s="15">
        <v>4075.82</v>
      </c>
      <c r="C190" s="15"/>
      <c r="D190" s="15"/>
      <c r="E190" s="15"/>
      <c r="F190" s="15"/>
      <c r="G190" s="15"/>
      <c r="H190" s="18"/>
      <c r="I190" s="58"/>
      <c r="J190" s="58"/>
      <c r="K190" s="15">
        <v>4075.82</v>
      </c>
    </row>
    <row r="191" spans="1:11" customFormat="1">
      <c r="A191" s="8" t="s">
        <v>189</v>
      </c>
      <c r="B191" s="15">
        <v>1530.4</v>
      </c>
      <c r="C191" s="15"/>
      <c r="D191" s="15"/>
      <c r="E191" s="15">
        <v>2536</v>
      </c>
      <c r="F191" s="15"/>
      <c r="G191" s="15"/>
      <c r="H191" s="18">
        <v>2536</v>
      </c>
      <c r="I191" s="58"/>
      <c r="J191" s="58"/>
      <c r="K191" s="15">
        <v>4066.4</v>
      </c>
    </row>
    <row r="192" spans="1:11" customFormat="1">
      <c r="A192" s="8" t="s">
        <v>190</v>
      </c>
      <c r="B192" s="15">
        <v>4050</v>
      </c>
      <c r="C192" s="15"/>
      <c r="D192" s="15"/>
      <c r="E192" s="15"/>
      <c r="F192" s="15"/>
      <c r="G192" s="15"/>
      <c r="H192" s="18"/>
      <c r="I192" s="58"/>
      <c r="J192" s="58"/>
      <c r="K192" s="15">
        <v>4050</v>
      </c>
    </row>
    <row r="193" spans="1:11" customFormat="1">
      <c r="A193" s="8" t="s">
        <v>191</v>
      </c>
      <c r="B193" s="15">
        <v>4006.5</v>
      </c>
      <c r="C193" s="15"/>
      <c r="D193" s="15"/>
      <c r="E193" s="15"/>
      <c r="F193" s="15"/>
      <c r="G193" s="15"/>
      <c r="H193" s="18"/>
      <c r="I193" s="58"/>
      <c r="J193" s="58"/>
      <c r="K193" s="15">
        <v>4006.5</v>
      </c>
    </row>
    <row r="194" spans="1:11" customFormat="1">
      <c r="A194" s="8" t="s">
        <v>192</v>
      </c>
      <c r="B194" s="15"/>
      <c r="C194" s="15"/>
      <c r="D194" s="15"/>
      <c r="E194" s="15"/>
      <c r="F194" s="15"/>
      <c r="G194" s="15">
        <v>3995.6800000000003</v>
      </c>
      <c r="H194" s="18">
        <v>3995.6800000000003</v>
      </c>
      <c r="I194" s="58"/>
      <c r="J194" s="58"/>
      <c r="K194" s="15">
        <v>3995.6800000000003</v>
      </c>
    </row>
    <row r="195" spans="1:11" customFormat="1">
      <c r="A195" s="45" t="s">
        <v>193</v>
      </c>
      <c r="B195" s="15"/>
      <c r="C195" s="15"/>
      <c r="D195" s="15"/>
      <c r="E195" s="15"/>
      <c r="F195" s="15"/>
      <c r="G195" s="15">
        <v>3995.6800000000003</v>
      </c>
      <c r="H195" s="18">
        <v>3995.6800000000003</v>
      </c>
      <c r="I195" s="58"/>
      <c r="J195" s="58"/>
      <c r="K195" s="15">
        <v>3995.6800000000003</v>
      </c>
    </row>
    <row r="196" spans="1:11" customFormat="1">
      <c r="A196" s="8" t="s">
        <v>194</v>
      </c>
      <c r="B196" s="15">
        <v>2837.4000000000005</v>
      </c>
      <c r="C196" s="15">
        <v>217.76</v>
      </c>
      <c r="D196" s="15">
        <v>217.76</v>
      </c>
      <c r="E196" s="15">
        <v>217.76</v>
      </c>
      <c r="F196" s="15">
        <v>217.76</v>
      </c>
      <c r="G196" s="15">
        <v>222.38</v>
      </c>
      <c r="H196" s="18">
        <v>1093.42</v>
      </c>
      <c r="I196" s="58"/>
      <c r="J196" s="58"/>
      <c r="K196" s="15">
        <v>3930.8200000000015</v>
      </c>
    </row>
    <row r="197" spans="1:11" customFormat="1">
      <c r="A197" s="8" t="s">
        <v>195</v>
      </c>
      <c r="B197" s="15"/>
      <c r="C197" s="15"/>
      <c r="D197" s="15"/>
      <c r="E197" s="15">
        <v>1165</v>
      </c>
      <c r="F197" s="15">
        <v>2765.1</v>
      </c>
      <c r="G197" s="15"/>
      <c r="H197" s="18">
        <v>3930.1</v>
      </c>
      <c r="I197" s="58"/>
      <c r="J197" s="58"/>
      <c r="K197" s="15">
        <v>3930.1</v>
      </c>
    </row>
    <row r="198" spans="1:11" customFormat="1">
      <c r="A198" s="45" t="s">
        <v>183</v>
      </c>
      <c r="B198" s="15"/>
      <c r="C198" s="15"/>
      <c r="D198" s="15"/>
      <c r="E198" s="15">
        <v>1165</v>
      </c>
      <c r="F198" s="15">
        <v>2765.1</v>
      </c>
      <c r="G198" s="15"/>
      <c r="H198" s="18">
        <v>3930.1</v>
      </c>
      <c r="I198" s="58"/>
      <c r="J198" s="58"/>
      <c r="K198" s="15">
        <v>3930.1</v>
      </c>
    </row>
    <row r="199" spans="1:11" customFormat="1">
      <c r="A199" s="8" t="s">
        <v>196</v>
      </c>
      <c r="B199" s="15">
        <v>3922.4</v>
      </c>
      <c r="C199" s="15"/>
      <c r="D199" s="15"/>
      <c r="E199" s="15"/>
      <c r="F199" s="15"/>
      <c r="G199" s="15"/>
      <c r="H199" s="18"/>
      <c r="I199" s="58"/>
      <c r="J199" s="58"/>
      <c r="K199" s="15">
        <v>3922.4</v>
      </c>
    </row>
    <row r="200" spans="1:11" customFormat="1">
      <c r="A200" s="8" t="s">
        <v>197</v>
      </c>
      <c r="B200" s="15"/>
      <c r="C200" s="15">
        <v>240</v>
      </c>
      <c r="D200" s="15">
        <v>672</v>
      </c>
      <c r="E200" s="15">
        <v>588</v>
      </c>
      <c r="F200" s="15">
        <v>1008</v>
      </c>
      <c r="G200" s="15">
        <v>1344</v>
      </c>
      <c r="H200" s="18">
        <v>3852</v>
      </c>
      <c r="I200" s="58"/>
      <c r="J200" s="58"/>
      <c r="K200" s="15">
        <v>3852</v>
      </c>
    </row>
    <row r="201" spans="1:11" customFormat="1">
      <c r="A201" s="8" t="s">
        <v>198</v>
      </c>
      <c r="B201" s="15">
        <v>3782.9</v>
      </c>
      <c r="C201" s="15"/>
      <c r="D201" s="15"/>
      <c r="E201" s="15"/>
      <c r="F201" s="15"/>
      <c r="G201" s="15"/>
      <c r="H201" s="18"/>
      <c r="I201" s="58"/>
      <c r="J201" s="58"/>
      <c r="K201" s="15">
        <v>3782.9</v>
      </c>
    </row>
    <row r="202" spans="1:11" customFormat="1">
      <c r="A202" s="8" t="s">
        <v>199</v>
      </c>
      <c r="B202" s="15"/>
      <c r="C202" s="15"/>
      <c r="D202" s="15"/>
      <c r="E202" s="15"/>
      <c r="F202" s="15">
        <v>3744</v>
      </c>
      <c r="G202" s="15"/>
      <c r="H202" s="18">
        <v>3744</v>
      </c>
      <c r="I202" s="58"/>
      <c r="J202" s="58"/>
      <c r="K202" s="15">
        <v>3744</v>
      </c>
    </row>
    <row r="203" spans="1:11" customFormat="1">
      <c r="A203" s="45" t="s">
        <v>200</v>
      </c>
      <c r="B203" s="15"/>
      <c r="C203" s="15"/>
      <c r="D203" s="15"/>
      <c r="E203" s="15"/>
      <c r="F203" s="15">
        <v>2184</v>
      </c>
      <c r="G203" s="15"/>
      <c r="H203" s="18">
        <v>2184</v>
      </c>
      <c r="I203" s="58"/>
      <c r="J203" s="58"/>
      <c r="K203" s="15">
        <v>2184</v>
      </c>
    </row>
    <row r="204" spans="1:11" customFormat="1">
      <c r="A204" s="45" t="s">
        <v>201</v>
      </c>
      <c r="B204" s="15"/>
      <c r="C204" s="15"/>
      <c r="D204" s="15"/>
      <c r="E204" s="15"/>
      <c r="F204" s="15">
        <v>1560</v>
      </c>
      <c r="G204" s="15"/>
      <c r="H204" s="18">
        <v>1560</v>
      </c>
      <c r="I204" s="58"/>
      <c r="J204" s="58"/>
      <c r="K204" s="15">
        <v>1560</v>
      </c>
    </row>
    <row r="205" spans="1:11" customFormat="1">
      <c r="A205" s="8" t="s">
        <v>202</v>
      </c>
      <c r="B205" s="15">
        <v>242</v>
      </c>
      <c r="C205" s="15">
        <v>519.42000000000007</v>
      </c>
      <c r="D205" s="15">
        <v>2178.42</v>
      </c>
      <c r="E205" s="15">
        <v>792.58</v>
      </c>
      <c r="F205" s="15"/>
      <c r="G205" s="15"/>
      <c r="H205" s="18">
        <v>3490.42</v>
      </c>
      <c r="I205" s="58"/>
      <c r="J205" s="58"/>
      <c r="K205" s="15">
        <v>3732.42</v>
      </c>
    </row>
    <row r="206" spans="1:11" customFormat="1">
      <c r="A206" s="8" t="s">
        <v>203</v>
      </c>
      <c r="B206" s="15"/>
      <c r="C206" s="15"/>
      <c r="D206" s="15"/>
      <c r="E206" s="15">
        <v>183</v>
      </c>
      <c r="F206" s="15">
        <v>1430.94</v>
      </c>
      <c r="G206" s="15">
        <v>2109.3200000000002</v>
      </c>
      <c r="H206" s="18">
        <v>3723.26</v>
      </c>
      <c r="I206" s="58"/>
      <c r="J206" s="58"/>
      <c r="K206" s="15">
        <v>3723.26</v>
      </c>
    </row>
    <row r="207" spans="1:11" customFormat="1">
      <c r="A207" s="45" t="s">
        <v>137</v>
      </c>
      <c r="B207" s="15"/>
      <c r="C207" s="15"/>
      <c r="D207" s="15"/>
      <c r="E207" s="15"/>
      <c r="F207" s="15">
        <v>931.52</v>
      </c>
      <c r="G207" s="15"/>
      <c r="H207" s="18">
        <v>931.52</v>
      </c>
      <c r="I207" s="58"/>
      <c r="J207" s="58"/>
      <c r="K207" s="15">
        <v>931.52</v>
      </c>
    </row>
    <row r="208" spans="1:11" customFormat="1">
      <c r="A208" s="45" t="s">
        <v>204</v>
      </c>
      <c r="B208" s="15"/>
      <c r="C208" s="15"/>
      <c r="D208" s="15"/>
      <c r="E208" s="15"/>
      <c r="F208" s="15"/>
      <c r="G208" s="15">
        <v>2002.16</v>
      </c>
      <c r="H208" s="18">
        <v>2002.16</v>
      </c>
      <c r="I208" s="58"/>
      <c r="J208" s="58"/>
      <c r="K208" s="15">
        <v>2002.16</v>
      </c>
    </row>
    <row r="209" spans="1:11" customFormat="1">
      <c r="A209" s="45" t="s">
        <v>138</v>
      </c>
      <c r="B209" s="15"/>
      <c r="C209" s="15"/>
      <c r="D209" s="15"/>
      <c r="E209" s="15"/>
      <c r="F209" s="15">
        <v>255.42000000000002</v>
      </c>
      <c r="G209" s="15">
        <v>107.16</v>
      </c>
      <c r="H209" s="18">
        <v>362.58000000000004</v>
      </c>
      <c r="I209" s="58"/>
      <c r="J209" s="58"/>
      <c r="K209" s="15">
        <v>362.58000000000004</v>
      </c>
    </row>
    <row r="210" spans="1:11" customFormat="1">
      <c r="A210" s="45" t="s">
        <v>139</v>
      </c>
      <c r="B210" s="15"/>
      <c r="C210" s="15"/>
      <c r="D210" s="15"/>
      <c r="E210" s="15">
        <v>183</v>
      </c>
      <c r="F210" s="15">
        <v>244</v>
      </c>
      <c r="G210" s="59"/>
      <c r="H210" s="18">
        <v>427</v>
      </c>
      <c r="I210" s="58"/>
      <c r="J210" s="58"/>
      <c r="K210" s="15">
        <v>427</v>
      </c>
    </row>
    <row r="211" spans="1:11" customFormat="1">
      <c r="A211" s="8" t="s">
        <v>205</v>
      </c>
      <c r="B211" s="15"/>
      <c r="C211" s="15"/>
      <c r="D211" s="15"/>
      <c r="E211" s="15"/>
      <c r="F211" s="15">
        <v>3671.23</v>
      </c>
      <c r="G211" s="15"/>
      <c r="H211" s="18">
        <v>3671.23</v>
      </c>
      <c r="I211" s="58"/>
      <c r="J211" s="58"/>
      <c r="K211" s="15">
        <v>3671.23</v>
      </c>
    </row>
    <row r="212" spans="1:11" customFormat="1">
      <c r="A212" s="45" t="s">
        <v>206</v>
      </c>
      <c r="B212" s="15"/>
      <c r="C212" s="15"/>
      <c r="D212" s="15"/>
      <c r="E212" s="15"/>
      <c r="F212" s="15">
        <v>3671.23</v>
      </c>
      <c r="G212" s="15"/>
      <c r="H212" s="18">
        <v>3671.23</v>
      </c>
      <c r="I212" s="58"/>
      <c r="J212" s="58"/>
      <c r="K212" s="15">
        <v>3671.23</v>
      </c>
    </row>
    <row r="213" spans="1:11" customFormat="1">
      <c r="A213" s="8" t="s">
        <v>207</v>
      </c>
      <c r="B213" s="15">
        <v>3560</v>
      </c>
      <c r="C213" s="15"/>
      <c r="D213" s="15"/>
      <c r="E213" s="15"/>
      <c r="F213" s="15"/>
      <c r="G213" s="15"/>
      <c r="H213" s="18"/>
      <c r="I213" s="58"/>
      <c r="J213" s="58"/>
      <c r="K213" s="15">
        <v>3560</v>
      </c>
    </row>
    <row r="214" spans="1:11" customFormat="1">
      <c r="A214" s="8" t="s">
        <v>208</v>
      </c>
      <c r="B214" s="15"/>
      <c r="C214" s="15"/>
      <c r="D214" s="15"/>
      <c r="E214" s="15">
        <v>210</v>
      </c>
      <c r="F214" s="15">
        <v>1237.82</v>
      </c>
      <c r="G214" s="15">
        <v>2109.02</v>
      </c>
      <c r="H214" s="18">
        <v>3556.84</v>
      </c>
      <c r="I214" s="58"/>
      <c r="J214" s="58"/>
      <c r="K214" s="15">
        <v>3556.84</v>
      </c>
    </row>
    <row r="215" spans="1:11" customFormat="1">
      <c r="A215" s="45" t="s">
        <v>137</v>
      </c>
      <c r="B215" s="15"/>
      <c r="C215" s="15"/>
      <c r="D215" s="15"/>
      <c r="E215" s="15"/>
      <c r="F215" s="15">
        <v>689.6</v>
      </c>
      <c r="G215" s="15">
        <v>1573</v>
      </c>
      <c r="H215" s="18">
        <v>2262.6</v>
      </c>
      <c r="I215" s="58"/>
      <c r="J215" s="58"/>
      <c r="K215" s="15">
        <v>2262.6</v>
      </c>
    </row>
    <row r="216" spans="1:11" customFormat="1">
      <c r="A216" s="45" t="s">
        <v>138</v>
      </c>
      <c r="B216" s="15"/>
      <c r="C216" s="15"/>
      <c r="D216" s="15"/>
      <c r="E216" s="15"/>
      <c r="F216" s="15">
        <v>255.42000000000002</v>
      </c>
      <c r="G216" s="15">
        <v>255.42000000000002</v>
      </c>
      <c r="H216" s="18">
        <v>510.84000000000003</v>
      </c>
      <c r="I216" s="58"/>
      <c r="J216" s="58"/>
      <c r="K216" s="15">
        <v>510.84000000000003</v>
      </c>
    </row>
    <row r="217" spans="1:11" customFormat="1">
      <c r="A217" s="45" t="s">
        <v>139</v>
      </c>
      <c r="B217" s="15"/>
      <c r="C217" s="15"/>
      <c r="D217" s="15"/>
      <c r="E217" s="15">
        <v>120</v>
      </c>
      <c r="F217" s="15">
        <v>292.8</v>
      </c>
      <c r="G217" s="59">
        <v>280.60000000000002</v>
      </c>
      <c r="H217" s="18">
        <v>693.40000000000009</v>
      </c>
      <c r="I217" s="58"/>
      <c r="J217" s="58"/>
      <c r="K217" s="15">
        <v>693.40000000000009</v>
      </c>
    </row>
    <row r="218" spans="1:11" customFormat="1">
      <c r="A218" s="45" t="s">
        <v>140</v>
      </c>
      <c r="B218" s="15"/>
      <c r="C218" s="15"/>
      <c r="D218" s="15"/>
      <c r="E218" s="15">
        <v>90</v>
      </c>
      <c r="F218" s="15"/>
      <c r="G218" s="15"/>
      <c r="H218" s="18">
        <v>90</v>
      </c>
      <c r="I218" s="58"/>
      <c r="J218" s="58"/>
      <c r="K218" s="15">
        <v>90</v>
      </c>
    </row>
    <row r="219" spans="1:11" customFormat="1">
      <c r="A219" s="8" t="s">
        <v>209</v>
      </c>
      <c r="B219" s="15"/>
      <c r="C219" s="15"/>
      <c r="D219" s="15"/>
      <c r="E219" s="15"/>
      <c r="F219" s="15">
        <v>2546.14</v>
      </c>
      <c r="G219" s="15">
        <v>990.17000000000007</v>
      </c>
      <c r="H219" s="18">
        <v>3536.31</v>
      </c>
      <c r="I219" s="58"/>
      <c r="J219" s="58"/>
      <c r="K219" s="15">
        <v>3536.31</v>
      </c>
    </row>
    <row r="220" spans="1:11" customFormat="1">
      <c r="A220" s="45" t="s">
        <v>152</v>
      </c>
      <c r="B220" s="15"/>
      <c r="C220" s="15"/>
      <c r="D220" s="15"/>
      <c r="E220" s="15"/>
      <c r="F220" s="15">
        <v>2546.14</v>
      </c>
      <c r="G220" s="15">
        <v>990.17000000000007</v>
      </c>
      <c r="H220" s="18">
        <v>3536.31</v>
      </c>
      <c r="I220" s="58"/>
      <c r="J220" s="58"/>
      <c r="K220" s="15">
        <v>3536.31</v>
      </c>
    </row>
    <row r="221" spans="1:11" customFormat="1">
      <c r="A221" s="8" t="s">
        <v>210</v>
      </c>
      <c r="B221" s="15">
        <v>3520</v>
      </c>
      <c r="C221" s="15"/>
      <c r="D221" s="15"/>
      <c r="E221" s="15"/>
      <c r="F221" s="15"/>
      <c r="G221" s="15"/>
      <c r="H221" s="18"/>
      <c r="I221" s="58"/>
      <c r="J221" s="58"/>
      <c r="K221" s="15">
        <v>3520</v>
      </c>
    </row>
    <row r="222" spans="1:11" customFormat="1">
      <c r="A222" s="8" t="s">
        <v>211</v>
      </c>
      <c r="B222" s="15">
        <v>3500.9500000000003</v>
      </c>
      <c r="C222" s="15"/>
      <c r="D222" s="15"/>
      <c r="E222" s="15"/>
      <c r="F222" s="15"/>
      <c r="G222" s="15"/>
      <c r="H222" s="18"/>
      <c r="I222" s="58"/>
      <c r="J222" s="58"/>
      <c r="K222" s="15">
        <v>3500.9500000000003</v>
      </c>
    </row>
    <row r="223" spans="1:11" customFormat="1">
      <c r="A223" s="8" t="s">
        <v>212</v>
      </c>
      <c r="B223" s="15">
        <v>2762.2899999999995</v>
      </c>
      <c r="C223" s="15">
        <v>132</v>
      </c>
      <c r="D223" s="15">
        <v>142.68</v>
      </c>
      <c r="E223" s="15">
        <v>139</v>
      </c>
      <c r="F223" s="15">
        <v>139</v>
      </c>
      <c r="G223" s="15">
        <v>139</v>
      </c>
      <c r="H223" s="18">
        <v>691.68000000000006</v>
      </c>
      <c r="I223" s="58"/>
      <c r="J223" s="58"/>
      <c r="K223" s="15">
        <v>3453.9699999999993</v>
      </c>
    </row>
    <row r="224" spans="1:11" customFormat="1">
      <c r="A224" s="8" t="s">
        <v>213</v>
      </c>
      <c r="B224" s="15">
        <v>3445.6600000000003</v>
      </c>
      <c r="C224" s="15"/>
      <c r="D224" s="15"/>
      <c r="E224" s="15"/>
      <c r="F224" s="15"/>
      <c r="G224" s="15"/>
      <c r="H224" s="18"/>
      <c r="I224" s="58"/>
      <c r="J224" s="58"/>
      <c r="K224" s="15">
        <v>3445.6600000000003</v>
      </c>
    </row>
    <row r="225" spans="1:11" customFormat="1">
      <c r="A225" s="8" t="s">
        <v>214</v>
      </c>
      <c r="B225" s="15">
        <v>3426.66</v>
      </c>
      <c r="C225" s="15"/>
      <c r="D225" s="15"/>
      <c r="E225" s="15"/>
      <c r="F225" s="15"/>
      <c r="G225" s="15"/>
      <c r="H225" s="18"/>
      <c r="I225" s="58"/>
      <c r="J225" s="58"/>
      <c r="K225" s="15">
        <v>3426.66</v>
      </c>
    </row>
    <row r="226" spans="1:11" customFormat="1">
      <c r="A226" s="8" t="s">
        <v>215</v>
      </c>
      <c r="B226" s="15">
        <v>3360</v>
      </c>
      <c r="C226" s="15"/>
      <c r="D226" s="15"/>
      <c r="E226" s="15"/>
      <c r="F226" s="15"/>
      <c r="G226" s="15"/>
      <c r="H226" s="18"/>
      <c r="I226" s="58"/>
      <c r="J226" s="58"/>
      <c r="K226" s="15">
        <v>3360</v>
      </c>
    </row>
    <row r="227" spans="1:11" customFormat="1">
      <c r="A227" s="8" t="s">
        <v>216</v>
      </c>
      <c r="B227" s="15">
        <v>3360</v>
      </c>
      <c r="C227" s="15"/>
      <c r="D227" s="15"/>
      <c r="E227" s="15"/>
      <c r="F227" s="15"/>
      <c r="G227" s="15"/>
      <c r="H227" s="18"/>
      <c r="I227" s="58"/>
      <c r="J227" s="58"/>
      <c r="K227" s="15">
        <v>3360</v>
      </c>
    </row>
    <row r="228" spans="1:11" customFormat="1">
      <c r="A228" s="8" t="s">
        <v>217</v>
      </c>
      <c r="B228" s="15">
        <v>3352.17</v>
      </c>
      <c r="C228" s="15"/>
      <c r="D228" s="15"/>
      <c r="E228" s="15"/>
      <c r="F228" s="15"/>
      <c r="G228" s="15"/>
      <c r="H228" s="18"/>
      <c r="I228" s="58"/>
      <c r="J228" s="58"/>
      <c r="K228" s="15">
        <v>3352.17</v>
      </c>
    </row>
    <row r="229" spans="1:11" customFormat="1">
      <c r="A229" s="8" t="s">
        <v>218</v>
      </c>
      <c r="B229" s="15">
        <v>3321</v>
      </c>
      <c r="C229" s="15"/>
      <c r="D229" s="15"/>
      <c r="E229" s="15"/>
      <c r="F229" s="15"/>
      <c r="G229" s="15"/>
      <c r="H229" s="18"/>
      <c r="I229" s="58"/>
      <c r="J229" s="58"/>
      <c r="K229" s="15">
        <v>3321</v>
      </c>
    </row>
    <row r="230" spans="1:11" customFormat="1">
      <c r="A230" s="8" t="s">
        <v>219</v>
      </c>
      <c r="B230" s="15">
        <v>3294.4</v>
      </c>
      <c r="C230" s="15"/>
      <c r="D230" s="15"/>
      <c r="E230" s="15"/>
      <c r="F230" s="15"/>
      <c r="G230" s="15"/>
      <c r="H230" s="18"/>
      <c r="I230" s="58"/>
      <c r="J230" s="58"/>
      <c r="K230" s="15">
        <v>3294.4</v>
      </c>
    </row>
    <row r="231" spans="1:11" customFormat="1">
      <c r="A231" s="8" t="s">
        <v>220</v>
      </c>
      <c r="B231" s="15"/>
      <c r="C231" s="15"/>
      <c r="D231" s="15"/>
      <c r="E231" s="15"/>
      <c r="F231" s="15">
        <v>1760</v>
      </c>
      <c r="G231" s="15">
        <v>1520</v>
      </c>
      <c r="H231" s="18">
        <v>3280</v>
      </c>
      <c r="I231" s="58"/>
      <c r="J231" s="58"/>
      <c r="K231" s="15">
        <v>3280</v>
      </c>
    </row>
    <row r="232" spans="1:11" customFormat="1">
      <c r="A232" s="45" t="s">
        <v>201</v>
      </c>
      <c r="B232" s="15"/>
      <c r="C232" s="15"/>
      <c r="D232" s="15"/>
      <c r="E232" s="15"/>
      <c r="F232" s="15">
        <v>1760</v>
      </c>
      <c r="G232" s="15">
        <v>1520</v>
      </c>
      <c r="H232" s="18">
        <v>3280</v>
      </c>
      <c r="I232" s="58"/>
      <c r="J232" s="58"/>
      <c r="K232" s="15">
        <v>3280</v>
      </c>
    </row>
    <row r="233" spans="1:11" customFormat="1">
      <c r="A233" s="8" t="s">
        <v>221</v>
      </c>
      <c r="B233" s="15">
        <v>3280</v>
      </c>
      <c r="C233" s="15"/>
      <c r="D233" s="15"/>
      <c r="E233" s="15"/>
      <c r="F233" s="15"/>
      <c r="G233" s="15"/>
      <c r="H233" s="18"/>
      <c r="I233" s="58"/>
      <c r="J233" s="58"/>
      <c r="K233" s="15">
        <v>3280</v>
      </c>
    </row>
    <row r="234" spans="1:11" customFormat="1">
      <c r="A234" s="8" t="s">
        <v>222</v>
      </c>
      <c r="B234" s="15">
        <v>3199.03</v>
      </c>
      <c r="C234" s="15"/>
      <c r="D234" s="15"/>
      <c r="E234" s="15"/>
      <c r="F234" s="15"/>
      <c r="G234" s="15"/>
      <c r="H234" s="18"/>
      <c r="I234" s="58"/>
      <c r="J234" s="58"/>
      <c r="K234" s="15">
        <v>3199.03</v>
      </c>
    </row>
    <row r="235" spans="1:11" customFormat="1">
      <c r="A235" s="8" t="s">
        <v>223</v>
      </c>
      <c r="B235" s="15">
        <v>2660</v>
      </c>
      <c r="C235" s="15">
        <v>480</v>
      </c>
      <c r="D235" s="15"/>
      <c r="E235" s="15"/>
      <c r="F235" s="15"/>
      <c r="G235" s="15"/>
      <c r="H235" s="18">
        <v>480</v>
      </c>
      <c r="I235" s="58"/>
      <c r="J235" s="58"/>
      <c r="K235" s="15">
        <v>3140</v>
      </c>
    </row>
    <row r="236" spans="1:11" customFormat="1">
      <c r="A236" s="8" t="s">
        <v>224</v>
      </c>
      <c r="B236" s="15">
        <v>3131.5299999999997</v>
      </c>
      <c r="C236" s="15"/>
      <c r="D236" s="15"/>
      <c r="E236" s="15"/>
      <c r="F236" s="15"/>
      <c r="G236" s="15"/>
      <c r="H236" s="18"/>
      <c r="I236" s="58"/>
      <c r="J236" s="58"/>
      <c r="K236" s="15">
        <v>3131.5299999999997</v>
      </c>
    </row>
    <row r="237" spans="1:11" customFormat="1">
      <c r="A237" s="8" t="s">
        <v>225</v>
      </c>
      <c r="B237" s="15">
        <v>2126.6400000000003</v>
      </c>
      <c r="C237" s="15">
        <v>1000</v>
      </c>
      <c r="D237" s="15"/>
      <c r="E237" s="15"/>
      <c r="F237" s="15"/>
      <c r="G237" s="15"/>
      <c r="H237" s="18">
        <v>1000</v>
      </c>
      <c r="I237" s="58"/>
      <c r="J237" s="58"/>
      <c r="K237" s="15">
        <v>3126.6400000000003</v>
      </c>
    </row>
    <row r="238" spans="1:11" customFormat="1">
      <c r="A238" s="8" t="s">
        <v>226</v>
      </c>
      <c r="B238" s="15"/>
      <c r="C238" s="15">
        <v>320</v>
      </c>
      <c r="D238" s="15">
        <v>1008</v>
      </c>
      <c r="E238" s="15">
        <v>756</v>
      </c>
      <c r="F238" s="15">
        <v>1008</v>
      </c>
      <c r="G238" s="15"/>
      <c r="H238" s="18">
        <v>3092</v>
      </c>
      <c r="I238" s="58"/>
      <c r="J238" s="58"/>
      <c r="K238" s="15">
        <v>3092</v>
      </c>
    </row>
    <row r="239" spans="1:11" customFormat="1">
      <c r="A239" s="8" t="s">
        <v>227</v>
      </c>
      <c r="B239" s="15">
        <v>3091.42</v>
      </c>
      <c r="C239" s="15"/>
      <c r="D239" s="15"/>
      <c r="E239" s="15"/>
      <c r="F239" s="15"/>
      <c r="G239" s="15"/>
      <c r="H239" s="18"/>
      <c r="I239" s="58"/>
      <c r="J239" s="58"/>
      <c r="K239" s="15">
        <v>3091.42</v>
      </c>
    </row>
    <row r="240" spans="1:11" customFormat="1">
      <c r="A240" s="8" t="s">
        <v>228</v>
      </c>
      <c r="B240" s="15"/>
      <c r="C240" s="15">
        <v>720</v>
      </c>
      <c r="D240" s="15"/>
      <c r="E240" s="15"/>
      <c r="F240" s="15">
        <v>1192</v>
      </c>
      <c r="G240" s="15">
        <v>1104</v>
      </c>
      <c r="H240" s="18">
        <v>3016</v>
      </c>
      <c r="I240" s="58"/>
      <c r="J240" s="58"/>
      <c r="K240" s="15">
        <v>3016</v>
      </c>
    </row>
    <row r="241" spans="1:11" customFormat="1">
      <c r="A241" s="8" t="s">
        <v>229</v>
      </c>
      <c r="B241" s="15">
        <v>1800</v>
      </c>
      <c r="C241" s="15">
        <v>300</v>
      </c>
      <c r="D241" s="15">
        <v>200</v>
      </c>
      <c r="E241" s="15">
        <v>300</v>
      </c>
      <c r="F241" s="15">
        <v>200</v>
      </c>
      <c r="G241" s="15">
        <v>200</v>
      </c>
      <c r="H241" s="18">
        <v>1200</v>
      </c>
      <c r="I241" s="58"/>
      <c r="J241" s="58"/>
      <c r="K241" s="15">
        <v>3000</v>
      </c>
    </row>
    <row r="242" spans="1:11" customFormat="1">
      <c r="A242" s="8" t="s">
        <v>230</v>
      </c>
      <c r="B242" s="15">
        <v>3000</v>
      </c>
      <c r="C242" s="15"/>
      <c r="D242" s="15"/>
      <c r="E242" s="15"/>
      <c r="F242" s="15"/>
      <c r="G242" s="15"/>
      <c r="H242" s="18"/>
      <c r="I242" s="58"/>
      <c r="J242" s="58"/>
      <c r="K242" s="15">
        <v>3000</v>
      </c>
    </row>
    <row r="243" spans="1:11" customFormat="1">
      <c r="A243" s="8" t="s">
        <v>231</v>
      </c>
      <c r="B243" s="15">
        <v>2934</v>
      </c>
      <c r="C243" s="15"/>
      <c r="D243" s="15"/>
      <c r="E243" s="15"/>
      <c r="F243" s="15"/>
      <c r="G243" s="15"/>
      <c r="H243" s="18"/>
      <c r="I243" s="58"/>
      <c r="J243" s="58"/>
      <c r="K243" s="15">
        <v>2934</v>
      </c>
    </row>
    <row r="244" spans="1:11" customFormat="1">
      <c r="A244" s="8" t="s">
        <v>232</v>
      </c>
      <c r="B244" s="15"/>
      <c r="C244" s="15"/>
      <c r="D244" s="15">
        <v>1590</v>
      </c>
      <c r="E244" s="15">
        <v>1254</v>
      </c>
      <c r="F244" s="15"/>
      <c r="G244" s="15">
        <v>60</v>
      </c>
      <c r="H244" s="18">
        <v>2904</v>
      </c>
      <c r="I244" s="58"/>
      <c r="J244" s="58"/>
      <c r="K244" s="15">
        <v>2904</v>
      </c>
    </row>
    <row r="245" spans="1:11" customFormat="1">
      <c r="A245" s="45" t="s">
        <v>141</v>
      </c>
      <c r="B245" s="15"/>
      <c r="C245" s="15"/>
      <c r="D245" s="15">
        <v>1590</v>
      </c>
      <c r="E245" s="15">
        <v>1254</v>
      </c>
      <c r="F245" s="15"/>
      <c r="G245" s="15">
        <v>60</v>
      </c>
      <c r="H245" s="18">
        <v>2904</v>
      </c>
      <c r="I245" s="58"/>
      <c r="J245" s="58"/>
      <c r="K245" s="15">
        <v>2904</v>
      </c>
    </row>
    <row r="246" spans="1:11" customFormat="1">
      <c r="A246" s="8" t="s">
        <v>233</v>
      </c>
      <c r="B246" s="15">
        <v>2640</v>
      </c>
      <c r="C246" s="15">
        <v>240</v>
      </c>
      <c r="D246" s="15"/>
      <c r="E246" s="15"/>
      <c r="F246" s="15"/>
      <c r="G246" s="15"/>
      <c r="H246" s="18">
        <v>240</v>
      </c>
      <c r="I246" s="58"/>
      <c r="J246" s="58"/>
      <c r="K246" s="15">
        <v>2880</v>
      </c>
    </row>
    <row r="247" spans="1:11" customFormat="1">
      <c r="A247" s="8" t="s">
        <v>234</v>
      </c>
      <c r="B247" s="15">
        <v>2880</v>
      </c>
      <c r="C247" s="15"/>
      <c r="D247" s="15"/>
      <c r="E247" s="15"/>
      <c r="F247" s="15"/>
      <c r="G247" s="15"/>
      <c r="H247" s="18"/>
      <c r="I247" s="58"/>
      <c r="J247" s="58"/>
      <c r="K247" s="15">
        <v>2880</v>
      </c>
    </row>
    <row r="248" spans="1:11" customFormat="1">
      <c r="A248" s="8" t="s">
        <v>235</v>
      </c>
      <c r="B248" s="15">
        <v>2847.29</v>
      </c>
      <c r="C248" s="15"/>
      <c r="D248" s="15"/>
      <c r="E248" s="15"/>
      <c r="F248" s="15"/>
      <c r="G248" s="15"/>
      <c r="H248" s="18"/>
      <c r="I248" s="58"/>
      <c r="J248" s="58"/>
      <c r="K248" s="15">
        <v>2847.29</v>
      </c>
    </row>
    <row r="249" spans="1:11" customFormat="1">
      <c r="A249" s="8" t="s">
        <v>236</v>
      </c>
      <c r="B249" s="15">
        <v>1385</v>
      </c>
      <c r="C249" s="15"/>
      <c r="D249" s="15"/>
      <c r="E249" s="15">
        <v>1441</v>
      </c>
      <c r="F249" s="15"/>
      <c r="G249" s="15"/>
      <c r="H249" s="18">
        <v>1441</v>
      </c>
      <c r="I249" s="58"/>
      <c r="J249" s="58"/>
      <c r="K249" s="15">
        <v>2826</v>
      </c>
    </row>
    <row r="250" spans="1:11" customFormat="1">
      <c r="A250" s="8" t="s">
        <v>237</v>
      </c>
      <c r="B250" s="15">
        <v>240</v>
      </c>
      <c r="C250" s="15">
        <v>400</v>
      </c>
      <c r="D250" s="15">
        <v>672</v>
      </c>
      <c r="E250" s="15">
        <v>504</v>
      </c>
      <c r="F250" s="15">
        <v>756</v>
      </c>
      <c r="G250" s="15">
        <v>252</v>
      </c>
      <c r="H250" s="18">
        <v>2584</v>
      </c>
      <c r="I250" s="58"/>
      <c r="J250" s="58"/>
      <c r="K250" s="15">
        <v>2824</v>
      </c>
    </row>
    <row r="251" spans="1:11" customFormat="1">
      <c r="A251" s="8" t="s">
        <v>238</v>
      </c>
      <c r="B251" s="15">
        <v>2800</v>
      </c>
      <c r="C251" s="15"/>
      <c r="D251" s="15"/>
      <c r="E251" s="15"/>
      <c r="F251" s="15"/>
      <c r="G251" s="15"/>
      <c r="H251" s="18"/>
      <c r="I251" s="58"/>
      <c r="J251" s="58"/>
      <c r="K251" s="15">
        <v>2800</v>
      </c>
    </row>
    <row r="252" spans="1:11" customFormat="1">
      <c r="A252" s="8" t="s">
        <v>239</v>
      </c>
      <c r="B252" s="15">
        <v>2800</v>
      </c>
      <c r="C252" s="15"/>
      <c r="D252" s="15"/>
      <c r="E252" s="15"/>
      <c r="F252" s="15"/>
      <c r="G252" s="15"/>
      <c r="H252" s="18"/>
      <c r="I252" s="58"/>
      <c r="J252" s="58"/>
      <c r="K252" s="15">
        <v>2800</v>
      </c>
    </row>
    <row r="253" spans="1:11" customFormat="1">
      <c r="A253" s="8" t="s">
        <v>240</v>
      </c>
      <c r="B253" s="15">
        <v>2800</v>
      </c>
      <c r="C253" s="15"/>
      <c r="D253" s="15"/>
      <c r="E253" s="15"/>
      <c r="F253" s="15"/>
      <c r="G253" s="15"/>
      <c r="H253" s="18"/>
      <c r="I253" s="58"/>
      <c r="J253" s="58"/>
      <c r="K253" s="15">
        <v>2800</v>
      </c>
    </row>
    <row r="254" spans="1:11" customFormat="1">
      <c r="A254" s="8" t="s">
        <v>241</v>
      </c>
      <c r="B254" s="15">
        <v>2720</v>
      </c>
      <c r="C254" s="15"/>
      <c r="D254" s="15"/>
      <c r="E254" s="15"/>
      <c r="F254" s="15"/>
      <c r="G254" s="15"/>
      <c r="H254" s="18"/>
      <c r="I254" s="58"/>
      <c r="J254" s="58"/>
      <c r="K254" s="15">
        <v>2720</v>
      </c>
    </row>
    <row r="255" spans="1:11" customFormat="1">
      <c r="A255" s="8" t="s">
        <v>242</v>
      </c>
      <c r="B255" s="15">
        <v>2700</v>
      </c>
      <c r="C255" s="15"/>
      <c r="D255" s="15"/>
      <c r="E255" s="15"/>
      <c r="F255" s="15"/>
      <c r="G255" s="15"/>
      <c r="H255" s="18"/>
      <c r="I255" s="58"/>
      <c r="J255" s="58"/>
      <c r="K255" s="15">
        <v>2700</v>
      </c>
    </row>
    <row r="256" spans="1:11" customFormat="1">
      <c r="A256" s="8" t="s">
        <v>243</v>
      </c>
      <c r="B256" s="15">
        <v>2700</v>
      </c>
      <c r="C256" s="15"/>
      <c r="D256" s="15"/>
      <c r="E256" s="15"/>
      <c r="F256" s="15"/>
      <c r="G256" s="15"/>
      <c r="H256" s="18"/>
      <c r="I256" s="58"/>
      <c r="J256" s="58"/>
      <c r="K256" s="15">
        <v>2700</v>
      </c>
    </row>
    <row r="257" spans="1:11" customFormat="1">
      <c r="A257" s="8" t="s">
        <v>244</v>
      </c>
      <c r="B257" s="15"/>
      <c r="C257" s="15"/>
      <c r="D257" s="15">
        <v>252</v>
      </c>
      <c r="E257" s="15">
        <v>756</v>
      </c>
      <c r="F257" s="15">
        <v>1176</v>
      </c>
      <c r="G257" s="15">
        <v>504</v>
      </c>
      <c r="H257" s="18">
        <v>2688</v>
      </c>
      <c r="I257" s="58"/>
      <c r="J257" s="58"/>
      <c r="K257" s="15">
        <v>2688</v>
      </c>
    </row>
    <row r="258" spans="1:11" customFormat="1">
      <c r="A258" s="45" t="s">
        <v>200</v>
      </c>
      <c r="B258" s="15"/>
      <c r="C258" s="15"/>
      <c r="D258" s="15">
        <v>252</v>
      </c>
      <c r="E258" s="15">
        <v>756</v>
      </c>
      <c r="F258" s="15">
        <v>1176</v>
      </c>
      <c r="G258" s="15">
        <v>504</v>
      </c>
      <c r="H258" s="18">
        <v>2688</v>
      </c>
      <c r="I258" s="58"/>
      <c r="J258" s="58"/>
      <c r="K258" s="15">
        <v>2688</v>
      </c>
    </row>
    <row r="259" spans="1:11" customFormat="1">
      <c r="A259" s="8" t="s">
        <v>245</v>
      </c>
      <c r="B259" s="15">
        <v>1900.03</v>
      </c>
      <c r="C259" s="15">
        <v>133.85</v>
      </c>
      <c r="D259" s="15">
        <v>129.97</v>
      </c>
      <c r="E259" s="15">
        <v>259.04000000000002</v>
      </c>
      <c r="F259" s="15">
        <v>129.97</v>
      </c>
      <c r="G259" s="15">
        <v>129.97</v>
      </c>
      <c r="H259" s="18">
        <v>782.80000000000007</v>
      </c>
      <c r="I259" s="58"/>
      <c r="J259" s="58"/>
      <c r="K259" s="15">
        <v>2682.8299999999995</v>
      </c>
    </row>
    <row r="260" spans="1:11" customFormat="1">
      <c r="A260" s="8" t="s">
        <v>246</v>
      </c>
      <c r="B260" s="15">
        <v>2608.52</v>
      </c>
      <c r="C260" s="15"/>
      <c r="D260" s="15"/>
      <c r="E260" s="15"/>
      <c r="F260" s="15"/>
      <c r="G260" s="15"/>
      <c r="H260" s="18"/>
      <c r="I260" s="58"/>
      <c r="J260" s="58"/>
      <c r="K260" s="15">
        <v>2608.52</v>
      </c>
    </row>
    <row r="261" spans="1:11" customFormat="1">
      <c r="A261" s="8" t="s">
        <v>247</v>
      </c>
      <c r="B261" s="15">
        <v>2572.0400000000004</v>
      </c>
      <c r="C261" s="15"/>
      <c r="D261" s="15"/>
      <c r="E261" s="15"/>
      <c r="F261" s="15"/>
      <c r="G261" s="15"/>
      <c r="H261" s="18"/>
      <c r="I261" s="58"/>
      <c r="J261" s="58"/>
      <c r="K261" s="15">
        <v>2572.0400000000004</v>
      </c>
    </row>
    <row r="262" spans="1:11" customFormat="1">
      <c r="A262" s="8" t="s">
        <v>248</v>
      </c>
      <c r="B262" s="15"/>
      <c r="C262" s="15">
        <v>1040</v>
      </c>
      <c r="D262" s="15">
        <v>1260</v>
      </c>
      <c r="E262" s="15"/>
      <c r="F262" s="15"/>
      <c r="G262" s="15">
        <v>252</v>
      </c>
      <c r="H262" s="18">
        <v>2552</v>
      </c>
      <c r="I262" s="58"/>
      <c r="J262" s="58"/>
      <c r="K262" s="15">
        <v>2552</v>
      </c>
    </row>
    <row r="263" spans="1:11" customFormat="1">
      <c r="A263" s="8" t="s">
        <v>249</v>
      </c>
      <c r="B263" s="15">
        <v>2520.1400000000003</v>
      </c>
      <c r="C263" s="15"/>
      <c r="D263" s="15"/>
      <c r="E263" s="15"/>
      <c r="F263" s="15"/>
      <c r="G263" s="15"/>
      <c r="H263" s="18"/>
      <c r="I263" s="58"/>
      <c r="J263" s="58"/>
      <c r="K263" s="15">
        <v>2520.1400000000003</v>
      </c>
    </row>
    <row r="264" spans="1:11" customFormat="1">
      <c r="A264" s="8" t="s">
        <v>250</v>
      </c>
      <c r="B264" s="15">
        <v>2480</v>
      </c>
      <c r="C264" s="15"/>
      <c r="D264" s="15"/>
      <c r="E264" s="15"/>
      <c r="F264" s="15"/>
      <c r="G264" s="15"/>
      <c r="H264" s="18"/>
      <c r="I264" s="58"/>
      <c r="J264" s="58"/>
      <c r="K264" s="15">
        <v>2480</v>
      </c>
    </row>
    <row r="265" spans="1:11" customFormat="1">
      <c r="A265" s="8" t="s">
        <v>251</v>
      </c>
      <c r="B265" s="15">
        <v>2420</v>
      </c>
      <c r="C265" s="15"/>
      <c r="D265" s="15"/>
      <c r="E265" s="15"/>
      <c r="F265" s="15"/>
      <c r="G265" s="15"/>
      <c r="H265" s="18"/>
      <c r="I265" s="58"/>
      <c r="J265" s="58"/>
      <c r="K265" s="15">
        <v>2420</v>
      </c>
    </row>
    <row r="266" spans="1:11" customFormat="1">
      <c r="A266" s="8" t="s">
        <v>252</v>
      </c>
      <c r="B266" s="15">
        <v>2400</v>
      </c>
      <c r="C266" s="15"/>
      <c r="D266" s="15"/>
      <c r="E266" s="15"/>
      <c r="F266" s="15"/>
      <c r="G266" s="15"/>
      <c r="H266" s="18"/>
      <c r="I266" s="58"/>
      <c r="J266" s="58"/>
      <c r="K266" s="15">
        <v>2400</v>
      </c>
    </row>
    <row r="267" spans="1:11" customFormat="1">
      <c r="A267" s="8" t="s">
        <v>253</v>
      </c>
      <c r="B267" s="15">
        <v>2381.85</v>
      </c>
      <c r="C267" s="15"/>
      <c r="D267" s="15"/>
      <c r="E267" s="15"/>
      <c r="F267" s="15"/>
      <c r="G267" s="15"/>
      <c r="H267" s="18"/>
      <c r="I267" s="58"/>
      <c r="J267" s="58"/>
      <c r="K267" s="15">
        <v>2381.85</v>
      </c>
    </row>
    <row r="268" spans="1:11" customFormat="1">
      <c r="A268" s="8" t="s">
        <v>254</v>
      </c>
      <c r="B268" s="15"/>
      <c r="C268" s="15">
        <v>650.40000000000009</v>
      </c>
      <c r="D268" s="15"/>
      <c r="E268" s="15">
        <v>524.4</v>
      </c>
      <c r="F268" s="15">
        <v>551.6</v>
      </c>
      <c r="G268" s="15">
        <v>601.6</v>
      </c>
      <c r="H268" s="18">
        <v>2328</v>
      </c>
      <c r="I268" s="58"/>
      <c r="J268" s="58"/>
      <c r="K268" s="15">
        <v>2328</v>
      </c>
    </row>
    <row r="269" spans="1:11" customFormat="1">
      <c r="A269" s="8" t="s">
        <v>255</v>
      </c>
      <c r="B269" s="15">
        <v>2300.09</v>
      </c>
      <c r="C269" s="15"/>
      <c r="D269" s="15"/>
      <c r="E269" s="15"/>
      <c r="F269" s="15"/>
      <c r="G269" s="15"/>
      <c r="H269" s="18"/>
      <c r="I269" s="58"/>
      <c r="J269" s="58"/>
      <c r="K269" s="15">
        <v>2300.09</v>
      </c>
    </row>
    <row r="270" spans="1:11" customFormat="1">
      <c r="A270" s="8" t="s">
        <v>256</v>
      </c>
      <c r="B270" s="15">
        <v>2300</v>
      </c>
      <c r="C270" s="15"/>
      <c r="D270" s="15"/>
      <c r="E270" s="15"/>
      <c r="F270" s="15"/>
      <c r="G270" s="15"/>
      <c r="H270" s="18"/>
      <c r="I270" s="58"/>
      <c r="J270" s="58"/>
      <c r="K270" s="15">
        <v>2300</v>
      </c>
    </row>
    <row r="271" spans="1:11" customFormat="1">
      <c r="A271" s="8" t="s">
        <v>257</v>
      </c>
      <c r="B271" s="15">
        <v>2240</v>
      </c>
      <c r="C271" s="15"/>
      <c r="D271" s="15"/>
      <c r="E271" s="15"/>
      <c r="F271" s="15"/>
      <c r="G271" s="15"/>
      <c r="H271" s="18"/>
      <c r="I271" s="58"/>
      <c r="J271" s="58"/>
      <c r="K271" s="15">
        <v>2240</v>
      </c>
    </row>
    <row r="272" spans="1:11" customFormat="1">
      <c r="A272" s="8" t="s">
        <v>258</v>
      </c>
      <c r="B272" s="15">
        <v>2213.6</v>
      </c>
      <c r="C272" s="15"/>
      <c r="D272" s="15"/>
      <c r="E272" s="15"/>
      <c r="F272" s="15"/>
      <c r="G272" s="15"/>
      <c r="H272" s="18"/>
      <c r="I272" s="58"/>
      <c r="J272" s="58"/>
      <c r="K272" s="15">
        <v>2213.6</v>
      </c>
    </row>
    <row r="273" spans="1:11" customFormat="1">
      <c r="A273" s="8" t="s">
        <v>259</v>
      </c>
      <c r="B273" s="15">
        <v>2100</v>
      </c>
      <c r="C273" s="15"/>
      <c r="D273" s="15"/>
      <c r="E273" s="15"/>
      <c r="F273" s="15"/>
      <c r="G273" s="15"/>
      <c r="H273" s="18"/>
      <c r="I273" s="58"/>
      <c r="J273" s="58"/>
      <c r="K273" s="15">
        <v>2100</v>
      </c>
    </row>
    <row r="274" spans="1:11" customFormat="1">
      <c r="A274" s="8" t="s">
        <v>260</v>
      </c>
      <c r="B274" s="15">
        <v>2062</v>
      </c>
      <c r="C274" s="15"/>
      <c r="D274" s="15"/>
      <c r="E274" s="15"/>
      <c r="F274" s="15"/>
      <c r="G274" s="15"/>
      <c r="H274" s="18"/>
      <c r="I274" s="58"/>
      <c r="J274" s="58"/>
      <c r="K274" s="15">
        <v>2062</v>
      </c>
    </row>
    <row r="275" spans="1:11" customFormat="1">
      <c r="A275" s="8" t="s">
        <v>261</v>
      </c>
      <c r="B275" s="15">
        <v>2000.6599999999999</v>
      </c>
      <c r="C275" s="15"/>
      <c r="D275" s="15"/>
      <c r="E275" s="15"/>
      <c r="F275" s="15"/>
      <c r="G275" s="15"/>
      <c r="H275" s="18"/>
      <c r="I275" s="58"/>
      <c r="J275" s="58"/>
      <c r="K275" s="15">
        <v>2000.6599999999999</v>
      </c>
    </row>
    <row r="276" spans="1:11" customFormat="1">
      <c r="A276" s="8" t="s">
        <v>262</v>
      </c>
      <c r="B276" s="15">
        <v>1941.8</v>
      </c>
      <c r="C276" s="15"/>
      <c r="D276" s="15"/>
      <c r="E276" s="15"/>
      <c r="F276" s="15"/>
      <c r="G276" s="15"/>
      <c r="H276" s="18"/>
      <c r="I276" s="58"/>
      <c r="J276" s="58"/>
      <c r="K276" s="15">
        <v>1941.8</v>
      </c>
    </row>
    <row r="277" spans="1:11" customFormat="1">
      <c r="A277" s="8" t="s">
        <v>263</v>
      </c>
      <c r="B277" s="15">
        <v>1925.3</v>
      </c>
      <c r="C277" s="15"/>
      <c r="D277" s="15"/>
      <c r="E277" s="15"/>
      <c r="F277" s="15"/>
      <c r="G277" s="15"/>
      <c r="H277" s="18"/>
      <c r="I277" s="58"/>
      <c r="J277" s="58"/>
      <c r="K277" s="15">
        <v>1925.3</v>
      </c>
    </row>
    <row r="278" spans="1:11" customFormat="1">
      <c r="A278" s="8" t="s">
        <v>264</v>
      </c>
      <c r="B278" s="15">
        <v>1920</v>
      </c>
      <c r="C278" s="15"/>
      <c r="D278" s="15"/>
      <c r="E278" s="15"/>
      <c r="F278" s="15"/>
      <c r="G278" s="15"/>
      <c r="H278" s="18"/>
      <c r="I278" s="58"/>
      <c r="J278" s="58"/>
      <c r="K278" s="15">
        <v>1920</v>
      </c>
    </row>
    <row r="279" spans="1:11" customFormat="1">
      <c r="A279" s="8" t="s">
        <v>265</v>
      </c>
      <c r="B279" s="15">
        <v>1867.47</v>
      </c>
      <c r="C279" s="15"/>
      <c r="D279" s="15"/>
      <c r="E279" s="15"/>
      <c r="F279" s="15"/>
      <c r="G279" s="15"/>
      <c r="H279" s="18"/>
      <c r="I279" s="58"/>
      <c r="J279" s="58"/>
      <c r="K279" s="15">
        <v>1867.47</v>
      </c>
    </row>
    <row r="280" spans="1:11" customFormat="1">
      <c r="A280" s="8" t="s">
        <v>266</v>
      </c>
      <c r="B280" s="15">
        <v>1840</v>
      </c>
      <c r="C280" s="15"/>
      <c r="D280" s="15"/>
      <c r="E280" s="15"/>
      <c r="F280" s="15"/>
      <c r="G280" s="15"/>
      <c r="H280" s="18"/>
      <c r="I280" s="58"/>
      <c r="J280" s="58"/>
      <c r="K280" s="15">
        <v>1840</v>
      </c>
    </row>
    <row r="281" spans="1:11" customFormat="1">
      <c r="A281" s="8" t="s">
        <v>267</v>
      </c>
      <c r="B281" s="15"/>
      <c r="C281" s="15"/>
      <c r="D281" s="15"/>
      <c r="E281" s="15"/>
      <c r="F281" s="15"/>
      <c r="G281" s="15">
        <v>1803.6000000000001</v>
      </c>
      <c r="H281" s="18">
        <v>1803.6000000000001</v>
      </c>
      <c r="I281" s="58"/>
      <c r="J281" s="58"/>
      <c r="K281" s="15">
        <v>1803.6000000000001</v>
      </c>
    </row>
    <row r="282" spans="1:11" customFormat="1">
      <c r="A282" s="45" t="s">
        <v>141</v>
      </c>
      <c r="B282" s="15"/>
      <c r="C282" s="15"/>
      <c r="D282" s="15"/>
      <c r="E282" s="15"/>
      <c r="F282" s="15"/>
      <c r="G282" s="15">
        <v>1803.6000000000001</v>
      </c>
      <c r="H282" s="18">
        <v>1803.6000000000001</v>
      </c>
      <c r="I282" s="58"/>
      <c r="J282" s="58"/>
      <c r="K282" s="15">
        <v>1803.6000000000001</v>
      </c>
    </row>
    <row r="283" spans="1:11" customFormat="1">
      <c r="A283" s="8" t="s">
        <v>268</v>
      </c>
      <c r="B283" s="15">
        <v>1728</v>
      </c>
      <c r="C283" s="15"/>
      <c r="D283" s="15"/>
      <c r="E283" s="15"/>
      <c r="F283" s="15"/>
      <c r="G283" s="15"/>
      <c r="H283" s="18"/>
      <c r="I283" s="58"/>
      <c r="J283" s="58"/>
      <c r="K283" s="15">
        <v>1728</v>
      </c>
    </row>
    <row r="284" spans="1:11" customFormat="1">
      <c r="A284" s="8" t="s">
        <v>269</v>
      </c>
      <c r="B284" s="15"/>
      <c r="C284" s="15"/>
      <c r="D284" s="15"/>
      <c r="E284" s="15">
        <v>841.22</v>
      </c>
      <c r="F284" s="15">
        <v>100</v>
      </c>
      <c r="G284" s="15">
        <v>770</v>
      </c>
      <c r="H284" s="18">
        <v>1711.22</v>
      </c>
      <c r="I284" s="58"/>
      <c r="J284" s="58"/>
      <c r="K284" s="15">
        <v>1711.22</v>
      </c>
    </row>
    <row r="285" spans="1:11" customFormat="1">
      <c r="A285" s="45" t="s">
        <v>270</v>
      </c>
      <c r="B285" s="15"/>
      <c r="C285" s="15"/>
      <c r="D285" s="15"/>
      <c r="E285" s="15">
        <v>841.22</v>
      </c>
      <c r="F285" s="15">
        <v>100</v>
      </c>
      <c r="G285" s="15">
        <v>770</v>
      </c>
      <c r="H285" s="18">
        <v>1711.22</v>
      </c>
      <c r="I285" s="58"/>
      <c r="J285" s="58"/>
      <c r="K285" s="15">
        <v>1711.22</v>
      </c>
    </row>
    <row r="286" spans="1:11" customFormat="1">
      <c r="A286" s="8" t="s">
        <v>271</v>
      </c>
      <c r="B286" s="15">
        <v>1708.05</v>
      </c>
      <c r="C286" s="15"/>
      <c r="D286" s="15"/>
      <c r="E286" s="15"/>
      <c r="F286" s="15"/>
      <c r="G286" s="15"/>
      <c r="H286" s="18"/>
      <c r="I286" s="58"/>
      <c r="J286" s="58"/>
      <c r="K286" s="15">
        <v>1708.05</v>
      </c>
    </row>
    <row r="287" spans="1:11" customFormat="1">
      <c r="A287" s="8" t="s">
        <v>272</v>
      </c>
      <c r="B287" s="15"/>
      <c r="C287" s="15"/>
      <c r="D287" s="15"/>
      <c r="E287" s="15">
        <v>1621.49</v>
      </c>
      <c r="F287" s="15"/>
      <c r="G287" s="15"/>
      <c r="H287" s="18">
        <v>1621.49</v>
      </c>
      <c r="I287" s="58"/>
      <c r="J287" s="58"/>
      <c r="K287" s="15">
        <v>1621.49</v>
      </c>
    </row>
    <row r="288" spans="1:11" customFormat="1">
      <c r="A288" s="45" t="s">
        <v>183</v>
      </c>
      <c r="B288" s="15"/>
      <c r="C288" s="15"/>
      <c r="D288" s="15"/>
      <c r="E288" s="15">
        <v>1621.49</v>
      </c>
      <c r="F288" s="15"/>
      <c r="G288" s="15"/>
      <c r="H288" s="18">
        <v>1621.49</v>
      </c>
      <c r="I288" s="58"/>
      <c r="J288" s="58"/>
      <c r="K288" s="15">
        <v>1621.49</v>
      </c>
    </row>
    <row r="289" spans="1:11" customFormat="1">
      <c r="A289" s="8" t="s">
        <v>273</v>
      </c>
      <c r="B289" s="15">
        <v>1600</v>
      </c>
      <c r="C289" s="15"/>
      <c r="D289" s="15"/>
      <c r="E289" s="15"/>
      <c r="F289" s="15"/>
      <c r="G289" s="15"/>
      <c r="H289" s="18"/>
      <c r="I289" s="58"/>
      <c r="J289" s="58"/>
      <c r="K289" s="15">
        <v>1600</v>
      </c>
    </row>
    <row r="290" spans="1:11" customFormat="1">
      <c r="A290" s="8" t="s">
        <v>274</v>
      </c>
      <c r="B290" s="15">
        <v>273.75</v>
      </c>
      <c r="C290" s="15">
        <v>139.99</v>
      </c>
      <c r="D290" s="15"/>
      <c r="E290" s="15">
        <v>362.32</v>
      </c>
      <c r="F290" s="15">
        <v>482.09</v>
      </c>
      <c r="G290" s="15">
        <v>337.07</v>
      </c>
      <c r="H290" s="18">
        <v>1321.47</v>
      </c>
      <c r="I290" s="58"/>
      <c r="J290" s="58"/>
      <c r="K290" s="15">
        <v>1595.2199999999998</v>
      </c>
    </row>
    <row r="291" spans="1:11" customFormat="1">
      <c r="A291" s="8" t="s">
        <v>275</v>
      </c>
      <c r="B291" s="15">
        <v>1593.75</v>
      </c>
      <c r="C291" s="15"/>
      <c r="D291" s="15"/>
      <c r="E291" s="15"/>
      <c r="F291" s="15"/>
      <c r="G291" s="15"/>
      <c r="H291" s="18"/>
      <c r="I291" s="58"/>
      <c r="J291" s="58"/>
      <c r="K291" s="15">
        <v>1593.75</v>
      </c>
    </row>
    <row r="292" spans="1:11" customFormat="1">
      <c r="A292" s="8" t="s">
        <v>276</v>
      </c>
      <c r="B292" s="15">
        <v>1560</v>
      </c>
      <c r="C292" s="15"/>
      <c r="D292" s="15"/>
      <c r="E292" s="15"/>
      <c r="F292" s="15"/>
      <c r="G292" s="15"/>
      <c r="H292" s="18"/>
      <c r="I292" s="58"/>
      <c r="J292" s="58"/>
      <c r="K292" s="15">
        <v>1560</v>
      </c>
    </row>
    <row r="293" spans="1:11" customFormat="1">
      <c r="A293" s="8" t="s">
        <v>277</v>
      </c>
      <c r="B293" s="15">
        <v>813.31999999999982</v>
      </c>
      <c r="C293" s="15">
        <v>551.19999999999993</v>
      </c>
      <c r="D293" s="15">
        <v>47.800000000000004</v>
      </c>
      <c r="E293" s="15">
        <v>22.900000000000002</v>
      </c>
      <c r="F293" s="15">
        <v>29.900000000000002</v>
      </c>
      <c r="G293" s="15">
        <v>56.2</v>
      </c>
      <c r="H293" s="18">
        <v>707.99999999999989</v>
      </c>
      <c r="I293" s="58"/>
      <c r="J293" s="58"/>
      <c r="K293" s="15">
        <v>1521.32</v>
      </c>
    </row>
    <row r="294" spans="1:11" customFormat="1">
      <c r="A294" s="8" t="s">
        <v>278</v>
      </c>
      <c r="B294" s="15">
        <v>1520</v>
      </c>
      <c r="C294" s="15"/>
      <c r="D294" s="15"/>
      <c r="E294" s="15"/>
      <c r="F294" s="15"/>
      <c r="G294" s="15"/>
      <c r="H294" s="18"/>
      <c r="I294" s="58"/>
      <c r="J294" s="58"/>
      <c r="K294" s="15">
        <v>1520</v>
      </c>
    </row>
    <row r="295" spans="1:11" customFormat="1">
      <c r="A295" s="8" t="s">
        <v>279</v>
      </c>
      <c r="B295" s="15"/>
      <c r="C295" s="15"/>
      <c r="D295" s="15"/>
      <c r="E295" s="15">
        <v>756</v>
      </c>
      <c r="F295" s="15">
        <v>756</v>
      </c>
      <c r="G295" s="15"/>
      <c r="H295" s="18">
        <v>1512</v>
      </c>
      <c r="I295" s="58"/>
      <c r="J295" s="58"/>
      <c r="K295" s="15">
        <v>1512</v>
      </c>
    </row>
    <row r="296" spans="1:11" customFormat="1">
      <c r="A296" s="45" t="s">
        <v>200</v>
      </c>
      <c r="B296" s="15"/>
      <c r="C296" s="15"/>
      <c r="D296" s="15"/>
      <c r="E296" s="15">
        <v>756</v>
      </c>
      <c r="F296" s="15">
        <v>756</v>
      </c>
      <c r="G296" s="15"/>
      <c r="H296" s="18">
        <v>1512</v>
      </c>
      <c r="I296" s="58"/>
      <c r="J296" s="58"/>
      <c r="K296" s="15">
        <v>1512</v>
      </c>
    </row>
    <row r="297" spans="1:11" customFormat="1">
      <c r="A297" s="8" t="s">
        <v>280</v>
      </c>
      <c r="B297" s="15"/>
      <c r="C297" s="15"/>
      <c r="D297" s="15"/>
      <c r="E297" s="15"/>
      <c r="F297" s="15"/>
      <c r="G297" s="15">
        <v>1500</v>
      </c>
      <c r="H297" s="18">
        <v>1500</v>
      </c>
      <c r="I297" s="58"/>
      <c r="J297" s="58"/>
      <c r="K297" s="15">
        <v>1500</v>
      </c>
    </row>
    <row r="298" spans="1:11" customFormat="1">
      <c r="A298" s="45" t="s">
        <v>281</v>
      </c>
      <c r="B298" s="15"/>
      <c r="C298" s="15"/>
      <c r="D298" s="15"/>
      <c r="E298" s="15"/>
      <c r="F298" s="15"/>
      <c r="G298" s="15">
        <v>1500</v>
      </c>
      <c r="H298" s="18">
        <v>1500</v>
      </c>
      <c r="I298" s="58"/>
      <c r="J298" s="58"/>
      <c r="K298" s="15">
        <v>1500</v>
      </c>
    </row>
    <row r="299" spans="1:11" customFormat="1">
      <c r="A299" s="8" t="s">
        <v>282</v>
      </c>
      <c r="B299" s="15">
        <v>1494.43</v>
      </c>
      <c r="C299" s="15"/>
      <c r="D299" s="15"/>
      <c r="E299" s="15"/>
      <c r="F299" s="15"/>
      <c r="G299" s="15"/>
      <c r="H299" s="18"/>
      <c r="I299" s="58"/>
      <c r="J299" s="58"/>
      <c r="K299" s="15">
        <v>1494.43</v>
      </c>
    </row>
    <row r="300" spans="1:11" customFormat="1">
      <c r="A300" s="8" t="s">
        <v>283</v>
      </c>
      <c r="B300" s="15">
        <v>1089</v>
      </c>
      <c r="C300" s="15">
        <v>99</v>
      </c>
      <c r="D300" s="15">
        <v>99</v>
      </c>
      <c r="E300" s="15">
        <v>99</v>
      </c>
      <c r="F300" s="15"/>
      <c r="G300" s="15">
        <v>99</v>
      </c>
      <c r="H300" s="18">
        <v>396</v>
      </c>
      <c r="I300" s="58"/>
      <c r="J300" s="58"/>
      <c r="K300" s="15">
        <v>1485</v>
      </c>
    </row>
    <row r="301" spans="1:11" customFormat="1">
      <c r="A301" s="8" t="s">
        <v>284</v>
      </c>
      <c r="B301" s="15">
        <v>1464.64</v>
      </c>
      <c r="C301" s="15"/>
      <c r="D301" s="15"/>
      <c r="E301" s="15"/>
      <c r="F301" s="15"/>
      <c r="G301" s="15"/>
      <c r="H301" s="18"/>
      <c r="I301" s="58"/>
      <c r="J301" s="58"/>
      <c r="K301" s="15">
        <v>1464.64</v>
      </c>
    </row>
    <row r="302" spans="1:11" customFormat="1">
      <c r="A302" s="8" t="s">
        <v>285</v>
      </c>
      <c r="B302" s="15">
        <v>1450</v>
      </c>
      <c r="C302" s="15"/>
      <c r="D302" s="15"/>
      <c r="E302" s="15"/>
      <c r="F302" s="15"/>
      <c r="G302" s="15"/>
      <c r="H302" s="18"/>
      <c r="I302" s="58"/>
      <c r="J302" s="58"/>
      <c r="K302" s="15">
        <v>1450</v>
      </c>
    </row>
    <row r="303" spans="1:11" customFormat="1">
      <c r="A303" s="8" t="s">
        <v>286</v>
      </c>
      <c r="B303" s="15">
        <v>1443.24</v>
      </c>
      <c r="C303" s="15"/>
      <c r="D303" s="15"/>
      <c r="E303" s="15"/>
      <c r="F303" s="15"/>
      <c r="G303" s="15"/>
      <c r="H303" s="18"/>
      <c r="I303" s="58"/>
      <c r="J303" s="58"/>
      <c r="K303" s="15">
        <v>1443.24</v>
      </c>
    </row>
    <row r="304" spans="1:11" customFormat="1">
      <c r="A304" s="8" t="s">
        <v>287</v>
      </c>
      <c r="B304" s="15">
        <v>1440</v>
      </c>
      <c r="C304" s="15"/>
      <c r="D304" s="15"/>
      <c r="E304" s="15"/>
      <c r="F304" s="15"/>
      <c r="G304" s="15"/>
      <c r="H304" s="18"/>
      <c r="I304" s="58"/>
      <c r="J304" s="58"/>
      <c r="K304" s="15">
        <v>1440</v>
      </c>
    </row>
    <row r="305" spans="1:11" customFormat="1">
      <c r="A305" s="8" t="s">
        <v>288</v>
      </c>
      <c r="B305" s="15">
        <v>1400</v>
      </c>
      <c r="C305" s="15"/>
      <c r="D305" s="15"/>
      <c r="E305" s="15"/>
      <c r="F305" s="15"/>
      <c r="G305" s="15"/>
      <c r="H305" s="18"/>
      <c r="I305" s="58"/>
      <c r="J305" s="58"/>
      <c r="K305" s="15">
        <v>1400</v>
      </c>
    </row>
    <row r="306" spans="1:11" customFormat="1">
      <c r="A306" s="8" t="s">
        <v>289</v>
      </c>
      <c r="B306" s="15">
        <v>916</v>
      </c>
      <c r="C306" s="15">
        <v>80</v>
      </c>
      <c r="D306" s="15"/>
      <c r="E306" s="15">
        <v>80</v>
      </c>
      <c r="F306" s="15">
        <v>120</v>
      </c>
      <c r="G306" s="15">
        <v>198</v>
      </c>
      <c r="H306" s="18">
        <v>478</v>
      </c>
      <c r="I306" s="58"/>
      <c r="J306" s="58"/>
      <c r="K306" s="15">
        <v>1394</v>
      </c>
    </row>
    <row r="307" spans="1:11" customFormat="1">
      <c r="A307" s="8" t="s">
        <v>290</v>
      </c>
      <c r="B307" s="15">
        <v>320</v>
      </c>
      <c r="C307" s="15">
        <v>480</v>
      </c>
      <c r="D307" s="15">
        <v>252</v>
      </c>
      <c r="E307" s="15"/>
      <c r="F307" s="15">
        <v>336</v>
      </c>
      <c r="G307" s="15"/>
      <c r="H307" s="18">
        <v>1068</v>
      </c>
      <c r="I307" s="58"/>
      <c r="J307" s="58"/>
      <c r="K307" s="15">
        <v>1388</v>
      </c>
    </row>
    <row r="308" spans="1:11" customFormat="1">
      <c r="A308" s="8" t="s">
        <v>291</v>
      </c>
      <c r="B308" s="15">
        <v>986.7</v>
      </c>
      <c r="C308" s="15">
        <v>61.84</v>
      </c>
      <c r="D308" s="15">
        <v>2.4500000000000002</v>
      </c>
      <c r="E308" s="15">
        <v>86.63000000000001</v>
      </c>
      <c r="F308" s="15">
        <v>66.47999999999999</v>
      </c>
      <c r="G308" s="15">
        <v>183.29000000000002</v>
      </c>
      <c r="H308" s="18">
        <v>400.69000000000005</v>
      </c>
      <c r="I308" s="58"/>
      <c r="J308" s="58"/>
      <c r="K308" s="15">
        <v>1387.39</v>
      </c>
    </row>
    <row r="309" spans="1:11" customFormat="1">
      <c r="A309" s="8" t="s">
        <v>292</v>
      </c>
      <c r="B309" s="15">
        <v>1378</v>
      </c>
      <c r="C309" s="15"/>
      <c r="D309" s="15"/>
      <c r="E309" s="15"/>
      <c r="F309" s="15"/>
      <c r="G309" s="15"/>
      <c r="H309" s="18"/>
      <c r="I309" s="58"/>
      <c r="J309" s="58"/>
      <c r="K309" s="15">
        <v>1378</v>
      </c>
    </row>
    <row r="310" spans="1:11" customFormat="1">
      <c r="A310" s="8" t="s">
        <v>293</v>
      </c>
      <c r="B310" s="15">
        <v>984.78000000000009</v>
      </c>
      <c r="C310" s="15">
        <v>22.509999999999998</v>
      </c>
      <c r="D310" s="15">
        <v>30</v>
      </c>
      <c r="E310" s="15"/>
      <c r="F310" s="15">
        <v>147.92000000000002</v>
      </c>
      <c r="G310" s="15">
        <v>182.77</v>
      </c>
      <c r="H310" s="18">
        <v>383.20000000000005</v>
      </c>
      <c r="I310" s="58"/>
      <c r="J310" s="58"/>
      <c r="K310" s="15">
        <v>1367.98</v>
      </c>
    </row>
    <row r="311" spans="1:11" customFormat="1">
      <c r="A311" s="8" t="s">
        <v>294</v>
      </c>
      <c r="B311" s="15">
        <v>1360</v>
      </c>
      <c r="C311" s="15"/>
      <c r="D311" s="15"/>
      <c r="E311" s="15"/>
      <c r="F311" s="15"/>
      <c r="G311" s="15"/>
      <c r="H311" s="18"/>
      <c r="I311" s="58"/>
      <c r="J311" s="58"/>
      <c r="K311" s="15">
        <v>1360</v>
      </c>
    </row>
    <row r="312" spans="1:11" customFormat="1">
      <c r="A312" s="8" t="s">
        <v>295</v>
      </c>
      <c r="B312" s="15">
        <v>770</v>
      </c>
      <c r="C312" s="15">
        <v>105</v>
      </c>
      <c r="D312" s="15"/>
      <c r="E312" s="15">
        <v>280</v>
      </c>
      <c r="F312" s="15">
        <v>200</v>
      </c>
      <c r="G312" s="15"/>
      <c r="H312" s="18">
        <v>585</v>
      </c>
      <c r="I312" s="58"/>
      <c r="J312" s="58"/>
      <c r="K312" s="15">
        <v>1355</v>
      </c>
    </row>
    <row r="313" spans="1:11" customFormat="1">
      <c r="A313" s="8" t="s">
        <v>296</v>
      </c>
      <c r="B313" s="15">
        <v>1303.29</v>
      </c>
      <c r="C313" s="15"/>
      <c r="D313" s="15"/>
      <c r="E313" s="15"/>
      <c r="F313" s="15"/>
      <c r="G313" s="15"/>
      <c r="H313" s="18"/>
      <c r="I313" s="58"/>
      <c r="J313" s="58"/>
      <c r="K313" s="15">
        <v>1303.29</v>
      </c>
    </row>
    <row r="314" spans="1:11" customFormat="1">
      <c r="A314" s="8" t="s">
        <v>297</v>
      </c>
      <c r="B314" s="15">
        <v>1300</v>
      </c>
      <c r="C314" s="15"/>
      <c r="D314" s="15"/>
      <c r="E314" s="15"/>
      <c r="F314" s="15"/>
      <c r="G314" s="15"/>
      <c r="H314" s="18"/>
      <c r="I314" s="58"/>
      <c r="J314" s="58"/>
      <c r="K314" s="15">
        <v>1300</v>
      </c>
    </row>
    <row r="315" spans="1:11" customFormat="1">
      <c r="A315" s="8" t="s">
        <v>298</v>
      </c>
      <c r="B315" s="15">
        <v>1300</v>
      </c>
      <c r="C315" s="15"/>
      <c r="D315" s="15"/>
      <c r="E315" s="15"/>
      <c r="F315" s="15"/>
      <c r="G315" s="15"/>
      <c r="H315" s="18"/>
      <c r="I315" s="58"/>
      <c r="J315" s="58"/>
      <c r="K315" s="15">
        <v>1300</v>
      </c>
    </row>
    <row r="316" spans="1:11" customFormat="1">
      <c r="A316" s="8" t="s">
        <v>299</v>
      </c>
      <c r="B316" s="15">
        <v>567.20000000000005</v>
      </c>
      <c r="C316" s="15"/>
      <c r="D316" s="15">
        <v>713.2</v>
      </c>
      <c r="E316" s="15"/>
      <c r="F316" s="15"/>
      <c r="G316" s="15"/>
      <c r="H316" s="18">
        <v>713.2</v>
      </c>
      <c r="I316" s="58"/>
      <c r="J316" s="58"/>
      <c r="K316" s="15">
        <v>1280.4000000000001</v>
      </c>
    </row>
    <row r="317" spans="1:11" customFormat="1">
      <c r="A317" s="8" t="s">
        <v>300</v>
      </c>
      <c r="B317" s="15">
        <v>1280</v>
      </c>
      <c r="C317" s="15"/>
      <c r="D317" s="15"/>
      <c r="E317" s="15"/>
      <c r="F317" s="15"/>
      <c r="G317" s="15"/>
      <c r="H317" s="18"/>
      <c r="I317" s="58"/>
      <c r="J317" s="58"/>
      <c r="K317" s="15">
        <v>1280</v>
      </c>
    </row>
    <row r="318" spans="1:11" customFormat="1">
      <c r="A318" s="8" t="s">
        <v>301</v>
      </c>
      <c r="B318" s="15">
        <v>1280</v>
      </c>
      <c r="C318" s="15"/>
      <c r="D318" s="15"/>
      <c r="E318" s="15"/>
      <c r="F318" s="15"/>
      <c r="G318" s="15"/>
      <c r="H318" s="18"/>
      <c r="I318" s="58"/>
      <c r="J318" s="58"/>
      <c r="K318" s="15">
        <v>1280</v>
      </c>
    </row>
    <row r="319" spans="1:11" customFormat="1">
      <c r="A319" s="8" t="s">
        <v>302</v>
      </c>
      <c r="B319" s="15">
        <v>1261.4000000000001</v>
      </c>
      <c r="C319" s="15"/>
      <c r="D319" s="15"/>
      <c r="E319" s="15"/>
      <c r="F319" s="15"/>
      <c r="G319" s="15"/>
      <c r="H319" s="18"/>
      <c r="I319" s="58"/>
      <c r="J319" s="58"/>
      <c r="K319" s="15">
        <v>1261.4000000000001</v>
      </c>
    </row>
    <row r="320" spans="1:11" customFormat="1">
      <c r="A320" s="8" t="s">
        <v>303</v>
      </c>
      <c r="B320" s="15">
        <v>1260</v>
      </c>
      <c r="C320" s="15"/>
      <c r="D320" s="15"/>
      <c r="E320" s="15"/>
      <c r="F320" s="15"/>
      <c r="G320" s="15"/>
      <c r="H320" s="18"/>
      <c r="I320" s="58"/>
      <c r="J320" s="58"/>
      <c r="K320" s="15">
        <v>1260</v>
      </c>
    </row>
    <row r="321" spans="1:11" customFormat="1">
      <c r="A321" s="8" t="s">
        <v>304</v>
      </c>
      <c r="B321" s="15"/>
      <c r="C321" s="15"/>
      <c r="D321" s="15"/>
      <c r="E321" s="15"/>
      <c r="F321" s="15">
        <v>168</v>
      </c>
      <c r="G321" s="15">
        <v>1092</v>
      </c>
      <c r="H321" s="18">
        <v>1260</v>
      </c>
      <c r="I321" s="58"/>
      <c r="J321" s="58"/>
      <c r="K321" s="15">
        <v>1260</v>
      </c>
    </row>
    <row r="322" spans="1:11" customFormat="1">
      <c r="A322" s="45" t="s">
        <v>200</v>
      </c>
      <c r="B322" s="15"/>
      <c r="C322" s="15"/>
      <c r="D322" s="15"/>
      <c r="E322" s="15"/>
      <c r="F322" s="15">
        <v>168</v>
      </c>
      <c r="G322" s="15">
        <v>1092</v>
      </c>
      <c r="H322" s="18">
        <v>1260</v>
      </c>
      <c r="I322" s="58"/>
      <c r="J322" s="58"/>
      <c r="K322" s="15">
        <v>1260</v>
      </c>
    </row>
    <row r="323" spans="1:11" customFormat="1">
      <c r="A323" s="8" t="s">
        <v>305</v>
      </c>
      <c r="B323" s="15"/>
      <c r="C323" s="15">
        <v>122</v>
      </c>
      <c r="D323" s="15">
        <v>219.6</v>
      </c>
      <c r="E323" s="15">
        <v>280.60000000000002</v>
      </c>
      <c r="F323" s="15">
        <v>318.39999999999998</v>
      </c>
      <c r="G323" s="15">
        <v>268.39999999999998</v>
      </c>
      <c r="H323" s="18">
        <v>1209</v>
      </c>
      <c r="I323" s="58"/>
      <c r="J323" s="58"/>
      <c r="K323" s="15">
        <v>1209</v>
      </c>
    </row>
    <row r="324" spans="1:11" customFormat="1">
      <c r="A324" s="8" t="s">
        <v>306</v>
      </c>
      <c r="B324" s="15">
        <v>1200</v>
      </c>
      <c r="C324" s="15"/>
      <c r="D324" s="15"/>
      <c r="E324" s="15"/>
      <c r="F324" s="15"/>
      <c r="G324" s="15"/>
      <c r="H324" s="18"/>
      <c r="I324" s="58"/>
      <c r="J324" s="58"/>
      <c r="K324" s="15">
        <v>1200</v>
      </c>
    </row>
    <row r="325" spans="1:11" customFormat="1">
      <c r="A325" s="8" t="s">
        <v>307</v>
      </c>
      <c r="B325" s="15">
        <v>1200</v>
      </c>
      <c r="C325" s="15"/>
      <c r="D325" s="15"/>
      <c r="E325" s="15"/>
      <c r="F325" s="15"/>
      <c r="G325" s="15"/>
      <c r="H325" s="18"/>
      <c r="I325" s="58"/>
      <c r="J325" s="58"/>
      <c r="K325" s="15">
        <v>1200</v>
      </c>
    </row>
    <row r="326" spans="1:11" customFormat="1">
      <c r="A326" s="8" t="s">
        <v>308</v>
      </c>
      <c r="B326" s="15"/>
      <c r="C326" s="15">
        <v>1200</v>
      </c>
      <c r="D326" s="15"/>
      <c r="E326" s="15"/>
      <c r="F326" s="15"/>
      <c r="G326" s="15"/>
      <c r="H326" s="18">
        <v>1200</v>
      </c>
      <c r="I326" s="58"/>
      <c r="J326" s="58"/>
      <c r="K326" s="15">
        <v>1200</v>
      </c>
    </row>
    <row r="327" spans="1:11" customFormat="1">
      <c r="A327" s="8" t="s">
        <v>309</v>
      </c>
      <c r="B327" s="15">
        <v>1159.8800000000001</v>
      </c>
      <c r="C327" s="15"/>
      <c r="D327" s="15"/>
      <c r="E327" s="15"/>
      <c r="F327" s="15"/>
      <c r="G327" s="15"/>
      <c r="H327" s="18"/>
      <c r="I327" s="58"/>
      <c r="J327" s="58"/>
      <c r="K327" s="15">
        <v>1159.8800000000001</v>
      </c>
    </row>
    <row r="328" spans="1:11" customFormat="1">
      <c r="A328" s="8" t="s">
        <v>310</v>
      </c>
      <c r="B328" s="15">
        <v>362.22</v>
      </c>
      <c r="C328" s="15">
        <v>386.36</v>
      </c>
      <c r="D328" s="15">
        <v>405.87</v>
      </c>
      <c r="E328" s="15"/>
      <c r="F328" s="15"/>
      <c r="G328" s="15"/>
      <c r="H328" s="18">
        <v>792.23</v>
      </c>
      <c r="I328" s="58"/>
      <c r="J328" s="58"/>
      <c r="K328" s="15">
        <v>1154.45</v>
      </c>
    </row>
    <row r="329" spans="1:11" customFormat="1">
      <c r="A329" s="8" t="s">
        <v>311</v>
      </c>
      <c r="B329" s="15">
        <v>1140.1799999999998</v>
      </c>
      <c r="C329" s="15"/>
      <c r="D329" s="15"/>
      <c r="E329" s="15"/>
      <c r="F329" s="15"/>
      <c r="G329" s="15"/>
      <c r="H329" s="18"/>
      <c r="I329" s="58"/>
      <c r="J329" s="58"/>
      <c r="K329" s="15">
        <v>1140.1799999999998</v>
      </c>
    </row>
    <row r="330" spans="1:11" customFormat="1">
      <c r="A330" s="8" t="s">
        <v>312</v>
      </c>
      <c r="B330" s="15">
        <v>1130</v>
      </c>
      <c r="C330" s="15"/>
      <c r="D330" s="15"/>
      <c r="E330" s="15"/>
      <c r="F330" s="15"/>
      <c r="G330" s="15"/>
      <c r="H330" s="18"/>
      <c r="I330" s="58"/>
      <c r="J330" s="58"/>
      <c r="K330" s="15">
        <v>1130</v>
      </c>
    </row>
    <row r="331" spans="1:11" customFormat="1">
      <c r="A331" s="8" t="s">
        <v>313</v>
      </c>
      <c r="B331" s="15">
        <v>127.60000000000001</v>
      </c>
      <c r="C331" s="15">
        <v>243.6</v>
      </c>
      <c r="D331" s="15">
        <v>207.4</v>
      </c>
      <c r="E331" s="15">
        <v>280.60000000000002</v>
      </c>
      <c r="F331" s="15">
        <v>261.2</v>
      </c>
      <c r="G331" s="15"/>
      <c r="H331" s="18">
        <v>992.8</v>
      </c>
      <c r="I331" s="58"/>
      <c r="J331" s="58"/>
      <c r="K331" s="15">
        <v>1120.4000000000001</v>
      </c>
    </row>
    <row r="332" spans="1:11" customFormat="1">
      <c r="A332" s="8" t="s">
        <v>314</v>
      </c>
      <c r="B332" s="15">
        <v>1111.68</v>
      </c>
      <c r="C332" s="15"/>
      <c r="D332" s="15"/>
      <c r="E332" s="15"/>
      <c r="F332" s="15"/>
      <c r="G332" s="15"/>
      <c r="H332" s="18"/>
      <c r="I332" s="58"/>
      <c r="J332" s="58"/>
      <c r="K332" s="15">
        <v>1111.68</v>
      </c>
    </row>
    <row r="333" spans="1:11" customFormat="1">
      <c r="A333" s="8" t="s">
        <v>315</v>
      </c>
      <c r="B333" s="15"/>
      <c r="C333" s="15"/>
      <c r="D333" s="15"/>
      <c r="E333" s="15"/>
      <c r="F333" s="15">
        <v>101.92</v>
      </c>
      <c r="G333" s="15">
        <v>990.17000000000007</v>
      </c>
      <c r="H333" s="18">
        <v>1092.0900000000001</v>
      </c>
      <c r="I333" s="58"/>
      <c r="J333" s="58"/>
      <c r="K333" s="15">
        <v>1092.0900000000001</v>
      </c>
    </row>
    <row r="334" spans="1:11" customFormat="1">
      <c r="A334" s="45" t="s">
        <v>152</v>
      </c>
      <c r="B334" s="15"/>
      <c r="C334" s="15"/>
      <c r="D334" s="15"/>
      <c r="E334" s="15"/>
      <c r="F334" s="15">
        <v>101.92</v>
      </c>
      <c r="G334" s="15">
        <v>990.17000000000007</v>
      </c>
      <c r="H334" s="18">
        <v>1092.0900000000001</v>
      </c>
      <c r="I334" s="58"/>
      <c r="J334" s="58"/>
      <c r="K334" s="15">
        <v>1092.0900000000001</v>
      </c>
    </row>
    <row r="335" spans="1:11" customFormat="1">
      <c r="A335" s="8" t="s">
        <v>316</v>
      </c>
      <c r="B335" s="15"/>
      <c r="C335" s="15"/>
      <c r="D335" s="15"/>
      <c r="E335" s="15">
        <v>0</v>
      </c>
      <c r="F335" s="15"/>
      <c r="G335" s="15">
        <v>1092</v>
      </c>
      <c r="H335" s="18">
        <v>1092</v>
      </c>
      <c r="I335" s="58"/>
      <c r="J335" s="58"/>
      <c r="K335" s="15">
        <v>1092</v>
      </c>
    </row>
    <row r="336" spans="1:11" customFormat="1">
      <c r="A336" s="45" t="s">
        <v>200</v>
      </c>
      <c r="B336" s="15"/>
      <c r="C336" s="15"/>
      <c r="D336" s="15"/>
      <c r="E336" s="15"/>
      <c r="F336" s="15"/>
      <c r="G336" s="15">
        <v>1092</v>
      </c>
      <c r="H336" s="18">
        <v>1092</v>
      </c>
      <c r="I336" s="58"/>
      <c r="J336" s="58"/>
      <c r="K336" s="15">
        <v>1092</v>
      </c>
    </row>
    <row r="337" spans="1:11" customFormat="1">
      <c r="A337" s="45" t="s">
        <v>317</v>
      </c>
      <c r="B337" s="15"/>
      <c r="C337" s="15"/>
      <c r="D337" s="15"/>
      <c r="E337" s="15">
        <v>0</v>
      </c>
      <c r="F337" s="15"/>
      <c r="G337" s="15"/>
      <c r="H337" s="18">
        <v>0</v>
      </c>
      <c r="I337" s="58"/>
      <c r="J337" s="58"/>
      <c r="K337" s="15">
        <v>0</v>
      </c>
    </row>
    <row r="338" spans="1:11" customFormat="1">
      <c r="A338" s="8" t="s">
        <v>318</v>
      </c>
      <c r="B338" s="15">
        <v>1065</v>
      </c>
      <c r="C338" s="15"/>
      <c r="D338" s="15"/>
      <c r="E338" s="15"/>
      <c r="F338" s="15"/>
      <c r="G338" s="15"/>
      <c r="H338" s="18"/>
      <c r="I338" s="58"/>
      <c r="J338" s="58"/>
      <c r="K338" s="15">
        <v>1065</v>
      </c>
    </row>
    <row r="339" spans="1:11" customFormat="1">
      <c r="A339" s="8" t="s">
        <v>319</v>
      </c>
      <c r="B339" s="15">
        <v>1058.3699999999999</v>
      </c>
      <c r="C339" s="15"/>
      <c r="D339" s="15"/>
      <c r="E339" s="15"/>
      <c r="F339" s="15"/>
      <c r="G339" s="15"/>
      <c r="H339" s="18"/>
      <c r="I339" s="58"/>
      <c r="J339" s="58"/>
      <c r="K339" s="15">
        <v>1058.3699999999999</v>
      </c>
    </row>
    <row r="340" spans="1:11" customFormat="1">
      <c r="A340" s="8" t="s">
        <v>320</v>
      </c>
      <c r="B340" s="15">
        <v>1040</v>
      </c>
      <c r="C340" s="15"/>
      <c r="D340" s="15"/>
      <c r="E340" s="15"/>
      <c r="F340" s="15"/>
      <c r="G340" s="15"/>
      <c r="H340" s="18"/>
      <c r="I340" s="58"/>
      <c r="J340" s="58"/>
      <c r="K340" s="15">
        <v>1040</v>
      </c>
    </row>
    <row r="341" spans="1:11" customFormat="1">
      <c r="A341" s="8" t="s">
        <v>321</v>
      </c>
      <c r="B341" s="15">
        <v>1040</v>
      </c>
      <c r="C341" s="15"/>
      <c r="D341" s="15"/>
      <c r="E341" s="15"/>
      <c r="F341" s="15"/>
      <c r="G341" s="15"/>
      <c r="H341" s="18"/>
      <c r="I341" s="58"/>
      <c r="J341" s="58"/>
      <c r="K341" s="15">
        <v>1040</v>
      </c>
    </row>
    <row r="342" spans="1:11" customFormat="1">
      <c r="A342" s="8" t="s">
        <v>322</v>
      </c>
      <c r="B342" s="15">
        <v>1040</v>
      </c>
      <c r="C342" s="15"/>
      <c r="D342" s="15"/>
      <c r="E342" s="15"/>
      <c r="F342" s="15"/>
      <c r="G342" s="15"/>
      <c r="H342" s="18"/>
      <c r="I342" s="58"/>
      <c r="J342" s="58"/>
      <c r="K342" s="15">
        <v>1040</v>
      </c>
    </row>
    <row r="343" spans="1:11" customFormat="1">
      <c r="A343" s="8" t="s">
        <v>323</v>
      </c>
      <c r="B343" s="15">
        <v>1040</v>
      </c>
      <c r="C343" s="15"/>
      <c r="D343" s="15"/>
      <c r="E343" s="15"/>
      <c r="F343" s="15"/>
      <c r="G343" s="15"/>
      <c r="H343" s="18"/>
      <c r="I343" s="58"/>
      <c r="J343" s="58"/>
      <c r="K343" s="15">
        <v>1040</v>
      </c>
    </row>
    <row r="344" spans="1:11" customFormat="1">
      <c r="A344" s="8" t="s">
        <v>324</v>
      </c>
      <c r="B344" s="15">
        <v>1040</v>
      </c>
      <c r="C344" s="15"/>
      <c r="D344" s="15"/>
      <c r="E344" s="15"/>
      <c r="F344" s="15"/>
      <c r="G344" s="15"/>
      <c r="H344" s="18"/>
      <c r="I344" s="58"/>
      <c r="J344" s="58"/>
      <c r="K344" s="15">
        <v>1040</v>
      </c>
    </row>
    <row r="345" spans="1:11" customFormat="1">
      <c r="A345" s="8" t="s">
        <v>325</v>
      </c>
      <c r="B345" s="15">
        <v>933.70000000000016</v>
      </c>
      <c r="C345" s="15">
        <v>58.9</v>
      </c>
      <c r="D345" s="15"/>
      <c r="E345" s="15"/>
      <c r="F345" s="15"/>
      <c r="G345" s="15">
        <v>45.99</v>
      </c>
      <c r="H345" s="18">
        <v>104.89</v>
      </c>
      <c r="I345" s="58"/>
      <c r="J345" s="58"/>
      <c r="K345" s="15">
        <v>1038.5900000000001</v>
      </c>
    </row>
    <row r="346" spans="1:11" customFormat="1">
      <c r="A346" s="8" t="s">
        <v>326</v>
      </c>
      <c r="B346" s="15">
        <v>1020</v>
      </c>
      <c r="C346" s="15"/>
      <c r="D346" s="15"/>
      <c r="E346" s="15"/>
      <c r="F346" s="15"/>
      <c r="G346" s="15"/>
      <c r="H346" s="18"/>
      <c r="I346" s="58"/>
      <c r="J346" s="58"/>
      <c r="K346" s="15">
        <v>1020</v>
      </c>
    </row>
    <row r="347" spans="1:11" customFormat="1">
      <c r="A347" s="8" t="s">
        <v>327</v>
      </c>
      <c r="B347" s="15"/>
      <c r="C347" s="15"/>
      <c r="D347" s="15"/>
      <c r="E347" s="15"/>
      <c r="F347" s="15"/>
      <c r="G347" s="15">
        <v>1016.02</v>
      </c>
      <c r="H347" s="18">
        <v>1016.02</v>
      </c>
      <c r="I347" s="58"/>
      <c r="J347" s="58"/>
      <c r="K347" s="15">
        <v>1016.02</v>
      </c>
    </row>
    <row r="348" spans="1:11" customFormat="1">
      <c r="A348" s="45" t="s">
        <v>138</v>
      </c>
      <c r="B348" s="15"/>
      <c r="C348" s="15"/>
      <c r="D348" s="15"/>
      <c r="E348" s="15"/>
      <c r="F348" s="15"/>
      <c r="G348" s="15">
        <v>255.42000000000002</v>
      </c>
      <c r="H348" s="18">
        <v>255.42000000000002</v>
      </c>
      <c r="I348" s="58"/>
      <c r="J348" s="58"/>
      <c r="K348" s="15">
        <v>255.42000000000002</v>
      </c>
    </row>
    <row r="349" spans="1:11" customFormat="1">
      <c r="A349" s="45" t="s">
        <v>139</v>
      </c>
      <c r="B349" s="15"/>
      <c r="C349" s="15"/>
      <c r="D349" s="15"/>
      <c r="E349" s="15"/>
      <c r="F349" s="15"/>
      <c r="G349" s="59">
        <v>280.60000000000002</v>
      </c>
      <c r="H349" s="18">
        <v>280.60000000000002</v>
      </c>
      <c r="I349" s="58"/>
      <c r="J349" s="58"/>
      <c r="K349" s="15">
        <v>280.60000000000002</v>
      </c>
    </row>
    <row r="350" spans="1:11" customFormat="1">
      <c r="A350" s="45" t="s">
        <v>140</v>
      </c>
      <c r="B350" s="15"/>
      <c r="C350" s="15"/>
      <c r="D350" s="15"/>
      <c r="E350" s="15"/>
      <c r="F350" s="15"/>
      <c r="G350" s="15">
        <v>480</v>
      </c>
      <c r="H350" s="18">
        <v>480</v>
      </c>
      <c r="I350" s="58"/>
      <c r="J350" s="58"/>
      <c r="K350" s="15">
        <v>480</v>
      </c>
    </row>
    <row r="351" spans="1:11" customFormat="1">
      <c r="A351" s="8" t="s">
        <v>328</v>
      </c>
      <c r="B351" s="15">
        <v>475.65000000000003</v>
      </c>
      <c r="C351" s="15">
        <v>144.73000000000002</v>
      </c>
      <c r="D351" s="15">
        <v>15.48</v>
      </c>
      <c r="E351" s="15">
        <v>22.88</v>
      </c>
      <c r="F351" s="15">
        <v>155.67000000000002</v>
      </c>
      <c r="G351" s="15">
        <v>191.91</v>
      </c>
      <c r="H351" s="18">
        <v>530.66999999999996</v>
      </c>
      <c r="I351" s="58"/>
      <c r="J351" s="58"/>
      <c r="K351" s="15">
        <v>1006.32</v>
      </c>
    </row>
    <row r="352" spans="1:11" customFormat="1">
      <c r="A352" s="8" t="s">
        <v>329</v>
      </c>
      <c r="B352" s="15">
        <v>205.4</v>
      </c>
      <c r="C352" s="15"/>
      <c r="D352" s="15"/>
      <c r="E352" s="15">
        <v>280.60000000000002</v>
      </c>
      <c r="F352" s="15">
        <v>256.2</v>
      </c>
      <c r="G352" s="15">
        <v>244</v>
      </c>
      <c r="H352" s="18">
        <v>780.8</v>
      </c>
      <c r="I352" s="58"/>
      <c r="J352" s="58"/>
      <c r="K352" s="15">
        <v>986.2</v>
      </c>
    </row>
    <row r="353" spans="1:11" customFormat="1">
      <c r="A353" s="8" t="s">
        <v>330</v>
      </c>
      <c r="B353" s="15">
        <v>972</v>
      </c>
      <c r="C353" s="15"/>
      <c r="D353" s="15"/>
      <c r="E353" s="15"/>
      <c r="F353" s="15"/>
      <c r="G353" s="15"/>
      <c r="H353" s="18"/>
      <c r="I353" s="58"/>
      <c r="J353" s="58"/>
      <c r="K353" s="15">
        <v>972</v>
      </c>
    </row>
    <row r="354" spans="1:11" customFormat="1">
      <c r="A354" s="8" t="s">
        <v>331</v>
      </c>
      <c r="B354" s="15">
        <v>966</v>
      </c>
      <c r="C354" s="15"/>
      <c r="D354" s="15"/>
      <c r="E354" s="15"/>
      <c r="F354" s="15"/>
      <c r="G354" s="15"/>
      <c r="H354" s="18"/>
      <c r="I354" s="58"/>
      <c r="J354" s="58"/>
      <c r="K354" s="15">
        <v>966</v>
      </c>
    </row>
    <row r="355" spans="1:11" customFormat="1">
      <c r="A355" s="8" t="s">
        <v>332</v>
      </c>
      <c r="B355" s="15"/>
      <c r="C355" s="15"/>
      <c r="D355" s="15"/>
      <c r="E355" s="15"/>
      <c r="F355" s="15"/>
      <c r="G355" s="15">
        <v>960</v>
      </c>
      <c r="H355" s="18">
        <v>960</v>
      </c>
      <c r="I355" s="58"/>
      <c r="J355" s="58"/>
      <c r="K355" s="15">
        <v>960</v>
      </c>
    </row>
    <row r="356" spans="1:11" customFormat="1">
      <c r="A356" s="45" t="s">
        <v>201</v>
      </c>
      <c r="B356" s="15"/>
      <c r="C356" s="15"/>
      <c r="D356" s="15"/>
      <c r="E356" s="15"/>
      <c r="F356" s="15"/>
      <c r="G356" s="15">
        <v>960</v>
      </c>
      <c r="H356" s="18">
        <v>960</v>
      </c>
      <c r="I356" s="58"/>
      <c r="J356" s="58"/>
      <c r="K356" s="15">
        <v>960</v>
      </c>
    </row>
    <row r="357" spans="1:11" customFormat="1">
      <c r="A357" s="8" t="s">
        <v>333</v>
      </c>
      <c r="B357" s="15">
        <v>960</v>
      </c>
      <c r="C357" s="15"/>
      <c r="D357" s="15"/>
      <c r="E357" s="15"/>
      <c r="F357" s="15"/>
      <c r="G357" s="15"/>
      <c r="H357" s="18"/>
      <c r="I357" s="58"/>
      <c r="J357" s="58"/>
      <c r="K357" s="15">
        <v>960</v>
      </c>
    </row>
    <row r="358" spans="1:11" customFormat="1">
      <c r="A358" s="8" t="s">
        <v>334</v>
      </c>
      <c r="B358" s="15">
        <v>920</v>
      </c>
      <c r="C358" s="15"/>
      <c r="D358" s="15"/>
      <c r="E358" s="15"/>
      <c r="F358" s="15"/>
      <c r="G358" s="15"/>
      <c r="H358" s="18"/>
      <c r="I358" s="58"/>
      <c r="J358" s="58"/>
      <c r="K358" s="15">
        <v>920</v>
      </c>
    </row>
    <row r="359" spans="1:11" customFormat="1">
      <c r="A359" s="8" t="s">
        <v>335</v>
      </c>
      <c r="B359" s="15"/>
      <c r="C359" s="15"/>
      <c r="D359" s="15"/>
      <c r="E359" s="15">
        <v>649.38000000000011</v>
      </c>
      <c r="F359" s="15">
        <v>40</v>
      </c>
      <c r="G359" s="15">
        <v>230</v>
      </c>
      <c r="H359" s="18">
        <v>919.38000000000011</v>
      </c>
      <c r="I359" s="58"/>
      <c r="J359" s="58"/>
      <c r="K359" s="15">
        <v>919.38000000000011</v>
      </c>
    </row>
    <row r="360" spans="1:11" customFormat="1">
      <c r="A360" s="45" t="s">
        <v>138</v>
      </c>
      <c r="B360" s="15"/>
      <c r="C360" s="15"/>
      <c r="D360" s="15"/>
      <c r="E360" s="15">
        <v>255.42000000000002</v>
      </c>
      <c r="F360" s="15"/>
      <c r="G360" s="15"/>
      <c r="H360" s="18">
        <v>255.42000000000002</v>
      </c>
      <c r="I360" s="58"/>
      <c r="J360" s="58"/>
      <c r="K360" s="15">
        <v>255.42000000000002</v>
      </c>
    </row>
    <row r="361" spans="1:11" customFormat="1">
      <c r="A361" s="45" t="s">
        <v>139</v>
      </c>
      <c r="B361" s="15"/>
      <c r="C361" s="15"/>
      <c r="D361" s="15"/>
      <c r="E361" s="15">
        <v>393.96000000000004</v>
      </c>
      <c r="F361" s="15"/>
      <c r="G361" s="59"/>
      <c r="H361" s="18">
        <v>393.96000000000004</v>
      </c>
      <c r="I361" s="58"/>
      <c r="J361" s="58"/>
      <c r="K361" s="15">
        <v>393.96000000000004</v>
      </c>
    </row>
    <row r="362" spans="1:11" customFormat="1">
      <c r="A362" s="45" t="s">
        <v>141</v>
      </c>
      <c r="B362" s="15"/>
      <c r="C362" s="15"/>
      <c r="D362" s="15"/>
      <c r="E362" s="15"/>
      <c r="F362" s="15">
        <v>40</v>
      </c>
      <c r="G362" s="15">
        <v>230</v>
      </c>
      <c r="H362" s="18">
        <v>270</v>
      </c>
      <c r="I362" s="58"/>
      <c r="J362" s="58"/>
      <c r="K362" s="15">
        <v>270</v>
      </c>
    </row>
    <row r="363" spans="1:11" customFormat="1">
      <c r="A363" s="8" t="s">
        <v>336</v>
      </c>
      <c r="B363" s="15">
        <v>916</v>
      </c>
      <c r="C363" s="15"/>
      <c r="D363" s="15"/>
      <c r="E363" s="15"/>
      <c r="F363" s="15"/>
      <c r="G363" s="15"/>
      <c r="H363" s="18"/>
      <c r="I363" s="58"/>
      <c r="J363" s="58"/>
      <c r="K363" s="15">
        <v>916</v>
      </c>
    </row>
    <row r="364" spans="1:11" customFormat="1">
      <c r="A364" s="8" t="s">
        <v>337</v>
      </c>
      <c r="B364" s="15">
        <v>900</v>
      </c>
      <c r="C364" s="15"/>
      <c r="D364" s="15"/>
      <c r="E364" s="15"/>
      <c r="F364" s="15"/>
      <c r="G364" s="15"/>
      <c r="H364" s="18"/>
      <c r="I364" s="58"/>
      <c r="J364" s="58"/>
      <c r="K364" s="15">
        <v>900</v>
      </c>
    </row>
    <row r="365" spans="1:11" customFormat="1">
      <c r="A365" s="8" t="s">
        <v>338</v>
      </c>
      <c r="B365" s="15">
        <v>880</v>
      </c>
      <c r="C365" s="15"/>
      <c r="D365" s="15"/>
      <c r="E365" s="15"/>
      <c r="F365" s="15"/>
      <c r="G365" s="15"/>
      <c r="H365" s="18"/>
      <c r="I365" s="58"/>
      <c r="J365" s="58"/>
      <c r="K365" s="15">
        <v>880</v>
      </c>
    </row>
    <row r="366" spans="1:11" customFormat="1">
      <c r="A366" s="8" t="s">
        <v>339</v>
      </c>
      <c r="B366" s="15">
        <v>880</v>
      </c>
      <c r="C366" s="15"/>
      <c r="D366" s="15"/>
      <c r="E366" s="15"/>
      <c r="F366" s="15"/>
      <c r="G366" s="15"/>
      <c r="H366" s="18"/>
      <c r="I366" s="58"/>
      <c r="J366" s="58"/>
      <c r="K366" s="15">
        <v>880</v>
      </c>
    </row>
    <row r="367" spans="1:11" customFormat="1">
      <c r="A367" s="8" t="s">
        <v>340</v>
      </c>
      <c r="B367" s="15">
        <v>429.20000000000005</v>
      </c>
      <c r="C367" s="15">
        <v>232</v>
      </c>
      <c r="D367" s="15">
        <v>207.4</v>
      </c>
      <c r="E367" s="15"/>
      <c r="F367" s="15"/>
      <c r="G367" s="15"/>
      <c r="H367" s="18">
        <v>439.4</v>
      </c>
      <c r="I367" s="58"/>
      <c r="J367" s="58"/>
      <c r="K367" s="15">
        <v>868.6</v>
      </c>
    </row>
    <row r="368" spans="1:11" customFormat="1">
      <c r="A368" s="8" t="s">
        <v>341</v>
      </c>
      <c r="B368" s="15"/>
      <c r="C368" s="15">
        <v>431</v>
      </c>
      <c r="D368" s="15"/>
      <c r="E368" s="15"/>
      <c r="F368" s="15">
        <v>431</v>
      </c>
      <c r="G368" s="15"/>
      <c r="H368" s="18">
        <v>862</v>
      </c>
      <c r="I368" s="58"/>
      <c r="J368" s="58"/>
      <c r="K368" s="15">
        <v>862</v>
      </c>
    </row>
    <row r="369" spans="1:11" customFormat="1">
      <c r="A369" s="8" t="s">
        <v>342</v>
      </c>
      <c r="B369" s="15">
        <v>442.79000000000008</v>
      </c>
      <c r="C369" s="15">
        <v>123.43</v>
      </c>
      <c r="D369" s="15"/>
      <c r="E369" s="15">
        <v>200.9</v>
      </c>
      <c r="F369" s="15">
        <v>83.36</v>
      </c>
      <c r="G369" s="15"/>
      <c r="H369" s="18">
        <v>407.69000000000005</v>
      </c>
      <c r="I369" s="58"/>
      <c r="J369" s="58"/>
      <c r="K369" s="15">
        <v>850.48</v>
      </c>
    </row>
    <row r="370" spans="1:11" customFormat="1">
      <c r="A370" s="8" t="s">
        <v>343</v>
      </c>
      <c r="B370" s="15">
        <v>810</v>
      </c>
      <c r="C370" s="15"/>
      <c r="D370" s="15"/>
      <c r="E370" s="15"/>
      <c r="F370" s="15"/>
      <c r="G370" s="15"/>
      <c r="H370" s="18"/>
      <c r="I370" s="58"/>
      <c r="J370" s="58"/>
      <c r="K370" s="15">
        <v>810</v>
      </c>
    </row>
    <row r="371" spans="1:11" customFormat="1">
      <c r="A371" s="8" t="s">
        <v>344</v>
      </c>
      <c r="B371" s="15">
        <v>810</v>
      </c>
      <c r="C371" s="15"/>
      <c r="D371" s="15"/>
      <c r="E371" s="15"/>
      <c r="F371" s="15"/>
      <c r="G371" s="15"/>
      <c r="H371" s="18"/>
      <c r="I371" s="58"/>
      <c r="J371" s="58"/>
      <c r="K371" s="15">
        <v>810</v>
      </c>
    </row>
    <row r="372" spans="1:11" customFormat="1">
      <c r="A372" s="8" t="s">
        <v>345</v>
      </c>
      <c r="B372" s="15">
        <v>802.01</v>
      </c>
      <c r="C372" s="15"/>
      <c r="D372" s="15"/>
      <c r="E372" s="15"/>
      <c r="F372" s="15"/>
      <c r="G372" s="15"/>
      <c r="H372" s="18"/>
      <c r="I372" s="58"/>
      <c r="J372" s="58"/>
      <c r="K372" s="15">
        <v>802.01</v>
      </c>
    </row>
    <row r="373" spans="1:11" customFormat="1">
      <c r="A373" s="8" t="s">
        <v>346</v>
      </c>
      <c r="B373" s="15">
        <v>800</v>
      </c>
      <c r="C373" s="15"/>
      <c r="D373" s="15"/>
      <c r="E373" s="15"/>
      <c r="F373" s="15"/>
      <c r="G373" s="15"/>
      <c r="H373" s="18"/>
      <c r="I373" s="58"/>
      <c r="J373" s="58"/>
      <c r="K373" s="15">
        <v>800</v>
      </c>
    </row>
    <row r="374" spans="1:11" customFormat="1">
      <c r="A374" s="8" t="s">
        <v>347</v>
      </c>
      <c r="B374" s="15">
        <v>800</v>
      </c>
      <c r="C374" s="15"/>
      <c r="D374" s="15"/>
      <c r="E374" s="15"/>
      <c r="F374" s="15"/>
      <c r="G374" s="15"/>
      <c r="H374" s="18"/>
      <c r="I374" s="58"/>
      <c r="J374" s="58"/>
      <c r="K374" s="15">
        <v>800</v>
      </c>
    </row>
    <row r="375" spans="1:11" customFormat="1">
      <c r="A375" s="8" t="s">
        <v>348</v>
      </c>
      <c r="B375" s="15">
        <v>790.24000000000012</v>
      </c>
      <c r="C375" s="15"/>
      <c r="D375" s="15"/>
      <c r="E375" s="15"/>
      <c r="F375" s="15"/>
      <c r="G375" s="15"/>
      <c r="H375" s="18"/>
      <c r="I375" s="58"/>
      <c r="J375" s="58"/>
      <c r="K375" s="15">
        <v>790.24000000000012</v>
      </c>
    </row>
    <row r="376" spans="1:11" customFormat="1">
      <c r="A376" s="8" t="s">
        <v>349</v>
      </c>
      <c r="B376" s="15">
        <v>531.92000000000007</v>
      </c>
      <c r="C376" s="15">
        <v>254.44</v>
      </c>
      <c r="D376" s="15"/>
      <c r="E376" s="15"/>
      <c r="F376" s="15"/>
      <c r="G376" s="15"/>
      <c r="H376" s="18">
        <v>254.44</v>
      </c>
      <c r="I376" s="58"/>
      <c r="J376" s="58"/>
      <c r="K376" s="15">
        <v>786.36000000000013</v>
      </c>
    </row>
    <row r="377" spans="1:11" customFormat="1">
      <c r="A377" s="8" t="s">
        <v>350</v>
      </c>
      <c r="B377" s="15">
        <v>545</v>
      </c>
      <c r="C377" s="15">
        <v>210</v>
      </c>
      <c r="D377" s="15"/>
      <c r="E377" s="15"/>
      <c r="F377" s="15"/>
      <c r="G377" s="15"/>
      <c r="H377" s="18">
        <v>210</v>
      </c>
      <c r="I377" s="58"/>
      <c r="J377" s="58"/>
      <c r="K377" s="15">
        <v>755</v>
      </c>
    </row>
    <row r="378" spans="1:11" customFormat="1">
      <c r="A378" s="8" t="s">
        <v>351</v>
      </c>
      <c r="B378" s="15">
        <v>750</v>
      </c>
      <c r="C378" s="15"/>
      <c r="D378" s="15"/>
      <c r="E378" s="15"/>
      <c r="F378" s="15"/>
      <c r="G378" s="15"/>
      <c r="H378" s="18"/>
      <c r="I378" s="58"/>
      <c r="J378" s="58"/>
      <c r="K378" s="15">
        <v>750</v>
      </c>
    </row>
    <row r="379" spans="1:11" customFormat="1">
      <c r="A379" s="8" t="s">
        <v>352</v>
      </c>
      <c r="B379" s="15">
        <v>740</v>
      </c>
      <c r="C379" s="15"/>
      <c r="D379" s="15"/>
      <c r="E379" s="15"/>
      <c r="F379" s="15"/>
      <c r="G379" s="15"/>
      <c r="H379" s="18"/>
      <c r="I379" s="58"/>
      <c r="J379" s="58"/>
      <c r="K379" s="15">
        <v>740</v>
      </c>
    </row>
    <row r="380" spans="1:11" customFormat="1">
      <c r="A380" s="8" t="s">
        <v>353</v>
      </c>
      <c r="B380" s="15">
        <v>737.83</v>
      </c>
      <c r="C380" s="15"/>
      <c r="D380" s="15"/>
      <c r="E380" s="15"/>
      <c r="F380" s="15"/>
      <c r="G380" s="15"/>
      <c r="H380" s="18"/>
      <c r="I380" s="58"/>
      <c r="J380" s="58"/>
      <c r="K380" s="15">
        <v>737.83</v>
      </c>
    </row>
    <row r="381" spans="1:11" customFormat="1">
      <c r="A381" s="8" t="s">
        <v>354</v>
      </c>
      <c r="B381" s="15">
        <v>730</v>
      </c>
      <c r="C381" s="15"/>
      <c r="D381" s="15"/>
      <c r="E381" s="15"/>
      <c r="F381" s="15"/>
      <c r="G381" s="15"/>
      <c r="H381" s="18"/>
      <c r="I381" s="58"/>
      <c r="J381" s="58"/>
      <c r="K381" s="15">
        <v>730</v>
      </c>
    </row>
    <row r="382" spans="1:11" customFormat="1">
      <c r="A382" s="8" t="s">
        <v>355</v>
      </c>
      <c r="B382" s="15">
        <v>729.4</v>
      </c>
      <c r="C382" s="15"/>
      <c r="D382" s="15"/>
      <c r="E382" s="15"/>
      <c r="F382" s="15"/>
      <c r="G382" s="15"/>
      <c r="H382" s="18"/>
      <c r="I382" s="58"/>
      <c r="J382" s="58"/>
      <c r="K382" s="15">
        <v>729.4</v>
      </c>
    </row>
    <row r="383" spans="1:11" customFormat="1">
      <c r="A383" s="8" t="s">
        <v>356</v>
      </c>
      <c r="B383" s="15">
        <v>716.91</v>
      </c>
      <c r="C383" s="15">
        <v>8.61</v>
      </c>
      <c r="D383" s="15"/>
      <c r="E383" s="15"/>
      <c r="F383" s="15"/>
      <c r="G383" s="15"/>
      <c r="H383" s="18">
        <v>8.61</v>
      </c>
      <c r="I383" s="58"/>
      <c r="J383" s="58"/>
      <c r="K383" s="15">
        <v>725.52</v>
      </c>
    </row>
    <row r="384" spans="1:11" customFormat="1">
      <c r="A384" s="8" t="s">
        <v>357</v>
      </c>
      <c r="B384" s="15">
        <v>720</v>
      </c>
      <c r="C384" s="15"/>
      <c r="D384" s="15"/>
      <c r="E384" s="15"/>
      <c r="F384" s="15"/>
      <c r="G384" s="15"/>
      <c r="H384" s="18"/>
      <c r="I384" s="58"/>
      <c r="J384" s="58"/>
      <c r="K384" s="15">
        <v>720</v>
      </c>
    </row>
    <row r="385" spans="1:11" customFormat="1">
      <c r="A385" s="8" t="s">
        <v>358</v>
      </c>
      <c r="B385" s="15">
        <v>714.80000000000007</v>
      </c>
      <c r="C385" s="15"/>
      <c r="D385" s="15"/>
      <c r="E385" s="15"/>
      <c r="F385" s="15"/>
      <c r="G385" s="15"/>
      <c r="H385" s="18"/>
      <c r="I385" s="58"/>
      <c r="J385" s="58"/>
      <c r="K385" s="15">
        <v>714.80000000000007</v>
      </c>
    </row>
    <row r="386" spans="1:11" customFormat="1">
      <c r="A386" s="8" t="s">
        <v>359</v>
      </c>
      <c r="B386" s="15"/>
      <c r="C386" s="15"/>
      <c r="D386" s="15"/>
      <c r="E386" s="15">
        <v>157.80000000000001</v>
      </c>
      <c r="F386" s="15">
        <v>547.57000000000005</v>
      </c>
      <c r="G386" s="15"/>
      <c r="H386" s="18">
        <v>705.37</v>
      </c>
      <c r="I386" s="58"/>
      <c r="J386" s="58"/>
      <c r="K386" s="15">
        <v>705.37</v>
      </c>
    </row>
    <row r="387" spans="1:11" customFormat="1">
      <c r="A387" s="45" t="s">
        <v>140</v>
      </c>
      <c r="B387" s="15"/>
      <c r="C387" s="15"/>
      <c r="D387" s="15"/>
      <c r="E387" s="15"/>
      <c r="F387" s="15">
        <v>22.84</v>
      </c>
      <c r="G387" s="15"/>
      <c r="H387" s="18">
        <v>22.84</v>
      </c>
      <c r="I387" s="58"/>
      <c r="J387" s="58"/>
      <c r="K387" s="15">
        <v>22.84</v>
      </c>
    </row>
    <row r="388" spans="1:11" customFormat="1">
      <c r="A388" s="45" t="s">
        <v>360</v>
      </c>
      <c r="B388" s="15"/>
      <c r="C388" s="15"/>
      <c r="D388" s="15"/>
      <c r="E388" s="15">
        <v>157.80000000000001</v>
      </c>
      <c r="F388" s="15"/>
      <c r="G388" s="15"/>
      <c r="H388" s="18">
        <v>157.80000000000001</v>
      </c>
      <c r="I388" s="58"/>
      <c r="J388" s="58"/>
      <c r="K388" s="15">
        <v>157.80000000000001</v>
      </c>
    </row>
    <row r="389" spans="1:11" customFormat="1">
      <c r="A389" s="45" t="s">
        <v>270</v>
      </c>
      <c r="B389" s="15"/>
      <c r="C389" s="15"/>
      <c r="D389" s="15"/>
      <c r="E389" s="15"/>
      <c r="F389" s="15">
        <v>524.73</v>
      </c>
      <c r="G389" s="15"/>
      <c r="H389" s="18">
        <v>524.73</v>
      </c>
      <c r="I389" s="58"/>
      <c r="J389" s="58"/>
      <c r="K389" s="15">
        <v>524.73</v>
      </c>
    </row>
    <row r="390" spans="1:11" customFormat="1">
      <c r="A390" s="8" t="s">
        <v>361</v>
      </c>
      <c r="B390" s="15">
        <v>700</v>
      </c>
      <c r="C390" s="15"/>
      <c r="D390" s="15"/>
      <c r="E390" s="15"/>
      <c r="F390" s="15"/>
      <c r="G390" s="15"/>
      <c r="H390" s="18"/>
      <c r="I390" s="58"/>
      <c r="J390" s="58"/>
      <c r="K390" s="15">
        <v>700</v>
      </c>
    </row>
    <row r="391" spans="1:11" customFormat="1">
      <c r="A391" s="8" t="s">
        <v>362</v>
      </c>
      <c r="B391" s="15">
        <v>424.65000000000003</v>
      </c>
      <c r="C391" s="15">
        <v>160.95000000000002</v>
      </c>
      <c r="D391" s="15">
        <v>8.25</v>
      </c>
      <c r="E391" s="15">
        <v>64.650000000000006</v>
      </c>
      <c r="F391" s="15">
        <v>13.75</v>
      </c>
      <c r="G391" s="15">
        <v>14.07</v>
      </c>
      <c r="H391" s="18">
        <v>261.67</v>
      </c>
      <c r="I391" s="58"/>
      <c r="J391" s="58"/>
      <c r="K391" s="15">
        <v>686.32</v>
      </c>
    </row>
    <row r="392" spans="1:11" customFormat="1">
      <c r="A392" s="8" t="s">
        <v>363</v>
      </c>
      <c r="B392" s="15">
        <v>680</v>
      </c>
      <c r="C392" s="15"/>
      <c r="D392" s="15"/>
      <c r="E392" s="15"/>
      <c r="F392" s="15"/>
      <c r="G392" s="15"/>
      <c r="H392" s="18"/>
      <c r="I392" s="58"/>
      <c r="J392" s="58"/>
      <c r="K392" s="15">
        <v>680</v>
      </c>
    </row>
    <row r="393" spans="1:11" customFormat="1">
      <c r="A393" s="8" t="s">
        <v>364</v>
      </c>
      <c r="B393" s="15">
        <v>488.85</v>
      </c>
      <c r="C393" s="15">
        <v>26.89</v>
      </c>
      <c r="D393" s="15"/>
      <c r="E393" s="15">
        <v>51.4</v>
      </c>
      <c r="F393" s="15">
        <v>103.02</v>
      </c>
      <c r="G393" s="15"/>
      <c r="H393" s="18">
        <v>181.31</v>
      </c>
      <c r="I393" s="58"/>
      <c r="J393" s="58"/>
      <c r="K393" s="15">
        <v>670.16</v>
      </c>
    </row>
    <row r="394" spans="1:11" customFormat="1">
      <c r="A394" s="8" t="s">
        <v>365</v>
      </c>
      <c r="B394" s="15">
        <v>660</v>
      </c>
      <c r="C394" s="15"/>
      <c r="D394" s="15"/>
      <c r="E394" s="15"/>
      <c r="F394" s="15"/>
      <c r="G394" s="15"/>
      <c r="H394" s="18"/>
      <c r="I394" s="58"/>
      <c r="J394" s="58"/>
      <c r="K394" s="15">
        <v>660</v>
      </c>
    </row>
    <row r="395" spans="1:11" customFormat="1">
      <c r="A395" s="8" t="s">
        <v>366</v>
      </c>
      <c r="B395" s="15">
        <v>650</v>
      </c>
      <c r="C395" s="15"/>
      <c r="D395" s="15"/>
      <c r="E395" s="15"/>
      <c r="F395" s="15"/>
      <c r="G395" s="15"/>
      <c r="H395" s="18"/>
      <c r="I395" s="58"/>
      <c r="J395" s="58"/>
      <c r="K395" s="15">
        <v>650</v>
      </c>
    </row>
    <row r="396" spans="1:11" customFormat="1">
      <c r="A396" s="8" t="s">
        <v>367</v>
      </c>
      <c r="B396" s="15">
        <v>648</v>
      </c>
      <c r="C396" s="15"/>
      <c r="D396" s="15"/>
      <c r="E396" s="15"/>
      <c r="F396" s="15"/>
      <c r="G396" s="15"/>
      <c r="H396" s="18"/>
      <c r="I396" s="58"/>
      <c r="J396" s="58"/>
      <c r="K396" s="15">
        <v>648</v>
      </c>
    </row>
    <row r="397" spans="1:11" customFormat="1">
      <c r="A397" s="8" t="s">
        <v>368</v>
      </c>
      <c r="B397" s="15">
        <v>202.65</v>
      </c>
      <c r="C397" s="15">
        <v>46.040000000000006</v>
      </c>
      <c r="D397" s="15">
        <v>209.86999999999998</v>
      </c>
      <c r="E397" s="15">
        <v>71.7</v>
      </c>
      <c r="F397" s="15">
        <v>115.42</v>
      </c>
      <c r="G397" s="15"/>
      <c r="H397" s="18">
        <v>443.03</v>
      </c>
      <c r="I397" s="58"/>
      <c r="J397" s="58"/>
      <c r="K397" s="15">
        <v>645.67999999999995</v>
      </c>
    </row>
    <row r="398" spans="1:11" customFormat="1">
      <c r="A398" s="8" t="s">
        <v>369</v>
      </c>
      <c r="B398" s="15">
        <v>492.83</v>
      </c>
      <c r="C398" s="15">
        <v>50</v>
      </c>
      <c r="D398" s="15">
        <v>100</v>
      </c>
      <c r="E398" s="15"/>
      <c r="F398" s="15"/>
      <c r="G398" s="15"/>
      <c r="H398" s="18">
        <v>150</v>
      </c>
      <c r="I398" s="58"/>
      <c r="J398" s="58"/>
      <c r="K398" s="15">
        <v>642.82999999999993</v>
      </c>
    </row>
    <row r="399" spans="1:11" customFormat="1">
      <c r="A399" s="8" t="s">
        <v>370</v>
      </c>
      <c r="B399" s="15">
        <v>640</v>
      </c>
      <c r="C399" s="15"/>
      <c r="D399" s="15"/>
      <c r="E399" s="15"/>
      <c r="F399" s="15"/>
      <c r="G399" s="15"/>
      <c r="H399" s="18"/>
      <c r="I399" s="58"/>
      <c r="J399" s="58"/>
      <c r="K399" s="15">
        <v>640</v>
      </c>
    </row>
    <row r="400" spans="1:11" customFormat="1">
      <c r="A400" s="8" t="s">
        <v>371</v>
      </c>
      <c r="B400" s="15">
        <v>640</v>
      </c>
      <c r="C400" s="15"/>
      <c r="D400" s="15"/>
      <c r="E400" s="15"/>
      <c r="F400" s="15"/>
      <c r="G400" s="15"/>
      <c r="H400" s="18"/>
      <c r="I400" s="58"/>
      <c r="J400" s="58"/>
      <c r="K400" s="15">
        <v>640</v>
      </c>
    </row>
    <row r="401" spans="1:11" customFormat="1">
      <c r="A401" s="8" t="s">
        <v>372</v>
      </c>
      <c r="B401" s="15">
        <v>640</v>
      </c>
      <c r="C401" s="15"/>
      <c r="D401" s="15"/>
      <c r="E401" s="15"/>
      <c r="F401" s="15"/>
      <c r="G401" s="15"/>
      <c r="H401" s="18"/>
      <c r="I401" s="58"/>
      <c r="J401" s="58"/>
      <c r="K401" s="15">
        <v>640</v>
      </c>
    </row>
    <row r="402" spans="1:11" customFormat="1">
      <c r="A402" s="8" t="s">
        <v>373</v>
      </c>
      <c r="B402" s="15"/>
      <c r="C402" s="15">
        <v>640</v>
      </c>
      <c r="D402" s="15"/>
      <c r="E402" s="15"/>
      <c r="F402" s="15"/>
      <c r="G402" s="15"/>
      <c r="H402" s="18">
        <v>640</v>
      </c>
      <c r="I402" s="58"/>
      <c r="J402" s="58"/>
      <c r="K402" s="15">
        <v>640</v>
      </c>
    </row>
    <row r="403" spans="1:11" customFormat="1">
      <c r="A403" s="8" t="s">
        <v>374</v>
      </c>
      <c r="B403" s="15">
        <v>640</v>
      </c>
      <c r="C403" s="15"/>
      <c r="D403" s="15"/>
      <c r="E403" s="15"/>
      <c r="F403" s="15"/>
      <c r="G403" s="15"/>
      <c r="H403" s="18"/>
      <c r="I403" s="58"/>
      <c r="J403" s="58"/>
      <c r="K403" s="15">
        <v>640</v>
      </c>
    </row>
    <row r="404" spans="1:11" customFormat="1">
      <c r="A404" s="8" t="s">
        <v>375</v>
      </c>
      <c r="B404" s="15">
        <v>637.5</v>
      </c>
      <c r="C404" s="15"/>
      <c r="D404" s="15"/>
      <c r="E404" s="15"/>
      <c r="F404" s="15"/>
      <c r="G404" s="15"/>
      <c r="H404" s="18"/>
      <c r="I404" s="58"/>
      <c r="J404" s="58"/>
      <c r="K404" s="15">
        <v>637.5</v>
      </c>
    </row>
    <row r="405" spans="1:11" customFormat="1">
      <c r="A405" s="8" t="s">
        <v>376</v>
      </c>
      <c r="B405" s="15">
        <v>633.85</v>
      </c>
      <c r="C405" s="15"/>
      <c r="D405" s="15"/>
      <c r="E405" s="15"/>
      <c r="F405" s="15"/>
      <c r="G405" s="15"/>
      <c r="H405" s="18"/>
      <c r="I405" s="58"/>
      <c r="J405" s="58"/>
      <c r="K405" s="15">
        <v>633.85</v>
      </c>
    </row>
    <row r="406" spans="1:11" customFormat="1">
      <c r="A406" s="8" t="s">
        <v>377</v>
      </c>
      <c r="B406" s="15">
        <v>627.20000000000005</v>
      </c>
      <c r="C406" s="15"/>
      <c r="D406" s="15"/>
      <c r="E406" s="15"/>
      <c r="F406" s="15"/>
      <c r="G406" s="15"/>
      <c r="H406" s="18"/>
      <c r="I406" s="58"/>
      <c r="J406" s="58"/>
      <c r="K406" s="15">
        <v>627.20000000000005</v>
      </c>
    </row>
    <row r="407" spans="1:11" customFormat="1">
      <c r="A407" s="8" t="s">
        <v>378</v>
      </c>
      <c r="B407" s="15">
        <v>619.75</v>
      </c>
      <c r="C407" s="15"/>
      <c r="D407" s="15"/>
      <c r="E407" s="15"/>
      <c r="F407" s="15"/>
      <c r="G407" s="15"/>
      <c r="H407" s="18"/>
      <c r="I407" s="58"/>
      <c r="J407" s="58"/>
      <c r="K407" s="15">
        <v>619.75</v>
      </c>
    </row>
    <row r="408" spans="1:11" customFormat="1">
      <c r="A408" s="8" t="s">
        <v>379</v>
      </c>
      <c r="B408" s="15">
        <v>606.5</v>
      </c>
      <c r="C408" s="15"/>
      <c r="D408" s="15"/>
      <c r="E408" s="15"/>
      <c r="F408" s="15"/>
      <c r="G408" s="15"/>
      <c r="H408" s="18"/>
      <c r="I408" s="58"/>
      <c r="J408" s="58"/>
      <c r="K408" s="15">
        <v>606.5</v>
      </c>
    </row>
    <row r="409" spans="1:11" customFormat="1">
      <c r="A409" s="8" t="s">
        <v>380</v>
      </c>
      <c r="B409" s="15">
        <v>93.78</v>
      </c>
      <c r="C409" s="15"/>
      <c r="D409" s="15"/>
      <c r="E409" s="15"/>
      <c r="F409" s="15"/>
      <c r="G409" s="15">
        <v>509.8</v>
      </c>
      <c r="H409" s="18">
        <v>509.8</v>
      </c>
      <c r="I409" s="58"/>
      <c r="J409" s="58"/>
      <c r="K409" s="15">
        <v>603.58000000000004</v>
      </c>
    </row>
    <row r="410" spans="1:11" customFormat="1">
      <c r="A410" s="8" t="s">
        <v>381</v>
      </c>
      <c r="B410" s="15">
        <v>600</v>
      </c>
      <c r="C410" s="15"/>
      <c r="D410" s="15"/>
      <c r="E410" s="15"/>
      <c r="F410" s="15"/>
      <c r="G410" s="15"/>
      <c r="H410" s="18"/>
      <c r="I410" s="58"/>
      <c r="J410" s="58"/>
      <c r="K410" s="15">
        <v>600</v>
      </c>
    </row>
    <row r="411" spans="1:11" customFormat="1">
      <c r="A411" s="8" t="s">
        <v>382</v>
      </c>
      <c r="B411" s="15">
        <v>600</v>
      </c>
      <c r="C411" s="15"/>
      <c r="D411" s="15"/>
      <c r="E411" s="15"/>
      <c r="F411" s="15"/>
      <c r="G411" s="15"/>
      <c r="H411" s="18"/>
      <c r="I411" s="58"/>
      <c r="J411" s="58"/>
      <c r="K411" s="15">
        <v>600</v>
      </c>
    </row>
    <row r="412" spans="1:11" customFormat="1">
      <c r="A412" s="8" t="s">
        <v>383</v>
      </c>
      <c r="B412" s="15"/>
      <c r="C412" s="15"/>
      <c r="D412" s="15"/>
      <c r="E412" s="15"/>
      <c r="F412" s="15">
        <v>233.3</v>
      </c>
      <c r="G412" s="15">
        <v>350</v>
      </c>
      <c r="H412" s="18">
        <v>583.29999999999995</v>
      </c>
      <c r="I412" s="58"/>
      <c r="J412" s="58"/>
      <c r="K412" s="15">
        <v>583.29999999999995</v>
      </c>
    </row>
    <row r="413" spans="1:11" customFormat="1">
      <c r="A413" s="45" t="s">
        <v>384</v>
      </c>
      <c r="B413" s="15"/>
      <c r="C413" s="15"/>
      <c r="D413" s="15"/>
      <c r="E413" s="15"/>
      <c r="F413" s="15">
        <v>233.3</v>
      </c>
      <c r="G413" s="15">
        <v>350</v>
      </c>
      <c r="H413" s="18">
        <v>583.29999999999995</v>
      </c>
      <c r="I413" s="58"/>
      <c r="J413" s="58"/>
      <c r="K413" s="15">
        <v>583.29999999999995</v>
      </c>
    </row>
    <row r="414" spans="1:11" customFormat="1">
      <c r="A414" s="8" t="s">
        <v>385</v>
      </c>
      <c r="B414" s="15">
        <v>99</v>
      </c>
      <c r="C414" s="15">
        <v>475.32</v>
      </c>
      <c r="D414" s="15"/>
      <c r="E414" s="15"/>
      <c r="F414" s="15"/>
      <c r="G414" s="15"/>
      <c r="H414" s="18">
        <v>475.32</v>
      </c>
      <c r="I414" s="58"/>
      <c r="J414" s="58"/>
      <c r="K414" s="15">
        <v>574.31999999999994</v>
      </c>
    </row>
    <row r="415" spans="1:11" customFormat="1">
      <c r="A415" s="8" t="s">
        <v>386</v>
      </c>
      <c r="B415" s="15"/>
      <c r="C415" s="15"/>
      <c r="D415" s="15"/>
      <c r="E415" s="15">
        <v>564.4</v>
      </c>
      <c r="F415" s="15"/>
      <c r="G415" s="15"/>
      <c r="H415" s="18">
        <v>564.4</v>
      </c>
      <c r="I415" s="58"/>
      <c r="J415" s="58"/>
      <c r="K415" s="15">
        <v>564.4</v>
      </c>
    </row>
    <row r="416" spans="1:11" customFormat="1">
      <c r="A416" s="45" t="s">
        <v>387</v>
      </c>
      <c r="B416" s="15"/>
      <c r="C416" s="15"/>
      <c r="D416" s="15"/>
      <c r="E416" s="15">
        <v>564.4</v>
      </c>
      <c r="F416" s="15"/>
      <c r="G416" s="15"/>
      <c r="H416" s="18">
        <v>564.4</v>
      </c>
      <c r="I416" s="58"/>
      <c r="J416" s="58"/>
      <c r="K416" s="15">
        <v>564.4</v>
      </c>
    </row>
    <row r="417" spans="1:11" customFormat="1">
      <c r="A417" s="8" t="s">
        <v>388</v>
      </c>
      <c r="B417" s="15">
        <v>240</v>
      </c>
      <c r="C417" s="15">
        <v>320</v>
      </c>
      <c r="D417" s="15"/>
      <c r="E417" s="15"/>
      <c r="F417" s="15"/>
      <c r="G417" s="15"/>
      <c r="H417" s="18">
        <v>320</v>
      </c>
      <c r="I417" s="58"/>
      <c r="J417" s="58"/>
      <c r="K417" s="15">
        <v>560</v>
      </c>
    </row>
    <row r="418" spans="1:11" customFormat="1">
      <c r="A418" s="8" t="s">
        <v>389</v>
      </c>
      <c r="B418" s="15">
        <v>408</v>
      </c>
      <c r="C418" s="15"/>
      <c r="D418" s="15"/>
      <c r="E418" s="15">
        <v>90</v>
      </c>
      <c r="F418" s="15"/>
      <c r="G418" s="15">
        <v>60</v>
      </c>
      <c r="H418" s="18">
        <v>150</v>
      </c>
      <c r="I418" s="58"/>
      <c r="J418" s="58"/>
      <c r="K418" s="15">
        <v>558</v>
      </c>
    </row>
    <row r="419" spans="1:11" customFormat="1">
      <c r="A419" s="8" t="s">
        <v>390</v>
      </c>
      <c r="B419" s="15">
        <v>540.66999999999996</v>
      </c>
      <c r="C419" s="15"/>
      <c r="D419" s="15"/>
      <c r="E419" s="15"/>
      <c r="F419" s="15"/>
      <c r="G419" s="15"/>
      <c r="H419" s="18"/>
      <c r="I419" s="58"/>
      <c r="J419" s="58"/>
      <c r="K419" s="15">
        <v>540.66999999999996</v>
      </c>
    </row>
    <row r="420" spans="1:11" customFormat="1">
      <c r="A420" s="8" t="s">
        <v>391</v>
      </c>
      <c r="B420" s="15"/>
      <c r="C420" s="15"/>
      <c r="D420" s="15"/>
      <c r="E420" s="15"/>
      <c r="F420" s="15"/>
      <c r="G420" s="15">
        <v>530</v>
      </c>
      <c r="H420" s="18">
        <v>530</v>
      </c>
      <c r="I420" s="58"/>
      <c r="J420" s="58"/>
      <c r="K420" s="15">
        <v>530</v>
      </c>
    </row>
    <row r="421" spans="1:11" customFormat="1">
      <c r="A421" s="45" t="s">
        <v>141</v>
      </c>
      <c r="B421" s="15"/>
      <c r="C421" s="15"/>
      <c r="D421" s="15"/>
      <c r="E421" s="15"/>
      <c r="F421" s="15"/>
      <c r="G421" s="15">
        <v>530</v>
      </c>
      <c r="H421" s="18">
        <v>530</v>
      </c>
      <c r="I421" s="58"/>
      <c r="J421" s="58"/>
      <c r="K421" s="15">
        <v>530</v>
      </c>
    </row>
    <row r="422" spans="1:11" customFormat="1">
      <c r="A422" s="8" t="s">
        <v>392</v>
      </c>
      <c r="B422" s="15">
        <v>525.89</v>
      </c>
      <c r="C422" s="15"/>
      <c r="D422" s="15"/>
      <c r="E422" s="15"/>
      <c r="F422" s="15"/>
      <c r="G422" s="15"/>
      <c r="H422" s="18"/>
      <c r="I422" s="58"/>
      <c r="J422" s="58"/>
      <c r="K422" s="15">
        <v>525.89</v>
      </c>
    </row>
    <row r="423" spans="1:11" customFormat="1">
      <c r="A423" s="8" t="s">
        <v>393</v>
      </c>
      <c r="B423" s="15">
        <v>363.03</v>
      </c>
      <c r="C423" s="15"/>
      <c r="D423" s="15"/>
      <c r="E423" s="15"/>
      <c r="F423" s="15">
        <v>100</v>
      </c>
      <c r="G423" s="15">
        <v>50</v>
      </c>
      <c r="H423" s="18">
        <v>150</v>
      </c>
      <c r="I423" s="58"/>
      <c r="J423" s="58"/>
      <c r="K423" s="15">
        <v>513.03</v>
      </c>
    </row>
    <row r="424" spans="1:11" customFormat="1">
      <c r="A424" s="8" t="s">
        <v>394</v>
      </c>
      <c r="B424" s="15"/>
      <c r="C424" s="15"/>
      <c r="D424" s="15"/>
      <c r="E424" s="15"/>
      <c r="F424" s="15">
        <v>12.200000000000001</v>
      </c>
      <c r="G424" s="15">
        <v>499.42</v>
      </c>
      <c r="H424" s="18">
        <v>511.62</v>
      </c>
      <c r="I424" s="58"/>
      <c r="J424" s="58"/>
      <c r="K424" s="15">
        <v>511.62</v>
      </c>
    </row>
    <row r="425" spans="1:11" customFormat="1">
      <c r="A425" s="45" t="s">
        <v>138</v>
      </c>
      <c r="B425" s="15"/>
      <c r="C425" s="15"/>
      <c r="D425" s="15"/>
      <c r="E425" s="15"/>
      <c r="F425" s="15"/>
      <c r="G425" s="15">
        <v>255.42000000000002</v>
      </c>
      <c r="H425" s="18">
        <v>255.42000000000002</v>
      </c>
      <c r="I425" s="58"/>
      <c r="J425" s="58"/>
      <c r="K425" s="15">
        <v>255.42000000000002</v>
      </c>
    </row>
    <row r="426" spans="1:11" customFormat="1">
      <c r="A426" s="45" t="s">
        <v>139</v>
      </c>
      <c r="B426" s="15"/>
      <c r="C426" s="15"/>
      <c r="D426" s="15"/>
      <c r="E426" s="15"/>
      <c r="F426" s="15"/>
      <c r="G426" s="59">
        <v>244</v>
      </c>
      <c r="H426" s="18">
        <v>244</v>
      </c>
      <c r="I426" s="58"/>
      <c r="J426" s="58"/>
      <c r="K426" s="15">
        <v>244</v>
      </c>
    </row>
    <row r="427" spans="1:11" customFormat="1">
      <c r="A427" s="45" t="s">
        <v>140</v>
      </c>
      <c r="B427" s="15"/>
      <c r="C427" s="15"/>
      <c r="D427" s="15"/>
      <c r="E427" s="15"/>
      <c r="F427" s="15">
        <v>12.200000000000001</v>
      </c>
      <c r="G427" s="15"/>
      <c r="H427" s="18">
        <v>12.200000000000001</v>
      </c>
      <c r="I427" s="58"/>
      <c r="J427" s="58"/>
      <c r="K427" s="15">
        <v>12.200000000000001</v>
      </c>
    </row>
    <row r="428" spans="1:11" customFormat="1">
      <c r="A428" s="8" t="s">
        <v>395</v>
      </c>
      <c r="B428" s="15"/>
      <c r="C428" s="15"/>
      <c r="D428" s="15"/>
      <c r="E428" s="15"/>
      <c r="F428" s="15"/>
      <c r="G428" s="15">
        <v>504</v>
      </c>
      <c r="H428" s="18">
        <v>504</v>
      </c>
      <c r="I428" s="58"/>
      <c r="J428" s="58"/>
      <c r="K428" s="15">
        <v>504</v>
      </c>
    </row>
    <row r="429" spans="1:11" customFormat="1">
      <c r="A429" s="45" t="s">
        <v>200</v>
      </c>
      <c r="B429" s="15"/>
      <c r="C429" s="15"/>
      <c r="D429" s="15"/>
      <c r="E429" s="15"/>
      <c r="F429" s="15"/>
      <c r="G429" s="15">
        <v>504</v>
      </c>
      <c r="H429" s="18">
        <v>504</v>
      </c>
      <c r="I429" s="58"/>
      <c r="J429" s="58"/>
      <c r="K429" s="15">
        <v>504</v>
      </c>
    </row>
    <row r="430" spans="1:11" customFormat="1">
      <c r="A430" s="8" t="s">
        <v>396</v>
      </c>
      <c r="B430" s="15">
        <v>500</v>
      </c>
      <c r="C430" s="15"/>
      <c r="D430" s="15"/>
      <c r="E430" s="15"/>
      <c r="F430" s="15"/>
      <c r="G430" s="15"/>
      <c r="H430" s="18"/>
      <c r="I430" s="58"/>
      <c r="J430" s="58"/>
      <c r="K430" s="15">
        <v>500</v>
      </c>
    </row>
    <row r="431" spans="1:11" customFormat="1">
      <c r="A431" s="8" t="s">
        <v>397</v>
      </c>
      <c r="B431" s="15"/>
      <c r="C431" s="15"/>
      <c r="D431" s="15"/>
      <c r="E431" s="15"/>
      <c r="F431" s="15">
        <v>500</v>
      </c>
      <c r="G431" s="15"/>
      <c r="H431" s="18">
        <v>500</v>
      </c>
      <c r="I431" s="58"/>
      <c r="J431" s="58"/>
      <c r="K431" s="15">
        <v>500</v>
      </c>
    </row>
    <row r="432" spans="1:11" customFormat="1">
      <c r="A432" s="45" t="s">
        <v>398</v>
      </c>
      <c r="B432" s="15"/>
      <c r="C432" s="15"/>
      <c r="D432" s="15"/>
      <c r="E432" s="15"/>
      <c r="F432" s="15">
        <v>500</v>
      </c>
      <c r="G432" s="15"/>
      <c r="H432" s="18">
        <v>500</v>
      </c>
      <c r="I432" s="58"/>
      <c r="J432" s="58"/>
      <c r="K432" s="15">
        <v>500</v>
      </c>
    </row>
    <row r="433" spans="1:11" customFormat="1">
      <c r="A433" s="8" t="s">
        <v>399</v>
      </c>
      <c r="B433" s="15">
        <v>500</v>
      </c>
      <c r="C433" s="15"/>
      <c r="D433" s="15"/>
      <c r="E433" s="15"/>
      <c r="F433" s="15"/>
      <c r="G433" s="15"/>
      <c r="H433" s="18"/>
      <c r="I433" s="58"/>
      <c r="J433" s="58"/>
      <c r="K433" s="15">
        <v>500</v>
      </c>
    </row>
    <row r="434" spans="1:11" customFormat="1">
      <c r="A434" s="8" t="s">
        <v>400</v>
      </c>
      <c r="B434" s="15">
        <v>500</v>
      </c>
      <c r="C434" s="15"/>
      <c r="D434" s="15"/>
      <c r="E434" s="15"/>
      <c r="F434" s="15"/>
      <c r="G434" s="15"/>
      <c r="H434" s="18"/>
      <c r="I434" s="58"/>
      <c r="J434" s="58"/>
      <c r="K434" s="15">
        <v>500</v>
      </c>
    </row>
    <row r="435" spans="1:11" customFormat="1">
      <c r="A435" s="8" t="s">
        <v>401</v>
      </c>
      <c r="B435" s="15">
        <v>480</v>
      </c>
      <c r="C435" s="15"/>
      <c r="D435" s="15"/>
      <c r="E435" s="15"/>
      <c r="F435" s="15"/>
      <c r="G435" s="15"/>
      <c r="H435" s="18"/>
      <c r="I435" s="58"/>
      <c r="J435" s="58"/>
      <c r="K435" s="15">
        <v>480</v>
      </c>
    </row>
    <row r="436" spans="1:11" customFormat="1">
      <c r="A436" s="8" t="s">
        <v>402</v>
      </c>
      <c r="B436" s="15">
        <v>474.4</v>
      </c>
      <c r="C436" s="15"/>
      <c r="D436" s="15"/>
      <c r="E436" s="15"/>
      <c r="F436" s="15"/>
      <c r="G436" s="15"/>
      <c r="H436" s="18"/>
      <c r="I436" s="58"/>
      <c r="J436" s="58"/>
      <c r="K436" s="15">
        <v>474.4</v>
      </c>
    </row>
    <row r="437" spans="1:11" customFormat="1">
      <c r="A437" s="8" t="s">
        <v>403</v>
      </c>
      <c r="B437" s="15"/>
      <c r="C437" s="15"/>
      <c r="D437" s="15">
        <v>466.28000000000003</v>
      </c>
      <c r="E437" s="15"/>
      <c r="F437" s="15"/>
      <c r="G437" s="15"/>
      <c r="H437" s="18">
        <v>466.28000000000003</v>
      </c>
      <c r="I437" s="58"/>
      <c r="J437" s="58"/>
      <c r="K437" s="15">
        <v>466.28000000000003</v>
      </c>
    </row>
    <row r="438" spans="1:11" customFormat="1">
      <c r="A438" s="45" t="s">
        <v>404</v>
      </c>
      <c r="B438" s="15"/>
      <c r="C438" s="15"/>
      <c r="D438" s="15">
        <v>466.28000000000003</v>
      </c>
      <c r="E438" s="15"/>
      <c r="F438" s="15"/>
      <c r="G438" s="15"/>
      <c r="H438" s="18">
        <v>466.28000000000003</v>
      </c>
      <c r="I438" s="58"/>
      <c r="J438" s="58"/>
      <c r="K438" s="15">
        <v>466.28000000000003</v>
      </c>
    </row>
    <row r="439" spans="1:11" customFormat="1">
      <c r="A439" s="8" t="s">
        <v>405</v>
      </c>
      <c r="B439" s="15"/>
      <c r="C439" s="15"/>
      <c r="D439" s="15"/>
      <c r="E439" s="15"/>
      <c r="F439" s="15">
        <v>219.6</v>
      </c>
      <c r="G439" s="15">
        <v>244</v>
      </c>
      <c r="H439" s="18">
        <v>463.6</v>
      </c>
      <c r="I439" s="58"/>
      <c r="J439" s="58"/>
      <c r="K439" s="15">
        <v>463.6</v>
      </c>
    </row>
    <row r="440" spans="1:11" customFormat="1">
      <c r="A440" s="45" t="s">
        <v>139</v>
      </c>
      <c r="B440" s="15"/>
      <c r="C440" s="15"/>
      <c r="D440" s="15"/>
      <c r="E440" s="15"/>
      <c r="F440" s="15"/>
      <c r="G440" s="59">
        <v>244</v>
      </c>
      <c r="H440" s="18">
        <v>244</v>
      </c>
      <c r="I440" s="58"/>
      <c r="J440" s="58"/>
      <c r="K440" s="15">
        <v>244</v>
      </c>
    </row>
    <row r="441" spans="1:11" customFormat="1">
      <c r="A441" s="45" t="s">
        <v>140</v>
      </c>
      <c r="B441" s="15"/>
      <c r="C441" s="15"/>
      <c r="D441" s="15"/>
      <c r="E441" s="15"/>
      <c r="F441" s="15">
        <v>219.6</v>
      </c>
      <c r="G441" s="15"/>
      <c r="H441" s="18">
        <v>219.6</v>
      </c>
      <c r="I441" s="58"/>
      <c r="J441" s="58"/>
      <c r="K441" s="15">
        <v>219.6</v>
      </c>
    </row>
    <row r="442" spans="1:11" customFormat="1">
      <c r="A442" s="8" t="s">
        <v>406</v>
      </c>
      <c r="B442" s="15">
        <v>208.8</v>
      </c>
      <c r="C442" s="15">
        <v>232</v>
      </c>
      <c r="D442" s="15"/>
      <c r="E442" s="15"/>
      <c r="F442" s="15"/>
      <c r="G442" s="15"/>
      <c r="H442" s="18">
        <v>232</v>
      </c>
      <c r="I442" s="58"/>
      <c r="J442" s="58"/>
      <c r="K442" s="15">
        <v>440.8</v>
      </c>
    </row>
    <row r="443" spans="1:11" customFormat="1">
      <c r="A443" s="8" t="s">
        <v>407</v>
      </c>
      <c r="B443" s="15">
        <v>432.5</v>
      </c>
      <c r="C443" s="15"/>
      <c r="D443" s="15"/>
      <c r="E443" s="15"/>
      <c r="F443" s="15"/>
      <c r="G443" s="15"/>
      <c r="H443" s="18"/>
      <c r="I443" s="58"/>
      <c r="J443" s="58"/>
      <c r="K443" s="15">
        <v>432.5</v>
      </c>
    </row>
    <row r="444" spans="1:11" customFormat="1">
      <c r="A444" s="8" t="s">
        <v>408</v>
      </c>
      <c r="B444" s="15"/>
      <c r="C444" s="15"/>
      <c r="D444" s="15"/>
      <c r="E444" s="15"/>
      <c r="F444" s="15">
        <v>420</v>
      </c>
      <c r="G444" s="15"/>
      <c r="H444" s="18">
        <v>420</v>
      </c>
      <c r="I444" s="58"/>
      <c r="J444" s="58"/>
      <c r="K444" s="15">
        <v>420</v>
      </c>
    </row>
    <row r="445" spans="1:11" customFormat="1">
      <c r="A445" s="45" t="s">
        <v>270</v>
      </c>
      <c r="B445" s="15"/>
      <c r="C445" s="15"/>
      <c r="D445" s="15"/>
      <c r="E445" s="15"/>
      <c r="F445" s="15">
        <v>420</v>
      </c>
      <c r="G445" s="15"/>
      <c r="H445" s="18">
        <v>420</v>
      </c>
      <c r="I445" s="58"/>
      <c r="J445" s="58"/>
      <c r="K445" s="15">
        <v>420</v>
      </c>
    </row>
    <row r="446" spans="1:11" customFormat="1">
      <c r="A446" s="8" t="s">
        <v>409</v>
      </c>
      <c r="B446" s="15">
        <v>400</v>
      </c>
      <c r="C446" s="15"/>
      <c r="D446" s="15"/>
      <c r="E446" s="15"/>
      <c r="F446" s="15"/>
      <c r="G446" s="15"/>
      <c r="H446" s="18"/>
      <c r="I446" s="58"/>
      <c r="J446" s="58"/>
      <c r="K446" s="15">
        <v>400</v>
      </c>
    </row>
    <row r="447" spans="1:11" customFormat="1">
      <c r="A447" s="8" t="s">
        <v>410</v>
      </c>
      <c r="B447" s="15">
        <v>398.70000000000005</v>
      </c>
      <c r="C447" s="15"/>
      <c r="D447" s="15"/>
      <c r="E447" s="15"/>
      <c r="F447" s="15"/>
      <c r="G447" s="15"/>
      <c r="H447" s="18"/>
      <c r="I447" s="58"/>
      <c r="J447" s="58"/>
      <c r="K447" s="15">
        <v>398.70000000000005</v>
      </c>
    </row>
    <row r="448" spans="1:11" customFormat="1">
      <c r="A448" s="8" t="s">
        <v>411</v>
      </c>
      <c r="B448" s="15">
        <v>397.5</v>
      </c>
      <c r="C448" s="15"/>
      <c r="D448" s="15"/>
      <c r="E448" s="15"/>
      <c r="F448" s="15"/>
      <c r="G448" s="15"/>
      <c r="H448" s="18"/>
      <c r="I448" s="58"/>
      <c r="J448" s="58"/>
      <c r="K448" s="15">
        <v>397.5</v>
      </c>
    </row>
    <row r="449" spans="1:11" customFormat="1">
      <c r="A449" s="8" t="s">
        <v>412</v>
      </c>
      <c r="B449" s="15">
        <v>397.5</v>
      </c>
      <c r="C449" s="15"/>
      <c r="D449" s="15"/>
      <c r="E449" s="15"/>
      <c r="F449" s="15"/>
      <c r="G449" s="15"/>
      <c r="H449" s="18"/>
      <c r="I449" s="58"/>
      <c r="J449" s="58"/>
      <c r="K449" s="15">
        <v>397.5</v>
      </c>
    </row>
    <row r="450" spans="1:11" customFormat="1">
      <c r="A450" s="8" t="s">
        <v>413</v>
      </c>
      <c r="B450" s="15">
        <v>316</v>
      </c>
      <c r="C450" s="15">
        <v>79</v>
      </c>
      <c r="D450" s="15"/>
      <c r="E450" s="15"/>
      <c r="F450" s="15"/>
      <c r="G450" s="15"/>
      <c r="H450" s="18">
        <v>79</v>
      </c>
      <c r="I450" s="58"/>
      <c r="J450" s="58"/>
      <c r="K450" s="15">
        <v>395</v>
      </c>
    </row>
    <row r="451" spans="1:11" customFormat="1">
      <c r="A451" s="8" t="s">
        <v>414</v>
      </c>
      <c r="B451" s="15">
        <v>384.32000000000005</v>
      </c>
      <c r="C451" s="15"/>
      <c r="D451" s="15"/>
      <c r="E451" s="15"/>
      <c r="F451" s="15"/>
      <c r="G451" s="15"/>
      <c r="H451" s="18"/>
      <c r="I451" s="58"/>
      <c r="J451" s="58"/>
      <c r="K451" s="15">
        <v>384.32000000000005</v>
      </c>
    </row>
    <row r="452" spans="1:11" customFormat="1">
      <c r="A452" s="8" t="s">
        <v>415</v>
      </c>
      <c r="B452" s="15"/>
      <c r="C452" s="15">
        <v>380.78</v>
      </c>
      <c r="D452" s="15"/>
      <c r="E452" s="15"/>
      <c r="F452" s="15"/>
      <c r="G452" s="15"/>
      <c r="H452" s="18">
        <v>380.78</v>
      </c>
      <c r="I452" s="58"/>
      <c r="J452" s="58"/>
      <c r="K452" s="15">
        <v>380.78</v>
      </c>
    </row>
    <row r="453" spans="1:11" customFormat="1">
      <c r="A453" s="8" t="s">
        <v>416</v>
      </c>
      <c r="B453" s="15">
        <v>380</v>
      </c>
      <c r="C453" s="15"/>
      <c r="D453" s="15"/>
      <c r="E453" s="15"/>
      <c r="F453" s="15"/>
      <c r="G453" s="15"/>
      <c r="H453" s="18"/>
      <c r="I453" s="58"/>
      <c r="J453" s="58"/>
      <c r="K453" s="15">
        <v>380</v>
      </c>
    </row>
    <row r="454" spans="1:11" customFormat="1">
      <c r="A454" s="8" t="s">
        <v>417</v>
      </c>
      <c r="B454" s="15">
        <v>380</v>
      </c>
      <c r="C454" s="15"/>
      <c r="D454" s="15"/>
      <c r="E454" s="15"/>
      <c r="F454" s="15"/>
      <c r="G454" s="15"/>
      <c r="H454" s="18"/>
      <c r="I454" s="58"/>
      <c r="J454" s="58"/>
      <c r="K454" s="15">
        <v>380</v>
      </c>
    </row>
    <row r="455" spans="1:11" customFormat="1">
      <c r="A455" s="8" t="s">
        <v>418</v>
      </c>
      <c r="B455" s="15">
        <v>331.3</v>
      </c>
      <c r="C455" s="15"/>
      <c r="D455" s="15"/>
      <c r="E455" s="15"/>
      <c r="F455" s="15"/>
      <c r="G455" s="15">
        <v>46.6</v>
      </c>
      <c r="H455" s="18">
        <v>46.6</v>
      </c>
      <c r="I455" s="58"/>
      <c r="J455" s="58"/>
      <c r="K455" s="15">
        <v>377.90000000000003</v>
      </c>
    </row>
    <row r="456" spans="1:11" customFormat="1">
      <c r="A456" s="8" t="s">
        <v>419</v>
      </c>
      <c r="B456" s="15">
        <v>376.5</v>
      </c>
      <c r="C456" s="15"/>
      <c r="D456" s="15"/>
      <c r="E456" s="15"/>
      <c r="F456" s="15"/>
      <c r="G456" s="15"/>
      <c r="H456" s="18"/>
      <c r="I456" s="58"/>
      <c r="J456" s="58"/>
      <c r="K456" s="15">
        <v>376.5</v>
      </c>
    </row>
    <row r="457" spans="1:11" customFormat="1">
      <c r="A457" s="8" t="s">
        <v>420</v>
      </c>
      <c r="B457" s="15">
        <v>375</v>
      </c>
      <c r="C457" s="15"/>
      <c r="D457" s="15"/>
      <c r="E457" s="15"/>
      <c r="F457" s="15"/>
      <c r="G457" s="15"/>
      <c r="H457" s="18"/>
      <c r="I457" s="58"/>
      <c r="J457" s="58"/>
      <c r="K457" s="15">
        <v>375</v>
      </c>
    </row>
    <row r="458" spans="1:11" customFormat="1">
      <c r="A458" s="8" t="s">
        <v>421</v>
      </c>
      <c r="B458" s="15">
        <v>370</v>
      </c>
      <c r="C458" s="15"/>
      <c r="D458" s="15"/>
      <c r="E458" s="15"/>
      <c r="F458" s="15"/>
      <c r="G458" s="15"/>
      <c r="H458" s="18"/>
      <c r="I458" s="58"/>
      <c r="J458" s="58"/>
      <c r="K458" s="15">
        <v>370</v>
      </c>
    </row>
    <row r="459" spans="1:11" customFormat="1">
      <c r="A459" s="8" t="s">
        <v>422</v>
      </c>
      <c r="B459" s="15">
        <v>360</v>
      </c>
      <c r="C459" s="15"/>
      <c r="D459" s="15"/>
      <c r="E459" s="15"/>
      <c r="F459" s="15"/>
      <c r="G459" s="15"/>
      <c r="H459" s="18"/>
      <c r="I459" s="58"/>
      <c r="J459" s="58"/>
      <c r="K459" s="15">
        <v>360</v>
      </c>
    </row>
    <row r="460" spans="1:11" customFormat="1">
      <c r="A460" s="8" t="s">
        <v>423</v>
      </c>
      <c r="B460" s="15">
        <v>353.08</v>
      </c>
      <c r="C460" s="15"/>
      <c r="D460" s="15"/>
      <c r="E460" s="15"/>
      <c r="F460" s="15"/>
      <c r="G460" s="15"/>
      <c r="H460" s="18"/>
      <c r="I460" s="58"/>
      <c r="J460" s="58"/>
      <c r="K460" s="15">
        <v>353.08</v>
      </c>
    </row>
    <row r="461" spans="1:11" customFormat="1">
      <c r="A461" s="8" t="s">
        <v>424</v>
      </c>
      <c r="B461" s="15">
        <v>345.90000000000003</v>
      </c>
      <c r="C461" s="15"/>
      <c r="D461" s="15"/>
      <c r="E461" s="15"/>
      <c r="F461" s="15"/>
      <c r="G461" s="15"/>
      <c r="H461" s="18"/>
      <c r="I461" s="58"/>
      <c r="J461" s="58"/>
      <c r="K461" s="15">
        <v>345.90000000000003</v>
      </c>
    </row>
    <row r="462" spans="1:11" customFormat="1">
      <c r="A462" s="8" t="s">
        <v>425</v>
      </c>
      <c r="B462" s="15"/>
      <c r="C462" s="15">
        <v>327.88</v>
      </c>
      <c r="D462" s="15"/>
      <c r="E462" s="15"/>
      <c r="F462" s="15"/>
      <c r="G462" s="15"/>
      <c r="H462" s="18">
        <v>327.88</v>
      </c>
      <c r="I462" s="58"/>
      <c r="J462" s="58"/>
      <c r="K462" s="15">
        <v>327.88</v>
      </c>
    </row>
    <row r="463" spans="1:11" customFormat="1">
      <c r="A463" s="8" t="s">
        <v>426</v>
      </c>
      <c r="B463" s="15">
        <v>158</v>
      </c>
      <c r="C463" s="15"/>
      <c r="D463" s="15"/>
      <c r="E463" s="15"/>
      <c r="F463" s="15"/>
      <c r="G463" s="15">
        <v>168</v>
      </c>
      <c r="H463" s="18">
        <v>168</v>
      </c>
      <c r="I463" s="58"/>
      <c r="J463" s="58"/>
      <c r="K463" s="15">
        <v>326</v>
      </c>
    </row>
    <row r="464" spans="1:11" customFormat="1">
      <c r="A464" s="8" t="s">
        <v>427</v>
      </c>
      <c r="B464" s="15">
        <v>81.2</v>
      </c>
      <c r="C464" s="15">
        <v>243.6</v>
      </c>
      <c r="D464" s="15"/>
      <c r="E464" s="15"/>
      <c r="F464" s="15"/>
      <c r="G464" s="15"/>
      <c r="H464" s="18">
        <v>243.6</v>
      </c>
      <c r="I464" s="58"/>
      <c r="J464" s="58"/>
      <c r="K464" s="15">
        <v>324.8</v>
      </c>
    </row>
    <row r="465" spans="1:11" customFormat="1">
      <c r="A465" s="8" t="s">
        <v>428</v>
      </c>
      <c r="B465" s="15">
        <v>258</v>
      </c>
      <c r="C465" s="15">
        <v>36</v>
      </c>
      <c r="D465" s="15"/>
      <c r="E465" s="15"/>
      <c r="F465" s="15"/>
      <c r="G465" s="15">
        <v>30</v>
      </c>
      <c r="H465" s="18">
        <v>66</v>
      </c>
      <c r="I465" s="58"/>
      <c r="J465" s="58"/>
      <c r="K465" s="15">
        <v>324</v>
      </c>
    </row>
    <row r="466" spans="1:11" customFormat="1">
      <c r="A466" s="8" t="s">
        <v>429</v>
      </c>
      <c r="B466" s="15">
        <v>320</v>
      </c>
      <c r="C466" s="15"/>
      <c r="D466" s="15"/>
      <c r="E466" s="15"/>
      <c r="F466" s="15"/>
      <c r="G466" s="15"/>
      <c r="H466" s="18"/>
      <c r="I466" s="58"/>
      <c r="J466" s="58"/>
      <c r="K466" s="15">
        <v>320</v>
      </c>
    </row>
    <row r="467" spans="1:11" customFormat="1">
      <c r="A467" s="8" t="s">
        <v>430</v>
      </c>
      <c r="B467" s="15">
        <v>320</v>
      </c>
      <c r="C467" s="15"/>
      <c r="D467" s="15"/>
      <c r="E467" s="15"/>
      <c r="F467" s="15"/>
      <c r="G467" s="15"/>
      <c r="H467" s="18"/>
      <c r="I467" s="58"/>
      <c r="J467" s="58"/>
      <c r="K467" s="15">
        <v>320</v>
      </c>
    </row>
    <row r="468" spans="1:11" customFormat="1">
      <c r="A468" s="8" t="s">
        <v>431</v>
      </c>
      <c r="B468" s="15">
        <v>320</v>
      </c>
      <c r="C468" s="15"/>
      <c r="D468" s="15"/>
      <c r="E468" s="15"/>
      <c r="F468" s="15"/>
      <c r="G468" s="15"/>
      <c r="H468" s="18"/>
      <c r="I468" s="58"/>
      <c r="J468" s="58"/>
      <c r="K468" s="15">
        <v>320</v>
      </c>
    </row>
    <row r="469" spans="1:11" customFormat="1">
      <c r="A469" s="8" t="s">
        <v>432</v>
      </c>
      <c r="B469" s="15">
        <v>320</v>
      </c>
      <c r="C469" s="15"/>
      <c r="D469" s="15"/>
      <c r="E469" s="15"/>
      <c r="F469" s="15"/>
      <c r="G469" s="15"/>
      <c r="H469" s="18"/>
      <c r="I469" s="58"/>
      <c r="J469" s="58"/>
      <c r="K469" s="15">
        <v>320</v>
      </c>
    </row>
    <row r="470" spans="1:11" customFormat="1">
      <c r="A470" s="8" t="s">
        <v>433</v>
      </c>
      <c r="B470" s="15">
        <v>70</v>
      </c>
      <c r="C470" s="15"/>
      <c r="D470" s="15">
        <v>36</v>
      </c>
      <c r="E470" s="15">
        <v>214</v>
      </c>
      <c r="F470" s="15"/>
      <c r="G470" s="15"/>
      <c r="H470" s="18">
        <v>250</v>
      </c>
      <c r="I470" s="58"/>
      <c r="J470" s="58"/>
      <c r="K470" s="15">
        <v>320</v>
      </c>
    </row>
    <row r="471" spans="1:11" customFormat="1">
      <c r="A471" s="8" t="s">
        <v>434</v>
      </c>
      <c r="B471" s="15">
        <v>320</v>
      </c>
      <c r="C471" s="15"/>
      <c r="D471" s="15"/>
      <c r="E471" s="15"/>
      <c r="F471" s="15"/>
      <c r="G471" s="15"/>
      <c r="H471" s="18"/>
      <c r="I471" s="58"/>
      <c r="J471" s="58"/>
      <c r="K471" s="15">
        <v>320</v>
      </c>
    </row>
    <row r="472" spans="1:11" customFormat="1">
      <c r="A472" s="8" t="s">
        <v>435</v>
      </c>
      <c r="B472" s="15">
        <v>166.81</v>
      </c>
      <c r="C472" s="15">
        <v>47</v>
      </c>
      <c r="D472" s="15"/>
      <c r="E472" s="15">
        <v>84.93</v>
      </c>
      <c r="F472" s="15"/>
      <c r="G472" s="15"/>
      <c r="H472" s="18">
        <v>131.93</v>
      </c>
      <c r="I472" s="58"/>
      <c r="J472" s="58"/>
      <c r="K472" s="15">
        <v>298.74</v>
      </c>
    </row>
    <row r="473" spans="1:11" customFormat="1">
      <c r="A473" s="8" t="s">
        <v>436</v>
      </c>
      <c r="B473" s="15">
        <v>297.5</v>
      </c>
      <c r="C473" s="15"/>
      <c r="D473" s="15"/>
      <c r="E473" s="15"/>
      <c r="F473" s="15"/>
      <c r="G473" s="15"/>
      <c r="H473" s="18"/>
      <c r="I473" s="58"/>
      <c r="J473" s="58"/>
      <c r="K473" s="15">
        <v>297.5</v>
      </c>
    </row>
    <row r="474" spans="1:11" customFormat="1">
      <c r="A474" s="8" t="s">
        <v>437</v>
      </c>
      <c r="B474" s="15"/>
      <c r="C474" s="15"/>
      <c r="D474" s="15">
        <v>297.5</v>
      </c>
      <c r="E474" s="15"/>
      <c r="F474" s="15"/>
      <c r="G474" s="15"/>
      <c r="H474" s="18">
        <v>297.5</v>
      </c>
      <c r="I474" s="58"/>
      <c r="J474" s="58"/>
      <c r="K474" s="15">
        <v>297.5</v>
      </c>
    </row>
    <row r="475" spans="1:11" customFormat="1">
      <c r="A475" s="45" t="s">
        <v>438</v>
      </c>
      <c r="B475" s="15"/>
      <c r="C475" s="15"/>
      <c r="D475" s="15">
        <v>297.5</v>
      </c>
      <c r="E475" s="15"/>
      <c r="F475" s="15"/>
      <c r="G475" s="15"/>
      <c r="H475" s="18">
        <v>297.5</v>
      </c>
      <c r="I475" s="58"/>
      <c r="J475" s="58"/>
      <c r="K475" s="15">
        <v>297.5</v>
      </c>
    </row>
    <row r="476" spans="1:11" customFormat="1">
      <c r="A476" s="8" t="s">
        <v>439</v>
      </c>
      <c r="B476" s="15">
        <v>285</v>
      </c>
      <c r="C476" s="15"/>
      <c r="D476" s="15"/>
      <c r="E476" s="15"/>
      <c r="F476" s="15"/>
      <c r="G476" s="15"/>
      <c r="H476" s="18"/>
      <c r="I476" s="58"/>
      <c r="J476" s="58"/>
      <c r="K476" s="15">
        <v>285</v>
      </c>
    </row>
    <row r="477" spans="1:11" customFormat="1">
      <c r="A477" s="8" t="s">
        <v>440</v>
      </c>
      <c r="B477" s="15"/>
      <c r="C477" s="15">
        <v>280</v>
      </c>
      <c r="D477" s="15"/>
      <c r="E477" s="15"/>
      <c r="F477" s="15"/>
      <c r="G477" s="15"/>
      <c r="H477" s="18">
        <v>280</v>
      </c>
      <c r="I477" s="58"/>
      <c r="J477" s="58"/>
      <c r="K477" s="15">
        <v>280</v>
      </c>
    </row>
    <row r="478" spans="1:11" customFormat="1">
      <c r="A478" s="8" t="s">
        <v>441</v>
      </c>
      <c r="B478" s="15">
        <v>278.11</v>
      </c>
      <c r="C478" s="15"/>
      <c r="D478" s="15"/>
      <c r="E478" s="15"/>
      <c r="F478" s="15"/>
      <c r="G478" s="15"/>
      <c r="H478" s="18"/>
      <c r="I478" s="58"/>
      <c r="J478" s="58"/>
      <c r="K478" s="15">
        <v>278.11</v>
      </c>
    </row>
    <row r="479" spans="1:11" customFormat="1">
      <c r="A479" s="8" t="s">
        <v>442</v>
      </c>
      <c r="B479" s="15">
        <v>276.40999999999997</v>
      </c>
      <c r="C479" s="15"/>
      <c r="D479" s="15"/>
      <c r="E479" s="15"/>
      <c r="F479" s="15"/>
      <c r="G479" s="15"/>
      <c r="H479" s="18"/>
      <c r="I479" s="58"/>
      <c r="J479" s="58"/>
      <c r="K479" s="15">
        <v>276.40999999999997</v>
      </c>
    </row>
    <row r="480" spans="1:11" customFormat="1">
      <c r="A480" s="8" t="s">
        <v>443</v>
      </c>
      <c r="B480" s="15">
        <v>194.90000000000003</v>
      </c>
      <c r="C480" s="15"/>
      <c r="D480" s="15"/>
      <c r="E480" s="15"/>
      <c r="F480" s="15"/>
      <c r="G480" s="15">
        <v>61.47</v>
      </c>
      <c r="H480" s="18">
        <v>61.47</v>
      </c>
      <c r="I480" s="58"/>
      <c r="J480" s="58"/>
      <c r="K480" s="15">
        <v>256.37</v>
      </c>
    </row>
    <row r="481" spans="1:11" customFormat="1">
      <c r="A481" s="8" t="s">
        <v>444</v>
      </c>
      <c r="B481" s="15">
        <v>254</v>
      </c>
      <c r="C481" s="15"/>
      <c r="D481" s="15"/>
      <c r="E481" s="15"/>
      <c r="F481" s="15"/>
      <c r="G481" s="15"/>
      <c r="H481" s="18"/>
      <c r="I481" s="58"/>
      <c r="J481" s="58"/>
      <c r="K481" s="15">
        <v>254</v>
      </c>
    </row>
    <row r="482" spans="1:11" customFormat="1">
      <c r="A482" s="8" t="s">
        <v>445</v>
      </c>
      <c r="B482" s="15">
        <v>250</v>
      </c>
      <c r="C482" s="15"/>
      <c r="D482" s="15"/>
      <c r="E482" s="15"/>
      <c r="F482" s="15"/>
      <c r="G482" s="15"/>
      <c r="H482" s="18"/>
      <c r="I482" s="58"/>
      <c r="J482" s="58"/>
      <c r="K482" s="15">
        <v>250</v>
      </c>
    </row>
    <row r="483" spans="1:11" customFormat="1">
      <c r="A483" s="8" t="s">
        <v>446</v>
      </c>
      <c r="B483" s="15">
        <v>250</v>
      </c>
      <c r="C483" s="15"/>
      <c r="D483" s="15"/>
      <c r="E483" s="15"/>
      <c r="F483" s="15"/>
      <c r="G483" s="15"/>
      <c r="H483" s="18"/>
      <c r="I483" s="58"/>
      <c r="J483" s="58"/>
      <c r="K483" s="15">
        <v>250</v>
      </c>
    </row>
    <row r="484" spans="1:11" customFormat="1">
      <c r="A484" s="8" t="s">
        <v>447</v>
      </c>
      <c r="B484" s="15">
        <v>250</v>
      </c>
      <c r="C484" s="15"/>
      <c r="D484" s="15"/>
      <c r="E484" s="15"/>
      <c r="F484" s="15"/>
      <c r="G484" s="15"/>
      <c r="H484" s="18"/>
      <c r="I484" s="58"/>
      <c r="J484" s="58"/>
      <c r="K484" s="15">
        <v>250</v>
      </c>
    </row>
    <row r="485" spans="1:11" customFormat="1">
      <c r="A485" s="8" t="s">
        <v>448</v>
      </c>
      <c r="B485" s="15">
        <v>240.70000000000002</v>
      </c>
      <c r="C485" s="15"/>
      <c r="D485" s="15"/>
      <c r="E485" s="15"/>
      <c r="F485" s="15"/>
      <c r="G485" s="15"/>
      <c r="H485" s="18"/>
      <c r="I485" s="58"/>
      <c r="J485" s="58"/>
      <c r="K485" s="15">
        <v>240.70000000000002</v>
      </c>
    </row>
    <row r="486" spans="1:11" customFormat="1">
      <c r="A486" s="8" t="s">
        <v>449</v>
      </c>
      <c r="B486" s="15">
        <v>240</v>
      </c>
      <c r="C486" s="15"/>
      <c r="D486" s="15"/>
      <c r="E486" s="15"/>
      <c r="F486" s="15"/>
      <c r="G486" s="15"/>
      <c r="H486" s="18"/>
      <c r="I486" s="58"/>
      <c r="J486" s="58"/>
      <c r="K486" s="15">
        <v>240</v>
      </c>
    </row>
    <row r="487" spans="1:11" customFormat="1">
      <c r="A487" s="8" t="s">
        <v>450</v>
      </c>
      <c r="B487" s="15">
        <v>240</v>
      </c>
      <c r="C487" s="15"/>
      <c r="D487" s="15"/>
      <c r="E487" s="15"/>
      <c r="F487" s="15"/>
      <c r="G487" s="15"/>
      <c r="H487" s="18"/>
      <c r="I487" s="58"/>
      <c r="J487" s="58"/>
      <c r="K487" s="15">
        <v>240</v>
      </c>
    </row>
    <row r="488" spans="1:11" customFormat="1">
      <c r="A488" s="8" t="s">
        <v>451</v>
      </c>
      <c r="B488" s="15"/>
      <c r="C488" s="15"/>
      <c r="D488" s="15">
        <v>239.49</v>
      </c>
      <c r="E488" s="15"/>
      <c r="F488" s="15"/>
      <c r="G488" s="15"/>
      <c r="H488" s="18">
        <v>239.49</v>
      </c>
      <c r="I488" s="58"/>
      <c r="J488" s="58"/>
      <c r="K488" s="15">
        <v>239.49</v>
      </c>
    </row>
    <row r="489" spans="1:11" customFormat="1">
      <c r="A489" s="45" t="s">
        <v>452</v>
      </c>
      <c r="B489" s="15"/>
      <c r="C489" s="15"/>
      <c r="D489" s="15">
        <v>239.49</v>
      </c>
      <c r="E489" s="15"/>
      <c r="F489" s="15"/>
      <c r="G489" s="15"/>
      <c r="H489" s="18">
        <v>239.49</v>
      </c>
      <c r="I489" s="58"/>
      <c r="J489" s="58"/>
      <c r="K489" s="15">
        <v>239.49</v>
      </c>
    </row>
    <row r="490" spans="1:11" customFormat="1">
      <c r="A490" s="8" t="s">
        <v>453</v>
      </c>
      <c r="B490" s="15"/>
      <c r="C490" s="15"/>
      <c r="D490" s="15">
        <v>231.4</v>
      </c>
      <c r="E490" s="15"/>
      <c r="F490" s="15"/>
      <c r="G490" s="15"/>
      <c r="H490" s="18">
        <v>231.4</v>
      </c>
      <c r="I490" s="58"/>
      <c r="J490" s="58"/>
      <c r="K490" s="15">
        <v>231.4</v>
      </c>
    </row>
    <row r="491" spans="1:11" customFormat="1">
      <c r="A491" s="45" t="s">
        <v>99</v>
      </c>
      <c r="B491" s="15"/>
      <c r="C491" s="15"/>
      <c r="D491" s="15">
        <v>231.4</v>
      </c>
      <c r="E491" s="15"/>
      <c r="F491" s="15"/>
      <c r="G491" s="15"/>
      <c r="H491" s="18">
        <v>231.4</v>
      </c>
      <c r="I491" s="58"/>
      <c r="J491" s="58"/>
      <c r="K491" s="15">
        <v>231.4</v>
      </c>
    </row>
    <row r="492" spans="1:11" customFormat="1">
      <c r="A492" s="8" t="s">
        <v>454</v>
      </c>
      <c r="B492" s="15">
        <v>230.4</v>
      </c>
      <c r="C492" s="15"/>
      <c r="D492" s="15"/>
      <c r="E492" s="15"/>
      <c r="F492" s="15"/>
      <c r="G492" s="15"/>
      <c r="H492" s="18"/>
      <c r="I492" s="58"/>
      <c r="J492" s="58"/>
      <c r="K492" s="15">
        <v>230.4</v>
      </c>
    </row>
    <row r="493" spans="1:11" customFormat="1">
      <c r="A493" s="8" t="s">
        <v>455</v>
      </c>
      <c r="B493" s="15">
        <v>225</v>
      </c>
      <c r="C493" s="15"/>
      <c r="D493" s="15"/>
      <c r="E493" s="15"/>
      <c r="F493" s="15"/>
      <c r="G493" s="15"/>
      <c r="H493" s="18"/>
      <c r="I493" s="58"/>
      <c r="J493" s="58"/>
      <c r="K493" s="15">
        <v>225</v>
      </c>
    </row>
    <row r="494" spans="1:11" customFormat="1">
      <c r="A494" s="8" t="s">
        <v>456</v>
      </c>
      <c r="B494" s="15">
        <v>161.55000000000001</v>
      </c>
      <c r="C494" s="15"/>
      <c r="D494" s="15">
        <v>61</v>
      </c>
      <c r="E494" s="15"/>
      <c r="F494" s="15"/>
      <c r="G494" s="15"/>
      <c r="H494" s="18">
        <v>61</v>
      </c>
      <c r="I494" s="58"/>
      <c r="J494" s="58"/>
      <c r="K494" s="15">
        <v>222.55</v>
      </c>
    </row>
    <row r="495" spans="1:11" customFormat="1">
      <c r="A495" s="8" t="s">
        <v>457</v>
      </c>
      <c r="B495" s="15"/>
      <c r="C495" s="15"/>
      <c r="D495" s="15">
        <v>208.92000000000002</v>
      </c>
      <c r="E495" s="15"/>
      <c r="F495" s="15"/>
      <c r="G495" s="15"/>
      <c r="H495" s="18">
        <v>208.92000000000002</v>
      </c>
      <c r="I495" s="58"/>
      <c r="J495" s="58"/>
      <c r="K495" s="15">
        <v>208.92000000000002</v>
      </c>
    </row>
    <row r="496" spans="1:11" customFormat="1">
      <c r="A496" s="45" t="s">
        <v>458</v>
      </c>
      <c r="B496" s="15"/>
      <c r="C496" s="15"/>
      <c r="D496" s="15">
        <v>208.92000000000002</v>
      </c>
      <c r="E496" s="15"/>
      <c r="F496" s="15"/>
      <c r="G496" s="15"/>
      <c r="H496" s="18">
        <v>208.92000000000002</v>
      </c>
      <c r="I496" s="58"/>
      <c r="J496" s="58"/>
      <c r="K496" s="15">
        <v>208.92000000000002</v>
      </c>
    </row>
    <row r="497" spans="1:11" customFormat="1">
      <c r="A497" s="8" t="s">
        <v>459</v>
      </c>
      <c r="B497" s="15">
        <v>200</v>
      </c>
      <c r="C497" s="15"/>
      <c r="D497" s="15"/>
      <c r="E497" s="15"/>
      <c r="F497" s="15"/>
      <c r="G497" s="15"/>
      <c r="H497" s="18"/>
      <c r="I497" s="58"/>
      <c r="J497" s="58"/>
      <c r="K497" s="15">
        <v>200</v>
      </c>
    </row>
    <row r="498" spans="1:11" customFormat="1">
      <c r="A498" s="8" t="s">
        <v>460</v>
      </c>
      <c r="B498" s="15">
        <v>200</v>
      </c>
      <c r="C498" s="15"/>
      <c r="D498" s="15"/>
      <c r="E498" s="15"/>
      <c r="F498" s="15"/>
      <c r="G498" s="15"/>
      <c r="H498" s="18"/>
      <c r="I498" s="58"/>
      <c r="J498" s="58"/>
      <c r="K498" s="15">
        <v>200</v>
      </c>
    </row>
    <row r="499" spans="1:11" customFormat="1">
      <c r="A499" s="8" t="s">
        <v>461</v>
      </c>
      <c r="B499" s="15">
        <v>200</v>
      </c>
      <c r="C499" s="15"/>
      <c r="D499" s="15"/>
      <c r="E499" s="15"/>
      <c r="F499" s="15"/>
      <c r="G499" s="15"/>
      <c r="H499" s="18"/>
      <c r="I499" s="58"/>
      <c r="J499" s="58"/>
      <c r="K499" s="15">
        <v>200</v>
      </c>
    </row>
    <row r="500" spans="1:11" customFormat="1">
      <c r="A500" s="8" t="s">
        <v>462</v>
      </c>
      <c r="B500" s="15">
        <v>199.98000000000002</v>
      </c>
      <c r="C500" s="15"/>
      <c r="D500" s="15"/>
      <c r="E500" s="15"/>
      <c r="F500" s="15"/>
      <c r="G500" s="15"/>
      <c r="H500" s="18"/>
      <c r="I500" s="58"/>
      <c r="J500" s="58"/>
      <c r="K500" s="15">
        <v>199.98000000000002</v>
      </c>
    </row>
    <row r="501" spans="1:11" customFormat="1">
      <c r="A501" s="8" t="s">
        <v>463</v>
      </c>
      <c r="B501" s="15">
        <v>199.9</v>
      </c>
      <c r="C501" s="15"/>
      <c r="D501" s="15"/>
      <c r="E501" s="15"/>
      <c r="F501" s="15"/>
      <c r="G501" s="15"/>
      <c r="H501" s="18"/>
      <c r="I501" s="58"/>
      <c r="J501" s="58"/>
      <c r="K501" s="15">
        <v>199.9</v>
      </c>
    </row>
    <row r="502" spans="1:11" customFormat="1">
      <c r="A502" s="8" t="s">
        <v>464</v>
      </c>
      <c r="B502" s="15">
        <v>199.9</v>
      </c>
      <c r="C502" s="15"/>
      <c r="D502" s="15"/>
      <c r="E502" s="15"/>
      <c r="F502" s="15"/>
      <c r="G502" s="15"/>
      <c r="H502" s="18"/>
      <c r="I502" s="58"/>
      <c r="J502" s="58"/>
      <c r="K502" s="15">
        <v>199.9</v>
      </c>
    </row>
    <row r="503" spans="1:11" customFormat="1">
      <c r="A503" s="8" t="s">
        <v>465</v>
      </c>
      <c r="B503" s="15">
        <v>199</v>
      </c>
      <c r="C503" s="15"/>
      <c r="D503" s="15"/>
      <c r="E503" s="15"/>
      <c r="F503" s="15"/>
      <c r="G503" s="15"/>
      <c r="H503" s="18"/>
      <c r="I503" s="58"/>
      <c r="J503" s="58"/>
      <c r="K503" s="15">
        <v>199</v>
      </c>
    </row>
    <row r="504" spans="1:11" customFormat="1">
      <c r="A504" s="8" t="s">
        <v>466</v>
      </c>
      <c r="B504" s="15">
        <v>40.9</v>
      </c>
      <c r="C504" s="15">
        <v>35</v>
      </c>
      <c r="D504" s="15"/>
      <c r="E504" s="15">
        <v>19.350000000000001</v>
      </c>
      <c r="F504" s="15"/>
      <c r="G504" s="15">
        <v>102.52</v>
      </c>
      <c r="H504" s="18">
        <v>156.87</v>
      </c>
      <c r="I504" s="58"/>
      <c r="J504" s="58"/>
      <c r="K504" s="15">
        <v>197.76999999999998</v>
      </c>
    </row>
    <row r="505" spans="1:11" customFormat="1">
      <c r="A505" s="8" t="s">
        <v>467</v>
      </c>
      <c r="B505" s="15">
        <v>190.86</v>
      </c>
      <c r="C505" s="15"/>
      <c r="D505" s="15"/>
      <c r="E505" s="15"/>
      <c r="F505" s="15"/>
      <c r="G505" s="15"/>
      <c r="H505" s="18"/>
      <c r="I505" s="58"/>
      <c r="J505" s="58"/>
      <c r="K505" s="15">
        <v>190.86</v>
      </c>
    </row>
    <row r="506" spans="1:11" customFormat="1">
      <c r="A506" s="8" t="s">
        <v>468</v>
      </c>
      <c r="B506" s="15">
        <v>187</v>
      </c>
      <c r="C506" s="15"/>
      <c r="D506" s="15"/>
      <c r="E506" s="15"/>
      <c r="F506" s="15"/>
      <c r="G506" s="15"/>
      <c r="H506" s="18"/>
      <c r="I506" s="58"/>
      <c r="J506" s="58"/>
      <c r="K506" s="15">
        <v>187</v>
      </c>
    </row>
    <row r="507" spans="1:11" customFormat="1">
      <c r="A507" s="8" t="s">
        <v>469</v>
      </c>
      <c r="B507" s="15"/>
      <c r="C507" s="15"/>
      <c r="D507" s="15"/>
      <c r="E507" s="15"/>
      <c r="F507" s="15"/>
      <c r="G507" s="15">
        <v>180.62</v>
      </c>
      <c r="H507" s="18">
        <v>180.62</v>
      </c>
      <c r="I507" s="58"/>
      <c r="J507" s="58"/>
      <c r="K507" s="15">
        <v>180.62</v>
      </c>
    </row>
    <row r="508" spans="1:11" customFormat="1">
      <c r="A508" s="45" t="s">
        <v>470</v>
      </c>
      <c r="B508" s="15"/>
      <c r="C508" s="15"/>
      <c r="D508" s="15"/>
      <c r="E508" s="15"/>
      <c r="F508" s="15"/>
      <c r="G508" s="15">
        <v>180.62</v>
      </c>
      <c r="H508" s="18">
        <v>180.62</v>
      </c>
      <c r="I508" s="58"/>
      <c r="J508" s="58"/>
      <c r="K508" s="15">
        <v>180.62</v>
      </c>
    </row>
    <row r="509" spans="1:11" customFormat="1">
      <c r="A509" s="8" t="s">
        <v>471</v>
      </c>
      <c r="B509" s="15">
        <v>180</v>
      </c>
      <c r="C509" s="15"/>
      <c r="D509" s="15"/>
      <c r="E509" s="15"/>
      <c r="F509" s="15"/>
      <c r="G509" s="15"/>
      <c r="H509" s="18"/>
      <c r="I509" s="58"/>
      <c r="J509" s="58"/>
      <c r="K509" s="15">
        <v>180</v>
      </c>
    </row>
    <row r="510" spans="1:11" customFormat="1">
      <c r="A510" s="8" t="s">
        <v>472</v>
      </c>
      <c r="B510" s="15">
        <v>180</v>
      </c>
      <c r="C510" s="15"/>
      <c r="D510" s="15"/>
      <c r="E510" s="15"/>
      <c r="F510" s="15"/>
      <c r="G510" s="15"/>
      <c r="H510" s="18"/>
      <c r="I510" s="58"/>
      <c r="J510" s="58"/>
      <c r="K510" s="15">
        <v>180</v>
      </c>
    </row>
    <row r="511" spans="1:11" customFormat="1">
      <c r="A511" s="8" t="s">
        <v>473</v>
      </c>
      <c r="B511" s="15">
        <v>125.26</v>
      </c>
      <c r="C511" s="15"/>
      <c r="D511" s="15"/>
      <c r="E511" s="15"/>
      <c r="F511" s="15"/>
      <c r="G511" s="15">
        <v>49.25</v>
      </c>
      <c r="H511" s="18">
        <v>49.25</v>
      </c>
      <c r="I511" s="58"/>
      <c r="J511" s="58"/>
      <c r="K511" s="15">
        <v>174.51</v>
      </c>
    </row>
    <row r="512" spans="1:11" customFormat="1">
      <c r="A512" s="8" t="s">
        <v>474</v>
      </c>
      <c r="B512" s="15">
        <v>173.96</v>
      </c>
      <c r="C512" s="15"/>
      <c r="D512" s="15"/>
      <c r="E512" s="15"/>
      <c r="F512" s="15"/>
      <c r="G512" s="15"/>
      <c r="H512" s="18"/>
      <c r="I512" s="58"/>
      <c r="J512" s="58"/>
      <c r="K512" s="15">
        <v>173.96</v>
      </c>
    </row>
    <row r="513" spans="1:11" customFormat="1">
      <c r="A513" s="8" t="s">
        <v>475</v>
      </c>
      <c r="B513" s="15"/>
      <c r="C513" s="15"/>
      <c r="D513" s="15"/>
      <c r="E513" s="15">
        <v>171.12</v>
      </c>
      <c r="F513" s="15"/>
      <c r="G513" s="15"/>
      <c r="H513" s="18">
        <v>171.12</v>
      </c>
      <c r="I513" s="58"/>
      <c r="J513" s="58"/>
      <c r="K513" s="15">
        <v>171.12</v>
      </c>
    </row>
    <row r="514" spans="1:11" customFormat="1">
      <c r="A514" s="45" t="s">
        <v>476</v>
      </c>
      <c r="B514" s="15"/>
      <c r="C514" s="15"/>
      <c r="D514" s="15"/>
      <c r="E514" s="15">
        <v>171.12</v>
      </c>
      <c r="F514" s="15"/>
      <c r="G514" s="15"/>
      <c r="H514" s="18">
        <v>171.12</v>
      </c>
      <c r="I514" s="58"/>
      <c r="J514" s="58"/>
      <c r="K514" s="15">
        <v>171.12</v>
      </c>
    </row>
    <row r="515" spans="1:11" customFormat="1">
      <c r="A515" s="8" t="s">
        <v>477</v>
      </c>
      <c r="B515" s="15"/>
      <c r="C515" s="15"/>
      <c r="D515" s="15">
        <v>170.8</v>
      </c>
      <c r="E515" s="15"/>
      <c r="F515" s="15"/>
      <c r="G515" s="15"/>
      <c r="H515" s="18">
        <v>170.8</v>
      </c>
      <c r="I515" s="58"/>
      <c r="J515" s="58"/>
      <c r="K515" s="15">
        <v>170.8</v>
      </c>
    </row>
    <row r="516" spans="1:11" customFormat="1">
      <c r="A516" s="45" t="s">
        <v>139</v>
      </c>
      <c r="B516" s="15"/>
      <c r="C516" s="15"/>
      <c r="D516" s="15">
        <v>170.8</v>
      </c>
      <c r="E516" s="15"/>
      <c r="F516" s="15"/>
      <c r="G516" s="59"/>
      <c r="H516" s="18">
        <v>170.8</v>
      </c>
      <c r="I516" s="58"/>
      <c r="J516" s="58"/>
      <c r="K516" s="15">
        <v>170.8</v>
      </c>
    </row>
    <row r="517" spans="1:11" customFormat="1">
      <c r="A517" s="8" t="s">
        <v>478</v>
      </c>
      <c r="B517" s="15">
        <v>169</v>
      </c>
      <c r="C517" s="15"/>
      <c r="D517" s="15"/>
      <c r="E517" s="15"/>
      <c r="F517" s="15"/>
      <c r="G517" s="15"/>
      <c r="H517" s="18"/>
      <c r="I517" s="58"/>
      <c r="J517" s="58"/>
      <c r="K517" s="15">
        <v>169</v>
      </c>
    </row>
    <row r="518" spans="1:11" customFormat="1">
      <c r="A518" s="8" t="s">
        <v>479</v>
      </c>
      <c r="B518" s="15">
        <v>107.27000000000001</v>
      </c>
      <c r="C518" s="15">
        <v>46.9</v>
      </c>
      <c r="D518" s="15"/>
      <c r="E518" s="15"/>
      <c r="F518" s="15">
        <v>14.49</v>
      </c>
      <c r="G518" s="15"/>
      <c r="H518" s="18">
        <v>61.39</v>
      </c>
      <c r="I518" s="58"/>
      <c r="J518" s="58"/>
      <c r="K518" s="15">
        <v>168.66000000000003</v>
      </c>
    </row>
    <row r="519" spans="1:11" customFormat="1">
      <c r="A519" s="8" t="s">
        <v>480</v>
      </c>
      <c r="B519" s="15"/>
      <c r="C519" s="15"/>
      <c r="D519" s="15"/>
      <c r="E519" s="15"/>
      <c r="F519" s="15"/>
      <c r="G519" s="15">
        <v>168</v>
      </c>
      <c r="H519" s="18">
        <v>168</v>
      </c>
      <c r="I519" s="58"/>
      <c r="J519" s="58"/>
      <c r="K519" s="15">
        <v>168</v>
      </c>
    </row>
    <row r="520" spans="1:11" customFormat="1">
      <c r="A520" s="45" t="s">
        <v>200</v>
      </c>
      <c r="B520" s="15"/>
      <c r="C520" s="15"/>
      <c r="D520" s="15"/>
      <c r="E520" s="15"/>
      <c r="F520" s="15"/>
      <c r="G520" s="15">
        <v>168</v>
      </c>
      <c r="H520" s="18">
        <v>168</v>
      </c>
      <c r="I520" s="58"/>
      <c r="J520" s="58"/>
      <c r="K520" s="15">
        <v>168</v>
      </c>
    </row>
    <row r="521" spans="1:11" customFormat="1">
      <c r="A521" s="8" t="s">
        <v>481</v>
      </c>
      <c r="B521" s="15">
        <v>165.8</v>
      </c>
      <c r="C521" s="15"/>
      <c r="D521" s="15"/>
      <c r="E521" s="15"/>
      <c r="F521" s="15"/>
      <c r="G521" s="15"/>
      <c r="H521" s="18"/>
      <c r="I521" s="58"/>
      <c r="J521" s="58"/>
      <c r="K521" s="15">
        <v>165.8</v>
      </c>
    </row>
    <row r="522" spans="1:11" customFormat="1">
      <c r="A522" s="8" t="s">
        <v>482</v>
      </c>
      <c r="B522" s="15"/>
      <c r="C522" s="15"/>
      <c r="D522" s="15"/>
      <c r="E522" s="15"/>
      <c r="F522" s="15"/>
      <c r="G522" s="15">
        <v>163.92000000000002</v>
      </c>
      <c r="H522" s="18">
        <v>163.92000000000002</v>
      </c>
      <c r="I522" s="58"/>
      <c r="J522" s="58"/>
      <c r="K522" s="15">
        <v>163.92000000000002</v>
      </c>
    </row>
    <row r="523" spans="1:11" customFormat="1">
      <c r="A523" s="45" t="s">
        <v>483</v>
      </c>
      <c r="B523" s="15"/>
      <c r="C523" s="15"/>
      <c r="D523" s="15"/>
      <c r="E523" s="15"/>
      <c r="F523" s="15"/>
      <c r="G523" s="15">
        <v>163.92000000000002</v>
      </c>
      <c r="H523" s="18">
        <v>163.92000000000002</v>
      </c>
      <c r="I523" s="58"/>
      <c r="J523" s="58"/>
      <c r="K523" s="15">
        <v>163.92000000000002</v>
      </c>
    </row>
    <row r="524" spans="1:11" customFormat="1">
      <c r="A524" s="8" t="s">
        <v>484</v>
      </c>
      <c r="B524" s="15">
        <v>160</v>
      </c>
      <c r="C524" s="15"/>
      <c r="D524" s="15"/>
      <c r="E524" s="15"/>
      <c r="F524" s="15"/>
      <c r="G524" s="15"/>
      <c r="H524" s="18"/>
      <c r="I524" s="58"/>
      <c r="J524" s="58"/>
      <c r="K524" s="15">
        <v>160</v>
      </c>
    </row>
    <row r="525" spans="1:11" customFormat="1">
      <c r="A525" s="8" t="s">
        <v>485</v>
      </c>
      <c r="B525" s="15">
        <v>160</v>
      </c>
      <c r="C525" s="15"/>
      <c r="D525" s="15"/>
      <c r="E525" s="15"/>
      <c r="F525" s="15"/>
      <c r="G525" s="15"/>
      <c r="H525" s="18"/>
      <c r="I525" s="58"/>
      <c r="J525" s="58"/>
      <c r="K525" s="15">
        <v>160</v>
      </c>
    </row>
    <row r="526" spans="1:11" customFormat="1">
      <c r="A526" s="8" t="s">
        <v>486</v>
      </c>
      <c r="B526" s="15">
        <v>152</v>
      </c>
      <c r="C526" s="15"/>
      <c r="D526" s="15"/>
      <c r="E526" s="15"/>
      <c r="F526" s="15"/>
      <c r="G526" s="15"/>
      <c r="H526" s="18"/>
      <c r="I526" s="58"/>
      <c r="J526" s="58"/>
      <c r="K526" s="15">
        <v>152</v>
      </c>
    </row>
    <row r="527" spans="1:11" customFormat="1">
      <c r="A527" s="8" t="s">
        <v>487</v>
      </c>
      <c r="B527" s="15">
        <v>152</v>
      </c>
      <c r="C527" s="15"/>
      <c r="D527" s="15"/>
      <c r="E527" s="15"/>
      <c r="F527" s="15"/>
      <c r="G527" s="15"/>
      <c r="H527" s="18"/>
      <c r="I527" s="58"/>
      <c r="J527" s="58"/>
      <c r="K527" s="15">
        <v>152</v>
      </c>
    </row>
    <row r="528" spans="1:11" customFormat="1">
      <c r="A528" s="8" t="s">
        <v>488</v>
      </c>
      <c r="B528" s="15"/>
      <c r="C528" s="15"/>
      <c r="D528" s="15">
        <v>150</v>
      </c>
      <c r="E528" s="15"/>
      <c r="F528" s="15"/>
      <c r="G528" s="15"/>
      <c r="H528" s="18">
        <v>150</v>
      </c>
      <c r="I528" s="58"/>
      <c r="J528" s="58"/>
      <c r="K528" s="15">
        <v>150</v>
      </c>
    </row>
    <row r="529" spans="1:11" customFormat="1">
      <c r="A529" s="45" t="s">
        <v>140</v>
      </c>
      <c r="B529" s="15"/>
      <c r="C529" s="15"/>
      <c r="D529" s="15">
        <v>150</v>
      </c>
      <c r="E529" s="15"/>
      <c r="F529" s="15"/>
      <c r="G529" s="15"/>
      <c r="H529" s="18">
        <v>150</v>
      </c>
      <c r="I529" s="58"/>
      <c r="J529" s="58"/>
      <c r="K529" s="15">
        <v>150</v>
      </c>
    </row>
    <row r="530" spans="1:11" customFormat="1">
      <c r="A530" s="8" t="s">
        <v>489</v>
      </c>
      <c r="B530" s="15"/>
      <c r="C530" s="15"/>
      <c r="D530" s="15">
        <v>150</v>
      </c>
      <c r="E530" s="15"/>
      <c r="F530" s="15"/>
      <c r="G530" s="15"/>
      <c r="H530" s="18">
        <v>150</v>
      </c>
      <c r="I530" s="58"/>
      <c r="J530" s="58"/>
      <c r="K530" s="15">
        <v>150</v>
      </c>
    </row>
    <row r="531" spans="1:11" customFormat="1">
      <c r="A531" s="45" t="s">
        <v>398</v>
      </c>
      <c r="B531" s="15"/>
      <c r="C531" s="15"/>
      <c r="D531" s="15">
        <v>150</v>
      </c>
      <c r="E531" s="15"/>
      <c r="F531" s="15"/>
      <c r="G531" s="15"/>
      <c r="H531" s="18">
        <v>150</v>
      </c>
      <c r="I531" s="58"/>
      <c r="J531" s="58"/>
      <c r="K531" s="15">
        <v>150</v>
      </c>
    </row>
    <row r="532" spans="1:11" customFormat="1">
      <c r="A532" s="8" t="s">
        <v>490</v>
      </c>
      <c r="B532" s="15"/>
      <c r="C532" s="15"/>
      <c r="D532" s="15"/>
      <c r="E532" s="15">
        <v>150</v>
      </c>
      <c r="F532" s="15"/>
      <c r="G532" s="15"/>
      <c r="H532" s="18">
        <v>150</v>
      </c>
      <c r="I532" s="58"/>
      <c r="J532" s="58"/>
      <c r="K532" s="15">
        <v>150</v>
      </c>
    </row>
    <row r="533" spans="1:11" customFormat="1">
      <c r="A533" s="45" t="s">
        <v>491</v>
      </c>
      <c r="B533" s="15"/>
      <c r="C533" s="15"/>
      <c r="D533" s="15"/>
      <c r="E533" s="15">
        <v>150</v>
      </c>
      <c r="F533" s="15"/>
      <c r="G533" s="15"/>
      <c r="H533" s="18">
        <v>150</v>
      </c>
      <c r="I533" s="58"/>
      <c r="J533" s="58"/>
      <c r="K533" s="15">
        <v>150</v>
      </c>
    </row>
    <row r="534" spans="1:11" customFormat="1">
      <c r="A534" s="8" t="s">
        <v>492</v>
      </c>
      <c r="B534" s="15">
        <v>150</v>
      </c>
      <c r="C534" s="15"/>
      <c r="D534" s="15"/>
      <c r="E534" s="15"/>
      <c r="F534" s="15"/>
      <c r="G534" s="15"/>
      <c r="H534" s="18"/>
      <c r="I534" s="58"/>
      <c r="J534" s="58"/>
      <c r="K534" s="15">
        <v>150</v>
      </c>
    </row>
    <row r="535" spans="1:11" customFormat="1">
      <c r="A535" s="8" t="s">
        <v>493</v>
      </c>
      <c r="B535" s="15">
        <v>150</v>
      </c>
      <c r="C535" s="15"/>
      <c r="D535" s="15"/>
      <c r="E535" s="15"/>
      <c r="F535" s="15"/>
      <c r="G535" s="15"/>
      <c r="H535" s="18"/>
      <c r="I535" s="58"/>
      <c r="J535" s="58"/>
      <c r="K535" s="15">
        <v>150</v>
      </c>
    </row>
    <row r="536" spans="1:11" customFormat="1">
      <c r="A536" s="8" t="s">
        <v>494</v>
      </c>
      <c r="B536" s="15">
        <v>149</v>
      </c>
      <c r="C536" s="15"/>
      <c r="D536" s="15"/>
      <c r="E536" s="15"/>
      <c r="F536" s="15"/>
      <c r="G536" s="15"/>
      <c r="H536" s="18"/>
      <c r="I536" s="58"/>
      <c r="J536" s="58"/>
      <c r="K536" s="15">
        <v>149</v>
      </c>
    </row>
    <row r="537" spans="1:11" customFormat="1">
      <c r="A537" s="8" t="s">
        <v>495</v>
      </c>
      <c r="B537" s="15"/>
      <c r="C537" s="15"/>
      <c r="D537" s="15"/>
      <c r="E537" s="15"/>
      <c r="F537" s="15">
        <v>149</v>
      </c>
      <c r="G537" s="15"/>
      <c r="H537" s="18">
        <v>149</v>
      </c>
      <c r="I537" s="58"/>
      <c r="J537" s="58"/>
      <c r="K537" s="15">
        <v>149</v>
      </c>
    </row>
    <row r="538" spans="1:11" customFormat="1">
      <c r="A538" s="45" t="s">
        <v>452</v>
      </c>
      <c r="B538" s="15"/>
      <c r="C538" s="15"/>
      <c r="D538" s="15"/>
      <c r="E538" s="15"/>
      <c r="F538" s="15">
        <v>149</v>
      </c>
      <c r="G538" s="15"/>
      <c r="H538" s="18">
        <v>149</v>
      </c>
      <c r="I538" s="58"/>
      <c r="J538" s="58"/>
      <c r="K538" s="15">
        <v>149</v>
      </c>
    </row>
    <row r="539" spans="1:11" customFormat="1">
      <c r="A539" s="8" t="s">
        <v>496</v>
      </c>
      <c r="B539" s="15">
        <v>149</v>
      </c>
      <c r="C539" s="15"/>
      <c r="D539" s="15"/>
      <c r="E539" s="15"/>
      <c r="F539" s="15"/>
      <c r="G539" s="15"/>
      <c r="H539" s="18"/>
      <c r="I539" s="58"/>
      <c r="J539" s="58"/>
      <c r="K539" s="15">
        <v>149</v>
      </c>
    </row>
    <row r="540" spans="1:11" customFormat="1">
      <c r="A540" s="8" t="s">
        <v>497</v>
      </c>
      <c r="B540" s="15">
        <v>44.89</v>
      </c>
      <c r="C540" s="15"/>
      <c r="D540" s="15"/>
      <c r="E540" s="15"/>
      <c r="F540" s="15">
        <v>103.96000000000001</v>
      </c>
      <c r="G540" s="15"/>
      <c r="H540" s="18">
        <v>103.96000000000001</v>
      </c>
      <c r="I540" s="58"/>
      <c r="J540" s="58"/>
      <c r="K540" s="15">
        <v>148.85000000000002</v>
      </c>
    </row>
    <row r="541" spans="1:11" customFormat="1">
      <c r="A541" s="8" t="s">
        <v>498</v>
      </c>
      <c r="B541" s="15">
        <v>131.69</v>
      </c>
      <c r="C541" s="15">
        <v>12.99</v>
      </c>
      <c r="D541" s="15"/>
      <c r="E541" s="15"/>
      <c r="F541" s="15"/>
      <c r="G541" s="15"/>
      <c r="H541" s="18">
        <v>12.99</v>
      </c>
      <c r="I541" s="58"/>
      <c r="J541" s="58"/>
      <c r="K541" s="15">
        <v>144.68</v>
      </c>
    </row>
    <row r="542" spans="1:11" customFormat="1">
      <c r="A542" s="8" t="s">
        <v>499</v>
      </c>
      <c r="B542" s="15">
        <v>144.6</v>
      </c>
      <c r="C542" s="15"/>
      <c r="D542" s="15"/>
      <c r="E542" s="15"/>
      <c r="F542" s="15"/>
      <c r="G542" s="15"/>
      <c r="H542" s="18"/>
      <c r="I542" s="58"/>
      <c r="J542" s="58"/>
      <c r="K542" s="15">
        <v>144.6</v>
      </c>
    </row>
    <row r="543" spans="1:11" customFormat="1">
      <c r="A543" s="8" t="s">
        <v>500</v>
      </c>
      <c r="B543" s="15">
        <v>142.78</v>
      </c>
      <c r="C543" s="15"/>
      <c r="D543" s="15"/>
      <c r="E543" s="15"/>
      <c r="F543" s="15"/>
      <c r="G543" s="15"/>
      <c r="H543" s="18"/>
      <c r="I543" s="58"/>
      <c r="J543" s="58"/>
      <c r="K543" s="15">
        <v>142.78</v>
      </c>
    </row>
    <row r="544" spans="1:11" customFormat="1">
      <c r="A544" s="8" t="s">
        <v>501</v>
      </c>
      <c r="B544" s="15">
        <v>127.60000000000001</v>
      </c>
      <c r="C544" s="15">
        <v>11</v>
      </c>
      <c r="D544" s="15"/>
      <c r="E544" s="15"/>
      <c r="F544" s="15"/>
      <c r="G544" s="15"/>
      <c r="H544" s="18">
        <v>11</v>
      </c>
      <c r="I544" s="58"/>
      <c r="J544" s="58"/>
      <c r="K544" s="15">
        <v>138.60000000000002</v>
      </c>
    </row>
    <row r="545" spans="1:11" customFormat="1">
      <c r="A545" s="8" t="s">
        <v>502</v>
      </c>
      <c r="B545" s="15"/>
      <c r="C545" s="15">
        <v>138</v>
      </c>
      <c r="D545" s="15"/>
      <c r="E545" s="15"/>
      <c r="F545" s="15"/>
      <c r="G545" s="15"/>
      <c r="H545" s="18">
        <v>138</v>
      </c>
      <c r="I545" s="58"/>
      <c r="J545" s="58"/>
      <c r="K545" s="15">
        <v>138</v>
      </c>
    </row>
    <row r="546" spans="1:11" customFormat="1">
      <c r="A546" s="8" t="s">
        <v>503</v>
      </c>
      <c r="B546" s="15">
        <v>137.20000000000002</v>
      </c>
      <c r="C546" s="15"/>
      <c r="D546" s="15"/>
      <c r="E546" s="15"/>
      <c r="F546" s="15"/>
      <c r="G546" s="15"/>
      <c r="H546" s="18"/>
      <c r="I546" s="58"/>
      <c r="J546" s="58"/>
      <c r="K546" s="15">
        <v>137.20000000000002</v>
      </c>
    </row>
    <row r="547" spans="1:11" customFormat="1">
      <c r="A547" s="8" t="s">
        <v>504</v>
      </c>
      <c r="B547" s="15">
        <v>130.6</v>
      </c>
      <c r="C547" s="15"/>
      <c r="D547" s="15"/>
      <c r="E547" s="15"/>
      <c r="F547" s="15"/>
      <c r="G547" s="15"/>
      <c r="H547" s="18"/>
      <c r="I547" s="58"/>
      <c r="J547" s="58"/>
      <c r="K547" s="15">
        <v>130.6</v>
      </c>
    </row>
    <row r="548" spans="1:11" customFormat="1">
      <c r="A548" s="8" t="s">
        <v>505</v>
      </c>
      <c r="B548" s="15">
        <v>125.4</v>
      </c>
      <c r="C548" s="15"/>
      <c r="D548" s="15"/>
      <c r="E548" s="15"/>
      <c r="F548" s="15"/>
      <c r="G548" s="15"/>
      <c r="H548" s="18"/>
      <c r="I548" s="58"/>
      <c r="J548" s="58"/>
      <c r="K548" s="15">
        <v>125.4</v>
      </c>
    </row>
    <row r="549" spans="1:11" customFormat="1">
      <c r="A549" s="8" t="s">
        <v>506</v>
      </c>
      <c r="B549" s="15"/>
      <c r="C549" s="15"/>
      <c r="D549" s="15"/>
      <c r="E549" s="15"/>
      <c r="F549" s="15">
        <v>125</v>
      </c>
      <c r="G549" s="15"/>
      <c r="H549" s="18">
        <v>125</v>
      </c>
      <c r="I549" s="58"/>
      <c r="J549" s="58"/>
      <c r="K549" s="15">
        <v>125</v>
      </c>
    </row>
    <row r="550" spans="1:11" customFormat="1">
      <c r="A550" s="45" t="s">
        <v>438</v>
      </c>
      <c r="B550" s="15"/>
      <c r="C550" s="15"/>
      <c r="D550" s="15"/>
      <c r="E550" s="15"/>
      <c r="F550" s="15">
        <v>75</v>
      </c>
      <c r="G550" s="15"/>
      <c r="H550" s="18">
        <v>75</v>
      </c>
      <c r="I550" s="58"/>
      <c r="J550" s="58"/>
      <c r="K550" s="15">
        <v>75</v>
      </c>
    </row>
    <row r="551" spans="1:11" customFormat="1">
      <c r="A551" s="45" t="s">
        <v>141</v>
      </c>
      <c r="B551" s="15"/>
      <c r="C551" s="15"/>
      <c r="D551" s="15"/>
      <c r="E551" s="15"/>
      <c r="F551" s="15">
        <v>50</v>
      </c>
      <c r="G551" s="15"/>
      <c r="H551" s="18">
        <v>50</v>
      </c>
      <c r="I551" s="58"/>
      <c r="J551" s="58"/>
      <c r="K551" s="15">
        <v>50</v>
      </c>
    </row>
    <row r="552" spans="1:11" customFormat="1">
      <c r="A552" s="8" t="s">
        <v>507</v>
      </c>
      <c r="B552" s="15">
        <v>98</v>
      </c>
      <c r="C552" s="15"/>
      <c r="D552" s="15"/>
      <c r="E552" s="15"/>
      <c r="F552" s="15"/>
      <c r="G552" s="15">
        <v>25</v>
      </c>
      <c r="H552" s="18">
        <v>25</v>
      </c>
      <c r="I552" s="58"/>
      <c r="J552" s="58"/>
      <c r="K552" s="15">
        <v>123</v>
      </c>
    </row>
    <row r="553" spans="1:11" customFormat="1">
      <c r="A553" s="8" t="s">
        <v>508</v>
      </c>
      <c r="B553" s="15">
        <v>122</v>
      </c>
      <c r="C553" s="15"/>
      <c r="D553" s="15"/>
      <c r="E553" s="15"/>
      <c r="F553" s="15"/>
      <c r="G553" s="15"/>
      <c r="H553" s="18"/>
      <c r="I553" s="58"/>
      <c r="J553" s="58"/>
      <c r="K553" s="15">
        <v>122</v>
      </c>
    </row>
    <row r="554" spans="1:11" customFormat="1">
      <c r="A554" s="8" t="s">
        <v>509</v>
      </c>
      <c r="B554" s="15">
        <v>120</v>
      </c>
      <c r="C554" s="15"/>
      <c r="D554" s="15"/>
      <c r="E554" s="15"/>
      <c r="F554" s="15"/>
      <c r="G554" s="15"/>
      <c r="H554" s="18"/>
      <c r="I554" s="58"/>
      <c r="J554" s="58"/>
      <c r="K554" s="15">
        <v>120</v>
      </c>
    </row>
    <row r="555" spans="1:11" customFormat="1">
      <c r="A555" s="8" t="s">
        <v>510</v>
      </c>
      <c r="B555" s="15">
        <v>119.34</v>
      </c>
      <c r="C555" s="15"/>
      <c r="D555" s="15"/>
      <c r="E555" s="15"/>
      <c r="F555" s="15"/>
      <c r="G555" s="15"/>
      <c r="H555" s="18"/>
      <c r="I555" s="58"/>
      <c r="J555" s="58"/>
      <c r="K555" s="15">
        <v>119.34</v>
      </c>
    </row>
    <row r="556" spans="1:11" customFormat="1">
      <c r="A556" s="8" t="s">
        <v>511</v>
      </c>
      <c r="B556" s="15">
        <v>27.96</v>
      </c>
      <c r="C556" s="15"/>
      <c r="D556" s="15"/>
      <c r="E556" s="15">
        <v>18.5</v>
      </c>
      <c r="F556" s="15">
        <v>28.400000000000002</v>
      </c>
      <c r="G556" s="15">
        <v>42.45</v>
      </c>
      <c r="H556" s="18">
        <v>89.350000000000009</v>
      </c>
      <c r="I556" s="58"/>
      <c r="J556" s="58"/>
      <c r="K556" s="15">
        <v>117.31</v>
      </c>
    </row>
    <row r="557" spans="1:11" customFormat="1">
      <c r="A557" s="8" t="s">
        <v>512</v>
      </c>
      <c r="B557" s="15"/>
      <c r="C557" s="15"/>
      <c r="D557" s="15"/>
      <c r="E557" s="15"/>
      <c r="F557" s="15"/>
      <c r="G557" s="15">
        <v>116.36</v>
      </c>
      <c r="H557" s="18">
        <v>116.36</v>
      </c>
      <c r="I557" s="58"/>
      <c r="J557" s="58"/>
      <c r="K557" s="15">
        <v>116.36</v>
      </c>
    </row>
    <row r="558" spans="1:11" customFormat="1">
      <c r="A558" s="45" t="s">
        <v>470</v>
      </c>
      <c r="B558" s="15"/>
      <c r="C558" s="15"/>
      <c r="D558" s="15"/>
      <c r="E558" s="15"/>
      <c r="F558" s="15"/>
      <c r="G558" s="15">
        <v>116.36</v>
      </c>
      <c r="H558" s="18">
        <v>116.36</v>
      </c>
      <c r="I558" s="58"/>
      <c r="J558" s="58"/>
      <c r="K558" s="15">
        <v>116.36</v>
      </c>
    </row>
    <row r="559" spans="1:11" customFormat="1">
      <c r="A559" s="8" t="s">
        <v>513</v>
      </c>
      <c r="B559" s="15">
        <v>50</v>
      </c>
      <c r="C559" s="15"/>
      <c r="D559" s="15"/>
      <c r="E559" s="15">
        <v>60</v>
      </c>
      <c r="F559" s="15"/>
      <c r="G559" s="15"/>
      <c r="H559" s="18">
        <v>60</v>
      </c>
      <c r="I559" s="58"/>
      <c r="J559" s="58"/>
      <c r="K559" s="15">
        <v>110</v>
      </c>
    </row>
    <row r="560" spans="1:11" customFormat="1">
      <c r="A560" s="8" t="s">
        <v>514</v>
      </c>
      <c r="B560" s="15"/>
      <c r="C560" s="15"/>
      <c r="D560" s="15"/>
      <c r="E560" s="15">
        <v>110</v>
      </c>
      <c r="F560" s="15"/>
      <c r="G560" s="15"/>
      <c r="H560" s="18">
        <v>110</v>
      </c>
      <c r="I560" s="58"/>
      <c r="J560" s="58"/>
      <c r="K560" s="15">
        <v>110</v>
      </c>
    </row>
    <row r="561" spans="1:11" customFormat="1">
      <c r="A561" s="45" t="s">
        <v>140</v>
      </c>
      <c r="B561" s="15"/>
      <c r="C561" s="15"/>
      <c r="D561" s="15"/>
      <c r="E561" s="15">
        <v>110</v>
      </c>
      <c r="F561" s="15"/>
      <c r="G561" s="15"/>
      <c r="H561" s="18">
        <v>110</v>
      </c>
      <c r="I561" s="58"/>
      <c r="J561" s="58"/>
      <c r="K561" s="15">
        <v>110</v>
      </c>
    </row>
    <row r="562" spans="1:11" customFormat="1">
      <c r="A562" s="8" t="s">
        <v>515</v>
      </c>
      <c r="B562" s="15">
        <v>110</v>
      </c>
      <c r="C562" s="15"/>
      <c r="D562" s="15"/>
      <c r="E562" s="15"/>
      <c r="F562" s="15"/>
      <c r="G562" s="15"/>
      <c r="H562" s="18"/>
      <c r="I562" s="58"/>
      <c r="J562" s="58"/>
      <c r="K562" s="15">
        <v>110</v>
      </c>
    </row>
    <row r="563" spans="1:11" customFormat="1">
      <c r="A563" s="8" t="s">
        <v>516</v>
      </c>
      <c r="B563" s="15">
        <v>100.8</v>
      </c>
      <c r="C563" s="15"/>
      <c r="D563" s="15"/>
      <c r="E563" s="15"/>
      <c r="F563" s="15"/>
      <c r="G563" s="15"/>
      <c r="H563" s="18"/>
      <c r="I563" s="58"/>
      <c r="J563" s="58"/>
      <c r="K563" s="15">
        <v>100.8</v>
      </c>
    </row>
    <row r="564" spans="1:11" customFormat="1">
      <c r="A564" s="8" t="s">
        <v>517</v>
      </c>
      <c r="B564" s="15">
        <v>100</v>
      </c>
      <c r="C564" s="15"/>
      <c r="D564" s="15"/>
      <c r="E564" s="15"/>
      <c r="F564" s="15"/>
      <c r="G564" s="15"/>
      <c r="H564" s="18"/>
      <c r="I564" s="58"/>
      <c r="J564" s="58"/>
      <c r="K564" s="15">
        <v>100</v>
      </c>
    </row>
    <row r="565" spans="1:11" customFormat="1">
      <c r="A565" s="8" t="s">
        <v>518</v>
      </c>
      <c r="B565" s="15">
        <v>100</v>
      </c>
      <c r="C565" s="15"/>
      <c r="D565" s="15"/>
      <c r="E565" s="15"/>
      <c r="F565" s="15"/>
      <c r="G565" s="15"/>
      <c r="H565" s="18"/>
      <c r="I565" s="58"/>
      <c r="J565" s="58"/>
      <c r="K565" s="15">
        <v>100</v>
      </c>
    </row>
    <row r="566" spans="1:11" customFormat="1">
      <c r="A566" s="8" t="s">
        <v>519</v>
      </c>
      <c r="B566" s="15">
        <v>100</v>
      </c>
      <c r="C566" s="15"/>
      <c r="D566" s="15"/>
      <c r="E566" s="15"/>
      <c r="F566" s="15"/>
      <c r="G566" s="15"/>
      <c r="H566" s="18"/>
      <c r="I566" s="58"/>
      <c r="J566" s="58"/>
      <c r="K566" s="15">
        <v>100</v>
      </c>
    </row>
    <row r="567" spans="1:11" customFormat="1">
      <c r="A567" s="8" t="s">
        <v>520</v>
      </c>
      <c r="B567" s="15">
        <v>100</v>
      </c>
      <c r="C567" s="15"/>
      <c r="D567" s="15"/>
      <c r="E567" s="15"/>
      <c r="F567" s="15"/>
      <c r="G567" s="15"/>
      <c r="H567" s="18"/>
      <c r="I567" s="58"/>
      <c r="J567" s="58"/>
      <c r="K567" s="15">
        <v>100</v>
      </c>
    </row>
    <row r="568" spans="1:11" customFormat="1">
      <c r="A568" s="8" t="s">
        <v>521</v>
      </c>
      <c r="B568" s="15">
        <v>100</v>
      </c>
      <c r="C568" s="15"/>
      <c r="D568" s="15"/>
      <c r="E568" s="15"/>
      <c r="F568" s="15"/>
      <c r="G568" s="15"/>
      <c r="H568" s="18"/>
      <c r="I568" s="58"/>
      <c r="J568" s="58"/>
      <c r="K568" s="15">
        <v>100</v>
      </c>
    </row>
    <row r="569" spans="1:11" customFormat="1">
      <c r="A569" s="8" t="s">
        <v>522</v>
      </c>
      <c r="B569" s="15">
        <v>100</v>
      </c>
      <c r="C569" s="15"/>
      <c r="D569" s="15"/>
      <c r="E569" s="15"/>
      <c r="F569" s="15"/>
      <c r="G569" s="15"/>
      <c r="H569" s="18"/>
      <c r="I569" s="58"/>
      <c r="J569" s="58"/>
      <c r="K569" s="15">
        <v>100</v>
      </c>
    </row>
    <row r="570" spans="1:11" customFormat="1">
      <c r="A570" s="8" t="s">
        <v>523</v>
      </c>
      <c r="B570" s="15">
        <v>100</v>
      </c>
      <c r="C570" s="15"/>
      <c r="D570" s="15"/>
      <c r="E570" s="15"/>
      <c r="F570" s="15"/>
      <c r="G570" s="15"/>
      <c r="H570" s="18"/>
      <c r="I570" s="58"/>
      <c r="J570" s="58"/>
      <c r="K570" s="15">
        <v>100</v>
      </c>
    </row>
    <row r="571" spans="1:11" customFormat="1">
      <c r="A571" s="8" t="s">
        <v>524</v>
      </c>
      <c r="B571" s="15">
        <v>100</v>
      </c>
      <c r="C571" s="15"/>
      <c r="D571" s="15"/>
      <c r="E571" s="15"/>
      <c r="F571" s="15"/>
      <c r="G571" s="15"/>
      <c r="H571" s="18"/>
      <c r="I571" s="58"/>
      <c r="J571" s="58"/>
      <c r="K571" s="15">
        <v>100</v>
      </c>
    </row>
    <row r="572" spans="1:11" customFormat="1">
      <c r="A572" s="8" t="s">
        <v>525</v>
      </c>
      <c r="B572" s="15">
        <v>100</v>
      </c>
      <c r="C572" s="15"/>
      <c r="D572" s="15"/>
      <c r="E572" s="15"/>
      <c r="F572" s="15"/>
      <c r="G572" s="15"/>
      <c r="H572" s="18"/>
      <c r="I572" s="58"/>
      <c r="J572" s="58"/>
      <c r="K572" s="15">
        <v>100</v>
      </c>
    </row>
    <row r="573" spans="1:11" customFormat="1">
      <c r="A573" s="8" t="s">
        <v>526</v>
      </c>
      <c r="B573" s="15"/>
      <c r="C573" s="15"/>
      <c r="D573" s="15"/>
      <c r="E573" s="15"/>
      <c r="F573" s="15">
        <v>100</v>
      </c>
      <c r="G573" s="15"/>
      <c r="H573" s="18">
        <v>100</v>
      </c>
      <c r="I573" s="58"/>
      <c r="J573" s="58"/>
      <c r="K573" s="15">
        <v>100</v>
      </c>
    </row>
    <row r="574" spans="1:11" customFormat="1">
      <c r="A574" s="45" t="s">
        <v>140</v>
      </c>
      <c r="B574" s="15"/>
      <c r="C574" s="15"/>
      <c r="D574" s="15"/>
      <c r="E574" s="15"/>
      <c r="F574" s="15">
        <v>100</v>
      </c>
      <c r="G574" s="15"/>
      <c r="H574" s="18">
        <v>100</v>
      </c>
      <c r="I574" s="58"/>
      <c r="J574" s="58"/>
      <c r="K574" s="15">
        <v>100</v>
      </c>
    </row>
    <row r="575" spans="1:11" customFormat="1">
      <c r="A575" s="8" t="s">
        <v>527</v>
      </c>
      <c r="B575" s="15"/>
      <c r="C575" s="15">
        <v>100</v>
      </c>
      <c r="D575" s="15"/>
      <c r="E575" s="15"/>
      <c r="F575" s="15"/>
      <c r="G575" s="15"/>
      <c r="H575" s="18">
        <v>100</v>
      </c>
      <c r="I575" s="58"/>
      <c r="J575" s="58"/>
      <c r="K575" s="15">
        <v>100</v>
      </c>
    </row>
    <row r="576" spans="1:11" customFormat="1">
      <c r="A576" s="8" t="s">
        <v>528</v>
      </c>
      <c r="B576" s="15">
        <v>100</v>
      </c>
      <c r="C576" s="15"/>
      <c r="D576" s="15"/>
      <c r="E576" s="15"/>
      <c r="F576" s="15"/>
      <c r="G576" s="15"/>
      <c r="H576" s="18"/>
      <c r="I576" s="58"/>
      <c r="J576" s="58"/>
      <c r="K576" s="15">
        <v>100</v>
      </c>
    </row>
    <row r="577" spans="1:11" customFormat="1">
      <c r="A577" s="8" t="s">
        <v>529</v>
      </c>
      <c r="B577" s="15">
        <v>100</v>
      </c>
      <c r="C577" s="15"/>
      <c r="D577" s="15"/>
      <c r="E577" s="15"/>
      <c r="F577" s="15"/>
      <c r="G577" s="15"/>
      <c r="H577" s="18"/>
      <c r="I577" s="58"/>
      <c r="J577" s="58"/>
      <c r="K577" s="15">
        <v>100</v>
      </c>
    </row>
    <row r="578" spans="1:11" customFormat="1">
      <c r="A578" s="8" t="s">
        <v>530</v>
      </c>
      <c r="B578" s="15">
        <v>100</v>
      </c>
      <c r="C578" s="15"/>
      <c r="D578" s="15"/>
      <c r="E578" s="15"/>
      <c r="F578" s="15"/>
      <c r="G578" s="15"/>
      <c r="H578" s="18"/>
      <c r="I578" s="58"/>
      <c r="J578" s="58"/>
      <c r="K578" s="15">
        <v>100</v>
      </c>
    </row>
    <row r="579" spans="1:11" customFormat="1">
      <c r="A579" s="8" t="s">
        <v>531</v>
      </c>
      <c r="B579" s="15"/>
      <c r="C579" s="15"/>
      <c r="D579" s="15">
        <v>99.99</v>
      </c>
      <c r="E579" s="15"/>
      <c r="F579" s="15"/>
      <c r="G579" s="15"/>
      <c r="H579" s="18">
        <v>99.99</v>
      </c>
      <c r="I579" s="58"/>
      <c r="J579" s="58"/>
      <c r="K579" s="15">
        <v>99.99</v>
      </c>
    </row>
    <row r="580" spans="1:11" customFormat="1">
      <c r="A580" s="45" t="s">
        <v>452</v>
      </c>
      <c r="B580" s="15"/>
      <c r="C580" s="15"/>
      <c r="D580" s="15">
        <v>99.99</v>
      </c>
      <c r="E580" s="15"/>
      <c r="F580" s="15"/>
      <c r="G580" s="15"/>
      <c r="H580" s="18">
        <v>99.99</v>
      </c>
      <c r="I580" s="58"/>
      <c r="J580" s="58"/>
      <c r="K580" s="15">
        <v>99.99</v>
      </c>
    </row>
    <row r="581" spans="1:11" customFormat="1">
      <c r="A581" s="8" t="s">
        <v>532</v>
      </c>
      <c r="B581" s="15">
        <v>99</v>
      </c>
      <c r="C581" s="15"/>
      <c r="D581" s="15"/>
      <c r="E581" s="15"/>
      <c r="F581" s="15"/>
      <c r="G581" s="15"/>
      <c r="H581" s="18"/>
      <c r="I581" s="58"/>
      <c r="J581" s="58"/>
      <c r="K581" s="15">
        <v>99</v>
      </c>
    </row>
    <row r="582" spans="1:11" customFormat="1">
      <c r="A582" s="8" t="s">
        <v>533</v>
      </c>
      <c r="B582" s="15">
        <v>99</v>
      </c>
      <c r="C582" s="15"/>
      <c r="D582" s="15"/>
      <c r="E582" s="15"/>
      <c r="F582" s="15"/>
      <c r="G582" s="15"/>
      <c r="H582" s="18"/>
      <c r="I582" s="58"/>
      <c r="J582" s="58"/>
      <c r="K582" s="15">
        <v>99</v>
      </c>
    </row>
    <row r="583" spans="1:11" customFormat="1">
      <c r="A583" s="8" t="s">
        <v>534</v>
      </c>
      <c r="B583" s="15">
        <v>99</v>
      </c>
      <c r="C583" s="15"/>
      <c r="D583" s="15"/>
      <c r="E583" s="15"/>
      <c r="F583" s="15"/>
      <c r="G583" s="15"/>
      <c r="H583" s="18"/>
      <c r="I583" s="58"/>
      <c r="J583" s="58"/>
      <c r="K583" s="15">
        <v>99</v>
      </c>
    </row>
    <row r="584" spans="1:11" customFormat="1">
      <c r="A584" s="8" t="s">
        <v>535</v>
      </c>
      <c r="B584" s="15"/>
      <c r="C584" s="15"/>
      <c r="D584" s="15">
        <v>99</v>
      </c>
      <c r="E584" s="15"/>
      <c r="F584" s="15"/>
      <c r="G584" s="15"/>
      <c r="H584" s="18">
        <v>99</v>
      </c>
      <c r="I584" s="58"/>
      <c r="J584" s="58"/>
      <c r="K584" s="15">
        <v>99</v>
      </c>
    </row>
    <row r="585" spans="1:11" customFormat="1">
      <c r="A585" s="45" t="s">
        <v>452</v>
      </c>
      <c r="B585" s="15"/>
      <c r="C585" s="15"/>
      <c r="D585" s="15">
        <v>99</v>
      </c>
      <c r="E585" s="15"/>
      <c r="F585" s="15"/>
      <c r="G585" s="15"/>
      <c r="H585" s="18">
        <v>99</v>
      </c>
      <c r="I585" s="58"/>
      <c r="J585" s="58"/>
      <c r="K585" s="15">
        <v>99</v>
      </c>
    </row>
    <row r="586" spans="1:11" customFormat="1">
      <c r="A586" s="8" t="s">
        <v>536</v>
      </c>
      <c r="B586" s="15">
        <v>99</v>
      </c>
      <c r="C586" s="15"/>
      <c r="D586" s="15"/>
      <c r="E586" s="15"/>
      <c r="F586" s="15"/>
      <c r="G586" s="15"/>
      <c r="H586" s="18"/>
      <c r="I586" s="58"/>
      <c r="J586" s="58"/>
      <c r="K586" s="15">
        <v>99</v>
      </c>
    </row>
    <row r="587" spans="1:11" customFormat="1">
      <c r="A587" s="8" t="s">
        <v>537</v>
      </c>
      <c r="B587" s="15">
        <v>99</v>
      </c>
      <c r="C587" s="15"/>
      <c r="D587" s="15"/>
      <c r="E587" s="15"/>
      <c r="F587" s="15"/>
      <c r="G587" s="15"/>
      <c r="H587" s="18"/>
      <c r="I587" s="58"/>
      <c r="J587" s="58"/>
      <c r="K587" s="15">
        <v>99</v>
      </c>
    </row>
    <row r="588" spans="1:11" customFormat="1">
      <c r="A588" s="8" t="s">
        <v>538</v>
      </c>
      <c r="B588" s="15"/>
      <c r="C588" s="15"/>
      <c r="D588" s="15"/>
      <c r="E588" s="15"/>
      <c r="F588" s="15">
        <v>99</v>
      </c>
      <c r="G588" s="15"/>
      <c r="H588" s="18">
        <v>99</v>
      </c>
      <c r="I588" s="58"/>
      <c r="J588" s="58"/>
      <c r="K588" s="15">
        <v>99</v>
      </c>
    </row>
    <row r="589" spans="1:11" customFormat="1">
      <c r="A589" s="45" t="s">
        <v>452</v>
      </c>
      <c r="B589" s="15"/>
      <c r="C589" s="15"/>
      <c r="D589" s="15"/>
      <c r="E589" s="15"/>
      <c r="F589" s="15">
        <v>99</v>
      </c>
      <c r="G589" s="15"/>
      <c r="H589" s="18">
        <v>99</v>
      </c>
      <c r="I589" s="58"/>
      <c r="J589" s="58"/>
      <c r="K589" s="15">
        <v>99</v>
      </c>
    </row>
    <row r="590" spans="1:11" customFormat="1">
      <c r="A590" s="8" t="s">
        <v>539</v>
      </c>
      <c r="B590" s="15">
        <v>99</v>
      </c>
      <c r="C590" s="15"/>
      <c r="D590" s="15"/>
      <c r="E590" s="15"/>
      <c r="F590" s="15"/>
      <c r="G590" s="15"/>
      <c r="H590" s="18"/>
      <c r="I590" s="58"/>
      <c r="J590" s="58"/>
      <c r="K590" s="15">
        <v>99</v>
      </c>
    </row>
    <row r="591" spans="1:11" customFormat="1">
      <c r="A591" s="8" t="s">
        <v>540</v>
      </c>
      <c r="B591" s="15">
        <v>99</v>
      </c>
      <c r="C591" s="15"/>
      <c r="D591" s="15"/>
      <c r="E591" s="15"/>
      <c r="F591" s="15"/>
      <c r="G591" s="15"/>
      <c r="H591" s="18"/>
      <c r="I591" s="58"/>
      <c r="J591" s="58"/>
      <c r="K591" s="15">
        <v>99</v>
      </c>
    </row>
    <row r="592" spans="1:11" customFormat="1">
      <c r="A592" s="8" t="s">
        <v>541</v>
      </c>
      <c r="B592" s="15">
        <v>99</v>
      </c>
      <c r="C592" s="15"/>
      <c r="D592" s="15"/>
      <c r="E592" s="15"/>
      <c r="F592" s="15"/>
      <c r="G592" s="15"/>
      <c r="H592" s="18"/>
      <c r="I592" s="58"/>
      <c r="J592" s="58"/>
      <c r="K592" s="15">
        <v>99</v>
      </c>
    </row>
    <row r="593" spans="1:11" customFormat="1">
      <c r="A593" s="8" t="s">
        <v>542</v>
      </c>
      <c r="B593" s="15"/>
      <c r="C593" s="15">
        <v>99</v>
      </c>
      <c r="D593" s="15"/>
      <c r="E593" s="15"/>
      <c r="F593" s="15"/>
      <c r="G593" s="15"/>
      <c r="H593" s="18">
        <v>99</v>
      </c>
      <c r="I593" s="58"/>
      <c r="J593" s="58"/>
      <c r="K593" s="15">
        <v>99</v>
      </c>
    </row>
    <row r="594" spans="1:11" customFormat="1">
      <c r="A594" s="8" t="s">
        <v>543</v>
      </c>
      <c r="B594" s="15">
        <v>99</v>
      </c>
      <c r="C594" s="15"/>
      <c r="D594" s="15"/>
      <c r="E594" s="15"/>
      <c r="F594" s="15"/>
      <c r="G594" s="15"/>
      <c r="H594" s="18"/>
      <c r="I594" s="58"/>
      <c r="J594" s="58"/>
      <c r="K594" s="15">
        <v>99</v>
      </c>
    </row>
    <row r="595" spans="1:11" customFormat="1">
      <c r="A595" s="8" t="s">
        <v>544</v>
      </c>
      <c r="B595" s="15"/>
      <c r="C595" s="15"/>
      <c r="D595" s="15">
        <v>99</v>
      </c>
      <c r="E595" s="15"/>
      <c r="F595" s="15"/>
      <c r="G595" s="15"/>
      <c r="H595" s="18">
        <v>99</v>
      </c>
      <c r="I595" s="58"/>
      <c r="J595" s="58"/>
      <c r="K595" s="15">
        <v>99</v>
      </c>
    </row>
    <row r="596" spans="1:11" customFormat="1">
      <c r="A596" s="45" t="s">
        <v>452</v>
      </c>
      <c r="B596" s="15"/>
      <c r="C596" s="15"/>
      <c r="D596" s="15">
        <v>99</v>
      </c>
      <c r="E596" s="15"/>
      <c r="F596" s="15"/>
      <c r="G596" s="15"/>
      <c r="H596" s="18">
        <v>99</v>
      </c>
      <c r="I596" s="58"/>
      <c r="J596" s="58"/>
      <c r="K596" s="15">
        <v>99</v>
      </c>
    </row>
    <row r="597" spans="1:11" customFormat="1">
      <c r="A597" s="8" t="s">
        <v>545</v>
      </c>
      <c r="B597" s="15">
        <v>99</v>
      </c>
      <c r="C597" s="15"/>
      <c r="D597" s="15"/>
      <c r="E597" s="15"/>
      <c r="F597" s="15"/>
      <c r="G597" s="15"/>
      <c r="H597" s="18"/>
      <c r="I597" s="58"/>
      <c r="J597" s="58"/>
      <c r="K597" s="15">
        <v>99</v>
      </c>
    </row>
    <row r="598" spans="1:11" customFormat="1">
      <c r="A598" s="8" t="s">
        <v>546</v>
      </c>
      <c r="B598" s="15">
        <v>99</v>
      </c>
      <c r="C598" s="15"/>
      <c r="D598" s="15"/>
      <c r="E598" s="15"/>
      <c r="F598" s="15"/>
      <c r="G598" s="15"/>
      <c r="H598" s="18"/>
      <c r="I598" s="58"/>
      <c r="J598" s="58"/>
      <c r="K598" s="15">
        <v>99</v>
      </c>
    </row>
    <row r="599" spans="1:11" customFormat="1">
      <c r="A599" s="8" t="s">
        <v>547</v>
      </c>
      <c r="B599" s="15">
        <v>99</v>
      </c>
      <c r="C599" s="15"/>
      <c r="D599" s="15"/>
      <c r="E599" s="15"/>
      <c r="F599" s="15"/>
      <c r="G599" s="15"/>
      <c r="H599" s="18"/>
      <c r="I599" s="58"/>
      <c r="J599" s="58"/>
      <c r="K599" s="15">
        <v>99</v>
      </c>
    </row>
    <row r="600" spans="1:11" customFormat="1">
      <c r="A600" s="8" t="s">
        <v>548</v>
      </c>
      <c r="B600" s="15">
        <v>99</v>
      </c>
      <c r="C600" s="15"/>
      <c r="D600" s="15"/>
      <c r="E600" s="15"/>
      <c r="F600" s="15"/>
      <c r="G600" s="15"/>
      <c r="H600" s="18"/>
      <c r="I600" s="58"/>
      <c r="J600" s="58"/>
      <c r="K600" s="15">
        <v>99</v>
      </c>
    </row>
    <row r="601" spans="1:11" customFormat="1">
      <c r="A601" s="8" t="s">
        <v>549</v>
      </c>
      <c r="B601" s="15"/>
      <c r="C601" s="15"/>
      <c r="D601" s="15"/>
      <c r="E601" s="15">
        <v>95</v>
      </c>
      <c r="F601" s="15"/>
      <c r="G601" s="15"/>
      <c r="H601" s="18">
        <v>95</v>
      </c>
      <c r="I601" s="58"/>
      <c r="J601" s="58"/>
      <c r="K601" s="15">
        <v>95</v>
      </c>
    </row>
    <row r="602" spans="1:11" customFormat="1">
      <c r="A602" s="45" t="s">
        <v>398</v>
      </c>
      <c r="B602" s="15"/>
      <c r="C602" s="15"/>
      <c r="D602" s="15"/>
      <c r="E602" s="15">
        <v>95</v>
      </c>
      <c r="F602" s="15"/>
      <c r="G602" s="15"/>
      <c r="H602" s="18">
        <v>95</v>
      </c>
      <c r="I602" s="58"/>
      <c r="J602" s="58"/>
      <c r="K602" s="15">
        <v>95</v>
      </c>
    </row>
    <row r="603" spans="1:11" customFormat="1">
      <c r="A603" s="8" t="s">
        <v>550</v>
      </c>
      <c r="B603" s="15">
        <v>92.94</v>
      </c>
      <c r="C603" s="15"/>
      <c r="D603" s="15"/>
      <c r="E603" s="15"/>
      <c r="F603" s="15"/>
      <c r="G603" s="15"/>
      <c r="H603" s="18"/>
      <c r="I603" s="58"/>
      <c r="J603" s="58"/>
      <c r="K603" s="15">
        <v>92.94</v>
      </c>
    </row>
    <row r="604" spans="1:11" customFormat="1">
      <c r="A604" s="8" t="s">
        <v>551</v>
      </c>
      <c r="B604" s="15">
        <v>90</v>
      </c>
      <c r="C604" s="15"/>
      <c r="D604" s="15"/>
      <c r="E604" s="15"/>
      <c r="F604" s="15"/>
      <c r="G604" s="15"/>
      <c r="H604" s="18"/>
      <c r="I604" s="58"/>
      <c r="J604" s="58"/>
      <c r="K604" s="15">
        <v>90</v>
      </c>
    </row>
    <row r="605" spans="1:11" customFormat="1">
      <c r="A605" s="8" t="s">
        <v>552</v>
      </c>
      <c r="B605" s="15">
        <v>90</v>
      </c>
      <c r="C605" s="15"/>
      <c r="D605" s="15"/>
      <c r="E605" s="15"/>
      <c r="F605" s="15"/>
      <c r="G605" s="15"/>
      <c r="H605" s="18"/>
      <c r="I605" s="58"/>
      <c r="J605" s="58"/>
      <c r="K605" s="15">
        <v>90</v>
      </c>
    </row>
    <row r="606" spans="1:11" customFormat="1">
      <c r="A606" s="8" t="s">
        <v>553</v>
      </c>
      <c r="B606" s="15"/>
      <c r="C606" s="15"/>
      <c r="D606" s="15"/>
      <c r="E606" s="15">
        <v>90</v>
      </c>
      <c r="F606" s="15"/>
      <c r="G606" s="15"/>
      <c r="H606" s="18">
        <v>90</v>
      </c>
      <c r="I606" s="58"/>
      <c r="J606" s="58"/>
      <c r="K606" s="15">
        <v>90</v>
      </c>
    </row>
    <row r="607" spans="1:11" customFormat="1">
      <c r="A607" s="45" t="s">
        <v>140</v>
      </c>
      <c r="B607" s="15"/>
      <c r="C607" s="15"/>
      <c r="D607" s="15"/>
      <c r="E607" s="15">
        <v>90</v>
      </c>
      <c r="F607" s="15"/>
      <c r="G607" s="15"/>
      <c r="H607" s="18">
        <v>90</v>
      </c>
      <c r="I607" s="58"/>
      <c r="J607" s="58"/>
      <c r="K607" s="15">
        <v>90</v>
      </c>
    </row>
    <row r="608" spans="1:11" customFormat="1">
      <c r="A608" s="8" t="s">
        <v>554</v>
      </c>
      <c r="B608" s="15">
        <v>90</v>
      </c>
      <c r="C608" s="15"/>
      <c r="D608" s="15"/>
      <c r="E608" s="15"/>
      <c r="F608" s="15"/>
      <c r="G608" s="15"/>
      <c r="H608" s="18"/>
      <c r="I608" s="58"/>
      <c r="J608" s="58"/>
      <c r="K608" s="15">
        <v>90</v>
      </c>
    </row>
    <row r="609" spans="1:11" customFormat="1">
      <c r="A609" s="8" t="s">
        <v>555</v>
      </c>
      <c r="B609" s="15">
        <v>79</v>
      </c>
      <c r="C609" s="15"/>
      <c r="D609" s="15"/>
      <c r="E609" s="15"/>
      <c r="F609" s="15"/>
      <c r="G609" s="15">
        <v>9</v>
      </c>
      <c r="H609" s="18">
        <v>9</v>
      </c>
      <c r="I609" s="58"/>
      <c r="J609" s="58"/>
      <c r="K609" s="15">
        <v>88</v>
      </c>
    </row>
    <row r="610" spans="1:11" customFormat="1">
      <c r="A610" s="8" t="s">
        <v>556</v>
      </c>
      <c r="B610" s="15">
        <v>84</v>
      </c>
      <c r="C610" s="15"/>
      <c r="D610" s="15"/>
      <c r="E610" s="15"/>
      <c r="F610" s="15"/>
      <c r="G610" s="15"/>
      <c r="H610" s="18"/>
      <c r="I610" s="58"/>
      <c r="J610" s="58"/>
      <c r="K610" s="15">
        <v>84</v>
      </c>
    </row>
    <row r="611" spans="1:11" customFormat="1">
      <c r="A611" s="8" t="s">
        <v>557</v>
      </c>
      <c r="B611" s="15"/>
      <c r="C611" s="15"/>
      <c r="D611" s="15"/>
      <c r="E611" s="15">
        <v>83.44</v>
      </c>
      <c r="F611" s="15"/>
      <c r="G611" s="15"/>
      <c r="H611" s="18">
        <v>83.44</v>
      </c>
      <c r="I611" s="58"/>
      <c r="J611" s="58"/>
      <c r="K611" s="15">
        <v>83.44</v>
      </c>
    </row>
    <row r="612" spans="1:11" customFormat="1">
      <c r="A612" s="45" t="s">
        <v>558</v>
      </c>
      <c r="B612" s="15"/>
      <c r="C612" s="15"/>
      <c r="D612" s="15"/>
      <c r="E612" s="15">
        <v>83.44</v>
      </c>
      <c r="F612" s="15"/>
      <c r="G612" s="15"/>
      <c r="H612" s="18">
        <v>83.44</v>
      </c>
      <c r="I612" s="58"/>
      <c r="J612" s="58"/>
      <c r="K612" s="15">
        <v>83.44</v>
      </c>
    </row>
    <row r="613" spans="1:11" customFormat="1">
      <c r="A613" s="8" t="s">
        <v>559</v>
      </c>
      <c r="B613" s="15">
        <v>78</v>
      </c>
      <c r="C613" s="15"/>
      <c r="D613" s="15"/>
      <c r="E613" s="15">
        <v>4</v>
      </c>
      <c r="F613" s="15"/>
      <c r="G613" s="15"/>
      <c r="H613" s="18">
        <v>4</v>
      </c>
      <c r="I613" s="58"/>
      <c r="J613" s="58"/>
      <c r="K613" s="15">
        <v>82</v>
      </c>
    </row>
    <row r="614" spans="1:11" customFormat="1">
      <c r="A614" s="8" t="s">
        <v>560</v>
      </c>
      <c r="B614" s="15">
        <v>80</v>
      </c>
      <c r="C614" s="15"/>
      <c r="D614" s="15"/>
      <c r="E614" s="15"/>
      <c r="F614" s="15"/>
      <c r="G614" s="15"/>
      <c r="H614" s="18"/>
      <c r="I614" s="58"/>
      <c r="J614" s="58"/>
      <c r="K614" s="15">
        <v>80</v>
      </c>
    </row>
    <row r="615" spans="1:11" customFormat="1">
      <c r="A615" s="8" t="s">
        <v>561</v>
      </c>
      <c r="B615" s="15">
        <v>79.960000000000008</v>
      </c>
      <c r="C615" s="15"/>
      <c r="D615" s="15"/>
      <c r="E615" s="15"/>
      <c r="F615" s="15"/>
      <c r="G615" s="15"/>
      <c r="H615" s="18"/>
      <c r="I615" s="58"/>
      <c r="J615" s="58"/>
      <c r="K615" s="15">
        <v>79.960000000000008</v>
      </c>
    </row>
    <row r="616" spans="1:11" customFormat="1">
      <c r="A616" s="8" t="s">
        <v>562</v>
      </c>
      <c r="B616" s="15">
        <v>79</v>
      </c>
      <c r="C616" s="15"/>
      <c r="D616" s="15"/>
      <c r="E616" s="15"/>
      <c r="F616" s="15"/>
      <c r="G616" s="15"/>
      <c r="H616" s="18"/>
      <c r="I616" s="58"/>
      <c r="J616" s="58"/>
      <c r="K616" s="15">
        <v>79</v>
      </c>
    </row>
    <row r="617" spans="1:11" customFormat="1">
      <c r="A617" s="8" t="s">
        <v>563</v>
      </c>
      <c r="B617" s="15">
        <v>79</v>
      </c>
      <c r="C617" s="15"/>
      <c r="D617" s="15"/>
      <c r="E617" s="15"/>
      <c r="F617" s="15"/>
      <c r="G617" s="15"/>
      <c r="H617" s="18"/>
      <c r="I617" s="58"/>
      <c r="J617" s="58"/>
      <c r="K617" s="15">
        <v>79</v>
      </c>
    </row>
    <row r="618" spans="1:11" customFormat="1">
      <c r="A618" s="8" t="s">
        <v>564</v>
      </c>
      <c r="B618" s="15">
        <v>79</v>
      </c>
      <c r="C618" s="15"/>
      <c r="D618" s="15"/>
      <c r="E618" s="15"/>
      <c r="F618" s="15"/>
      <c r="G618" s="15"/>
      <c r="H618" s="18"/>
      <c r="I618" s="58"/>
      <c r="J618" s="58"/>
      <c r="K618" s="15">
        <v>79</v>
      </c>
    </row>
    <row r="619" spans="1:11" customFormat="1">
      <c r="A619" s="8" t="s">
        <v>565</v>
      </c>
      <c r="B619" s="15">
        <v>76.89</v>
      </c>
      <c r="C619" s="15"/>
      <c r="D619" s="15"/>
      <c r="E619" s="15"/>
      <c r="F619" s="15"/>
      <c r="G619" s="15"/>
      <c r="H619" s="18"/>
      <c r="I619" s="58"/>
      <c r="J619" s="58"/>
      <c r="K619" s="15">
        <v>76.89</v>
      </c>
    </row>
    <row r="620" spans="1:11" customFormat="1">
      <c r="A620" s="8" t="s">
        <v>566</v>
      </c>
      <c r="B620" s="15">
        <v>35</v>
      </c>
      <c r="C620" s="15"/>
      <c r="D620" s="15"/>
      <c r="E620" s="15">
        <v>40</v>
      </c>
      <c r="F620" s="15"/>
      <c r="G620" s="15"/>
      <c r="H620" s="18">
        <v>40</v>
      </c>
      <c r="I620" s="58"/>
      <c r="J620" s="58"/>
      <c r="K620" s="15">
        <v>75</v>
      </c>
    </row>
    <row r="621" spans="1:11" customFormat="1">
      <c r="A621" s="8" t="s">
        <v>567</v>
      </c>
      <c r="B621" s="15">
        <v>66.5</v>
      </c>
      <c r="C621" s="15"/>
      <c r="D621" s="15">
        <v>5.2</v>
      </c>
      <c r="E621" s="15"/>
      <c r="F621" s="15"/>
      <c r="G621" s="15"/>
      <c r="H621" s="18">
        <v>5.2</v>
      </c>
      <c r="I621" s="58"/>
      <c r="J621" s="58"/>
      <c r="K621" s="15">
        <v>71.7</v>
      </c>
    </row>
    <row r="622" spans="1:11" customFormat="1">
      <c r="A622" s="8" t="s">
        <v>568</v>
      </c>
      <c r="B622" s="15">
        <v>70.02</v>
      </c>
      <c r="C622" s="15"/>
      <c r="D622" s="15"/>
      <c r="E622" s="15"/>
      <c r="F622" s="15"/>
      <c r="G622" s="15"/>
      <c r="H622" s="18"/>
      <c r="I622" s="58"/>
      <c r="J622" s="58"/>
      <c r="K622" s="15">
        <v>70.02</v>
      </c>
    </row>
    <row r="623" spans="1:11" customFormat="1">
      <c r="A623" s="8" t="s">
        <v>569</v>
      </c>
      <c r="B623" s="15"/>
      <c r="C623" s="15"/>
      <c r="D623" s="15"/>
      <c r="E623" s="15">
        <v>70</v>
      </c>
      <c r="F623" s="15"/>
      <c r="G623" s="15"/>
      <c r="H623" s="18">
        <v>70</v>
      </c>
      <c r="I623" s="58"/>
      <c r="J623" s="58"/>
      <c r="K623" s="15">
        <v>70</v>
      </c>
    </row>
    <row r="624" spans="1:11" customFormat="1">
      <c r="A624" s="45" t="s">
        <v>452</v>
      </c>
      <c r="B624" s="15"/>
      <c r="C624" s="15"/>
      <c r="D624" s="15"/>
      <c r="E624" s="15">
        <v>70</v>
      </c>
      <c r="F624" s="15"/>
      <c r="G624" s="15"/>
      <c r="H624" s="18">
        <v>70</v>
      </c>
      <c r="I624" s="58"/>
      <c r="J624" s="58"/>
      <c r="K624" s="15">
        <v>70</v>
      </c>
    </row>
    <row r="625" spans="1:19">
      <c r="A625" s="8" t="s">
        <v>570</v>
      </c>
      <c r="B625" s="15">
        <v>70</v>
      </c>
      <c r="C625" s="15"/>
      <c r="D625" s="15"/>
      <c r="E625" s="15"/>
      <c r="F625" s="15"/>
      <c r="G625" s="15"/>
      <c r="H625" s="18"/>
      <c r="I625" s="58"/>
      <c r="J625" s="58"/>
      <c r="K625" s="15">
        <v>70</v>
      </c>
      <c r="L625"/>
      <c r="M625"/>
      <c r="N625"/>
      <c r="O625"/>
      <c r="P625"/>
      <c r="Q625"/>
      <c r="R625"/>
      <c r="S625"/>
    </row>
    <row r="626" spans="1:19">
      <c r="A626" s="8" t="s">
        <v>571</v>
      </c>
      <c r="B626" s="15">
        <v>69.989999999999995</v>
      </c>
      <c r="C626" s="15"/>
      <c r="D626" s="15"/>
      <c r="E626" s="15"/>
      <c r="F626" s="15"/>
      <c r="G626" s="15"/>
      <c r="H626" s="18"/>
      <c r="I626" s="58"/>
      <c r="J626" s="58"/>
      <c r="K626" s="15">
        <v>69.989999999999995</v>
      </c>
      <c r="L626"/>
      <c r="M626"/>
      <c r="N626"/>
      <c r="O626"/>
      <c r="P626"/>
      <c r="Q626"/>
      <c r="R626"/>
      <c r="S626"/>
    </row>
    <row r="627" spans="1:19">
      <c r="A627" s="8" t="s">
        <v>572</v>
      </c>
      <c r="B627" s="15">
        <v>69</v>
      </c>
      <c r="C627" s="15"/>
      <c r="D627" s="15"/>
      <c r="E627" s="15"/>
      <c r="F627" s="15"/>
      <c r="G627" s="15"/>
      <c r="H627" s="18"/>
      <c r="I627" s="58"/>
      <c r="J627" s="58"/>
      <c r="K627" s="15">
        <v>69</v>
      </c>
      <c r="L627"/>
      <c r="M627"/>
      <c r="N627"/>
      <c r="O627"/>
      <c r="P627"/>
      <c r="Q627"/>
      <c r="R627"/>
      <c r="S627"/>
    </row>
    <row r="628" spans="1:19">
      <c r="A628" s="8" t="s">
        <v>573</v>
      </c>
      <c r="C628" s="15"/>
      <c r="D628" s="15"/>
      <c r="E628" s="15"/>
      <c r="F628" s="15"/>
      <c r="G628" s="15">
        <v>69</v>
      </c>
      <c r="H628" s="18">
        <v>69</v>
      </c>
      <c r="I628" s="58"/>
      <c r="J628" s="58"/>
      <c r="K628" s="15">
        <v>69</v>
      </c>
      <c r="L628"/>
      <c r="M628"/>
      <c r="N628"/>
      <c r="O628"/>
      <c r="P628"/>
      <c r="Q628"/>
      <c r="R628"/>
      <c r="S628"/>
    </row>
    <row r="629" spans="1:19">
      <c r="A629" s="45" t="s">
        <v>452</v>
      </c>
      <c r="C629" s="15"/>
      <c r="D629" s="15"/>
      <c r="E629" s="15"/>
      <c r="F629" s="15"/>
      <c r="G629" s="15">
        <v>69</v>
      </c>
      <c r="H629" s="18">
        <v>69</v>
      </c>
      <c r="I629" s="58"/>
      <c r="J629" s="58"/>
      <c r="K629" s="15">
        <v>69</v>
      </c>
      <c r="L629"/>
      <c r="M629"/>
      <c r="N629"/>
      <c r="O629"/>
      <c r="P629"/>
      <c r="Q629"/>
      <c r="R629"/>
      <c r="S629"/>
    </row>
    <row r="630" spans="1:19">
      <c r="A630" s="8" t="s">
        <v>574</v>
      </c>
      <c r="B630" s="15">
        <v>69</v>
      </c>
      <c r="C630" s="15"/>
      <c r="D630" s="15"/>
      <c r="E630" s="15"/>
      <c r="F630" s="15"/>
      <c r="G630" s="15"/>
      <c r="H630" s="18"/>
      <c r="I630" s="58"/>
      <c r="J630" s="58"/>
      <c r="K630" s="15">
        <v>69</v>
      </c>
      <c r="L630"/>
      <c r="M630"/>
      <c r="N630"/>
      <c r="O630"/>
      <c r="P630"/>
      <c r="Q630"/>
      <c r="R630"/>
      <c r="S630"/>
    </row>
    <row r="631" spans="1:19">
      <c r="A631" s="8" t="s">
        <v>575</v>
      </c>
      <c r="C631" s="15"/>
      <c r="D631" s="15"/>
      <c r="E631" s="15">
        <v>69</v>
      </c>
      <c r="F631" s="15"/>
      <c r="G631" s="15"/>
      <c r="H631" s="18">
        <v>69</v>
      </c>
      <c r="I631" s="58"/>
      <c r="J631" s="58"/>
      <c r="K631" s="15">
        <v>69</v>
      </c>
      <c r="L631"/>
      <c r="M631"/>
      <c r="N631"/>
      <c r="O631"/>
    </row>
    <row r="632" spans="1:19">
      <c r="A632" s="45" t="s">
        <v>452</v>
      </c>
      <c r="C632" s="15"/>
      <c r="D632" s="15"/>
      <c r="E632" s="15">
        <v>69</v>
      </c>
      <c r="F632" s="15"/>
      <c r="G632" s="15"/>
      <c r="H632" s="18">
        <v>69</v>
      </c>
      <c r="I632" s="58"/>
      <c r="J632" s="58"/>
      <c r="K632" s="15">
        <v>69</v>
      </c>
      <c r="L632"/>
      <c r="M632"/>
      <c r="N632"/>
      <c r="O632"/>
    </row>
    <row r="633" spans="1:19">
      <c r="A633" s="8" t="s">
        <v>576</v>
      </c>
      <c r="B633" s="15">
        <v>69</v>
      </c>
      <c r="C633" s="15"/>
      <c r="D633" s="15"/>
      <c r="E633" s="15"/>
      <c r="F633" s="15"/>
      <c r="G633" s="15"/>
      <c r="H633" s="18"/>
      <c r="I633" s="58"/>
      <c r="J633" s="58"/>
      <c r="K633" s="15">
        <v>69</v>
      </c>
      <c r="L633"/>
      <c r="M633"/>
      <c r="N633"/>
      <c r="O633"/>
    </row>
    <row r="634" spans="1:19">
      <c r="A634" s="8" t="s">
        <v>577</v>
      </c>
      <c r="C634" s="15"/>
      <c r="D634" s="15"/>
      <c r="E634" s="15">
        <v>69</v>
      </c>
      <c r="F634" s="15"/>
      <c r="G634" s="15"/>
      <c r="H634" s="18">
        <v>69</v>
      </c>
      <c r="I634" s="58"/>
      <c r="J634" s="58"/>
      <c r="K634" s="15">
        <v>69</v>
      </c>
      <c r="L634"/>
      <c r="M634"/>
      <c r="N634"/>
      <c r="O634"/>
    </row>
    <row r="635" spans="1:19">
      <c r="A635" s="45" t="s">
        <v>452</v>
      </c>
      <c r="C635" s="15"/>
      <c r="D635" s="15"/>
      <c r="E635" s="15">
        <v>69</v>
      </c>
      <c r="F635" s="15"/>
      <c r="G635" s="15"/>
      <c r="H635" s="18">
        <v>69</v>
      </c>
      <c r="I635" s="58"/>
      <c r="J635" s="58"/>
      <c r="K635" s="15">
        <v>69</v>
      </c>
      <c r="L635"/>
      <c r="M635"/>
      <c r="N635"/>
      <c r="O635"/>
    </row>
    <row r="636" spans="1:19">
      <c r="A636" s="8" t="s">
        <v>578</v>
      </c>
      <c r="B636" s="15">
        <v>69</v>
      </c>
      <c r="C636" s="15"/>
      <c r="D636" s="15"/>
      <c r="E636" s="15"/>
      <c r="F636" s="15"/>
      <c r="G636" s="15"/>
      <c r="H636" s="18"/>
      <c r="I636" s="58"/>
      <c r="J636" s="58"/>
      <c r="K636" s="15">
        <v>69</v>
      </c>
      <c r="L636"/>
      <c r="M636"/>
      <c r="N636"/>
    </row>
    <row r="637" spans="1:19">
      <c r="A637" s="8" t="s">
        <v>579</v>
      </c>
      <c r="B637" s="15">
        <v>69</v>
      </c>
      <c r="C637" s="15"/>
      <c r="D637" s="15"/>
      <c r="E637" s="15"/>
      <c r="F637" s="15"/>
      <c r="G637" s="15"/>
      <c r="H637" s="18"/>
      <c r="I637" s="58"/>
      <c r="J637" s="58"/>
      <c r="K637" s="15">
        <v>69</v>
      </c>
      <c r="L637"/>
      <c r="M637"/>
      <c r="N637"/>
    </row>
    <row r="638" spans="1:19">
      <c r="A638" s="8" t="s">
        <v>580</v>
      </c>
      <c r="B638" s="15">
        <v>69</v>
      </c>
      <c r="C638" s="15"/>
      <c r="D638" s="15"/>
      <c r="E638" s="15"/>
      <c r="F638" s="15"/>
      <c r="G638" s="15"/>
      <c r="H638" s="18"/>
      <c r="I638" s="58"/>
      <c r="J638" s="58"/>
      <c r="K638" s="15">
        <v>69</v>
      </c>
      <c r="L638"/>
      <c r="M638"/>
      <c r="N638"/>
    </row>
    <row r="639" spans="1:19">
      <c r="A639" s="8" t="s">
        <v>581</v>
      </c>
      <c r="B639" s="15">
        <v>69</v>
      </c>
      <c r="C639" s="15"/>
      <c r="D639" s="15"/>
      <c r="E639" s="15"/>
      <c r="F639" s="15"/>
      <c r="G639" s="15"/>
      <c r="H639" s="18"/>
      <c r="I639" s="58"/>
      <c r="J639" s="58"/>
      <c r="K639" s="15">
        <v>69</v>
      </c>
      <c r="L639"/>
    </row>
    <row r="640" spans="1:19">
      <c r="A640" s="8" t="s">
        <v>582</v>
      </c>
      <c r="B640" s="15">
        <v>69</v>
      </c>
      <c r="C640" s="15"/>
      <c r="D640" s="15"/>
      <c r="E640" s="15"/>
      <c r="F640" s="15"/>
      <c r="G640" s="15"/>
      <c r="H640" s="18"/>
      <c r="I640" s="58"/>
      <c r="J640" s="58"/>
      <c r="K640" s="15">
        <v>69</v>
      </c>
      <c r="L640"/>
    </row>
    <row r="641" spans="1:12">
      <c r="A641" s="8" t="s">
        <v>583</v>
      </c>
      <c r="B641" s="15">
        <v>66</v>
      </c>
      <c r="C641" s="15"/>
      <c r="D641" s="15"/>
      <c r="E641" s="15"/>
      <c r="F641" s="15"/>
      <c r="G641" s="15"/>
      <c r="H641" s="18"/>
      <c r="I641" s="58"/>
      <c r="J641" s="58"/>
      <c r="K641" s="15">
        <v>66</v>
      </c>
      <c r="L641"/>
    </row>
    <row r="642" spans="1:12">
      <c r="A642" s="8" t="s">
        <v>584</v>
      </c>
      <c r="B642" s="15">
        <v>65.7</v>
      </c>
      <c r="C642" s="15"/>
      <c r="D642" s="15"/>
      <c r="E642" s="15"/>
      <c r="F642" s="15"/>
      <c r="G642" s="15"/>
      <c r="H642" s="18"/>
      <c r="I642" s="58"/>
      <c r="J642" s="58"/>
      <c r="K642" s="15">
        <v>65.7</v>
      </c>
      <c r="L642"/>
    </row>
    <row r="643" spans="1:12">
      <c r="A643" s="8" t="s">
        <v>585</v>
      </c>
      <c r="B643" s="15">
        <v>65</v>
      </c>
      <c r="C643" s="15"/>
      <c r="D643" s="15"/>
      <c r="E643" s="15"/>
      <c r="F643" s="15"/>
      <c r="G643" s="15"/>
      <c r="H643" s="18"/>
      <c r="I643" s="58"/>
      <c r="J643" s="58"/>
      <c r="K643" s="15">
        <v>65</v>
      </c>
      <c r="L643"/>
    </row>
    <row r="644" spans="1:12">
      <c r="A644" s="8" t="s">
        <v>586</v>
      </c>
      <c r="B644" s="15">
        <v>63.56</v>
      </c>
      <c r="C644" s="15"/>
      <c r="D644" s="15"/>
      <c r="E644" s="15"/>
      <c r="F644" s="15"/>
      <c r="G644" s="15"/>
      <c r="H644" s="18"/>
      <c r="I644" s="58"/>
      <c r="J644" s="58"/>
      <c r="K644" s="15">
        <v>63.56</v>
      </c>
      <c r="L644"/>
    </row>
    <row r="645" spans="1:12">
      <c r="A645" s="8" t="s">
        <v>587</v>
      </c>
      <c r="B645" s="15">
        <v>62.24</v>
      </c>
      <c r="C645" s="15"/>
      <c r="D645" s="15"/>
      <c r="E645" s="15"/>
      <c r="F645" s="15"/>
      <c r="G645" s="15"/>
      <c r="H645" s="18"/>
      <c r="I645" s="58"/>
      <c r="J645" s="58"/>
      <c r="K645" s="15">
        <v>62.24</v>
      </c>
      <c r="L645"/>
    </row>
    <row r="646" spans="1:12">
      <c r="A646" s="8" t="s">
        <v>588</v>
      </c>
      <c r="B646" s="15">
        <v>38</v>
      </c>
      <c r="C646" s="15">
        <v>24</v>
      </c>
      <c r="D646" s="15"/>
      <c r="E646" s="15"/>
      <c r="F646" s="15"/>
      <c r="G646" s="15"/>
      <c r="H646" s="18">
        <v>24</v>
      </c>
      <c r="I646" s="58"/>
      <c r="J646" s="58"/>
      <c r="K646" s="15">
        <v>62</v>
      </c>
      <c r="L646"/>
    </row>
    <row r="647" spans="1:12">
      <c r="A647" s="8" t="s">
        <v>589</v>
      </c>
      <c r="C647" s="15"/>
      <c r="D647" s="15"/>
      <c r="E647" s="15"/>
      <c r="F647" s="15">
        <v>60</v>
      </c>
      <c r="G647" s="15"/>
      <c r="H647" s="18">
        <v>60</v>
      </c>
      <c r="I647" s="58"/>
      <c r="J647" s="58"/>
      <c r="K647" s="15">
        <v>60</v>
      </c>
      <c r="L647"/>
    </row>
    <row r="648" spans="1:12">
      <c r="A648" s="8" t="s">
        <v>590</v>
      </c>
      <c r="B648" s="15">
        <v>60</v>
      </c>
      <c r="C648" s="15"/>
      <c r="D648" s="15"/>
      <c r="E648" s="15"/>
      <c r="F648" s="15"/>
      <c r="G648" s="15"/>
      <c r="H648" s="18"/>
      <c r="I648" s="58"/>
      <c r="J648" s="58"/>
      <c r="K648" s="15">
        <v>60</v>
      </c>
      <c r="L648"/>
    </row>
    <row r="649" spans="1:12">
      <c r="A649" s="8" t="s">
        <v>591</v>
      </c>
      <c r="B649" s="15">
        <v>60</v>
      </c>
      <c r="C649" s="15"/>
      <c r="D649" s="15"/>
      <c r="E649" s="15"/>
      <c r="F649" s="15"/>
      <c r="G649" s="15"/>
      <c r="H649" s="18"/>
      <c r="I649" s="58"/>
      <c r="J649" s="58"/>
      <c r="K649" s="15">
        <v>60</v>
      </c>
      <c r="L649"/>
    </row>
    <row r="650" spans="1:12">
      <c r="A650" s="8" t="s">
        <v>592</v>
      </c>
      <c r="C650" s="15">
        <v>8.1</v>
      </c>
      <c r="D650" s="15"/>
      <c r="E650" s="15"/>
      <c r="F650" s="15">
        <v>37.03</v>
      </c>
      <c r="G650" s="15">
        <v>11.6</v>
      </c>
      <c r="H650" s="18">
        <v>56.730000000000004</v>
      </c>
      <c r="I650" s="58"/>
      <c r="J650" s="58"/>
      <c r="K650" s="15">
        <v>56.730000000000004</v>
      </c>
      <c r="L650"/>
    </row>
    <row r="651" spans="1:12">
      <c r="A651" s="8" t="s">
        <v>593</v>
      </c>
      <c r="B651" s="15">
        <v>56.04</v>
      </c>
      <c r="C651" s="15"/>
      <c r="D651" s="15"/>
      <c r="E651" s="15"/>
      <c r="F651" s="15"/>
      <c r="G651" s="15"/>
      <c r="H651" s="18"/>
      <c r="I651" s="58"/>
      <c r="J651" s="58"/>
      <c r="K651" s="15">
        <v>56.04</v>
      </c>
      <c r="L651"/>
    </row>
    <row r="652" spans="1:12">
      <c r="A652" s="8" t="s">
        <v>594</v>
      </c>
      <c r="B652" s="15">
        <v>52</v>
      </c>
      <c r="C652" s="15"/>
      <c r="D652" s="15"/>
      <c r="E652" s="15"/>
      <c r="F652" s="15"/>
      <c r="G652" s="15"/>
      <c r="H652" s="18"/>
      <c r="I652" s="58"/>
      <c r="J652" s="58"/>
      <c r="K652" s="15">
        <v>52</v>
      </c>
      <c r="L652"/>
    </row>
    <row r="653" spans="1:12">
      <c r="A653" s="8" t="s">
        <v>595</v>
      </c>
      <c r="B653" s="15">
        <v>50.400000000000006</v>
      </c>
      <c r="C653" s="15"/>
      <c r="D653" s="15"/>
      <c r="E653" s="15"/>
      <c r="F653" s="15"/>
      <c r="G653" s="15"/>
      <c r="H653" s="18"/>
      <c r="I653" s="58"/>
      <c r="J653" s="58"/>
      <c r="K653" s="15">
        <v>50.400000000000006</v>
      </c>
      <c r="L653"/>
    </row>
    <row r="654" spans="1:12">
      <c r="A654" s="8" t="s">
        <v>596</v>
      </c>
      <c r="C654" s="15"/>
      <c r="D654" s="15"/>
      <c r="E654" s="15"/>
      <c r="F654" s="15">
        <v>50.39</v>
      </c>
      <c r="G654" s="15"/>
      <c r="H654" s="18">
        <v>50.39</v>
      </c>
      <c r="I654" s="58"/>
      <c r="J654" s="58"/>
      <c r="K654" s="15">
        <v>50.39</v>
      </c>
      <c r="L654"/>
    </row>
    <row r="655" spans="1:12">
      <c r="A655" s="8" t="s">
        <v>597</v>
      </c>
      <c r="C655" s="15"/>
      <c r="D655" s="15"/>
      <c r="E655" s="15"/>
      <c r="F655" s="15"/>
      <c r="G655" s="15">
        <v>50</v>
      </c>
      <c r="H655" s="18">
        <v>50</v>
      </c>
      <c r="I655" s="58"/>
      <c r="J655" s="58"/>
      <c r="K655" s="15">
        <v>50</v>
      </c>
      <c r="L655"/>
    </row>
    <row r="656" spans="1:12">
      <c r="A656" s="45" t="s">
        <v>141</v>
      </c>
      <c r="C656" s="15"/>
      <c r="D656" s="15"/>
      <c r="E656" s="15"/>
      <c r="F656" s="15"/>
      <c r="G656" s="15">
        <v>50</v>
      </c>
      <c r="H656" s="18">
        <v>50</v>
      </c>
      <c r="I656" s="58"/>
      <c r="J656" s="58"/>
      <c r="K656" s="15">
        <v>50</v>
      </c>
      <c r="L656"/>
    </row>
    <row r="657" spans="1:12">
      <c r="A657" s="8" t="s">
        <v>598</v>
      </c>
      <c r="C657" s="15"/>
      <c r="D657" s="15"/>
      <c r="E657" s="15">
        <v>50</v>
      </c>
      <c r="F657" s="15"/>
      <c r="G657" s="15"/>
      <c r="H657" s="18">
        <v>50</v>
      </c>
      <c r="I657" s="58"/>
      <c r="J657" s="58"/>
      <c r="K657" s="15">
        <v>50</v>
      </c>
      <c r="L657"/>
    </row>
    <row r="658" spans="1:12">
      <c r="A658" s="45" t="s">
        <v>599</v>
      </c>
      <c r="C658" s="15"/>
      <c r="D658" s="15"/>
      <c r="E658" s="15">
        <v>50</v>
      </c>
      <c r="F658" s="15"/>
      <c r="G658" s="15"/>
      <c r="H658" s="18">
        <v>50</v>
      </c>
      <c r="I658" s="58"/>
      <c r="J658" s="58"/>
      <c r="K658" s="15">
        <v>50</v>
      </c>
      <c r="L658"/>
    </row>
    <row r="659" spans="1:12">
      <c r="A659" s="8" t="s">
        <v>600</v>
      </c>
      <c r="C659" s="15"/>
      <c r="D659" s="15"/>
      <c r="E659" s="15"/>
      <c r="F659" s="15">
        <v>50</v>
      </c>
      <c r="G659" s="15"/>
      <c r="H659" s="18">
        <v>50</v>
      </c>
      <c r="I659" s="58"/>
      <c r="J659" s="58"/>
      <c r="K659" s="15">
        <v>50</v>
      </c>
      <c r="L659"/>
    </row>
    <row r="660" spans="1:12">
      <c r="A660" s="8" t="s">
        <v>601</v>
      </c>
      <c r="B660" s="15">
        <v>50</v>
      </c>
      <c r="C660" s="15"/>
      <c r="D660" s="15"/>
      <c r="E660" s="15"/>
      <c r="F660" s="15"/>
      <c r="G660" s="15"/>
      <c r="H660" s="18"/>
      <c r="I660" s="58"/>
      <c r="J660" s="58"/>
      <c r="K660" s="15">
        <v>50</v>
      </c>
      <c r="L660"/>
    </row>
    <row r="661" spans="1:12">
      <c r="A661" s="8" t="s">
        <v>602</v>
      </c>
      <c r="C661" s="15"/>
      <c r="D661" s="15">
        <v>50</v>
      </c>
      <c r="E661" s="15"/>
      <c r="F661" s="15"/>
      <c r="G661" s="15"/>
      <c r="H661" s="18">
        <v>50</v>
      </c>
      <c r="I661" s="58"/>
      <c r="J661" s="58"/>
      <c r="K661" s="15">
        <v>50</v>
      </c>
      <c r="L661"/>
    </row>
    <row r="662" spans="1:12">
      <c r="A662" s="8" t="s">
        <v>603</v>
      </c>
      <c r="B662" s="15">
        <v>50</v>
      </c>
      <c r="C662" s="15"/>
      <c r="D662" s="15"/>
      <c r="E662" s="15"/>
      <c r="F662" s="15"/>
      <c r="G662" s="15"/>
      <c r="H662" s="18"/>
      <c r="I662" s="58"/>
      <c r="J662" s="58"/>
      <c r="K662" s="15">
        <v>50</v>
      </c>
      <c r="L662"/>
    </row>
    <row r="663" spans="1:12">
      <c r="A663" s="8" t="s">
        <v>604</v>
      </c>
      <c r="B663" s="15">
        <v>50</v>
      </c>
      <c r="C663" s="15"/>
      <c r="D663" s="15"/>
      <c r="E663" s="15"/>
      <c r="F663" s="15"/>
      <c r="G663" s="15"/>
      <c r="H663" s="18"/>
      <c r="I663" s="58"/>
      <c r="J663" s="58"/>
      <c r="K663" s="15">
        <v>50</v>
      </c>
      <c r="L663"/>
    </row>
    <row r="664" spans="1:12">
      <c r="A664" s="8" t="s">
        <v>605</v>
      </c>
      <c r="B664" s="15">
        <v>50</v>
      </c>
      <c r="C664" s="15"/>
      <c r="D664" s="15"/>
      <c r="E664" s="15"/>
      <c r="F664" s="15"/>
      <c r="G664" s="15"/>
      <c r="H664" s="18"/>
      <c r="I664" s="58"/>
      <c r="J664" s="58"/>
      <c r="K664" s="15">
        <v>50</v>
      </c>
      <c r="L664"/>
    </row>
    <row r="665" spans="1:12">
      <c r="A665" s="8" t="s">
        <v>606</v>
      </c>
      <c r="C665" s="15"/>
      <c r="D665" s="15"/>
      <c r="E665" s="15"/>
      <c r="F665" s="15"/>
      <c r="G665" s="15">
        <v>50</v>
      </c>
      <c r="H665" s="18">
        <v>50</v>
      </c>
      <c r="I665" s="58"/>
      <c r="J665" s="58"/>
      <c r="K665" s="15">
        <v>50</v>
      </c>
      <c r="L665"/>
    </row>
    <row r="666" spans="1:12">
      <c r="A666" s="45" t="s">
        <v>141</v>
      </c>
      <c r="C666" s="15"/>
      <c r="D666" s="15"/>
      <c r="E666" s="15"/>
      <c r="F666" s="15"/>
      <c r="G666" s="15">
        <v>50</v>
      </c>
      <c r="H666" s="18">
        <v>50</v>
      </c>
      <c r="I666" s="58"/>
      <c r="J666" s="58"/>
      <c r="K666" s="15">
        <v>50</v>
      </c>
      <c r="L666"/>
    </row>
    <row r="667" spans="1:12">
      <c r="A667" s="8" t="s">
        <v>607</v>
      </c>
      <c r="B667" s="15">
        <v>50</v>
      </c>
      <c r="C667" s="15"/>
      <c r="D667" s="15"/>
      <c r="E667" s="15"/>
      <c r="F667" s="15"/>
      <c r="G667" s="15"/>
      <c r="H667" s="18"/>
      <c r="I667" s="58"/>
      <c r="J667" s="58"/>
      <c r="K667" s="15">
        <v>50</v>
      </c>
      <c r="L667"/>
    </row>
    <row r="668" spans="1:12">
      <c r="A668" s="8" t="s">
        <v>608</v>
      </c>
      <c r="B668" s="15">
        <v>50</v>
      </c>
      <c r="C668" s="15"/>
      <c r="D668" s="15"/>
      <c r="E668" s="15"/>
      <c r="F668" s="15"/>
      <c r="G668" s="15"/>
      <c r="H668" s="18"/>
      <c r="I668" s="58"/>
      <c r="J668" s="58"/>
      <c r="K668" s="15">
        <v>50</v>
      </c>
      <c r="L668"/>
    </row>
    <row r="669" spans="1:12">
      <c r="A669" s="8" t="s">
        <v>609</v>
      </c>
      <c r="C669" s="15"/>
      <c r="D669" s="15"/>
      <c r="E669" s="15"/>
      <c r="F669" s="15">
        <v>50</v>
      </c>
      <c r="G669" s="15"/>
      <c r="H669" s="18">
        <v>50</v>
      </c>
      <c r="I669" s="58"/>
      <c r="J669" s="58"/>
      <c r="K669" s="15">
        <v>50</v>
      </c>
      <c r="L669"/>
    </row>
    <row r="670" spans="1:12">
      <c r="A670" s="45" t="s">
        <v>141</v>
      </c>
      <c r="C670" s="15"/>
      <c r="D670" s="15"/>
      <c r="E670" s="15"/>
      <c r="F670" s="15">
        <v>50</v>
      </c>
      <c r="G670" s="15"/>
      <c r="H670" s="18">
        <v>50</v>
      </c>
      <c r="I670" s="58"/>
      <c r="J670" s="58"/>
      <c r="K670" s="15">
        <v>50</v>
      </c>
      <c r="L670"/>
    </row>
    <row r="671" spans="1:12">
      <c r="A671" s="8" t="s">
        <v>610</v>
      </c>
      <c r="B671" s="15">
        <v>50</v>
      </c>
      <c r="C671" s="15"/>
      <c r="D671" s="15"/>
      <c r="E671" s="15"/>
      <c r="F671" s="15"/>
      <c r="G671" s="15"/>
      <c r="H671" s="18"/>
      <c r="I671" s="58"/>
      <c r="J671" s="58"/>
      <c r="K671" s="15">
        <v>50</v>
      </c>
      <c r="L671"/>
    </row>
    <row r="672" spans="1:12">
      <c r="A672" s="8" t="s">
        <v>611</v>
      </c>
      <c r="C672" s="15">
        <v>50</v>
      </c>
      <c r="D672" s="15"/>
      <c r="E672" s="15"/>
      <c r="F672" s="15"/>
      <c r="G672" s="15"/>
      <c r="H672" s="18">
        <v>50</v>
      </c>
      <c r="I672" s="58"/>
      <c r="J672" s="58"/>
      <c r="K672" s="15">
        <v>50</v>
      </c>
      <c r="L672"/>
    </row>
    <row r="673" spans="1:12">
      <c r="A673" s="8" t="s">
        <v>612</v>
      </c>
      <c r="B673" s="15">
        <v>50</v>
      </c>
      <c r="C673" s="15"/>
      <c r="D673" s="15"/>
      <c r="E673" s="15"/>
      <c r="F673" s="15"/>
      <c r="G673" s="15"/>
      <c r="H673" s="18"/>
      <c r="I673" s="58"/>
      <c r="J673" s="58"/>
      <c r="K673" s="15">
        <v>50</v>
      </c>
      <c r="L673"/>
    </row>
    <row r="674" spans="1:12">
      <c r="A674" s="8" t="s">
        <v>613</v>
      </c>
      <c r="B674" s="15">
        <v>50</v>
      </c>
      <c r="C674" s="15"/>
      <c r="D674" s="15"/>
      <c r="E674" s="15"/>
      <c r="F674" s="15"/>
      <c r="G674" s="15"/>
      <c r="H674" s="18"/>
      <c r="I674" s="58"/>
      <c r="J674" s="58"/>
      <c r="K674" s="15">
        <v>50</v>
      </c>
      <c r="L674"/>
    </row>
    <row r="675" spans="1:12">
      <c r="A675" s="8" t="s">
        <v>614</v>
      </c>
      <c r="B675" s="15">
        <v>50</v>
      </c>
      <c r="C675" s="15"/>
      <c r="D675" s="15"/>
      <c r="E675" s="15"/>
      <c r="F675" s="15"/>
      <c r="G675" s="15"/>
      <c r="H675" s="18"/>
      <c r="I675" s="58"/>
      <c r="J675" s="58"/>
      <c r="K675" s="15">
        <v>50</v>
      </c>
      <c r="L675"/>
    </row>
    <row r="676" spans="1:12">
      <c r="A676" s="8" t="s">
        <v>615</v>
      </c>
      <c r="B676" s="15">
        <v>50</v>
      </c>
      <c r="C676" s="15"/>
      <c r="D676" s="15"/>
      <c r="E676" s="15"/>
      <c r="F676" s="15"/>
      <c r="G676" s="15"/>
      <c r="H676" s="18"/>
      <c r="I676" s="58"/>
      <c r="J676" s="58"/>
      <c r="K676" s="15">
        <v>50</v>
      </c>
      <c r="L676"/>
    </row>
    <row r="677" spans="1:12">
      <c r="A677" s="8" t="s">
        <v>616</v>
      </c>
      <c r="B677" s="15">
        <v>50</v>
      </c>
      <c r="C677" s="15"/>
      <c r="D677" s="15"/>
      <c r="E677" s="15"/>
      <c r="F677" s="15"/>
      <c r="G677" s="15"/>
      <c r="H677" s="18"/>
      <c r="I677" s="58"/>
      <c r="J677" s="58"/>
      <c r="K677" s="15">
        <v>50</v>
      </c>
      <c r="L677"/>
    </row>
    <row r="678" spans="1:12">
      <c r="A678" s="8" t="s">
        <v>617</v>
      </c>
      <c r="C678" s="15">
        <v>50</v>
      </c>
      <c r="D678" s="15"/>
      <c r="E678" s="15"/>
      <c r="F678" s="15"/>
      <c r="G678" s="15"/>
      <c r="H678" s="18">
        <v>50</v>
      </c>
      <c r="I678" s="58"/>
      <c r="J678" s="58"/>
      <c r="K678" s="15">
        <v>50</v>
      </c>
      <c r="L678"/>
    </row>
    <row r="679" spans="1:12">
      <c r="A679" s="8" t="s">
        <v>618</v>
      </c>
      <c r="B679" s="15">
        <v>50</v>
      </c>
      <c r="C679" s="15"/>
      <c r="D679" s="15"/>
      <c r="E679" s="15"/>
      <c r="F679" s="15"/>
      <c r="G679" s="15"/>
      <c r="H679" s="18"/>
      <c r="I679" s="58"/>
      <c r="J679" s="58"/>
      <c r="K679" s="15">
        <v>50</v>
      </c>
      <c r="L679"/>
    </row>
    <row r="680" spans="1:12">
      <c r="A680" s="8" t="s">
        <v>619</v>
      </c>
      <c r="C680" s="15">
        <v>50</v>
      </c>
      <c r="D680" s="15"/>
      <c r="E680" s="15"/>
      <c r="F680" s="15"/>
      <c r="G680" s="15"/>
      <c r="H680" s="18">
        <v>50</v>
      </c>
      <c r="I680" s="58"/>
      <c r="J680" s="58"/>
      <c r="K680" s="15">
        <v>50</v>
      </c>
      <c r="L680"/>
    </row>
    <row r="681" spans="1:12">
      <c r="A681" s="8" t="s">
        <v>620</v>
      </c>
      <c r="B681" s="15">
        <v>50</v>
      </c>
      <c r="C681" s="15"/>
      <c r="D681" s="15"/>
      <c r="E681" s="15"/>
      <c r="F681" s="15"/>
      <c r="G681" s="15"/>
      <c r="H681" s="18"/>
      <c r="I681" s="58"/>
      <c r="J681" s="58"/>
      <c r="K681" s="15">
        <v>50</v>
      </c>
      <c r="L681"/>
    </row>
    <row r="682" spans="1:12">
      <c r="A682" s="8" t="s">
        <v>621</v>
      </c>
      <c r="B682" s="15">
        <v>50</v>
      </c>
      <c r="C682" s="15"/>
      <c r="D682" s="15"/>
      <c r="E682" s="15"/>
      <c r="F682" s="15"/>
      <c r="G682" s="15"/>
      <c r="H682" s="18"/>
      <c r="I682" s="58"/>
      <c r="J682" s="58"/>
      <c r="K682" s="15">
        <v>50</v>
      </c>
      <c r="L682"/>
    </row>
    <row r="683" spans="1:12">
      <c r="A683" s="8" t="s">
        <v>622</v>
      </c>
      <c r="C683" s="15"/>
      <c r="D683" s="15"/>
      <c r="E683" s="15"/>
      <c r="F683" s="15">
        <v>50</v>
      </c>
      <c r="G683" s="15"/>
      <c r="H683" s="18">
        <v>50</v>
      </c>
      <c r="I683" s="58"/>
      <c r="J683" s="58"/>
      <c r="K683" s="15">
        <v>50</v>
      </c>
      <c r="L683"/>
    </row>
    <row r="684" spans="1:12">
      <c r="A684" s="45" t="s">
        <v>141</v>
      </c>
      <c r="C684" s="15"/>
      <c r="D684" s="15"/>
      <c r="E684" s="15"/>
      <c r="F684" s="15">
        <v>50</v>
      </c>
      <c r="G684" s="15"/>
      <c r="H684" s="18">
        <v>50</v>
      </c>
      <c r="I684" s="58"/>
      <c r="J684" s="58"/>
      <c r="K684" s="15">
        <v>50</v>
      </c>
      <c r="L684"/>
    </row>
    <row r="685" spans="1:12">
      <c r="A685" s="8" t="s">
        <v>623</v>
      </c>
      <c r="B685" s="15">
        <v>50</v>
      </c>
      <c r="C685" s="15"/>
      <c r="D685" s="15"/>
      <c r="E685" s="15"/>
      <c r="F685" s="15"/>
      <c r="G685" s="15"/>
      <c r="H685" s="18"/>
      <c r="I685" s="58"/>
      <c r="J685" s="58"/>
      <c r="K685" s="15">
        <v>50</v>
      </c>
      <c r="L685"/>
    </row>
    <row r="686" spans="1:12">
      <c r="A686" s="8" t="s">
        <v>624</v>
      </c>
      <c r="B686" s="15">
        <v>50</v>
      </c>
      <c r="C686" s="15"/>
      <c r="D686" s="15"/>
      <c r="E686" s="15"/>
      <c r="F686" s="15"/>
      <c r="G686" s="15"/>
      <c r="H686" s="18"/>
      <c r="I686" s="58"/>
      <c r="J686" s="58"/>
      <c r="K686" s="15">
        <v>50</v>
      </c>
      <c r="L686"/>
    </row>
    <row r="687" spans="1:12">
      <c r="A687" s="8" t="s">
        <v>625</v>
      </c>
      <c r="B687" s="15">
        <v>50</v>
      </c>
      <c r="C687" s="15"/>
      <c r="D687" s="15"/>
      <c r="E687" s="15"/>
      <c r="F687" s="15"/>
      <c r="G687" s="15"/>
      <c r="H687" s="18"/>
      <c r="I687" s="58"/>
      <c r="J687" s="58"/>
      <c r="K687" s="15">
        <v>50</v>
      </c>
      <c r="L687"/>
    </row>
    <row r="688" spans="1:12">
      <c r="A688" s="8" t="s">
        <v>626</v>
      </c>
      <c r="B688" s="15">
        <v>49.47</v>
      </c>
      <c r="C688" s="15"/>
      <c r="D688" s="15"/>
      <c r="E688" s="15"/>
      <c r="F688" s="15"/>
      <c r="G688" s="15"/>
      <c r="H688" s="18"/>
      <c r="I688" s="58"/>
      <c r="J688" s="58"/>
      <c r="K688" s="15">
        <v>49.47</v>
      </c>
      <c r="L688"/>
    </row>
    <row r="689" spans="1:12">
      <c r="A689" s="8" t="s">
        <v>627</v>
      </c>
      <c r="B689" s="15">
        <v>49</v>
      </c>
      <c r="C689" s="15"/>
      <c r="D689" s="15"/>
      <c r="E689" s="15"/>
      <c r="F689" s="15"/>
      <c r="G689" s="15"/>
      <c r="H689" s="18"/>
      <c r="I689" s="58"/>
      <c r="J689" s="58"/>
      <c r="K689" s="15">
        <v>49</v>
      </c>
      <c r="L689"/>
    </row>
    <row r="690" spans="1:12">
      <c r="A690" s="8" t="s">
        <v>628</v>
      </c>
      <c r="B690" s="15">
        <v>49</v>
      </c>
      <c r="C690" s="15"/>
      <c r="D690" s="15"/>
      <c r="E690" s="15"/>
      <c r="F690" s="15"/>
      <c r="G690" s="15"/>
      <c r="H690" s="18"/>
      <c r="I690" s="58"/>
      <c r="J690" s="58"/>
      <c r="K690" s="15">
        <v>49</v>
      </c>
      <c r="L690"/>
    </row>
    <row r="691" spans="1:12">
      <c r="A691" s="8" t="s">
        <v>629</v>
      </c>
      <c r="B691" s="15">
        <v>49</v>
      </c>
      <c r="C691" s="15"/>
      <c r="D691" s="15"/>
      <c r="E691" s="15"/>
      <c r="F691" s="15"/>
      <c r="G691" s="15"/>
      <c r="H691" s="18"/>
      <c r="I691" s="58"/>
      <c r="J691" s="58"/>
      <c r="K691" s="15">
        <v>49</v>
      </c>
      <c r="L691"/>
    </row>
    <row r="692" spans="1:12">
      <c r="A692" s="8" t="s">
        <v>630</v>
      </c>
      <c r="B692" s="15">
        <v>49</v>
      </c>
      <c r="C692" s="15"/>
      <c r="D692" s="15"/>
      <c r="E692" s="15"/>
      <c r="F692" s="15"/>
      <c r="G692" s="15"/>
      <c r="H692" s="18"/>
      <c r="I692" s="58"/>
      <c r="J692" s="58"/>
      <c r="K692" s="15">
        <v>49</v>
      </c>
      <c r="L692"/>
    </row>
    <row r="693" spans="1:12">
      <c r="A693" s="8" t="s">
        <v>631</v>
      </c>
      <c r="B693" s="15">
        <v>49</v>
      </c>
      <c r="C693" s="15"/>
      <c r="D693" s="15"/>
      <c r="E693" s="15"/>
      <c r="F693" s="15"/>
      <c r="G693" s="15"/>
      <c r="H693" s="18"/>
      <c r="I693" s="58"/>
      <c r="J693" s="58"/>
      <c r="K693" s="15">
        <v>49</v>
      </c>
      <c r="L693"/>
    </row>
    <row r="694" spans="1:12">
      <c r="A694" s="8" t="s">
        <v>632</v>
      </c>
      <c r="B694" s="15">
        <v>49</v>
      </c>
      <c r="C694" s="15"/>
      <c r="D694" s="15"/>
      <c r="E694" s="15"/>
      <c r="F694" s="15"/>
      <c r="G694" s="15"/>
      <c r="H694" s="18"/>
      <c r="I694" s="58"/>
      <c r="J694" s="58"/>
      <c r="K694" s="15">
        <v>49</v>
      </c>
      <c r="L694"/>
    </row>
    <row r="695" spans="1:12">
      <c r="A695" s="8" t="s">
        <v>633</v>
      </c>
      <c r="B695" s="15">
        <v>49</v>
      </c>
      <c r="C695" s="15"/>
      <c r="D695" s="15"/>
      <c r="E695" s="15"/>
      <c r="F695" s="15"/>
      <c r="G695" s="15"/>
      <c r="H695" s="18"/>
      <c r="I695" s="58"/>
      <c r="J695" s="58"/>
      <c r="K695" s="15">
        <v>49</v>
      </c>
      <c r="L695"/>
    </row>
    <row r="696" spans="1:12">
      <c r="A696" s="8" t="s">
        <v>634</v>
      </c>
      <c r="B696" s="15">
        <v>49</v>
      </c>
      <c r="C696" s="15"/>
      <c r="D696" s="15"/>
      <c r="E696" s="15"/>
      <c r="F696" s="15"/>
      <c r="G696" s="15"/>
      <c r="H696" s="18"/>
      <c r="I696" s="58"/>
      <c r="J696" s="58"/>
      <c r="K696" s="15">
        <v>49</v>
      </c>
      <c r="L696"/>
    </row>
    <row r="697" spans="1:12">
      <c r="A697" s="8" t="s">
        <v>635</v>
      </c>
      <c r="B697" s="15">
        <v>49</v>
      </c>
      <c r="C697" s="15"/>
      <c r="D697" s="15"/>
      <c r="E697" s="15"/>
      <c r="F697" s="15"/>
      <c r="G697" s="15"/>
      <c r="H697" s="18"/>
      <c r="I697" s="58"/>
      <c r="J697" s="58"/>
      <c r="K697" s="15">
        <v>49</v>
      </c>
      <c r="L697"/>
    </row>
    <row r="698" spans="1:12">
      <c r="A698" s="8" t="s">
        <v>636</v>
      </c>
      <c r="B698" s="15">
        <v>48</v>
      </c>
      <c r="C698" s="15"/>
      <c r="D698" s="15"/>
      <c r="E698" s="15"/>
      <c r="F698" s="15"/>
      <c r="G698" s="15"/>
      <c r="H698" s="18"/>
      <c r="I698" s="58"/>
      <c r="J698" s="58"/>
      <c r="K698" s="15">
        <v>48</v>
      </c>
      <c r="L698"/>
    </row>
    <row r="699" spans="1:12">
      <c r="A699" s="8" t="s">
        <v>637</v>
      </c>
      <c r="B699" s="15">
        <v>20</v>
      </c>
      <c r="C699" s="15">
        <v>27</v>
      </c>
      <c r="D699" s="15"/>
      <c r="E699" s="15"/>
      <c r="F699" s="15"/>
      <c r="G699" s="15"/>
      <c r="H699" s="18">
        <v>27</v>
      </c>
      <c r="I699" s="58"/>
      <c r="J699" s="58"/>
      <c r="K699" s="15">
        <v>47</v>
      </c>
      <c r="L699"/>
    </row>
    <row r="700" spans="1:12">
      <c r="A700" s="8" t="s">
        <v>638</v>
      </c>
      <c r="B700" s="15">
        <v>45</v>
      </c>
      <c r="C700" s="15"/>
      <c r="D700" s="15"/>
      <c r="E700" s="15"/>
      <c r="F700" s="15"/>
      <c r="G700" s="15"/>
      <c r="H700" s="18"/>
      <c r="I700" s="58"/>
      <c r="J700" s="58"/>
      <c r="K700" s="15">
        <v>45</v>
      </c>
      <c r="L700"/>
    </row>
    <row r="701" spans="1:12">
      <c r="A701" s="8" t="s">
        <v>639</v>
      </c>
      <c r="B701" s="15">
        <v>25.83</v>
      </c>
      <c r="C701" s="15">
        <v>17.54</v>
      </c>
      <c r="D701" s="15"/>
      <c r="E701" s="15"/>
      <c r="F701" s="15"/>
      <c r="G701" s="15"/>
      <c r="H701" s="18">
        <v>17.54</v>
      </c>
      <c r="I701" s="58"/>
      <c r="J701" s="58"/>
      <c r="K701" s="15">
        <v>43.37</v>
      </c>
      <c r="L701"/>
    </row>
    <row r="702" spans="1:12">
      <c r="A702" s="8" t="s">
        <v>640</v>
      </c>
      <c r="B702" s="15">
        <v>43</v>
      </c>
      <c r="C702" s="15"/>
      <c r="D702" s="15"/>
      <c r="E702" s="15"/>
      <c r="F702" s="15"/>
      <c r="G702" s="15"/>
      <c r="H702" s="18"/>
      <c r="I702" s="58"/>
      <c r="J702" s="58"/>
      <c r="K702" s="15">
        <v>43</v>
      </c>
      <c r="L702"/>
    </row>
    <row r="703" spans="1:12">
      <c r="A703" s="8" t="s">
        <v>641</v>
      </c>
      <c r="B703" s="15">
        <v>40</v>
      </c>
      <c r="C703" s="15"/>
      <c r="D703" s="15"/>
      <c r="E703" s="15"/>
      <c r="F703" s="15"/>
      <c r="G703" s="15"/>
      <c r="H703" s="18"/>
      <c r="I703" s="58"/>
      <c r="J703" s="58"/>
      <c r="K703" s="15">
        <v>40</v>
      </c>
      <c r="L703"/>
    </row>
    <row r="704" spans="1:12">
      <c r="A704" s="8" t="s">
        <v>642</v>
      </c>
      <c r="B704" s="15">
        <v>39.9</v>
      </c>
      <c r="C704" s="15"/>
      <c r="D704" s="15"/>
      <c r="E704" s="15"/>
      <c r="F704" s="15"/>
      <c r="G704" s="15"/>
      <c r="H704" s="18"/>
      <c r="I704" s="58"/>
      <c r="J704" s="58"/>
      <c r="K704" s="15">
        <v>39.9</v>
      </c>
      <c r="L704"/>
    </row>
    <row r="705" spans="1:12">
      <c r="A705" s="8" t="s">
        <v>643</v>
      </c>
      <c r="C705" s="15"/>
      <c r="D705" s="15"/>
      <c r="E705" s="15">
        <v>39.840000000000003</v>
      </c>
      <c r="F705" s="15"/>
      <c r="G705" s="15"/>
      <c r="H705" s="18">
        <v>39.840000000000003</v>
      </c>
      <c r="I705" s="58"/>
      <c r="J705" s="58"/>
      <c r="K705" s="15">
        <v>39.840000000000003</v>
      </c>
      <c r="L705"/>
    </row>
    <row r="706" spans="1:12">
      <c r="A706" s="45" t="s">
        <v>438</v>
      </c>
      <c r="C706" s="15"/>
      <c r="D706" s="15"/>
      <c r="E706" s="15">
        <v>39.840000000000003</v>
      </c>
      <c r="F706" s="15"/>
      <c r="G706" s="15"/>
      <c r="H706" s="18">
        <v>39.840000000000003</v>
      </c>
      <c r="I706" s="58"/>
      <c r="J706" s="58"/>
      <c r="K706" s="15">
        <v>39.840000000000003</v>
      </c>
      <c r="L706"/>
    </row>
    <row r="707" spans="1:12">
      <c r="A707" s="8" t="s">
        <v>644</v>
      </c>
      <c r="C707" s="15"/>
      <c r="D707" s="15"/>
      <c r="E707" s="15"/>
      <c r="F707" s="15">
        <v>39.83</v>
      </c>
      <c r="G707" s="15"/>
      <c r="H707" s="18">
        <v>39.83</v>
      </c>
      <c r="I707" s="58"/>
      <c r="J707" s="58"/>
      <c r="K707" s="15">
        <v>39.83</v>
      </c>
      <c r="L707"/>
    </row>
    <row r="708" spans="1:12">
      <c r="A708" s="45" t="s">
        <v>483</v>
      </c>
      <c r="C708" s="15"/>
      <c r="D708" s="15"/>
      <c r="E708" s="15"/>
      <c r="F708" s="15">
        <v>39.83</v>
      </c>
      <c r="G708" s="15"/>
      <c r="H708" s="18">
        <v>39.83</v>
      </c>
      <c r="I708" s="58"/>
      <c r="J708" s="58"/>
      <c r="K708" s="15">
        <v>39.83</v>
      </c>
      <c r="L708"/>
    </row>
    <row r="709" spans="1:12">
      <c r="A709" s="8" t="s">
        <v>645</v>
      </c>
      <c r="C709" s="15"/>
      <c r="D709" s="15">
        <v>9.9</v>
      </c>
      <c r="E709" s="15"/>
      <c r="F709" s="15"/>
      <c r="G709" s="15">
        <v>29.900000000000002</v>
      </c>
      <c r="H709" s="18">
        <v>39.800000000000004</v>
      </c>
      <c r="I709" s="58"/>
      <c r="J709" s="58"/>
      <c r="K709" s="15">
        <v>39.800000000000004</v>
      </c>
      <c r="L709"/>
    </row>
    <row r="710" spans="1:12">
      <c r="A710" s="45" t="s">
        <v>646</v>
      </c>
      <c r="C710" s="15"/>
      <c r="D710" s="15"/>
      <c r="E710" s="15"/>
      <c r="F710" s="15"/>
      <c r="G710" s="15">
        <v>29.900000000000002</v>
      </c>
      <c r="H710" s="18">
        <v>29.900000000000002</v>
      </c>
      <c r="I710" s="58"/>
      <c r="J710" s="58"/>
      <c r="K710" s="15">
        <v>29.900000000000002</v>
      </c>
      <c r="L710"/>
    </row>
    <row r="711" spans="1:12">
      <c r="A711" s="45" t="s">
        <v>647</v>
      </c>
      <c r="C711" s="15"/>
      <c r="D711" s="15">
        <v>9.9</v>
      </c>
      <c r="E711" s="15"/>
      <c r="F711" s="15"/>
      <c r="G711" s="15"/>
      <c r="H711" s="18">
        <v>9.9</v>
      </c>
      <c r="I711" s="58"/>
      <c r="J711" s="58"/>
      <c r="K711" s="15">
        <v>9.9</v>
      </c>
      <c r="L711"/>
    </row>
    <row r="712" spans="1:12">
      <c r="A712" s="8" t="s">
        <v>648</v>
      </c>
      <c r="B712" s="15">
        <v>39.69</v>
      </c>
      <c r="C712" s="15"/>
      <c r="D712" s="15"/>
      <c r="E712" s="15"/>
      <c r="F712" s="15"/>
      <c r="G712" s="15"/>
      <c r="H712" s="18"/>
      <c r="I712" s="58"/>
      <c r="J712" s="58"/>
      <c r="K712" s="15">
        <v>39.69</v>
      </c>
      <c r="L712"/>
    </row>
    <row r="713" spans="1:12">
      <c r="A713" s="8" t="s">
        <v>649</v>
      </c>
      <c r="B713" s="15">
        <v>3.5</v>
      </c>
      <c r="C713" s="15"/>
      <c r="D713" s="15"/>
      <c r="E713" s="15">
        <v>36</v>
      </c>
      <c r="F713" s="15"/>
      <c r="G713" s="15"/>
      <c r="H713" s="18">
        <v>36</v>
      </c>
      <c r="I713" s="58"/>
      <c r="J713" s="58"/>
      <c r="K713" s="15">
        <v>39.5</v>
      </c>
      <c r="L713"/>
    </row>
    <row r="714" spans="1:12">
      <c r="A714" s="8" t="s">
        <v>650</v>
      </c>
      <c r="B714" s="15">
        <v>38</v>
      </c>
      <c r="C714" s="15"/>
      <c r="D714" s="15"/>
      <c r="E714" s="15"/>
      <c r="F714" s="15"/>
      <c r="G714" s="15"/>
      <c r="H714" s="18"/>
      <c r="I714" s="58"/>
      <c r="J714" s="58"/>
      <c r="K714" s="15">
        <v>38</v>
      </c>
      <c r="L714"/>
    </row>
    <row r="715" spans="1:12">
      <c r="A715" s="8" t="s">
        <v>651</v>
      </c>
      <c r="B715" s="15">
        <v>38</v>
      </c>
      <c r="C715" s="15"/>
      <c r="D715" s="15"/>
      <c r="E715" s="15"/>
      <c r="F715" s="15"/>
      <c r="G715" s="15"/>
      <c r="H715" s="18"/>
      <c r="I715" s="58"/>
      <c r="J715" s="58"/>
      <c r="K715" s="15">
        <v>38</v>
      </c>
      <c r="L715"/>
    </row>
    <row r="716" spans="1:12">
      <c r="A716" s="8" t="s">
        <v>652</v>
      </c>
      <c r="B716" s="15">
        <v>37.5</v>
      </c>
      <c r="C716" s="15"/>
      <c r="D716" s="15"/>
      <c r="E716" s="15"/>
      <c r="F716" s="15"/>
      <c r="G716" s="15"/>
      <c r="H716" s="18"/>
      <c r="I716" s="58"/>
      <c r="J716" s="58"/>
      <c r="K716" s="15">
        <v>37.5</v>
      </c>
      <c r="L716"/>
    </row>
    <row r="717" spans="1:12">
      <c r="A717" s="8" t="s">
        <v>653</v>
      </c>
      <c r="C717" s="15"/>
      <c r="D717" s="15"/>
      <c r="E717" s="15">
        <v>36</v>
      </c>
      <c r="F717" s="15"/>
      <c r="G717" s="15"/>
      <c r="H717" s="18">
        <v>36</v>
      </c>
      <c r="I717" s="58"/>
      <c r="J717" s="58"/>
      <c r="K717" s="15">
        <v>36</v>
      </c>
      <c r="L717"/>
    </row>
    <row r="718" spans="1:12">
      <c r="A718" s="45" t="s">
        <v>654</v>
      </c>
      <c r="C718" s="15"/>
      <c r="D718" s="15"/>
      <c r="E718" s="15">
        <v>36</v>
      </c>
      <c r="F718" s="15"/>
      <c r="G718" s="15"/>
      <c r="H718" s="18">
        <v>36</v>
      </c>
      <c r="I718" s="58"/>
      <c r="J718" s="58"/>
      <c r="K718" s="15">
        <v>36</v>
      </c>
      <c r="L718"/>
    </row>
    <row r="719" spans="1:12">
      <c r="A719" s="8" t="s">
        <v>655</v>
      </c>
      <c r="B719" s="15">
        <v>35.97</v>
      </c>
      <c r="C719" s="15"/>
      <c r="D719" s="15"/>
      <c r="E719" s="15"/>
      <c r="F719" s="15"/>
      <c r="G719" s="15"/>
      <c r="H719" s="18"/>
      <c r="I719" s="58"/>
      <c r="J719" s="58"/>
      <c r="K719" s="15">
        <v>35.97</v>
      </c>
      <c r="L719"/>
    </row>
    <row r="720" spans="1:12">
      <c r="A720" s="8" t="s">
        <v>656</v>
      </c>
      <c r="C720" s="15">
        <v>35</v>
      </c>
      <c r="D720" s="15"/>
      <c r="E720" s="15"/>
      <c r="F720" s="15"/>
      <c r="G720" s="15"/>
      <c r="H720" s="18">
        <v>35</v>
      </c>
      <c r="I720" s="58"/>
      <c r="J720" s="58"/>
      <c r="K720" s="15">
        <v>35</v>
      </c>
      <c r="L720"/>
    </row>
    <row r="721" spans="1:12">
      <c r="A721" s="8" t="s">
        <v>657</v>
      </c>
      <c r="B721" s="15">
        <v>35</v>
      </c>
      <c r="C721" s="15"/>
      <c r="D721" s="15"/>
      <c r="E721" s="15"/>
      <c r="F721" s="15"/>
      <c r="G721" s="15"/>
      <c r="H721" s="18"/>
      <c r="I721" s="58"/>
      <c r="J721" s="58"/>
      <c r="K721" s="15">
        <v>35</v>
      </c>
      <c r="L721"/>
    </row>
    <row r="722" spans="1:12">
      <c r="A722" s="8" t="s">
        <v>658</v>
      </c>
      <c r="B722" s="15">
        <v>35</v>
      </c>
      <c r="C722" s="15"/>
      <c r="D722" s="15"/>
      <c r="E722" s="15"/>
      <c r="F722" s="15"/>
      <c r="G722" s="15"/>
      <c r="H722" s="18"/>
      <c r="I722" s="58"/>
      <c r="J722" s="58"/>
      <c r="K722" s="15">
        <v>35</v>
      </c>
      <c r="L722"/>
    </row>
    <row r="723" spans="1:12">
      <c r="A723" s="8" t="s">
        <v>659</v>
      </c>
      <c r="B723" s="15">
        <v>34.99</v>
      </c>
      <c r="C723" s="15"/>
      <c r="D723" s="15"/>
      <c r="E723" s="15"/>
      <c r="F723" s="15"/>
      <c r="G723" s="15"/>
      <c r="H723" s="18"/>
      <c r="I723" s="58"/>
      <c r="J723" s="58"/>
      <c r="K723" s="15">
        <v>34.99</v>
      </c>
      <c r="L723"/>
    </row>
    <row r="724" spans="1:12">
      <c r="A724" s="8" t="s">
        <v>660</v>
      </c>
      <c r="B724" s="15">
        <v>32.47</v>
      </c>
      <c r="C724" s="15"/>
      <c r="D724" s="15"/>
      <c r="E724" s="15"/>
      <c r="F724" s="15"/>
      <c r="G724" s="15"/>
      <c r="H724" s="18"/>
      <c r="I724" s="58"/>
      <c r="J724" s="58"/>
      <c r="K724" s="15">
        <v>32.47</v>
      </c>
      <c r="L724"/>
    </row>
    <row r="725" spans="1:12">
      <c r="A725" s="8" t="s">
        <v>661</v>
      </c>
      <c r="B725" s="15">
        <v>32</v>
      </c>
      <c r="C725" s="15"/>
      <c r="D725" s="15"/>
      <c r="E725" s="15"/>
      <c r="F725" s="15"/>
      <c r="G725" s="15"/>
      <c r="H725" s="18"/>
      <c r="I725" s="58"/>
      <c r="J725" s="58"/>
      <c r="K725" s="15">
        <v>32</v>
      </c>
      <c r="L725"/>
    </row>
    <row r="726" spans="1:12">
      <c r="A726" s="8" t="s">
        <v>662</v>
      </c>
      <c r="B726" s="15">
        <v>30</v>
      </c>
      <c r="C726" s="15"/>
      <c r="D726" s="15"/>
      <c r="E726" s="15"/>
      <c r="F726" s="15"/>
      <c r="G726" s="15"/>
      <c r="H726" s="18"/>
      <c r="I726" s="58"/>
      <c r="J726" s="58"/>
      <c r="K726" s="15">
        <v>30</v>
      </c>
      <c r="L726"/>
    </row>
    <row r="727" spans="1:12">
      <c r="A727" s="8" t="s">
        <v>663</v>
      </c>
      <c r="B727" s="15">
        <v>30</v>
      </c>
      <c r="C727" s="15"/>
      <c r="D727" s="15"/>
      <c r="E727" s="15"/>
      <c r="F727" s="15"/>
      <c r="G727" s="15"/>
      <c r="H727" s="18"/>
      <c r="I727" s="58"/>
      <c r="J727" s="58"/>
      <c r="K727" s="15">
        <v>30</v>
      </c>
      <c r="L727"/>
    </row>
    <row r="728" spans="1:12">
      <c r="A728" s="8" t="s">
        <v>664</v>
      </c>
      <c r="C728" s="15"/>
      <c r="D728" s="15">
        <v>30</v>
      </c>
      <c r="E728" s="15"/>
      <c r="F728" s="15"/>
      <c r="G728" s="15"/>
      <c r="H728" s="18">
        <v>30</v>
      </c>
      <c r="I728" s="58"/>
      <c r="J728" s="58"/>
      <c r="K728" s="15">
        <v>30</v>
      </c>
      <c r="L728"/>
    </row>
    <row r="729" spans="1:12">
      <c r="A729" s="45" t="s">
        <v>398</v>
      </c>
      <c r="C729" s="15"/>
      <c r="D729" s="15">
        <v>30</v>
      </c>
      <c r="E729" s="15"/>
      <c r="F729" s="15"/>
      <c r="G729" s="15"/>
      <c r="H729" s="18">
        <v>30</v>
      </c>
      <c r="I729" s="58"/>
      <c r="J729" s="58"/>
      <c r="K729" s="15">
        <v>30</v>
      </c>
      <c r="L729"/>
    </row>
    <row r="730" spans="1:12">
      <c r="A730" s="8" t="s">
        <v>665</v>
      </c>
      <c r="C730" s="15"/>
      <c r="D730" s="15">
        <v>30</v>
      </c>
      <c r="E730" s="15"/>
      <c r="F730" s="15"/>
      <c r="G730" s="15"/>
      <c r="H730" s="18">
        <v>30</v>
      </c>
      <c r="I730" s="58"/>
      <c r="J730" s="58"/>
      <c r="K730" s="15">
        <v>30</v>
      </c>
      <c r="L730"/>
    </row>
    <row r="731" spans="1:12">
      <c r="A731" s="45" t="s">
        <v>647</v>
      </c>
      <c r="C731" s="15"/>
      <c r="D731" s="15">
        <v>30</v>
      </c>
      <c r="E731" s="15"/>
      <c r="F731" s="15"/>
      <c r="G731" s="15"/>
      <c r="H731" s="18">
        <v>30</v>
      </c>
      <c r="I731" s="58"/>
      <c r="J731" s="58"/>
      <c r="K731" s="15">
        <v>30</v>
      </c>
      <c r="L731"/>
    </row>
    <row r="732" spans="1:12">
      <c r="A732" s="8" t="s">
        <v>666</v>
      </c>
      <c r="B732" s="15">
        <v>30</v>
      </c>
      <c r="C732" s="15"/>
      <c r="D732" s="15"/>
      <c r="E732" s="15"/>
      <c r="F732" s="15"/>
      <c r="G732" s="15"/>
      <c r="H732" s="18"/>
      <c r="I732" s="58"/>
      <c r="J732" s="58"/>
      <c r="K732" s="15">
        <v>30</v>
      </c>
      <c r="L732"/>
    </row>
    <row r="733" spans="1:12">
      <c r="A733" s="8" t="s">
        <v>667</v>
      </c>
      <c r="C733" s="15"/>
      <c r="D733" s="15"/>
      <c r="E733" s="15">
        <v>30</v>
      </c>
      <c r="F733" s="15"/>
      <c r="G733" s="15"/>
      <c r="H733" s="18">
        <v>30</v>
      </c>
      <c r="I733" s="58"/>
      <c r="J733" s="58"/>
      <c r="K733" s="15">
        <v>30</v>
      </c>
      <c r="L733"/>
    </row>
    <row r="734" spans="1:12">
      <c r="A734" s="45" t="s">
        <v>140</v>
      </c>
      <c r="C734" s="15"/>
      <c r="D734" s="15"/>
      <c r="E734" s="15">
        <v>30</v>
      </c>
      <c r="F734" s="15"/>
      <c r="G734" s="15"/>
      <c r="H734" s="18">
        <v>30</v>
      </c>
      <c r="I734" s="58"/>
      <c r="J734" s="58"/>
      <c r="K734" s="15">
        <v>30</v>
      </c>
      <c r="L734"/>
    </row>
    <row r="735" spans="1:12">
      <c r="A735" s="8" t="s">
        <v>668</v>
      </c>
      <c r="B735" s="15">
        <v>29.96</v>
      </c>
      <c r="C735" s="15"/>
      <c r="D735" s="15"/>
      <c r="E735" s="15"/>
      <c r="F735" s="15"/>
      <c r="G735" s="15"/>
      <c r="H735" s="18"/>
      <c r="I735" s="58"/>
      <c r="J735" s="58"/>
      <c r="K735" s="15">
        <v>29.96</v>
      </c>
      <c r="L735"/>
    </row>
    <row r="736" spans="1:12">
      <c r="A736" s="8" t="s">
        <v>669</v>
      </c>
      <c r="B736" s="15">
        <v>28.990000000000002</v>
      </c>
      <c r="C736" s="15"/>
      <c r="D736" s="15"/>
      <c r="E736" s="15"/>
      <c r="F736" s="15"/>
      <c r="G736" s="15"/>
      <c r="H736" s="18"/>
      <c r="I736" s="58"/>
      <c r="J736" s="58"/>
      <c r="K736" s="15">
        <v>28.990000000000002</v>
      </c>
      <c r="L736"/>
    </row>
    <row r="737" spans="1:12">
      <c r="A737" s="8" t="s">
        <v>670</v>
      </c>
      <c r="B737" s="15">
        <v>25</v>
      </c>
      <c r="C737" s="15"/>
      <c r="D737" s="15"/>
      <c r="E737" s="15"/>
      <c r="F737" s="15"/>
      <c r="G737" s="15"/>
      <c r="H737" s="18"/>
      <c r="I737" s="58"/>
      <c r="J737" s="58"/>
      <c r="K737" s="15">
        <v>25</v>
      </c>
      <c r="L737"/>
    </row>
    <row r="738" spans="1:12">
      <c r="A738" s="8" t="s">
        <v>671</v>
      </c>
      <c r="C738" s="15"/>
      <c r="D738" s="15"/>
      <c r="E738" s="15"/>
      <c r="F738" s="15">
        <v>25</v>
      </c>
      <c r="G738" s="15"/>
      <c r="H738" s="18">
        <v>25</v>
      </c>
      <c r="I738" s="58"/>
      <c r="J738" s="58"/>
      <c r="K738" s="15">
        <v>25</v>
      </c>
      <c r="L738"/>
    </row>
    <row r="739" spans="1:12">
      <c r="A739" s="45" t="s">
        <v>672</v>
      </c>
      <c r="C739" s="15"/>
      <c r="D739" s="15"/>
      <c r="E739" s="15"/>
      <c r="F739" s="15">
        <v>25</v>
      </c>
      <c r="G739" s="15"/>
      <c r="H739" s="18">
        <v>25</v>
      </c>
      <c r="I739" s="58"/>
      <c r="J739" s="58"/>
      <c r="K739" s="15">
        <v>25</v>
      </c>
      <c r="L739"/>
    </row>
    <row r="740" spans="1:12">
      <c r="A740" s="8" t="s">
        <v>673</v>
      </c>
      <c r="B740" s="15">
        <v>20.8</v>
      </c>
      <c r="C740" s="15"/>
      <c r="D740" s="15"/>
      <c r="E740" s="15"/>
      <c r="F740" s="15"/>
      <c r="G740" s="15"/>
      <c r="H740" s="18"/>
      <c r="I740" s="58"/>
      <c r="J740" s="58"/>
      <c r="K740" s="15">
        <v>20.8</v>
      </c>
      <c r="L740"/>
    </row>
    <row r="741" spans="1:12">
      <c r="A741" s="8" t="s">
        <v>674</v>
      </c>
      <c r="B741" s="15">
        <v>20.400000000000002</v>
      </c>
      <c r="C741" s="15"/>
      <c r="D741" s="15"/>
      <c r="E741" s="15"/>
      <c r="F741" s="15"/>
      <c r="G741" s="15"/>
      <c r="H741" s="18"/>
      <c r="I741" s="58"/>
      <c r="J741" s="58"/>
      <c r="K741" s="15">
        <v>20.400000000000002</v>
      </c>
      <c r="L741"/>
    </row>
    <row r="742" spans="1:12">
      <c r="A742" s="8" t="s">
        <v>675</v>
      </c>
      <c r="B742" s="15">
        <v>20</v>
      </c>
      <c r="C742" s="15"/>
      <c r="D742" s="15"/>
      <c r="E742" s="15"/>
      <c r="F742" s="15"/>
      <c r="G742" s="15"/>
      <c r="H742" s="18"/>
      <c r="I742" s="58"/>
      <c r="J742" s="58"/>
      <c r="K742" s="15">
        <v>20</v>
      </c>
      <c r="L742"/>
    </row>
    <row r="743" spans="1:12">
      <c r="A743" s="8" t="s">
        <v>676</v>
      </c>
      <c r="B743" s="15">
        <v>20</v>
      </c>
      <c r="C743" s="15"/>
      <c r="D743" s="15"/>
      <c r="E743" s="15"/>
      <c r="F743" s="15"/>
      <c r="G743" s="15"/>
      <c r="H743" s="18"/>
      <c r="I743" s="58"/>
      <c r="J743" s="58"/>
      <c r="K743" s="15">
        <v>20</v>
      </c>
      <c r="L743"/>
    </row>
    <row r="744" spans="1:12">
      <c r="A744" s="8" t="s">
        <v>677</v>
      </c>
      <c r="B744" s="15">
        <v>20</v>
      </c>
      <c r="C744" s="15"/>
      <c r="D744" s="15"/>
      <c r="E744" s="15"/>
      <c r="F744" s="15"/>
      <c r="G744" s="15"/>
      <c r="H744" s="18"/>
      <c r="I744" s="58"/>
      <c r="J744" s="58"/>
      <c r="K744" s="15">
        <v>20</v>
      </c>
      <c r="L744"/>
    </row>
    <row r="745" spans="1:12">
      <c r="A745" s="8" t="s">
        <v>678</v>
      </c>
      <c r="B745" s="15">
        <v>20</v>
      </c>
      <c r="C745" s="15"/>
      <c r="D745" s="15"/>
      <c r="E745" s="15"/>
      <c r="F745" s="15"/>
      <c r="G745" s="15"/>
      <c r="H745" s="18"/>
      <c r="I745" s="58"/>
      <c r="J745" s="58"/>
      <c r="K745" s="15">
        <v>20</v>
      </c>
      <c r="L745"/>
    </row>
    <row r="746" spans="1:12">
      <c r="A746" s="8" t="s">
        <v>679</v>
      </c>
      <c r="C746" s="15"/>
      <c r="D746" s="15"/>
      <c r="E746" s="15">
        <v>20</v>
      </c>
      <c r="F746" s="15"/>
      <c r="G746" s="15"/>
      <c r="H746" s="18">
        <v>20</v>
      </c>
      <c r="I746" s="58"/>
      <c r="J746" s="58"/>
      <c r="K746" s="15">
        <v>20</v>
      </c>
      <c r="L746"/>
    </row>
    <row r="747" spans="1:12">
      <c r="A747" s="45" t="s">
        <v>491</v>
      </c>
      <c r="C747" s="15"/>
      <c r="D747" s="15"/>
      <c r="E747" s="15">
        <v>20</v>
      </c>
      <c r="F747" s="15"/>
      <c r="G747" s="15"/>
      <c r="H747" s="18">
        <v>20</v>
      </c>
      <c r="I747" s="58"/>
      <c r="J747" s="58"/>
      <c r="K747" s="15">
        <v>20</v>
      </c>
      <c r="L747"/>
    </row>
    <row r="748" spans="1:12">
      <c r="A748" s="8" t="s">
        <v>680</v>
      </c>
      <c r="C748" s="15"/>
      <c r="D748" s="15">
        <v>19.95</v>
      </c>
      <c r="E748" s="15"/>
      <c r="F748" s="15"/>
      <c r="G748" s="15"/>
      <c r="H748" s="18">
        <v>19.95</v>
      </c>
      <c r="I748" s="58"/>
      <c r="J748" s="58"/>
      <c r="K748" s="15">
        <v>19.95</v>
      </c>
      <c r="L748"/>
    </row>
    <row r="749" spans="1:12">
      <c r="A749" s="45" t="s">
        <v>681</v>
      </c>
      <c r="C749" s="15"/>
      <c r="D749" s="15">
        <v>19.95</v>
      </c>
      <c r="E749" s="15"/>
      <c r="F749" s="15"/>
      <c r="G749" s="15"/>
      <c r="H749" s="18">
        <v>19.95</v>
      </c>
      <c r="I749" s="58"/>
      <c r="J749" s="58"/>
      <c r="K749" s="15">
        <v>19.95</v>
      </c>
    </row>
    <row r="750" spans="1:12">
      <c r="A750" s="8" t="s">
        <v>682</v>
      </c>
      <c r="B750" s="15">
        <v>18.350000000000001</v>
      </c>
      <c r="C750" s="15"/>
      <c r="D750" s="15"/>
      <c r="E750" s="15"/>
      <c r="F750" s="15"/>
      <c r="G750" s="15"/>
      <c r="H750" s="18"/>
      <c r="I750" s="58"/>
      <c r="J750" s="58"/>
      <c r="K750" s="15">
        <v>18.350000000000001</v>
      </c>
    </row>
    <row r="751" spans="1:12">
      <c r="A751" s="8" t="s">
        <v>683</v>
      </c>
      <c r="B751" s="15">
        <v>18</v>
      </c>
      <c r="C751" s="15"/>
      <c r="D751" s="15"/>
      <c r="E751" s="15"/>
      <c r="F751" s="15"/>
      <c r="G751" s="15"/>
      <c r="H751" s="18"/>
      <c r="I751" s="58"/>
      <c r="J751" s="58"/>
      <c r="K751" s="15">
        <v>18</v>
      </c>
    </row>
    <row r="752" spans="1:12">
      <c r="A752" s="8" t="s">
        <v>684</v>
      </c>
      <c r="B752" s="15">
        <v>18</v>
      </c>
      <c r="C752" s="15"/>
      <c r="D752" s="15"/>
      <c r="E752" s="15"/>
      <c r="F752" s="15"/>
      <c r="G752" s="15"/>
      <c r="H752" s="18"/>
      <c r="I752" s="58"/>
      <c r="J752" s="58"/>
      <c r="K752" s="15">
        <v>18</v>
      </c>
    </row>
    <row r="753" spans="1:11">
      <c r="A753" s="8" t="s">
        <v>685</v>
      </c>
      <c r="B753" s="15">
        <v>16.46</v>
      </c>
      <c r="C753" s="15"/>
      <c r="D753" s="15"/>
      <c r="E753" s="15"/>
      <c r="F753" s="15"/>
      <c r="G753" s="15"/>
      <c r="H753" s="18"/>
      <c r="I753" s="58"/>
      <c r="J753" s="58"/>
      <c r="K753" s="15">
        <v>16.46</v>
      </c>
    </row>
    <row r="754" spans="1:11">
      <c r="A754" s="8" t="s">
        <v>686</v>
      </c>
      <c r="B754" s="15">
        <v>16</v>
      </c>
      <c r="C754" s="15"/>
      <c r="D754" s="15"/>
      <c r="E754" s="15"/>
      <c r="F754" s="15"/>
      <c r="G754" s="15"/>
      <c r="H754" s="18"/>
      <c r="I754" s="58"/>
      <c r="J754" s="58"/>
      <c r="K754" s="15">
        <v>16</v>
      </c>
    </row>
    <row r="755" spans="1:11">
      <c r="A755" s="8" t="s">
        <v>687</v>
      </c>
      <c r="B755" s="15">
        <v>16</v>
      </c>
      <c r="C755" s="15"/>
      <c r="D755" s="15"/>
      <c r="E755" s="15"/>
      <c r="F755" s="15"/>
      <c r="G755" s="15"/>
      <c r="H755" s="18"/>
      <c r="I755" s="58"/>
      <c r="J755" s="58"/>
      <c r="K755" s="15">
        <v>16</v>
      </c>
    </row>
    <row r="756" spans="1:11">
      <c r="A756" s="8" t="s">
        <v>688</v>
      </c>
      <c r="B756" s="15">
        <v>15.99</v>
      </c>
      <c r="C756" s="15"/>
      <c r="D756" s="15"/>
      <c r="E756" s="15"/>
      <c r="F756" s="15"/>
      <c r="G756" s="15"/>
      <c r="H756" s="18"/>
      <c r="I756" s="58"/>
      <c r="J756" s="58"/>
      <c r="K756" s="15">
        <v>15.99</v>
      </c>
    </row>
    <row r="757" spans="1:11">
      <c r="A757" s="8" t="s">
        <v>689</v>
      </c>
      <c r="B757" s="15">
        <v>15.4</v>
      </c>
      <c r="C757" s="15"/>
      <c r="D757" s="15"/>
      <c r="E757" s="15"/>
      <c r="F757" s="15"/>
      <c r="G757" s="15"/>
      <c r="H757" s="18"/>
      <c r="I757" s="58"/>
      <c r="J757" s="58"/>
      <c r="K757" s="15">
        <v>15.4</v>
      </c>
    </row>
    <row r="758" spans="1:11">
      <c r="A758" s="8" t="s">
        <v>690</v>
      </c>
      <c r="B758" s="15">
        <v>15.200000000000001</v>
      </c>
      <c r="C758" s="15"/>
      <c r="D758" s="15"/>
      <c r="E758" s="15"/>
      <c r="F758" s="15"/>
      <c r="G758" s="15"/>
      <c r="H758" s="18"/>
      <c r="I758" s="58"/>
      <c r="J758" s="58"/>
      <c r="K758" s="15">
        <v>15.200000000000001</v>
      </c>
    </row>
    <row r="759" spans="1:11">
      <c r="A759" s="8" t="s">
        <v>691</v>
      </c>
      <c r="B759" s="15">
        <v>15</v>
      </c>
      <c r="C759" s="15"/>
      <c r="D759" s="15"/>
      <c r="E759" s="15"/>
      <c r="F759" s="15"/>
      <c r="G759" s="15"/>
      <c r="H759" s="18"/>
      <c r="I759" s="58"/>
      <c r="J759" s="58"/>
      <c r="K759" s="15">
        <v>15</v>
      </c>
    </row>
    <row r="760" spans="1:11">
      <c r="A760" s="8" t="s">
        <v>692</v>
      </c>
      <c r="C760" s="15"/>
      <c r="D760" s="15"/>
      <c r="E760" s="15"/>
      <c r="F760" s="15"/>
      <c r="G760" s="15">
        <v>15</v>
      </c>
      <c r="H760" s="18">
        <v>15</v>
      </c>
      <c r="I760" s="58"/>
      <c r="J760" s="58"/>
      <c r="K760" s="15">
        <v>15</v>
      </c>
    </row>
    <row r="761" spans="1:11">
      <c r="A761" s="45" t="s">
        <v>693</v>
      </c>
      <c r="C761" s="15"/>
      <c r="D761" s="15"/>
      <c r="E761" s="15"/>
      <c r="F761" s="15"/>
      <c r="G761" s="15">
        <v>15</v>
      </c>
      <c r="H761" s="18">
        <v>15</v>
      </c>
      <c r="I761" s="58"/>
      <c r="J761" s="58"/>
      <c r="K761" s="15">
        <v>15</v>
      </c>
    </row>
    <row r="762" spans="1:11">
      <c r="A762" s="8" t="s">
        <v>694</v>
      </c>
      <c r="C762" s="15"/>
      <c r="D762" s="15"/>
      <c r="E762" s="15">
        <v>15</v>
      </c>
      <c r="F762" s="15"/>
      <c r="G762" s="15"/>
      <c r="H762" s="18">
        <v>15</v>
      </c>
      <c r="I762" s="58"/>
      <c r="J762" s="58"/>
      <c r="K762" s="15">
        <v>15</v>
      </c>
    </row>
    <row r="763" spans="1:11">
      <c r="A763" s="45" t="s">
        <v>483</v>
      </c>
      <c r="C763" s="15"/>
      <c r="D763" s="15"/>
      <c r="E763" s="15">
        <v>15</v>
      </c>
      <c r="F763" s="15"/>
      <c r="G763" s="15"/>
      <c r="H763" s="18">
        <v>15</v>
      </c>
      <c r="I763" s="58"/>
      <c r="J763" s="58"/>
      <c r="K763" s="15">
        <v>15</v>
      </c>
    </row>
    <row r="764" spans="1:11">
      <c r="A764" s="8" t="s">
        <v>695</v>
      </c>
      <c r="B764" s="15">
        <v>15</v>
      </c>
      <c r="C764" s="15"/>
      <c r="D764" s="15"/>
      <c r="E764" s="15"/>
      <c r="F764" s="15"/>
      <c r="G764" s="15"/>
      <c r="H764" s="18"/>
      <c r="I764" s="58"/>
      <c r="J764" s="58"/>
      <c r="K764" s="15">
        <v>15</v>
      </c>
    </row>
    <row r="765" spans="1:11">
      <c r="A765" s="8" t="s">
        <v>696</v>
      </c>
      <c r="B765" s="15">
        <v>14.99</v>
      </c>
      <c r="C765" s="15"/>
      <c r="D765" s="15"/>
      <c r="E765" s="15"/>
      <c r="F765" s="15"/>
      <c r="G765" s="15"/>
      <c r="H765" s="18"/>
      <c r="I765" s="58"/>
      <c r="J765" s="58"/>
      <c r="K765" s="15">
        <v>14.99</v>
      </c>
    </row>
    <row r="766" spans="1:11">
      <c r="A766" s="8" t="s">
        <v>697</v>
      </c>
      <c r="B766" s="15">
        <v>14.8</v>
      </c>
      <c r="C766" s="15"/>
      <c r="D766" s="15"/>
      <c r="E766" s="15"/>
      <c r="F766" s="15"/>
      <c r="G766" s="15"/>
      <c r="H766" s="18"/>
      <c r="I766" s="58"/>
      <c r="J766" s="58"/>
      <c r="K766" s="15">
        <v>14.8</v>
      </c>
    </row>
    <row r="767" spans="1:11">
      <c r="A767" s="8" t="s">
        <v>698</v>
      </c>
      <c r="B767" s="15">
        <v>14</v>
      </c>
      <c r="C767" s="15"/>
      <c r="D767" s="15"/>
      <c r="E767" s="15"/>
      <c r="F767" s="15"/>
      <c r="G767" s="15"/>
      <c r="H767" s="18"/>
      <c r="I767" s="58"/>
      <c r="J767" s="58"/>
      <c r="K767" s="15">
        <v>14</v>
      </c>
    </row>
    <row r="768" spans="1:11">
      <c r="A768" s="8" t="s">
        <v>699</v>
      </c>
      <c r="B768" s="15">
        <v>13.07</v>
      </c>
      <c r="C768" s="15"/>
      <c r="D768" s="15"/>
      <c r="E768" s="15"/>
      <c r="F768" s="15"/>
      <c r="G768" s="15"/>
      <c r="H768" s="18"/>
      <c r="I768" s="58"/>
      <c r="J768" s="58"/>
      <c r="K768" s="15">
        <v>13.07</v>
      </c>
    </row>
    <row r="769" spans="1:11">
      <c r="A769" s="8" t="s">
        <v>700</v>
      </c>
      <c r="B769" s="15">
        <v>13</v>
      </c>
      <c r="C769" s="15"/>
      <c r="D769" s="15"/>
      <c r="E769" s="15"/>
      <c r="F769" s="15"/>
      <c r="G769" s="15"/>
      <c r="H769" s="18"/>
      <c r="I769" s="58"/>
      <c r="J769" s="58"/>
      <c r="K769" s="15">
        <v>13</v>
      </c>
    </row>
    <row r="770" spans="1:11">
      <c r="A770" s="8" t="s">
        <v>701</v>
      </c>
      <c r="C770" s="15"/>
      <c r="D770" s="15"/>
      <c r="E770" s="15">
        <v>12.5</v>
      </c>
      <c r="F770" s="15"/>
      <c r="G770" s="15"/>
      <c r="H770" s="18">
        <v>12.5</v>
      </c>
      <c r="I770" s="58"/>
      <c r="J770" s="58"/>
      <c r="K770" s="15">
        <v>12.5</v>
      </c>
    </row>
    <row r="771" spans="1:11">
      <c r="A771" s="45" t="s">
        <v>702</v>
      </c>
      <c r="C771" s="15"/>
      <c r="D771" s="15"/>
      <c r="E771" s="15">
        <v>12.5</v>
      </c>
      <c r="F771" s="15"/>
      <c r="G771" s="15"/>
      <c r="H771" s="18">
        <v>12.5</v>
      </c>
      <c r="I771" s="58"/>
      <c r="J771" s="58"/>
      <c r="K771" s="15">
        <v>12.5</v>
      </c>
    </row>
    <row r="772" spans="1:11">
      <c r="A772" s="8" t="s">
        <v>703</v>
      </c>
      <c r="C772" s="15"/>
      <c r="D772" s="15"/>
      <c r="E772" s="15"/>
      <c r="F772" s="15"/>
      <c r="G772" s="15">
        <v>11</v>
      </c>
      <c r="H772" s="18">
        <v>11</v>
      </c>
      <c r="I772" s="58"/>
      <c r="J772" s="58"/>
      <c r="K772" s="15">
        <v>11</v>
      </c>
    </row>
    <row r="773" spans="1:11">
      <c r="A773" s="45" t="s">
        <v>438</v>
      </c>
      <c r="C773" s="15"/>
      <c r="D773" s="15"/>
      <c r="E773" s="15"/>
      <c r="F773" s="15"/>
      <c r="G773" s="15">
        <v>11</v>
      </c>
      <c r="H773" s="18">
        <v>11</v>
      </c>
      <c r="I773" s="58"/>
      <c r="J773" s="58"/>
      <c r="K773" s="15">
        <v>11</v>
      </c>
    </row>
    <row r="774" spans="1:11">
      <c r="A774" s="8" t="s">
        <v>704</v>
      </c>
      <c r="B774" s="15">
        <v>10</v>
      </c>
      <c r="C774" s="15"/>
      <c r="D774" s="15"/>
      <c r="E774" s="15"/>
      <c r="F774" s="15"/>
      <c r="G774" s="15"/>
      <c r="H774" s="18"/>
      <c r="I774" s="58"/>
      <c r="J774" s="58"/>
      <c r="K774" s="15">
        <v>10</v>
      </c>
    </row>
    <row r="775" spans="1:11">
      <c r="A775" s="8" t="s">
        <v>705</v>
      </c>
      <c r="C775" s="15"/>
      <c r="D775" s="15"/>
      <c r="E775" s="15">
        <v>10</v>
      </c>
      <c r="F775" s="15"/>
      <c r="G775" s="15"/>
      <c r="H775" s="18">
        <v>10</v>
      </c>
      <c r="I775" s="58"/>
      <c r="J775" s="58"/>
      <c r="K775" s="15">
        <v>10</v>
      </c>
    </row>
    <row r="776" spans="1:11">
      <c r="A776" s="45" t="s">
        <v>483</v>
      </c>
      <c r="C776" s="15"/>
      <c r="D776" s="15"/>
      <c r="E776" s="15">
        <v>10</v>
      </c>
      <c r="F776" s="15"/>
      <c r="G776" s="15"/>
      <c r="H776" s="18">
        <v>10</v>
      </c>
      <c r="I776" s="58"/>
      <c r="J776" s="58"/>
      <c r="K776" s="15">
        <v>10</v>
      </c>
    </row>
    <row r="777" spans="1:11">
      <c r="A777" s="8" t="s">
        <v>706</v>
      </c>
      <c r="C777" s="15">
        <v>8.93</v>
      </c>
      <c r="D777" s="15"/>
      <c r="E777" s="15"/>
      <c r="F777" s="15"/>
      <c r="G777" s="15"/>
      <c r="H777" s="18">
        <v>8.93</v>
      </c>
      <c r="I777" s="58"/>
      <c r="J777" s="58"/>
      <c r="K777" s="15">
        <v>8.93</v>
      </c>
    </row>
    <row r="778" spans="1:11">
      <c r="A778" s="8" t="s">
        <v>707</v>
      </c>
      <c r="C778" s="15"/>
      <c r="D778" s="15"/>
      <c r="E778" s="15">
        <v>8.1</v>
      </c>
      <c r="F778" s="15"/>
      <c r="G778" s="15"/>
      <c r="H778" s="18">
        <v>8.1</v>
      </c>
      <c r="I778" s="58"/>
      <c r="J778" s="58"/>
      <c r="K778" s="15">
        <v>8.1</v>
      </c>
    </row>
    <row r="779" spans="1:11">
      <c r="A779" s="45" t="s">
        <v>99</v>
      </c>
      <c r="C779" s="15"/>
      <c r="D779" s="15"/>
      <c r="E779" s="15">
        <v>8.1</v>
      </c>
      <c r="F779" s="15"/>
      <c r="G779" s="15"/>
      <c r="H779" s="18">
        <v>8.1</v>
      </c>
      <c r="I779" s="58"/>
      <c r="J779" s="58"/>
      <c r="K779" s="15">
        <v>8.1</v>
      </c>
    </row>
    <row r="780" spans="1:11">
      <c r="A780" s="8" t="s">
        <v>708</v>
      </c>
      <c r="B780" s="15">
        <v>7.49</v>
      </c>
      <c r="C780" s="15"/>
      <c r="D780" s="15"/>
      <c r="E780" s="15"/>
      <c r="F780" s="15"/>
      <c r="G780" s="15"/>
      <c r="H780" s="18"/>
      <c r="I780" s="58"/>
      <c r="J780" s="58"/>
      <c r="K780" s="15">
        <v>7.49</v>
      </c>
    </row>
    <row r="781" spans="1:11">
      <c r="A781" s="8" t="s">
        <v>709</v>
      </c>
      <c r="C781" s="15"/>
      <c r="D781" s="15"/>
      <c r="E781" s="15">
        <v>6</v>
      </c>
      <c r="F781" s="15"/>
      <c r="G781" s="15"/>
      <c r="H781" s="18">
        <v>6</v>
      </c>
      <c r="I781" s="58"/>
      <c r="J781" s="58"/>
      <c r="K781" s="15">
        <v>6</v>
      </c>
    </row>
    <row r="782" spans="1:11">
      <c r="A782" s="45" t="s">
        <v>710</v>
      </c>
      <c r="C782" s="15"/>
      <c r="D782" s="15"/>
      <c r="E782" s="15">
        <v>6</v>
      </c>
      <c r="F782" s="15"/>
      <c r="G782" s="15"/>
      <c r="H782" s="18">
        <v>6</v>
      </c>
      <c r="I782" s="58"/>
      <c r="J782" s="58"/>
      <c r="K782" s="15">
        <v>6</v>
      </c>
    </row>
    <row r="783" spans="1:11">
      <c r="A783" s="8" t="s">
        <v>711</v>
      </c>
      <c r="B783" s="15">
        <v>5</v>
      </c>
      <c r="C783" s="15"/>
      <c r="D783" s="15"/>
      <c r="E783" s="15"/>
      <c r="F783" s="15"/>
      <c r="G783" s="15"/>
      <c r="H783" s="18"/>
      <c r="I783" s="58"/>
      <c r="J783" s="58"/>
      <c r="K783" s="15">
        <v>5</v>
      </c>
    </row>
    <row r="784" spans="1:11">
      <c r="A784" s="8" t="s">
        <v>3</v>
      </c>
      <c r="C784" s="15"/>
      <c r="D784" s="15"/>
      <c r="E784" s="15"/>
      <c r="F784" s="15"/>
      <c r="G784" s="15"/>
      <c r="H784" s="18"/>
      <c r="I784" s="58"/>
      <c r="J784" s="58"/>
      <c r="K784" s="15"/>
    </row>
    <row r="785" spans="1:11">
      <c r="A785" s="8" t="s">
        <v>712</v>
      </c>
      <c r="C785" s="15"/>
      <c r="D785" s="15"/>
      <c r="E785" s="15"/>
      <c r="F785" s="15">
        <v>0</v>
      </c>
      <c r="G785" s="15"/>
      <c r="H785" s="18">
        <v>0</v>
      </c>
      <c r="I785" s="58"/>
      <c r="J785" s="58"/>
      <c r="K785" s="15">
        <v>0</v>
      </c>
    </row>
    <row r="786" spans="1:11">
      <c r="A786" s="45" t="s">
        <v>713</v>
      </c>
      <c r="C786" s="15"/>
      <c r="D786" s="15"/>
      <c r="E786" s="15"/>
      <c r="F786" s="15">
        <v>0</v>
      </c>
      <c r="G786" s="15"/>
      <c r="H786" s="18">
        <v>0</v>
      </c>
      <c r="I786" s="58"/>
      <c r="J786" s="58"/>
      <c r="K786" s="15">
        <v>0</v>
      </c>
    </row>
    <row r="787" spans="1:11">
      <c r="A787" s="8" t="s">
        <v>5</v>
      </c>
      <c r="B787" s="15">
        <v>3826158.9500000016</v>
      </c>
      <c r="C787" s="15">
        <v>311536.31000000011</v>
      </c>
      <c r="D787" s="15">
        <v>327176.73000000016</v>
      </c>
      <c r="E787" s="15">
        <v>332050.92000000004</v>
      </c>
      <c r="F787" s="15">
        <v>366849.76999999996</v>
      </c>
      <c r="G787" s="15">
        <v>333682.8699999997</v>
      </c>
      <c r="H787" s="18">
        <v>1671296.5999999999</v>
      </c>
      <c r="I787" s="58"/>
      <c r="J787" s="58"/>
      <c r="K787" s="15">
        <v>5497455.5500000045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D5CF-1081-4D1B-B130-D179700EAC51}">
  <dimension ref="A1:R268"/>
  <sheetViews>
    <sheetView tabSelected="1" zoomScaleNormal="100" workbookViewId="0">
      <pane xSplit="1" ySplit="12" topLeftCell="B115" activePane="bottomRight" state="frozen"/>
      <selection pane="bottomRight" activeCell="B11" sqref="B11"/>
      <selection pane="bottomLeft" activeCell="A7" sqref="A7"/>
      <selection pane="topRight" activeCell="B1" sqref="B1"/>
    </sheetView>
  </sheetViews>
  <sheetFormatPr defaultColWidth="16.5703125" defaultRowHeight="12.75"/>
  <cols>
    <col min="1" max="1" width="64.42578125" customWidth="1"/>
    <col min="2" max="2" width="21" style="18" bestFit="1" customWidth="1"/>
    <col min="3" max="3" width="14.140625" style="26" bestFit="1" customWidth="1"/>
    <col min="4" max="4" width="19" style="26" customWidth="1"/>
    <col min="5" max="5" width="14.140625" style="26" bestFit="1" customWidth="1"/>
    <col min="6" max="6" width="20.5703125" style="26" customWidth="1"/>
    <col min="7" max="7" width="19.42578125" style="26" customWidth="1"/>
    <col min="8" max="8" width="15.5703125" style="3" bestFit="1" customWidth="1"/>
    <col min="9" max="9" width="13.140625" style="3" bestFit="1" customWidth="1"/>
    <col min="10" max="10" width="11.7109375" style="3" bestFit="1" customWidth="1"/>
    <col min="11" max="11" width="15.5703125" style="3" bestFit="1" customWidth="1"/>
    <col min="12" max="12" width="14.140625" style="3" bestFit="1" customWidth="1"/>
    <col min="13" max="13" width="14.140625" style="24" bestFit="1" customWidth="1"/>
    <col min="14" max="14" width="15.5703125" style="15" bestFit="1" customWidth="1"/>
    <col min="15" max="15" width="14.140625" style="3" bestFit="1" customWidth="1"/>
    <col min="16" max="16" width="14.140625" customWidth="1"/>
    <col min="17" max="17" width="14.140625" bestFit="1" customWidth="1"/>
    <col min="18" max="18" width="14.140625" style="23" bestFit="1" customWidth="1"/>
    <col min="19" max="19" width="14.140625" bestFit="1" customWidth="1"/>
    <col min="20" max="20" width="15.5703125" bestFit="1" customWidth="1"/>
    <col min="21" max="21" width="13.140625" bestFit="1" customWidth="1"/>
    <col min="22" max="22" width="11.7109375" bestFit="1" customWidth="1"/>
    <col min="23" max="23" width="15.5703125" bestFit="1" customWidth="1"/>
  </cols>
  <sheetData>
    <row r="1" spans="1:18">
      <c r="B1"/>
    </row>
    <row r="2" spans="1:18">
      <c r="B2"/>
    </row>
    <row r="3" spans="1:18">
      <c r="B3"/>
      <c r="C3"/>
      <c r="D3"/>
      <c r="E3"/>
      <c r="F3"/>
      <c r="G3"/>
      <c r="H3"/>
      <c r="I3"/>
      <c r="J3"/>
      <c r="K3"/>
      <c r="L3"/>
      <c r="M3"/>
      <c r="N3"/>
      <c r="O3"/>
      <c r="R3"/>
    </row>
    <row r="4" spans="1:18">
      <c r="B4"/>
      <c r="C4"/>
      <c r="D4"/>
      <c r="E4"/>
      <c r="F4"/>
      <c r="G4"/>
      <c r="H4"/>
      <c r="I4"/>
      <c r="J4"/>
      <c r="K4"/>
      <c r="L4"/>
      <c r="M4"/>
      <c r="N4"/>
      <c r="O4"/>
      <c r="R4"/>
    </row>
    <row r="5" spans="1:18">
      <c r="B5"/>
      <c r="C5"/>
      <c r="D5"/>
      <c r="E5"/>
      <c r="F5"/>
      <c r="G5"/>
      <c r="H5"/>
      <c r="I5"/>
      <c r="J5"/>
      <c r="K5"/>
      <c r="L5"/>
      <c r="M5"/>
      <c r="N5"/>
      <c r="O5"/>
      <c r="R5"/>
    </row>
    <row r="6" spans="1:18">
      <c r="B6"/>
      <c r="C6"/>
      <c r="D6"/>
      <c r="E6"/>
      <c r="F6"/>
      <c r="G6"/>
      <c r="H6"/>
      <c r="I6"/>
      <c r="J6"/>
      <c r="K6"/>
      <c r="L6"/>
      <c r="M6"/>
      <c r="N6"/>
      <c r="O6"/>
      <c r="R6"/>
    </row>
    <row r="7" spans="1:18">
      <c r="B7"/>
      <c r="C7"/>
      <c r="D7"/>
      <c r="E7"/>
      <c r="F7"/>
      <c r="G7"/>
      <c r="H7"/>
      <c r="I7"/>
      <c r="J7"/>
      <c r="K7"/>
      <c r="L7"/>
      <c r="M7"/>
      <c r="N7"/>
      <c r="O7"/>
      <c r="R7"/>
    </row>
    <row r="8" spans="1:18">
      <c r="B8"/>
      <c r="C8"/>
      <c r="D8"/>
      <c r="E8"/>
      <c r="F8"/>
      <c r="G8"/>
      <c r="H8"/>
      <c r="I8"/>
      <c r="J8"/>
      <c r="K8"/>
      <c r="L8"/>
      <c r="M8"/>
      <c r="N8"/>
      <c r="O8"/>
      <c r="R8"/>
    </row>
    <row r="9" spans="1:18">
      <c r="B9"/>
      <c r="C9"/>
      <c r="D9"/>
      <c r="E9"/>
      <c r="F9"/>
      <c r="G9"/>
      <c r="H9"/>
      <c r="I9"/>
      <c r="J9"/>
      <c r="K9"/>
      <c r="L9"/>
      <c r="M9"/>
      <c r="N9"/>
      <c r="O9"/>
      <c r="R9"/>
    </row>
    <row r="10" spans="1:18">
      <c r="A10" s="4" t="s">
        <v>0</v>
      </c>
      <c r="B10" s="27" t="s">
        <v>1</v>
      </c>
      <c r="C10" s="18"/>
      <c r="D10" s="18"/>
      <c r="E10" s="18"/>
      <c r="F10" s="18"/>
      <c r="G10" s="18"/>
      <c r="H10" s="18"/>
      <c r="I10" s="18"/>
      <c r="J10" s="18"/>
      <c r="K10" s="18"/>
      <c r="L10"/>
      <c r="M10"/>
      <c r="N10"/>
      <c r="O10"/>
      <c r="R10"/>
    </row>
    <row r="11" spans="1:18">
      <c r="B11">
        <v>2025</v>
      </c>
      <c r="C11">
        <v>2026</v>
      </c>
      <c r="D11"/>
      <c r="E11"/>
      <c r="F11"/>
      <c r="G11"/>
      <c r="H11" t="s">
        <v>2</v>
      </c>
      <c r="I11" t="s">
        <v>3</v>
      </c>
      <c r="J11" t="s">
        <v>4</v>
      </c>
      <c r="K11" s="18" t="s">
        <v>5</v>
      </c>
      <c r="L11"/>
      <c r="M11"/>
      <c r="N11"/>
      <c r="O11"/>
      <c r="R11"/>
    </row>
    <row r="12" spans="1:18">
      <c r="B12"/>
      <c r="C12" t="s">
        <v>6</v>
      </c>
      <c r="D12" t="s">
        <v>7</v>
      </c>
      <c r="E12" t="s">
        <v>8</v>
      </c>
      <c r="F12" t="s">
        <v>9</v>
      </c>
      <c r="G12" t="s">
        <v>10</v>
      </c>
      <c r="H12"/>
      <c r="I12" t="s">
        <v>11</v>
      </c>
      <c r="J12"/>
      <c r="K12" s="18"/>
      <c r="L12"/>
      <c r="M12"/>
      <c r="N12"/>
      <c r="O12"/>
      <c r="R12"/>
    </row>
    <row r="13" spans="1:18">
      <c r="A13" s="4" t="s">
        <v>12</v>
      </c>
      <c r="B13"/>
      <c r="C13"/>
      <c r="D13"/>
      <c r="E13"/>
      <c r="F13"/>
      <c r="G13"/>
      <c r="H13"/>
      <c r="I13"/>
      <c r="J13"/>
      <c r="K13" s="18"/>
      <c r="L13"/>
      <c r="M13"/>
      <c r="N13"/>
      <c r="O13"/>
      <c r="R13"/>
    </row>
    <row r="14" spans="1:18">
      <c r="A14" s="8" t="s">
        <v>137</v>
      </c>
      <c r="B14" s="18">
        <v>457872.8</v>
      </c>
      <c r="C14" s="18">
        <v>34102</v>
      </c>
      <c r="D14" s="18">
        <v>34603</v>
      </c>
      <c r="E14" s="18">
        <v>31312.18</v>
      </c>
      <c r="F14" s="18">
        <v>32955.08</v>
      </c>
      <c r="G14" s="18">
        <v>34895.880000000005</v>
      </c>
      <c r="H14" s="18">
        <v>167868.14</v>
      </c>
      <c r="I14" s="18"/>
      <c r="J14" s="18"/>
      <c r="K14" s="18">
        <v>625740.94000000006</v>
      </c>
      <c r="L14"/>
      <c r="M14"/>
      <c r="N14"/>
      <c r="O14"/>
      <c r="R14"/>
    </row>
    <row r="15" spans="1:18">
      <c r="A15" s="8" t="s">
        <v>200</v>
      </c>
      <c r="B15" s="18">
        <v>387694.6</v>
      </c>
      <c r="C15" s="18">
        <v>22440</v>
      </c>
      <c r="D15" s="18">
        <v>32472</v>
      </c>
      <c r="E15" s="18">
        <v>25036</v>
      </c>
      <c r="F15" s="38">
        <v>37714</v>
      </c>
      <c r="G15" s="18">
        <v>33515</v>
      </c>
      <c r="H15" s="18">
        <v>151177</v>
      </c>
      <c r="I15" s="18"/>
      <c r="J15" s="18"/>
      <c r="K15" s="18">
        <v>538871.6</v>
      </c>
      <c r="L15"/>
      <c r="M15"/>
      <c r="N15"/>
      <c r="O15"/>
      <c r="R15"/>
    </row>
    <row r="16" spans="1:18">
      <c r="A16" s="8" t="s">
        <v>714</v>
      </c>
      <c r="B16" s="18">
        <v>348243.16</v>
      </c>
      <c r="C16" s="18">
        <v>27343.18</v>
      </c>
      <c r="D16" s="18">
        <v>27343.18</v>
      </c>
      <c r="E16" s="18">
        <v>25123.8</v>
      </c>
      <c r="F16" s="18">
        <v>28087.8</v>
      </c>
      <c r="G16" s="18">
        <v>28087.8</v>
      </c>
      <c r="H16" s="18">
        <v>135985.76</v>
      </c>
      <c r="I16" s="18"/>
      <c r="J16" s="18"/>
      <c r="K16" s="18">
        <v>484228.91999999993</v>
      </c>
      <c r="L16"/>
      <c r="M16"/>
      <c r="N16"/>
      <c r="O16"/>
      <c r="R16"/>
    </row>
    <row r="17" spans="1:18">
      <c r="A17" s="8" t="s">
        <v>715</v>
      </c>
      <c r="B17" s="18">
        <v>218627.46000000002</v>
      </c>
      <c r="C17" s="18">
        <v>20778.97</v>
      </c>
      <c r="D17" s="18">
        <v>18546.780000000002</v>
      </c>
      <c r="E17" s="18">
        <v>19708.53</v>
      </c>
      <c r="F17" s="18">
        <v>18081.140000000003</v>
      </c>
      <c r="G17" s="18">
        <v>18702.189999999999</v>
      </c>
      <c r="H17" s="18">
        <v>95817.61</v>
      </c>
      <c r="I17" s="18"/>
      <c r="J17" s="18"/>
      <c r="K17" s="18">
        <v>314445.07</v>
      </c>
      <c r="L17"/>
      <c r="M17"/>
      <c r="N17"/>
      <c r="O17"/>
      <c r="R17"/>
    </row>
    <row r="18" spans="1:18">
      <c r="A18" s="8" t="s">
        <v>716</v>
      </c>
      <c r="B18" s="18">
        <v>204499.03999999995</v>
      </c>
      <c r="C18" s="18">
        <v>12717.54</v>
      </c>
      <c r="D18" s="18">
        <v>24839.94</v>
      </c>
      <c r="E18" s="18">
        <v>20571.580000000002</v>
      </c>
      <c r="F18" s="37">
        <v>26432.78</v>
      </c>
      <c r="G18" s="18">
        <v>24737.21</v>
      </c>
      <c r="H18" s="18">
        <v>109299.04999999999</v>
      </c>
      <c r="I18" s="18"/>
      <c r="J18" s="18"/>
      <c r="K18" s="18">
        <v>313798.09000000003</v>
      </c>
      <c r="L18"/>
      <c r="M18"/>
      <c r="N18"/>
      <c r="O18"/>
      <c r="R18"/>
    </row>
    <row r="19" spans="1:18">
      <c r="A19" s="8" t="s">
        <v>201</v>
      </c>
      <c r="B19" s="18">
        <v>239003.65999999997</v>
      </c>
      <c r="C19" s="18">
        <v>12880</v>
      </c>
      <c r="D19" s="18">
        <v>9860</v>
      </c>
      <c r="E19" s="18">
        <v>13240</v>
      </c>
      <c r="F19" s="38">
        <v>16020</v>
      </c>
      <c r="G19" s="18">
        <v>17580</v>
      </c>
      <c r="H19" s="18">
        <v>69580</v>
      </c>
      <c r="I19" s="18"/>
      <c r="J19" s="18"/>
      <c r="K19" s="18">
        <v>308583.65999999997</v>
      </c>
      <c r="L19"/>
      <c r="M19"/>
      <c r="N19"/>
      <c r="O19"/>
      <c r="R19"/>
    </row>
    <row r="20" spans="1:18">
      <c r="A20" s="8" t="s">
        <v>717</v>
      </c>
      <c r="B20" s="18">
        <v>191296.46000000002</v>
      </c>
      <c r="C20" s="18">
        <v>19355.849999999999</v>
      </c>
      <c r="D20" s="18">
        <v>21052.120000000003</v>
      </c>
      <c r="E20" s="18">
        <v>21217.109999999997</v>
      </c>
      <c r="F20" s="18">
        <v>21068.720000000001</v>
      </c>
      <c r="G20" s="18">
        <v>20788.269999999997</v>
      </c>
      <c r="H20" s="18">
        <v>103482.07</v>
      </c>
      <c r="I20" s="18"/>
      <c r="J20" s="18"/>
      <c r="K20" s="18">
        <v>294778.53000000003</v>
      </c>
      <c r="L20"/>
      <c r="M20"/>
      <c r="N20"/>
      <c r="O20"/>
      <c r="R20"/>
    </row>
    <row r="21" spans="1:18">
      <c r="A21" s="8" t="s">
        <v>718</v>
      </c>
      <c r="B21" s="18">
        <v>214698.17000000004</v>
      </c>
      <c r="C21" s="18">
        <v>11777.86</v>
      </c>
      <c r="D21" s="18">
        <v>13409.630000000001</v>
      </c>
      <c r="E21" s="18">
        <v>12597.710000000001</v>
      </c>
      <c r="F21" s="38">
        <v>10213.050000000001</v>
      </c>
      <c r="G21" s="18">
        <v>8683.25</v>
      </c>
      <c r="H21" s="18">
        <v>56681.500000000007</v>
      </c>
      <c r="I21" s="18"/>
      <c r="J21" s="18"/>
      <c r="K21" s="18">
        <v>271379.67000000004</v>
      </c>
      <c r="L21"/>
      <c r="M21"/>
      <c r="N21"/>
      <c r="O21"/>
      <c r="R21"/>
    </row>
    <row r="22" spans="1:18">
      <c r="A22" s="8" t="s">
        <v>141</v>
      </c>
      <c r="B22" s="18">
        <v>156787.6</v>
      </c>
      <c r="C22" s="18">
        <v>10121</v>
      </c>
      <c r="D22" s="18">
        <v>21688</v>
      </c>
      <c r="E22" s="18">
        <v>17749</v>
      </c>
      <c r="F22" s="18">
        <v>17470</v>
      </c>
      <c r="G22" s="18">
        <v>11303.6</v>
      </c>
      <c r="H22" s="18">
        <v>78331.600000000006</v>
      </c>
      <c r="I22" s="18"/>
      <c r="J22" s="18"/>
      <c r="K22" s="18">
        <v>235119.2</v>
      </c>
      <c r="L22"/>
      <c r="M22"/>
      <c r="N22"/>
      <c r="O22"/>
      <c r="R22"/>
    </row>
    <row r="23" spans="1:18">
      <c r="A23" s="8" t="s">
        <v>713</v>
      </c>
      <c r="B23" s="18">
        <v>155287.22</v>
      </c>
      <c r="C23" s="18">
        <v>15185.369999999999</v>
      </c>
      <c r="D23" s="18">
        <v>3152.57</v>
      </c>
      <c r="E23" s="18">
        <v>12695.6</v>
      </c>
      <c r="F23" s="37">
        <v>21146.350000000002</v>
      </c>
      <c r="G23" s="18">
        <v>9342.7999999999993</v>
      </c>
      <c r="H23" s="18">
        <v>61522.69</v>
      </c>
      <c r="I23" s="18"/>
      <c r="J23" s="18"/>
      <c r="K23" s="18">
        <v>216809.91</v>
      </c>
      <c r="L23"/>
      <c r="M23"/>
      <c r="N23"/>
      <c r="O23"/>
      <c r="R23"/>
    </row>
    <row r="24" spans="1:18">
      <c r="A24" s="8" t="s">
        <v>206</v>
      </c>
      <c r="B24" s="18">
        <v>146429.73000000001</v>
      </c>
      <c r="C24" s="18">
        <v>11910.26</v>
      </c>
      <c r="D24" s="18">
        <v>12041.640000000001</v>
      </c>
      <c r="E24" s="18">
        <v>12000.93</v>
      </c>
      <c r="F24" s="18">
        <v>11732.48</v>
      </c>
      <c r="G24" s="18">
        <v>7546.7</v>
      </c>
      <c r="H24" s="18">
        <v>55232.009999999995</v>
      </c>
      <c r="I24" s="18"/>
      <c r="J24" s="18"/>
      <c r="K24" s="18">
        <v>201661.74000000005</v>
      </c>
      <c r="L24"/>
      <c r="M24"/>
      <c r="N24"/>
      <c r="O24"/>
      <c r="R24"/>
    </row>
    <row r="25" spans="1:18">
      <c r="A25" s="8" t="s">
        <v>719</v>
      </c>
      <c r="B25" s="18">
        <v>133255.14000000001</v>
      </c>
      <c r="C25" s="18">
        <v>11568.26</v>
      </c>
      <c r="D25" s="18">
        <v>11802.77</v>
      </c>
      <c r="E25" s="18">
        <v>12392.42</v>
      </c>
      <c r="F25" s="18">
        <v>9304.76</v>
      </c>
      <c r="G25" s="18">
        <v>13742.91</v>
      </c>
      <c r="H25" s="18">
        <v>58811.119999999995</v>
      </c>
      <c r="I25" s="18"/>
      <c r="J25" s="18"/>
      <c r="K25" s="18">
        <v>192066.26000000004</v>
      </c>
      <c r="L25"/>
      <c r="M25"/>
      <c r="N25"/>
      <c r="O25"/>
      <c r="R25"/>
    </row>
    <row r="26" spans="1:18">
      <c r="A26" s="8" t="s">
        <v>139</v>
      </c>
      <c r="B26" s="18">
        <v>119423.51999999997</v>
      </c>
      <c r="C26" s="18">
        <v>10509.42</v>
      </c>
      <c r="D26" s="18">
        <v>8159.7199999999984</v>
      </c>
      <c r="E26" s="18">
        <v>10185.02</v>
      </c>
      <c r="F26" s="18">
        <v>9242.4</v>
      </c>
      <c r="G26" s="18">
        <v>9140.260000000002</v>
      </c>
      <c r="H26" s="18">
        <v>47236.82</v>
      </c>
      <c r="I26" s="18"/>
      <c r="J26" s="18"/>
      <c r="K26" s="18">
        <v>166660.33999999997</v>
      </c>
      <c r="L26"/>
      <c r="M26"/>
      <c r="N26"/>
      <c r="O26"/>
      <c r="R26"/>
    </row>
    <row r="27" spans="1:18">
      <c r="A27" s="8" t="s">
        <v>720</v>
      </c>
      <c r="B27" s="18">
        <v>54000</v>
      </c>
      <c r="C27" s="18">
        <v>12000</v>
      </c>
      <c r="D27" s="18">
        <v>12000</v>
      </c>
      <c r="E27" s="18">
        <v>12000</v>
      </c>
      <c r="F27" s="18">
        <v>12000</v>
      </c>
      <c r="G27" s="18">
        <v>12000</v>
      </c>
      <c r="H27" s="18">
        <v>60000</v>
      </c>
      <c r="I27" s="18"/>
      <c r="J27" s="18"/>
      <c r="K27" s="18">
        <v>114000</v>
      </c>
      <c r="L27"/>
      <c r="M27"/>
      <c r="N27"/>
      <c r="O27"/>
      <c r="R27"/>
    </row>
    <row r="28" spans="1:18">
      <c r="A28" s="8" t="s">
        <v>721</v>
      </c>
      <c r="B28" s="18">
        <v>70512.23</v>
      </c>
      <c r="C28" s="18">
        <v>8260</v>
      </c>
      <c r="D28" s="18">
        <v>7500</v>
      </c>
      <c r="E28" s="18">
        <v>8468</v>
      </c>
      <c r="F28" s="18">
        <v>9037</v>
      </c>
      <c r="G28" s="18">
        <v>8798</v>
      </c>
      <c r="H28" s="18">
        <v>42063</v>
      </c>
      <c r="I28" s="18"/>
      <c r="J28" s="18"/>
      <c r="K28" s="18">
        <v>112575.23</v>
      </c>
      <c r="L28"/>
      <c r="M28"/>
      <c r="N28"/>
      <c r="O28"/>
      <c r="R28"/>
    </row>
    <row r="29" spans="1:18">
      <c r="A29" s="8" t="s">
        <v>138</v>
      </c>
      <c r="B29" s="18">
        <v>73979.260000000009</v>
      </c>
      <c r="C29" s="18">
        <v>5462.4699999999993</v>
      </c>
      <c r="D29" s="18">
        <v>5619.2400000000007</v>
      </c>
      <c r="E29" s="18">
        <v>4852.9800000000005</v>
      </c>
      <c r="F29" s="18">
        <v>5652.1900000000005</v>
      </c>
      <c r="G29" s="18">
        <v>5858.2200000000012</v>
      </c>
      <c r="H29" s="18">
        <v>27445.1</v>
      </c>
      <c r="I29" s="18"/>
      <c r="J29" s="18"/>
      <c r="K29" s="18">
        <v>101424.36000000002</v>
      </c>
      <c r="L29"/>
      <c r="M29"/>
      <c r="N29"/>
      <c r="O29"/>
      <c r="R29"/>
    </row>
    <row r="30" spans="1:18">
      <c r="A30" s="8" t="s">
        <v>722</v>
      </c>
      <c r="B30" s="18">
        <v>55215.919999999991</v>
      </c>
      <c r="C30" s="18">
        <v>3571.6600000000003</v>
      </c>
      <c r="D30" s="18">
        <v>4197.53</v>
      </c>
      <c r="E30" s="18">
        <v>4407.3600000000006</v>
      </c>
      <c r="F30" s="18">
        <v>3650.66</v>
      </c>
      <c r="G30" s="18">
        <v>4014.36</v>
      </c>
      <c r="H30" s="18">
        <v>19841.57</v>
      </c>
      <c r="I30" s="18"/>
      <c r="J30" s="18"/>
      <c r="K30" s="18">
        <v>75057.490000000005</v>
      </c>
      <c r="L30"/>
      <c r="M30"/>
      <c r="N30"/>
      <c r="O30"/>
      <c r="R30"/>
    </row>
    <row r="31" spans="1:18">
      <c r="A31" s="8" t="s">
        <v>183</v>
      </c>
      <c r="B31" s="18">
        <v>35102.060000000005</v>
      </c>
      <c r="C31" s="18">
        <v>3227.5</v>
      </c>
      <c r="D31" s="18">
        <v>3527.5</v>
      </c>
      <c r="E31" s="18">
        <v>9830.59</v>
      </c>
      <c r="F31" s="18">
        <v>10279.200000000001</v>
      </c>
      <c r="G31" s="18">
        <v>4055</v>
      </c>
      <c r="H31" s="18">
        <v>30919.79</v>
      </c>
      <c r="I31" s="18"/>
      <c r="J31" s="18"/>
      <c r="K31" s="18">
        <v>66021.850000000006</v>
      </c>
      <c r="L31"/>
      <c r="M31"/>
      <c r="N31"/>
      <c r="O31"/>
      <c r="R31"/>
    </row>
    <row r="32" spans="1:18">
      <c r="A32" s="8" t="s">
        <v>723</v>
      </c>
      <c r="B32" s="18">
        <v>58430.23</v>
      </c>
      <c r="C32" s="18">
        <v>1413.3600000000001</v>
      </c>
      <c r="D32" s="18">
        <v>405.87</v>
      </c>
      <c r="E32" s="18"/>
      <c r="F32" s="18">
        <v>524.29</v>
      </c>
      <c r="G32" s="18"/>
      <c r="H32" s="18">
        <v>2343.52</v>
      </c>
      <c r="I32" s="18"/>
      <c r="J32" s="18"/>
      <c r="K32" s="18">
        <v>60773.750000000007</v>
      </c>
      <c r="L32"/>
      <c r="M32"/>
      <c r="N32"/>
      <c r="O32"/>
      <c r="R32"/>
    </row>
    <row r="33" spans="1:18">
      <c r="A33" s="8" t="s">
        <v>724</v>
      </c>
      <c r="B33" s="18">
        <v>34584.1</v>
      </c>
      <c r="C33" s="18">
        <v>5776.39</v>
      </c>
      <c r="D33" s="18">
        <v>4717.62</v>
      </c>
      <c r="E33" s="18">
        <v>4586.75</v>
      </c>
      <c r="F33" s="18">
        <v>4640.87</v>
      </c>
      <c r="G33" s="18">
        <v>1473.02</v>
      </c>
      <c r="H33" s="18">
        <v>21194.65</v>
      </c>
      <c r="I33" s="18"/>
      <c r="J33" s="18"/>
      <c r="K33" s="18">
        <v>55778.75</v>
      </c>
      <c r="L33"/>
      <c r="M33"/>
      <c r="N33"/>
      <c r="O33"/>
      <c r="R33"/>
    </row>
    <row r="34" spans="1:18">
      <c r="A34" s="8" t="s">
        <v>152</v>
      </c>
      <c r="B34" s="18">
        <v>21113.06</v>
      </c>
      <c r="C34" s="18">
        <v>1621</v>
      </c>
      <c r="D34" s="18">
        <v>9827.92</v>
      </c>
      <c r="E34" s="18">
        <v>2154.4899999999998</v>
      </c>
      <c r="F34" s="37">
        <v>12509.06</v>
      </c>
      <c r="G34" s="18">
        <v>3601.34</v>
      </c>
      <c r="H34" s="18">
        <v>29713.81</v>
      </c>
      <c r="I34" s="18"/>
      <c r="J34" s="18"/>
      <c r="K34" s="18">
        <v>50826.869999999995</v>
      </c>
      <c r="L34"/>
      <c r="M34"/>
      <c r="N34"/>
      <c r="O34"/>
      <c r="R34"/>
    </row>
    <row r="35" spans="1:18" ht="15" customHeight="1">
      <c r="A35" s="8" t="s">
        <v>725</v>
      </c>
      <c r="B35" s="18">
        <v>31634.47</v>
      </c>
      <c r="C35" s="18">
        <v>1996.8</v>
      </c>
      <c r="D35" s="18">
        <v>1567</v>
      </c>
      <c r="E35" s="18">
        <v>4003.78</v>
      </c>
      <c r="F35" s="37">
        <v>4646.21</v>
      </c>
      <c r="G35" s="18">
        <v>5808.67</v>
      </c>
      <c r="H35" s="18">
        <v>18022.46</v>
      </c>
      <c r="I35" s="18"/>
      <c r="J35" s="18"/>
      <c r="K35" s="18">
        <v>49656.93</v>
      </c>
      <c r="L35"/>
      <c r="M35"/>
      <c r="N35"/>
      <c r="O35"/>
      <c r="R35"/>
    </row>
    <row r="36" spans="1:18">
      <c r="A36" s="8" t="s">
        <v>99</v>
      </c>
      <c r="B36" s="18">
        <v>23989.360000000004</v>
      </c>
      <c r="C36" s="18">
        <v>6327</v>
      </c>
      <c r="D36" s="18">
        <v>4782.58</v>
      </c>
      <c r="E36" s="18">
        <v>3910.29</v>
      </c>
      <c r="F36" s="18">
        <v>3708.68</v>
      </c>
      <c r="G36" s="18">
        <v>4076.43</v>
      </c>
      <c r="H36" s="18">
        <v>22804.98</v>
      </c>
      <c r="I36" s="18"/>
      <c r="J36" s="18"/>
      <c r="K36" s="18">
        <v>46794.340000000004</v>
      </c>
      <c r="L36"/>
      <c r="M36"/>
      <c r="N36"/>
      <c r="O36"/>
      <c r="R36"/>
    </row>
    <row r="37" spans="1:18">
      <c r="A37" s="8" t="s">
        <v>726</v>
      </c>
      <c r="B37" s="18">
        <v>21692.020000000059</v>
      </c>
      <c r="C37" s="18">
        <v>4883.76</v>
      </c>
      <c r="D37" s="18">
        <v>3885.900000000001</v>
      </c>
      <c r="E37" s="18">
        <v>4547.6299999999992</v>
      </c>
      <c r="F37" s="18">
        <v>4658.2699999999986</v>
      </c>
      <c r="G37" s="18">
        <v>4691.7599999999984</v>
      </c>
      <c r="H37" s="18">
        <v>22667.319999999996</v>
      </c>
      <c r="I37" s="18"/>
      <c r="J37" s="18"/>
      <c r="K37" s="18">
        <v>44359.340000000055</v>
      </c>
      <c r="L37"/>
      <c r="M37"/>
      <c r="N37"/>
      <c r="O37"/>
      <c r="R37"/>
    </row>
    <row r="38" spans="1:18">
      <c r="A38" s="8" t="s">
        <v>204</v>
      </c>
      <c r="B38" s="18">
        <v>32648.079999999998</v>
      </c>
      <c r="C38" s="18">
        <v>1016.14</v>
      </c>
      <c r="D38" s="18">
        <v>11.26</v>
      </c>
      <c r="E38" s="18">
        <v>6281.17</v>
      </c>
      <c r="F38" s="18">
        <v>1600.17</v>
      </c>
      <c r="G38" s="18">
        <v>2002.16</v>
      </c>
      <c r="H38" s="18">
        <v>10910.9</v>
      </c>
      <c r="I38" s="18"/>
      <c r="J38" s="18"/>
      <c r="K38" s="18">
        <v>43558.98</v>
      </c>
      <c r="L38"/>
      <c r="M38"/>
      <c r="N38"/>
      <c r="O38"/>
      <c r="R38"/>
    </row>
    <row r="39" spans="1:18">
      <c r="A39" s="8" t="s">
        <v>727</v>
      </c>
      <c r="B39" s="18">
        <v>29811.729999999996</v>
      </c>
      <c r="C39" s="18">
        <v>2587.6</v>
      </c>
      <c r="D39" s="18">
        <v>2614.42</v>
      </c>
      <c r="E39" s="18">
        <v>2531.11</v>
      </c>
      <c r="F39" s="18">
        <v>2783.83</v>
      </c>
      <c r="G39" s="18">
        <v>3101.82</v>
      </c>
      <c r="H39" s="18">
        <v>13618.78</v>
      </c>
      <c r="I39" s="18"/>
      <c r="J39" s="18"/>
      <c r="K39" s="18">
        <v>43430.509999999995</v>
      </c>
      <c r="L39"/>
      <c r="M39"/>
      <c r="N39"/>
      <c r="O39"/>
      <c r="R39"/>
    </row>
    <row r="40" spans="1:18">
      <c r="A40" s="8" t="s">
        <v>728</v>
      </c>
      <c r="B40" s="18">
        <v>14240.77</v>
      </c>
      <c r="C40" s="18">
        <v>4397.03</v>
      </c>
      <c r="D40" s="18">
        <v>4645.4400000000005</v>
      </c>
      <c r="E40" s="18">
        <v>4693.6099999999997</v>
      </c>
      <c r="F40" s="18">
        <v>4100.17</v>
      </c>
      <c r="G40" s="18">
        <v>5096.29</v>
      </c>
      <c r="H40" s="18">
        <v>22932.54</v>
      </c>
      <c r="I40" s="18"/>
      <c r="J40" s="18"/>
      <c r="K40" s="18">
        <v>37173.31</v>
      </c>
      <c r="L40"/>
      <c r="M40"/>
      <c r="N40"/>
      <c r="O40"/>
      <c r="R40"/>
    </row>
    <row r="41" spans="1:18">
      <c r="A41" s="8" t="s">
        <v>729</v>
      </c>
      <c r="B41" s="18">
        <v>24046.699999999997</v>
      </c>
      <c r="C41" s="18">
        <v>2250.5300000000002</v>
      </c>
      <c r="D41" s="18">
        <v>1027.31</v>
      </c>
      <c r="E41" s="18">
        <v>2455.92</v>
      </c>
      <c r="F41" s="18">
        <v>1757.08</v>
      </c>
      <c r="G41" s="18">
        <v>2516.2200000000003</v>
      </c>
      <c r="H41" s="18">
        <v>10007.060000000001</v>
      </c>
      <c r="I41" s="18"/>
      <c r="J41" s="18"/>
      <c r="K41" s="18">
        <v>34053.760000000002</v>
      </c>
      <c r="L41"/>
      <c r="M41"/>
      <c r="N41"/>
      <c r="O41"/>
      <c r="R41"/>
    </row>
    <row r="42" spans="1:18">
      <c r="A42" s="8" t="s">
        <v>730</v>
      </c>
      <c r="B42" s="18">
        <v>20534.02</v>
      </c>
      <c r="C42" s="18">
        <v>2243.96</v>
      </c>
      <c r="D42" s="18">
        <v>1000</v>
      </c>
      <c r="E42" s="18">
        <v>3318</v>
      </c>
      <c r="F42" s="18">
        <v>1726.91</v>
      </c>
      <c r="G42" s="18">
        <v>2245.5</v>
      </c>
      <c r="H42" s="18">
        <v>10534.37</v>
      </c>
      <c r="I42" s="18"/>
      <c r="J42" s="18"/>
      <c r="K42" s="18">
        <v>31068.39</v>
      </c>
      <c r="L42"/>
      <c r="M42"/>
      <c r="N42"/>
      <c r="O42"/>
      <c r="R42"/>
    </row>
    <row r="43" spans="1:18">
      <c r="A43" s="8" t="s">
        <v>731</v>
      </c>
      <c r="B43" s="18">
        <v>29574.85</v>
      </c>
      <c r="C43" s="18"/>
      <c r="D43" s="18"/>
      <c r="E43" s="18"/>
      <c r="F43" s="18"/>
      <c r="G43" s="18"/>
      <c r="H43" s="18"/>
      <c r="I43" s="18"/>
      <c r="J43" s="18"/>
      <c r="K43" s="18">
        <v>29574.85</v>
      </c>
      <c r="L43"/>
      <c r="M43"/>
      <c r="N43"/>
      <c r="O43"/>
      <c r="R43"/>
    </row>
    <row r="44" spans="1:18">
      <c r="A44" s="8" t="s">
        <v>672</v>
      </c>
      <c r="B44" s="18">
        <v>18198.789999999997</v>
      </c>
      <c r="C44" s="18">
        <v>3060.2200000000003</v>
      </c>
      <c r="D44" s="18">
        <v>1621</v>
      </c>
      <c r="E44" s="18">
        <v>1628.5</v>
      </c>
      <c r="F44" s="18">
        <v>1646</v>
      </c>
      <c r="G44" s="18">
        <v>1621</v>
      </c>
      <c r="H44" s="18">
        <v>9576.7200000000012</v>
      </c>
      <c r="I44" s="18"/>
      <c r="J44" s="18"/>
      <c r="K44" s="18">
        <v>27775.51</v>
      </c>
      <c r="L44"/>
      <c r="M44"/>
      <c r="N44"/>
      <c r="O44"/>
      <c r="R44"/>
    </row>
    <row r="45" spans="1:18">
      <c r="A45" s="8" t="s">
        <v>140</v>
      </c>
      <c r="B45" s="18">
        <v>13980.74</v>
      </c>
      <c r="C45" s="18">
        <v>1500</v>
      </c>
      <c r="D45" s="18">
        <v>2535.42</v>
      </c>
      <c r="E45" s="18">
        <v>1792</v>
      </c>
      <c r="F45" s="18">
        <v>1859.6399999999999</v>
      </c>
      <c r="G45" s="18">
        <v>1980</v>
      </c>
      <c r="H45" s="18">
        <v>9667.06</v>
      </c>
      <c r="I45" s="18"/>
      <c r="J45" s="18"/>
      <c r="K45" s="18">
        <v>23647.8</v>
      </c>
      <c r="L45"/>
      <c r="M45"/>
      <c r="N45"/>
      <c r="O45"/>
      <c r="R45"/>
    </row>
    <row r="46" spans="1:18">
      <c r="A46" s="8" t="s">
        <v>558</v>
      </c>
      <c r="B46" s="18">
        <v>12129.629999999997</v>
      </c>
      <c r="C46" s="18">
        <v>1721.21</v>
      </c>
      <c r="D46" s="18">
        <v>1708.2800000000002</v>
      </c>
      <c r="E46" s="18">
        <v>188.61</v>
      </c>
      <c r="F46" s="18">
        <v>1818.99</v>
      </c>
      <c r="G46" s="18">
        <v>2094.25</v>
      </c>
      <c r="H46" s="18">
        <v>7531.34</v>
      </c>
      <c r="I46" s="18"/>
      <c r="J46" s="18"/>
      <c r="K46" s="18">
        <v>19660.969999999998</v>
      </c>
      <c r="L46"/>
      <c r="M46"/>
      <c r="N46"/>
      <c r="O46"/>
      <c r="R46"/>
    </row>
    <row r="47" spans="1:18">
      <c r="A47" s="8" t="s">
        <v>384</v>
      </c>
      <c r="B47" s="18">
        <v>14960.220000000001</v>
      </c>
      <c r="C47" s="18">
        <v>390</v>
      </c>
      <c r="D47" s="18">
        <v>431.59000000000003</v>
      </c>
      <c r="E47" s="18">
        <v>390</v>
      </c>
      <c r="F47" s="18">
        <v>233.3</v>
      </c>
      <c r="G47" s="18">
        <v>1174.19</v>
      </c>
      <c r="H47" s="18">
        <v>2619.08</v>
      </c>
      <c r="I47" s="18"/>
      <c r="J47" s="18"/>
      <c r="K47" s="18">
        <v>17579.3</v>
      </c>
      <c r="L47"/>
      <c r="M47"/>
      <c r="N47"/>
      <c r="O47"/>
      <c r="R47"/>
    </row>
    <row r="48" spans="1:18">
      <c r="A48" s="8" t="s">
        <v>732</v>
      </c>
      <c r="B48" s="18">
        <v>11898.64</v>
      </c>
      <c r="C48" s="18">
        <v>2707.76</v>
      </c>
      <c r="D48" s="18"/>
      <c r="E48" s="18">
        <v>1125.5899999999999</v>
      </c>
      <c r="F48" s="18">
        <v>864.88</v>
      </c>
      <c r="G48" s="18">
        <v>165.15</v>
      </c>
      <c r="H48" s="18">
        <v>4863.38</v>
      </c>
      <c r="I48" s="18"/>
      <c r="J48" s="18"/>
      <c r="K48" s="18">
        <v>16762.02</v>
      </c>
      <c r="L48"/>
      <c r="M48"/>
      <c r="N48"/>
      <c r="O48"/>
      <c r="R48"/>
    </row>
    <row r="49" spans="1:18">
      <c r="A49" s="8" t="s">
        <v>270</v>
      </c>
      <c r="B49" s="18">
        <v>333</v>
      </c>
      <c r="C49" s="18">
        <v>2333</v>
      </c>
      <c r="D49" s="18">
        <v>3331</v>
      </c>
      <c r="E49" s="18">
        <v>3841.22</v>
      </c>
      <c r="F49" s="18">
        <v>3044.73</v>
      </c>
      <c r="G49" s="18">
        <v>3770</v>
      </c>
      <c r="H49" s="18">
        <v>16319.949999999999</v>
      </c>
      <c r="I49" s="18"/>
      <c r="J49" s="18"/>
      <c r="K49" s="18">
        <v>16652.949999999997</v>
      </c>
      <c r="L49"/>
      <c r="M49"/>
      <c r="N49"/>
      <c r="O49"/>
      <c r="R49"/>
    </row>
    <row r="50" spans="1:18">
      <c r="A50" s="8" t="s">
        <v>733</v>
      </c>
      <c r="B50" s="18">
        <v>9949.8099999999977</v>
      </c>
      <c r="C50" s="18">
        <v>957.55000000000007</v>
      </c>
      <c r="D50" s="18">
        <v>1679.83</v>
      </c>
      <c r="E50" s="18">
        <v>1000.46</v>
      </c>
      <c r="F50" s="18">
        <v>1480.37</v>
      </c>
      <c r="G50" s="18">
        <v>1338.72</v>
      </c>
      <c r="H50" s="18">
        <v>6456.93</v>
      </c>
      <c r="I50" s="18"/>
      <c r="J50" s="18"/>
      <c r="K50" s="18">
        <v>16406.739999999998</v>
      </c>
      <c r="L50"/>
      <c r="M50"/>
      <c r="N50"/>
      <c r="O50"/>
      <c r="R50"/>
    </row>
    <row r="51" spans="1:18">
      <c r="A51" s="8" t="s">
        <v>734</v>
      </c>
      <c r="B51" s="18">
        <v>10051</v>
      </c>
      <c r="C51" s="18">
        <v>900</v>
      </c>
      <c r="D51" s="18">
        <v>900</v>
      </c>
      <c r="E51" s="18">
        <v>900</v>
      </c>
      <c r="F51" s="18">
        <v>900</v>
      </c>
      <c r="G51" s="18">
        <v>900</v>
      </c>
      <c r="H51" s="18">
        <v>4500</v>
      </c>
      <c r="I51" s="18"/>
      <c r="J51" s="18"/>
      <c r="K51" s="18">
        <v>14551</v>
      </c>
      <c r="L51"/>
      <c r="M51"/>
      <c r="N51"/>
      <c r="O51"/>
      <c r="R51"/>
    </row>
    <row r="52" spans="1:18">
      <c r="A52" s="8" t="s">
        <v>398</v>
      </c>
      <c r="B52" s="18">
        <v>12590.740000000002</v>
      </c>
      <c r="C52" s="18"/>
      <c r="D52" s="18">
        <v>180</v>
      </c>
      <c r="E52" s="18">
        <v>99</v>
      </c>
      <c r="F52" s="18">
        <v>500</v>
      </c>
      <c r="G52" s="18"/>
      <c r="H52" s="18">
        <v>779</v>
      </c>
      <c r="I52" s="18"/>
      <c r="J52" s="18"/>
      <c r="K52" s="18">
        <v>13369.740000000002</v>
      </c>
      <c r="L52"/>
      <c r="M52"/>
      <c r="N52"/>
      <c r="O52"/>
      <c r="R52"/>
    </row>
    <row r="53" spans="1:18">
      <c r="A53" s="8" t="s">
        <v>438</v>
      </c>
      <c r="B53" s="18">
        <v>11065.499999999998</v>
      </c>
      <c r="C53" s="18"/>
      <c r="D53" s="18">
        <v>297.5</v>
      </c>
      <c r="E53" s="18">
        <v>39.840000000000003</v>
      </c>
      <c r="F53" s="18">
        <v>75</v>
      </c>
      <c r="G53" s="18">
        <v>11</v>
      </c>
      <c r="H53" s="18">
        <v>423.34000000000003</v>
      </c>
      <c r="I53" s="18"/>
      <c r="J53" s="18"/>
      <c r="K53" s="18">
        <v>11488.839999999998</v>
      </c>
      <c r="L53"/>
      <c r="M53"/>
      <c r="N53"/>
      <c r="O53"/>
      <c r="R53"/>
    </row>
    <row r="54" spans="1:18">
      <c r="A54" s="8" t="s">
        <v>483</v>
      </c>
      <c r="B54" s="18">
        <v>6524.0399999999991</v>
      </c>
      <c r="C54" s="18">
        <v>485.0200000000001</v>
      </c>
      <c r="D54" s="18">
        <v>108.49</v>
      </c>
      <c r="E54" s="18">
        <v>1322.35</v>
      </c>
      <c r="F54" s="18">
        <v>826.86</v>
      </c>
      <c r="G54" s="18">
        <v>668.27</v>
      </c>
      <c r="H54" s="18">
        <v>3410.9900000000002</v>
      </c>
      <c r="I54" s="18"/>
      <c r="J54" s="18"/>
      <c r="K54" s="18">
        <v>9935.0300000000007</v>
      </c>
      <c r="L54"/>
      <c r="M54"/>
      <c r="N54"/>
      <c r="O54"/>
      <c r="R54"/>
    </row>
    <row r="55" spans="1:18">
      <c r="A55" s="8" t="s">
        <v>735</v>
      </c>
      <c r="B55" s="18">
        <v>6655</v>
      </c>
      <c r="C55" s="18">
        <v>605</v>
      </c>
      <c r="D55" s="18">
        <v>605</v>
      </c>
      <c r="E55" s="18">
        <v>605</v>
      </c>
      <c r="F55" s="18">
        <v>605</v>
      </c>
      <c r="G55" s="18">
        <v>605</v>
      </c>
      <c r="H55" s="18">
        <v>3025</v>
      </c>
      <c r="I55" s="18"/>
      <c r="J55" s="18"/>
      <c r="K55" s="18">
        <v>9680</v>
      </c>
      <c r="L55"/>
      <c r="M55"/>
      <c r="N55"/>
      <c r="O55"/>
      <c r="R55"/>
    </row>
    <row r="56" spans="1:18">
      <c r="A56" s="8" t="s">
        <v>736</v>
      </c>
      <c r="B56" s="18">
        <v>4544.0199999999995</v>
      </c>
      <c r="C56" s="18">
        <v>883.85</v>
      </c>
      <c r="D56" s="18">
        <v>879.97</v>
      </c>
      <c r="E56" s="18">
        <v>1159.04</v>
      </c>
      <c r="F56" s="18">
        <v>1884.97</v>
      </c>
      <c r="G56" s="18">
        <v>129.97</v>
      </c>
      <c r="H56" s="18">
        <v>4937.8</v>
      </c>
      <c r="I56" s="18"/>
      <c r="J56" s="18"/>
      <c r="K56" s="18">
        <v>9481.82</v>
      </c>
      <c r="L56"/>
      <c r="M56"/>
      <c r="N56"/>
      <c r="O56"/>
      <c r="R56"/>
    </row>
    <row r="57" spans="1:18">
      <c r="A57" s="8" t="s">
        <v>737</v>
      </c>
      <c r="C57" s="18">
        <v>1249.06</v>
      </c>
      <c r="D57" s="18">
        <v>2836.36</v>
      </c>
      <c r="E57" s="18">
        <v>1498.68</v>
      </c>
      <c r="F57" s="18">
        <v>1616.68</v>
      </c>
      <c r="G57" s="18">
        <v>1439.58</v>
      </c>
      <c r="H57" s="18">
        <v>8640.36</v>
      </c>
      <c r="I57" s="18"/>
      <c r="J57" s="18"/>
      <c r="K57" s="18">
        <v>8640.36</v>
      </c>
      <c r="L57"/>
      <c r="M57"/>
      <c r="N57"/>
      <c r="O57"/>
      <c r="R57"/>
    </row>
    <row r="58" spans="1:18">
      <c r="A58" s="8" t="s">
        <v>738</v>
      </c>
      <c r="B58" s="18">
        <v>4317.96</v>
      </c>
      <c r="C58" s="18">
        <v>1750</v>
      </c>
      <c r="D58" s="18">
        <v>358.15000000000003</v>
      </c>
      <c r="E58" s="18"/>
      <c r="F58" s="37">
        <v>1900</v>
      </c>
      <c r="G58" s="18"/>
      <c r="H58" s="18">
        <v>4008.15</v>
      </c>
      <c r="I58" s="18"/>
      <c r="J58" s="18"/>
      <c r="K58" s="18">
        <v>8326.11</v>
      </c>
      <c r="L58"/>
      <c r="M58"/>
      <c r="N58"/>
      <c r="O58"/>
      <c r="R58"/>
    </row>
    <row r="59" spans="1:18">
      <c r="A59" s="8" t="s">
        <v>739</v>
      </c>
      <c r="B59" s="18">
        <v>8306.2199999999993</v>
      </c>
      <c r="C59" s="18"/>
      <c r="D59" s="18"/>
      <c r="E59" s="18"/>
      <c r="F59" s="18"/>
      <c r="G59" s="18"/>
      <c r="H59" s="18"/>
      <c r="I59" s="18"/>
      <c r="J59" s="18"/>
      <c r="K59" s="18">
        <v>8306.2199999999993</v>
      </c>
      <c r="L59"/>
      <c r="M59"/>
      <c r="N59"/>
      <c r="O59"/>
      <c r="R59"/>
    </row>
    <row r="60" spans="1:18">
      <c r="A60" s="8" t="s">
        <v>693</v>
      </c>
      <c r="B60" s="18">
        <v>4673</v>
      </c>
      <c r="C60" s="18">
        <v>550</v>
      </c>
      <c r="D60" s="18">
        <v>550</v>
      </c>
      <c r="E60" s="18">
        <v>550</v>
      </c>
      <c r="F60" s="18">
        <v>550</v>
      </c>
      <c r="G60" s="18">
        <v>625</v>
      </c>
      <c r="H60" s="18">
        <v>2825</v>
      </c>
      <c r="I60" s="18"/>
      <c r="J60" s="18"/>
      <c r="K60" s="18">
        <v>7498</v>
      </c>
      <c r="L60"/>
      <c r="M60"/>
      <c r="N60"/>
      <c r="O60"/>
      <c r="R60"/>
    </row>
    <row r="61" spans="1:18">
      <c r="A61" s="8" t="s">
        <v>710</v>
      </c>
      <c r="B61" s="18">
        <v>7241</v>
      </c>
      <c r="C61" s="18">
        <v>60</v>
      </c>
      <c r="D61" s="18"/>
      <c r="E61" s="18">
        <v>6</v>
      </c>
      <c r="F61" s="18"/>
      <c r="G61" s="18"/>
      <c r="H61" s="18">
        <v>66</v>
      </c>
      <c r="I61" s="18"/>
      <c r="J61" s="18"/>
      <c r="K61" s="18">
        <v>7307</v>
      </c>
      <c r="L61"/>
      <c r="M61"/>
      <c r="N61"/>
      <c r="O61"/>
      <c r="R61"/>
    </row>
    <row r="62" spans="1:18">
      <c r="A62" s="8" t="s">
        <v>452</v>
      </c>
      <c r="B62" s="18">
        <v>5489.13</v>
      </c>
      <c r="C62" s="18">
        <v>387</v>
      </c>
      <c r="D62" s="18">
        <v>537.48</v>
      </c>
      <c r="E62" s="18">
        <v>208</v>
      </c>
      <c r="F62" s="18">
        <v>248</v>
      </c>
      <c r="G62" s="18">
        <v>69</v>
      </c>
      <c r="H62" s="18">
        <v>1449.48</v>
      </c>
      <c r="I62" s="18"/>
      <c r="J62" s="18"/>
      <c r="K62" s="18">
        <v>6938.6100000000006</v>
      </c>
      <c r="L62"/>
      <c r="M62"/>
      <c r="N62"/>
      <c r="O62"/>
      <c r="R62"/>
    </row>
    <row r="63" spans="1:18">
      <c r="A63" s="8" t="s">
        <v>740</v>
      </c>
      <c r="B63" s="18">
        <v>5702.32</v>
      </c>
      <c r="C63" s="18">
        <v>553.84999999999991</v>
      </c>
      <c r="D63" s="18"/>
      <c r="E63" s="18"/>
      <c r="F63" s="18"/>
      <c r="G63" s="18"/>
      <c r="H63" s="18">
        <v>553.84999999999991</v>
      </c>
      <c r="I63" s="18"/>
      <c r="J63" s="18"/>
      <c r="K63" s="18">
        <v>6256.17</v>
      </c>
      <c r="L63"/>
      <c r="M63"/>
      <c r="N63"/>
      <c r="O63"/>
      <c r="R63"/>
    </row>
    <row r="64" spans="1:18">
      <c r="A64" s="8" t="s">
        <v>741</v>
      </c>
      <c r="B64" s="18">
        <v>4523.8600000000006</v>
      </c>
      <c r="C64" s="18">
        <v>370</v>
      </c>
      <c r="D64" s="18"/>
      <c r="E64" s="18">
        <v>370</v>
      </c>
      <c r="F64" s="18">
        <v>377.43</v>
      </c>
      <c r="G64" s="18">
        <v>370</v>
      </c>
      <c r="H64" s="18">
        <v>1487.43</v>
      </c>
      <c r="I64" s="18"/>
      <c r="J64" s="18"/>
      <c r="K64" s="18">
        <v>6011.2900000000009</v>
      </c>
      <c r="L64"/>
      <c r="M64"/>
      <c r="N64"/>
      <c r="O64"/>
      <c r="R64"/>
    </row>
    <row r="65" spans="1:18">
      <c r="A65" s="8" t="s">
        <v>742</v>
      </c>
      <c r="B65" s="18">
        <v>4531.01</v>
      </c>
      <c r="C65" s="18"/>
      <c r="D65" s="18"/>
      <c r="E65" s="18"/>
      <c r="F65" s="18"/>
      <c r="G65" s="18">
        <v>575.83000000000004</v>
      </c>
      <c r="H65" s="18">
        <v>575.83000000000004</v>
      </c>
      <c r="I65" s="18"/>
      <c r="J65" s="18"/>
      <c r="K65" s="18">
        <v>5106.84</v>
      </c>
      <c r="L65"/>
      <c r="M65"/>
      <c r="N65"/>
      <c r="O65"/>
      <c r="R65"/>
    </row>
    <row r="66" spans="1:18">
      <c r="A66" s="8" t="s">
        <v>743</v>
      </c>
      <c r="B66" s="18">
        <v>3341.9600000000009</v>
      </c>
      <c r="C66" s="18">
        <v>217.76</v>
      </c>
      <c r="D66" s="18">
        <v>217.76</v>
      </c>
      <c r="E66" s="18">
        <v>217.76</v>
      </c>
      <c r="F66" s="18">
        <v>217.76</v>
      </c>
      <c r="G66" s="18">
        <v>222.38</v>
      </c>
      <c r="H66" s="18">
        <v>1093.42</v>
      </c>
      <c r="I66" s="18"/>
      <c r="J66" s="18"/>
      <c r="K66" s="18">
        <v>4435.3800000000019</v>
      </c>
      <c r="L66"/>
      <c r="M66"/>
      <c r="N66"/>
      <c r="O66"/>
      <c r="R66"/>
    </row>
    <row r="67" spans="1:18">
      <c r="A67" s="8" t="s">
        <v>193</v>
      </c>
      <c r="C67" s="18"/>
      <c r="D67" s="18"/>
      <c r="E67" s="18"/>
      <c r="F67" s="18"/>
      <c r="G67" s="18">
        <v>3995.6800000000003</v>
      </c>
      <c r="H67" s="18">
        <v>3995.6800000000003</v>
      </c>
      <c r="I67" s="18"/>
      <c r="J67" s="18"/>
      <c r="K67" s="18">
        <v>3995.6800000000003</v>
      </c>
      <c r="L67"/>
      <c r="M67"/>
      <c r="N67"/>
      <c r="O67"/>
      <c r="R67"/>
    </row>
    <row r="68" spans="1:18">
      <c r="A68" s="45" t="s">
        <v>192</v>
      </c>
      <c r="C68" s="18"/>
      <c r="D68" s="18"/>
      <c r="E68" s="18"/>
      <c r="F68" s="18"/>
      <c r="G68" s="18">
        <v>3995.6800000000003</v>
      </c>
      <c r="H68" s="18">
        <v>3995.6800000000003</v>
      </c>
      <c r="I68" s="18"/>
      <c r="J68" s="18"/>
      <c r="K68" s="18">
        <v>3995.6800000000003</v>
      </c>
      <c r="L68"/>
      <c r="M68"/>
      <c r="N68"/>
      <c r="O68"/>
      <c r="R68"/>
    </row>
    <row r="69" spans="1:18">
      <c r="A69" s="8" t="s">
        <v>744</v>
      </c>
      <c r="B69" s="18">
        <v>3925.98</v>
      </c>
      <c r="C69" s="18"/>
      <c r="D69" s="18"/>
      <c r="E69" s="18"/>
      <c r="F69" s="18"/>
      <c r="G69" s="18"/>
      <c r="H69" s="18"/>
      <c r="I69" s="18"/>
      <c r="J69" s="18"/>
      <c r="K69" s="18">
        <v>3925.98</v>
      </c>
      <c r="L69"/>
      <c r="M69"/>
      <c r="N69"/>
      <c r="O69"/>
      <c r="R69"/>
    </row>
    <row r="70" spans="1:18">
      <c r="A70" s="8" t="s">
        <v>745</v>
      </c>
      <c r="B70" s="18">
        <v>3178.89</v>
      </c>
      <c r="C70" s="18">
        <v>280</v>
      </c>
      <c r="D70" s="18"/>
      <c r="E70" s="18"/>
      <c r="F70" s="18">
        <v>60</v>
      </c>
      <c r="G70" s="18"/>
      <c r="H70" s="18">
        <v>340</v>
      </c>
      <c r="I70" s="18"/>
      <c r="J70" s="18"/>
      <c r="K70" s="18">
        <v>3518.89</v>
      </c>
      <c r="L70"/>
      <c r="M70"/>
      <c r="N70"/>
      <c r="O70"/>
      <c r="R70"/>
    </row>
    <row r="71" spans="1:18">
      <c r="A71" s="8" t="s">
        <v>387</v>
      </c>
      <c r="C71" s="18">
        <v>906.31999999999994</v>
      </c>
      <c r="D71" s="18">
        <v>475.32</v>
      </c>
      <c r="E71" s="18">
        <v>1039.72</v>
      </c>
      <c r="F71" s="37">
        <v>906.31999999999994</v>
      </c>
      <c r="G71" s="18"/>
      <c r="H71" s="18">
        <v>3327.6799999999994</v>
      </c>
      <c r="I71" s="18"/>
      <c r="J71" s="18"/>
      <c r="K71" s="18">
        <v>3327.6799999999994</v>
      </c>
      <c r="L71"/>
      <c r="M71"/>
      <c r="N71"/>
      <c r="O71"/>
      <c r="R71"/>
    </row>
    <row r="72" spans="1:18">
      <c r="A72" s="8" t="s">
        <v>681</v>
      </c>
      <c r="B72" s="18">
        <v>2407.5100000000002</v>
      </c>
      <c r="C72" s="18">
        <v>204.82999999999998</v>
      </c>
      <c r="D72" s="18">
        <v>19.95</v>
      </c>
      <c r="E72" s="18">
        <v>127.2</v>
      </c>
      <c r="F72" s="18">
        <v>28</v>
      </c>
      <c r="G72" s="18">
        <v>208</v>
      </c>
      <c r="H72" s="18">
        <v>587.98</v>
      </c>
      <c r="I72" s="18"/>
      <c r="J72" s="18"/>
      <c r="K72" s="18">
        <v>2995.49</v>
      </c>
      <c r="L72"/>
      <c r="M72"/>
      <c r="N72"/>
      <c r="O72"/>
      <c r="R72"/>
    </row>
    <row r="73" spans="1:18">
      <c r="A73" s="8" t="s">
        <v>646</v>
      </c>
      <c r="B73" s="18">
        <v>1098.47</v>
      </c>
      <c r="C73" s="18">
        <v>103.67</v>
      </c>
      <c r="D73" s="18">
        <v>2.4500000000000002</v>
      </c>
      <c r="E73" s="18">
        <v>334.22</v>
      </c>
      <c r="F73" s="18">
        <v>412.84000000000003</v>
      </c>
      <c r="G73" s="18">
        <v>973.79</v>
      </c>
      <c r="H73" s="18">
        <v>1826.97</v>
      </c>
      <c r="I73" s="18"/>
      <c r="J73" s="18"/>
      <c r="K73" s="18">
        <v>2925.44</v>
      </c>
      <c r="L73"/>
      <c r="M73"/>
      <c r="N73"/>
      <c r="O73"/>
      <c r="R73"/>
    </row>
    <row r="74" spans="1:18">
      <c r="A74" s="8" t="s">
        <v>746</v>
      </c>
      <c r="B74" s="18">
        <v>2203.4499999999998</v>
      </c>
      <c r="C74" s="18">
        <v>132</v>
      </c>
      <c r="D74" s="18">
        <v>142.68</v>
      </c>
      <c r="E74" s="18">
        <v>139</v>
      </c>
      <c r="F74" s="18">
        <v>139</v>
      </c>
      <c r="G74" s="18">
        <v>139</v>
      </c>
      <c r="H74" s="18">
        <v>691.68000000000006</v>
      </c>
      <c r="I74" s="18"/>
      <c r="J74" s="18"/>
      <c r="K74" s="18">
        <v>2895.1299999999997</v>
      </c>
      <c r="L74"/>
      <c r="M74"/>
      <c r="N74"/>
      <c r="O74"/>
      <c r="R74"/>
    </row>
    <row r="75" spans="1:18">
      <c r="A75" s="8" t="s">
        <v>747</v>
      </c>
      <c r="B75" s="18">
        <v>2778.9</v>
      </c>
      <c r="C75" s="18"/>
      <c r="D75" s="18"/>
      <c r="E75" s="18"/>
      <c r="F75" s="18"/>
      <c r="G75" s="18"/>
      <c r="H75" s="18"/>
      <c r="I75" s="18"/>
      <c r="J75" s="18"/>
      <c r="K75" s="18">
        <v>2778.9</v>
      </c>
      <c r="L75"/>
      <c r="M75"/>
      <c r="N75"/>
      <c r="O75"/>
      <c r="R75"/>
    </row>
    <row r="76" spans="1:18">
      <c r="A76" s="8" t="s">
        <v>748</v>
      </c>
      <c r="B76" s="18">
        <v>2671</v>
      </c>
      <c r="C76" s="18"/>
      <c r="D76" s="18"/>
      <c r="E76" s="18"/>
      <c r="F76" s="18"/>
      <c r="G76" s="18"/>
      <c r="H76" s="18"/>
      <c r="I76" s="18"/>
      <c r="J76" s="18"/>
      <c r="K76" s="18">
        <v>2671</v>
      </c>
      <c r="L76"/>
      <c r="M76"/>
      <c r="N76"/>
      <c r="O76"/>
      <c r="R76"/>
    </row>
    <row r="77" spans="1:18">
      <c r="A77" s="8" t="s">
        <v>470</v>
      </c>
      <c r="B77" s="18">
        <v>307.2</v>
      </c>
      <c r="C77" s="18">
        <v>41.25</v>
      </c>
      <c r="D77" s="18"/>
      <c r="E77" s="18">
        <v>186.92000000000002</v>
      </c>
      <c r="F77" s="37">
        <v>1002.39</v>
      </c>
      <c r="G77" s="18">
        <v>1087.9000000000001</v>
      </c>
      <c r="H77" s="18">
        <v>2318.46</v>
      </c>
      <c r="I77" s="18"/>
      <c r="J77" s="18"/>
      <c r="K77" s="18">
        <v>2625.66</v>
      </c>
      <c r="L77"/>
      <c r="M77"/>
      <c r="N77"/>
      <c r="O77"/>
      <c r="R77"/>
    </row>
    <row r="78" spans="1:18">
      <c r="A78" s="8" t="s">
        <v>491</v>
      </c>
      <c r="B78" s="18">
        <v>1640.1599999999999</v>
      </c>
      <c r="C78" s="18">
        <v>85</v>
      </c>
      <c r="D78" s="18">
        <v>130</v>
      </c>
      <c r="E78" s="18">
        <v>280</v>
      </c>
      <c r="F78" s="18">
        <v>40</v>
      </c>
      <c r="G78" s="18">
        <v>79.25</v>
      </c>
      <c r="H78" s="18">
        <v>614.25</v>
      </c>
      <c r="I78" s="18"/>
      <c r="J78" s="18"/>
      <c r="K78" s="18">
        <v>2254.41</v>
      </c>
      <c r="L78"/>
      <c r="M78"/>
      <c r="N78"/>
      <c r="O78"/>
      <c r="R78"/>
    </row>
    <row r="79" spans="1:18">
      <c r="A79" s="8" t="s">
        <v>749</v>
      </c>
      <c r="B79" s="18">
        <v>1162.67</v>
      </c>
      <c r="C79" s="18">
        <v>779.99</v>
      </c>
      <c r="D79" s="18"/>
      <c r="E79" s="18"/>
      <c r="F79" s="18"/>
      <c r="G79" s="18"/>
      <c r="H79" s="18">
        <v>779.99</v>
      </c>
      <c r="I79" s="18"/>
      <c r="J79" s="18"/>
      <c r="K79" s="18">
        <v>1942.66</v>
      </c>
      <c r="L79"/>
      <c r="M79"/>
      <c r="N79"/>
      <c r="O79"/>
      <c r="R79"/>
    </row>
    <row r="80" spans="1:18">
      <c r="A80" s="8" t="s">
        <v>750</v>
      </c>
      <c r="B80" s="18">
        <v>1852.7199999999998</v>
      </c>
      <c r="C80" s="18"/>
      <c r="D80" s="18"/>
      <c r="E80" s="18"/>
      <c r="F80" s="18"/>
      <c r="G80" s="18"/>
      <c r="H80" s="18"/>
      <c r="I80" s="18"/>
      <c r="J80" s="18"/>
      <c r="K80" s="18">
        <v>1852.7199999999998</v>
      </c>
      <c r="L80"/>
      <c r="M80"/>
      <c r="N80"/>
      <c r="O80"/>
      <c r="R80"/>
    </row>
    <row r="81" spans="1:18">
      <c r="A81" s="8" t="s">
        <v>142</v>
      </c>
      <c r="B81" s="18">
        <v>1110</v>
      </c>
      <c r="C81" s="18">
        <v>105</v>
      </c>
      <c r="D81" s="18">
        <v>35</v>
      </c>
      <c r="E81" s="18">
        <v>360</v>
      </c>
      <c r="F81" s="18">
        <v>200</v>
      </c>
      <c r="G81" s="18"/>
      <c r="H81" s="18">
        <v>700</v>
      </c>
      <c r="I81" s="18"/>
      <c r="J81" s="18"/>
      <c r="K81" s="18">
        <v>1810</v>
      </c>
      <c r="L81"/>
      <c r="M81"/>
      <c r="N81"/>
      <c r="O81"/>
      <c r="R81"/>
    </row>
    <row r="82" spans="1:18">
      <c r="A82" s="8" t="s">
        <v>458</v>
      </c>
      <c r="B82" s="18">
        <v>1019.9200000000001</v>
      </c>
      <c r="C82" s="18"/>
      <c r="D82" s="18">
        <v>208.92000000000002</v>
      </c>
      <c r="E82" s="18">
        <v>124.98</v>
      </c>
      <c r="F82" s="18">
        <v>95.79</v>
      </c>
      <c r="G82" s="18">
        <v>337.07</v>
      </c>
      <c r="H82" s="18">
        <v>766.76</v>
      </c>
      <c r="I82" s="18"/>
      <c r="J82" s="18"/>
      <c r="K82" s="18">
        <v>1786.68</v>
      </c>
      <c r="L82"/>
      <c r="M82"/>
      <c r="N82"/>
      <c r="O82"/>
      <c r="R82"/>
    </row>
    <row r="83" spans="1:18">
      <c r="A83" s="8" t="s">
        <v>751</v>
      </c>
      <c r="B83" s="18">
        <v>1563.06</v>
      </c>
      <c r="C83" s="18"/>
      <c r="D83" s="18"/>
      <c r="E83" s="18"/>
      <c r="F83" s="18"/>
      <c r="G83" s="18"/>
      <c r="H83" s="18"/>
      <c r="I83" s="18"/>
      <c r="J83" s="18"/>
      <c r="K83" s="18">
        <v>1563.06</v>
      </c>
      <c r="L83"/>
      <c r="M83"/>
      <c r="N83"/>
      <c r="O83"/>
      <c r="R83"/>
    </row>
    <row r="84" spans="1:18">
      <c r="A84" s="8" t="s">
        <v>281</v>
      </c>
      <c r="C84" s="18"/>
      <c r="D84" s="18"/>
      <c r="E84" s="18"/>
      <c r="F84" s="18"/>
      <c r="G84" s="18">
        <v>1500</v>
      </c>
      <c r="H84" s="18">
        <v>1500</v>
      </c>
      <c r="I84" s="18"/>
      <c r="J84" s="18"/>
      <c r="K84" s="18">
        <v>1500</v>
      </c>
      <c r="L84"/>
      <c r="M84"/>
      <c r="N84"/>
      <c r="O84"/>
      <c r="R84"/>
    </row>
    <row r="85" spans="1:18">
      <c r="A85" s="8" t="s">
        <v>360</v>
      </c>
      <c r="B85" s="18">
        <v>1250</v>
      </c>
      <c r="C85" s="18"/>
      <c r="D85" s="18"/>
      <c r="E85" s="18">
        <v>157.80000000000001</v>
      </c>
      <c r="F85" s="18"/>
      <c r="G85" s="18"/>
      <c r="H85" s="18">
        <v>157.80000000000001</v>
      </c>
      <c r="I85" s="18"/>
      <c r="J85" s="18"/>
      <c r="K85" s="18">
        <v>1407.8</v>
      </c>
      <c r="L85"/>
      <c r="M85"/>
      <c r="N85"/>
      <c r="O85"/>
      <c r="R85"/>
    </row>
    <row r="86" spans="1:18">
      <c r="A86" s="8" t="s">
        <v>752</v>
      </c>
      <c r="B86" s="18">
        <v>1365.76</v>
      </c>
      <c r="C86" s="18"/>
      <c r="D86" s="18"/>
      <c r="E86" s="18"/>
      <c r="F86" s="18"/>
      <c r="G86" s="18"/>
      <c r="H86" s="18"/>
      <c r="I86" s="18"/>
      <c r="J86" s="18"/>
      <c r="K86" s="18">
        <v>1365.76</v>
      </c>
      <c r="L86"/>
      <c r="M86"/>
      <c r="N86"/>
      <c r="O86"/>
      <c r="R86"/>
    </row>
    <row r="87" spans="1:18">
      <c r="A87" s="8" t="s">
        <v>599</v>
      </c>
      <c r="B87" s="18">
        <v>950</v>
      </c>
      <c r="C87" s="18">
        <v>50</v>
      </c>
      <c r="D87" s="18">
        <v>200</v>
      </c>
      <c r="E87" s="18">
        <v>50</v>
      </c>
      <c r="F87" s="18">
        <v>100</v>
      </c>
      <c r="G87" s="18"/>
      <c r="H87" s="18">
        <v>400</v>
      </c>
      <c r="I87" s="18"/>
      <c r="J87" s="18"/>
      <c r="K87" s="18">
        <v>1350</v>
      </c>
      <c r="L87"/>
      <c r="M87"/>
      <c r="N87"/>
      <c r="O87"/>
      <c r="R87"/>
    </row>
    <row r="88" spans="1:18">
      <c r="A88" s="8" t="s">
        <v>753</v>
      </c>
      <c r="B88" s="18">
        <v>1300</v>
      </c>
      <c r="C88" s="18"/>
      <c r="D88" s="18"/>
      <c r="E88" s="18"/>
      <c r="F88" s="18"/>
      <c r="G88" s="18"/>
      <c r="H88" s="18"/>
      <c r="I88" s="18"/>
      <c r="J88" s="18"/>
      <c r="K88" s="18">
        <v>1300</v>
      </c>
      <c r="L88"/>
      <c r="M88"/>
      <c r="N88"/>
      <c r="O88"/>
      <c r="R88"/>
    </row>
    <row r="89" spans="1:18">
      <c r="A89" s="8" t="s">
        <v>754</v>
      </c>
      <c r="B89" s="18">
        <v>1200</v>
      </c>
      <c r="C89" s="18"/>
      <c r="D89" s="18"/>
      <c r="E89" s="18"/>
      <c r="F89" s="18"/>
      <c r="G89" s="18"/>
      <c r="H89" s="18"/>
      <c r="I89" s="18"/>
      <c r="J89" s="18"/>
      <c r="K89" s="18">
        <v>1200</v>
      </c>
      <c r="L89"/>
      <c r="M89"/>
      <c r="N89"/>
      <c r="O89"/>
      <c r="R89"/>
    </row>
    <row r="90" spans="1:18">
      <c r="A90" s="8" t="s">
        <v>755</v>
      </c>
      <c r="B90" s="18">
        <v>1140.1799999999998</v>
      </c>
      <c r="C90" s="18"/>
      <c r="D90" s="18"/>
      <c r="E90" s="18"/>
      <c r="F90" s="18"/>
      <c r="G90" s="18"/>
      <c r="H90" s="18"/>
      <c r="I90" s="18"/>
      <c r="J90" s="18"/>
      <c r="K90" s="18">
        <v>1140.1799999999998</v>
      </c>
      <c r="L90"/>
      <c r="M90"/>
      <c r="N90"/>
      <c r="O90"/>
      <c r="R90"/>
    </row>
    <row r="91" spans="1:18">
      <c r="A91" s="8" t="s">
        <v>756</v>
      </c>
      <c r="B91" s="18">
        <v>563.75</v>
      </c>
      <c r="C91" s="18">
        <v>73.540000000000006</v>
      </c>
      <c r="D91" s="18"/>
      <c r="E91" s="18">
        <v>160.82999999999998</v>
      </c>
      <c r="F91" s="18">
        <v>81.489999999999995</v>
      </c>
      <c r="G91" s="18">
        <v>81.59</v>
      </c>
      <c r="H91" s="18">
        <v>397.45000000000005</v>
      </c>
      <c r="I91" s="18"/>
      <c r="J91" s="18"/>
      <c r="K91" s="18">
        <v>961.19999999999993</v>
      </c>
      <c r="L91"/>
      <c r="M91"/>
      <c r="N91"/>
      <c r="O91"/>
      <c r="R91"/>
    </row>
    <row r="92" spans="1:18">
      <c r="A92" s="8" t="s">
        <v>757</v>
      </c>
      <c r="B92" s="18">
        <v>913</v>
      </c>
      <c r="C92" s="18"/>
      <c r="D92" s="18"/>
      <c r="E92" s="18"/>
      <c r="F92" s="18"/>
      <c r="G92" s="18"/>
      <c r="H92" s="18"/>
      <c r="I92" s="18"/>
      <c r="J92" s="18"/>
      <c r="K92" s="18">
        <v>913</v>
      </c>
      <c r="L92"/>
      <c r="M92"/>
      <c r="N92"/>
      <c r="O92"/>
      <c r="R92"/>
    </row>
    <row r="93" spans="1:18">
      <c r="A93" s="8" t="s">
        <v>758</v>
      </c>
      <c r="B93" s="18">
        <v>531.92000000000007</v>
      </c>
      <c r="C93" s="18">
        <v>254.44</v>
      </c>
      <c r="D93" s="18"/>
      <c r="E93" s="18"/>
      <c r="F93" s="18"/>
      <c r="G93" s="18"/>
      <c r="H93" s="18">
        <v>254.44</v>
      </c>
      <c r="I93" s="18"/>
      <c r="J93" s="18"/>
      <c r="K93" s="18">
        <v>786.36000000000013</v>
      </c>
      <c r="L93"/>
      <c r="M93"/>
      <c r="N93"/>
      <c r="O93"/>
      <c r="R93"/>
    </row>
    <row r="94" spans="1:18">
      <c r="A94" s="8" t="s">
        <v>759</v>
      </c>
      <c r="B94" s="18">
        <v>785.13999999999987</v>
      </c>
      <c r="C94" s="18"/>
      <c r="D94" s="18"/>
      <c r="E94" s="18"/>
      <c r="F94" s="18"/>
      <c r="G94" s="18"/>
      <c r="H94" s="18"/>
      <c r="I94" s="18"/>
      <c r="J94" s="18"/>
      <c r="K94" s="18">
        <v>785.13999999999987</v>
      </c>
      <c r="L94"/>
      <c r="M94"/>
      <c r="N94"/>
      <c r="O94"/>
      <c r="R94"/>
    </row>
    <row r="95" spans="1:18">
      <c r="A95" s="8" t="s">
        <v>760</v>
      </c>
      <c r="B95" s="18">
        <v>550</v>
      </c>
      <c r="C95" s="18">
        <v>79</v>
      </c>
      <c r="D95" s="18"/>
      <c r="E95" s="18">
        <v>37.67</v>
      </c>
      <c r="F95" s="18">
        <v>90.89</v>
      </c>
      <c r="G95" s="18"/>
      <c r="H95" s="18">
        <v>207.56</v>
      </c>
      <c r="I95" s="18"/>
      <c r="J95" s="18"/>
      <c r="K95" s="18">
        <v>757.56</v>
      </c>
      <c r="L95"/>
      <c r="M95"/>
      <c r="N95"/>
      <c r="O95"/>
      <c r="R95"/>
    </row>
    <row r="96" spans="1:18">
      <c r="A96" s="8" t="s">
        <v>761</v>
      </c>
      <c r="B96" s="18">
        <v>696.63</v>
      </c>
      <c r="C96" s="18"/>
      <c r="D96" s="18"/>
      <c r="E96" s="18"/>
      <c r="F96" s="18"/>
      <c r="G96" s="18"/>
      <c r="H96" s="18"/>
      <c r="I96" s="18"/>
      <c r="J96" s="18"/>
      <c r="K96" s="18">
        <v>696.63</v>
      </c>
      <c r="L96"/>
      <c r="M96"/>
      <c r="N96"/>
      <c r="O96"/>
      <c r="R96"/>
    </row>
    <row r="97" spans="1:18">
      <c r="A97" s="8" t="s">
        <v>762</v>
      </c>
      <c r="B97" s="18">
        <v>650</v>
      </c>
      <c r="C97" s="18"/>
      <c r="D97" s="18"/>
      <c r="E97" s="18"/>
      <c r="F97" s="18"/>
      <c r="G97" s="18"/>
      <c r="H97" s="18"/>
      <c r="I97" s="18"/>
      <c r="J97" s="18"/>
      <c r="K97" s="18">
        <v>650</v>
      </c>
      <c r="L97"/>
      <c r="M97"/>
      <c r="N97"/>
      <c r="O97"/>
      <c r="R97"/>
    </row>
    <row r="98" spans="1:18">
      <c r="A98" s="8" t="s">
        <v>647</v>
      </c>
      <c r="B98" s="18">
        <v>482.16</v>
      </c>
      <c r="C98" s="18"/>
      <c r="D98" s="18">
        <v>39.9</v>
      </c>
      <c r="E98" s="18"/>
      <c r="F98" s="18"/>
      <c r="G98" s="18">
        <v>14.07</v>
      </c>
      <c r="H98" s="18">
        <v>53.97</v>
      </c>
      <c r="I98" s="18"/>
      <c r="J98" s="18"/>
      <c r="K98" s="18">
        <v>536.13000000000011</v>
      </c>
      <c r="L98"/>
      <c r="M98"/>
      <c r="N98"/>
      <c r="O98"/>
      <c r="R98"/>
    </row>
    <row r="99" spans="1:18">
      <c r="A99" s="8" t="s">
        <v>404</v>
      </c>
      <c r="C99" s="18"/>
      <c r="D99" s="18">
        <v>466.28000000000003</v>
      </c>
      <c r="E99" s="18"/>
      <c r="F99" s="18"/>
      <c r="G99" s="18"/>
      <c r="H99" s="18">
        <v>466.28000000000003</v>
      </c>
      <c r="I99" s="18"/>
      <c r="J99" s="18"/>
      <c r="K99" s="18">
        <v>466.28000000000003</v>
      </c>
      <c r="L99"/>
      <c r="M99"/>
      <c r="N99"/>
      <c r="O99"/>
      <c r="R99"/>
    </row>
    <row r="100" spans="1:18">
      <c r="A100" s="8" t="s">
        <v>763</v>
      </c>
      <c r="C100" s="18"/>
      <c r="D100" s="18">
        <v>377.46</v>
      </c>
      <c r="E100" s="18"/>
      <c r="F100" s="18"/>
      <c r="G100" s="18"/>
      <c r="H100" s="18">
        <v>377.46</v>
      </c>
      <c r="I100" s="18"/>
      <c r="J100" s="18"/>
      <c r="K100" s="18">
        <v>377.46</v>
      </c>
      <c r="L100"/>
      <c r="M100"/>
      <c r="N100"/>
      <c r="O100"/>
      <c r="R100"/>
    </row>
    <row r="101" spans="1:18">
      <c r="A101" s="8" t="s">
        <v>764</v>
      </c>
      <c r="B101" s="18">
        <v>120.75999999999999</v>
      </c>
      <c r="C101" s="18"/>
      <c r="D101" s="18"/>
      <c r="E101" s="18"/>
      <c r="F101" s="18">
        <v>250.29000000000002</v>
      </c>
      <c r="G101" s="18"/>
      <c r="H101" s="18">
        <v>250.29000000000002</v>
      </c>
      <c r="I101" s="18"/>
      <c r="J101" s="18"/>
      <c r="K101" s="18">
        <v>371.05</v>
      </c>
      <c r="L101"/>
      <c r="M101"/>
      <c r="N101"/>
      <c r="O101"/>
      <c r="R101"/>
    </row>
    <row r="102" spans="1:18">
      <c r="A102" s="8" t="s">
        <v>476</v>
      </c>
      <c r="C102" s="18"/>
      <c r="D102" s="18"/>
      <c r="E102" s="18">
        <v>190.47</v>
      </c>
      <c r="F102" s="18"/>
      <c r="G102" s="18">
        <v>102.52</v>
      </c>
      <c r="H102" s="18">
        <v>292.99</v>
      </c>
      <c r="I102" s="18"/>
      <c r="J102" s="18"/>
      <c r="K102" s="18">
        <v>292.99</v>
      </c>
      <c r="L102"/>
      <c r="M102"/>
      <c r="N102"/>
      <c r="O102"/>
      <c r="R102"/>
    </row>
    <row r="103" spans="1:18">
      <c r="A103" s="8" t="s">
        <v>765</v>
      </c>
      <c r="B103" s="18">
        <v>268</v>
      </c>
      <c r="C103" s="18"/>
      <c r="D103" s="18"/>
      <c r="E103" s="18"/>
      <c r="F103" s="18"/>
      <c r="G103" s="18"/>
      <c r="H103" s="18"/>
      <c r="I103" s="18"/>
      <c r="J103" s="18"/>
      <c r="K103" s="18">
        <v>268</v>
      </c>
      <c r="L103"/>
      <c r="M103"/>
      <c r="N103"/>
      <c r="O103"/>
      <c r="R103"/>
    </row>
    <row r="104" spans="1:18">
      <c r="A104" s="8" t="s">
        <v>766</v>
      </c>
      <c r="B104" s="18">
        <v>230.91000000000003</v>
      </c>
      <c r="C104" s="18"/>
      <c r="D104" s="18"/>
      <c r="E104" s="18"/>
      <c r="F104" s="18"/>
      <c r="G104" s="18"/>
      <c r="H104" s="18"/>
      <c r="I104" s="18"/>
      <c r="J104" s="18"/>
      <c r="K104" s="18">
        <v>230.91000000000003</v>
      </c>
      <c r="L104"/>
      <c r="M104"/>
      <c r="N104"/>
      <c r="O104"/>
      <c r="R104"/>
    </row>
    <row r="105" spans="1:18">
      <c r="A105" s="8" t="s">
        <v>767</v>
      </c>
      <c r="B105" s="18">
        <v>199.98000000000002</v>
      </c>
      <c r="C105" s="18"/>
      <c r="D105" s="18"/>
      <c r="E105" s="18"/>
      <c r="F105" s="18"/>
      <c r="G105" s="18"/>
      <c r="H105" s="18"/>
      <c r="I105" s="18"/>
      <c r="J105" s="18"/>
      <c r="K105" s="18">
        <v>199.98000000000002</v>
      </c>
      <c r="L105"/>
      <c r="M105"/>
      <c r="N105"/>
      <c r="O105"/>
      <c r="R105"/>
    </row>
    <row r="106" spans="1:18">
      <c r="A106" s="8" t="s">
        <v>768</v>
      </c>
      <c r="B106" s="18">
        <v>141.29000000000002</v>
      </c>
      <c r="C106" s="18"/>
      <c r="D106" s="18"/>
      <c r="E106" s="18"/>
      <c r="F106" s="18"/>
      <c r="G106" s="18"/>
      <c r="H106" s="18"/>
      <c r="I106" s="18"/>
      <c r="J106" s="18"/>
      <c r="K106" s="18">
        <v>141.29000000000002</v>
      </c>
      <c r="L106"/>
      <c r="M106"/>
      <c r="N106"/>
      <c r="O106"/>
      <c r="R106"/>
    </row>
    <row r="107" spans="1:18">
      <c r="A107" s="8" t="s">
        <v>769</v>
      </c>
      <c r="B107" s="18">
        <v>135.52000000000001</v>
      </c>
      <c r="C107" s="18"/>
      <c r="D107" s="18"/>
      <c r="E107" s="18"/>
      <c r="F107" s="18"/>
      <c r="G107" s="18"/>
      <c r="H107" s="18"/>
      <c r="I107" s="18"/>
      <c r="J107" s="18"/>
      <c r="K107" s="18">
        <v>135.52000000000001</v>
      </c>
      <c r="L107"/>
      <c r="M107"/>
      <c r="N107"/>
      <c r="O107"/>
      <c r="R107"/>
    </row>
    <row r="108" spans="1:18">
      <c r="A108" s="8" t="s">
        <v>770</v>
      </c>
      <c r="B108" s="18">
        <v>125.4</v>
      </c>
      <c r="C108" s="18"/>
      <c r="D108" s="18"/>
      <c r="E108" s="18"/>
      <c r="F108" s="18"/>
      <c r="G108" s="18"/>
      <c r="H108" s="18"/>
      <c r="I108" s="18"/>
      <c r="J108" s="18"/>
      <c r="K108" s="18">
        <v>125.4</v>
      </c>
      <c r="L108"/>
      <c r="M108"/>
      <c r="N108"/>
      <c r="O108"/>
      <c r="R108"/>
    </row>
    <row r="109" spans="1:18">
      <c r="A109" s="8" t="s">
        <v>771</v>
      </c>
      <c r="B109" s="18">
        <v>119.34</v>
      </c>
      <c r="C109" s="18"/>
      <c r="D109" s="18"/>
      <c r="E109" s="18"/>
      <c r="F109" s="18"/>
      <c r="G109" s="18"/>
      <c r="H109" s="18"/>
      <c r="I109" s="18"/>
      <c r="J109" s="18"/>
      <c r="K109" s="18">
        <v>119.34</v>
      </c>
      <c r="L109"/>
      <c r="M109"/>
      <c r="N109"/>
      <c r="O109"/>
      <c r="R109"/>
    </row>
    <row r="110" spans="1:18">
      <c r="A110" s="8" t="s">
        <v>772</v>
      </c>
      <c r="B110" s="18">
        <v>113.74</v>
      </c>
      <c r="C110" s="18"/>
      <c r="D110" s="18"/>
      <c r="E110" s="18"/>
      <c r="F110" s="18"/>
      <c r="G110" s="18"/>
      <c r="H110" s="18"/>
      <c r="I110" s="18"/>
      <c r="J110" s="18"/>
      <c r="K110" s="18">
        <v>113.74</v>
      </c>
      <c r="L110"/>
      <c r="M110"/>
      <c r="N110"/>
      <c r="O110"/>
      <c r="R110"/>
    </row>
    <row r="111" spans="1:18">
      <c r="A111" s="8" t="s">
        <v>773</v>
      </c>
      <c r="B111" s="18">
        <v>25.83</v>
      </c>
      <c r="C111" s="18">
        <v>35.08</v>
      </c>
      <c r="D111" s="18"/>
      <c r="E111" s="18"/>
      <c r="F111" s="18"/>
      <c r="G111" s="18"/>
      <c r="H111" s="18">
        <v>35.08</v>
      </c>
      <c r="I111" s="18"/>
      <c r="J111" s="18"/>
      <c r="K111" s="18">
        <v>60.91</v>
      </c>
      <c r="L111"/>
      <c r="M111"/>
      <c r="N111"/>
      <c r="O111"/>
      <c r="R111"/>
    </row>
    <row r="112" spans="1:18">
      <c r="A112" s="8" t="s">
        <v>774</v>
      </c>
      <c r="C112" s="18"/>
      <c r="D112" s="18"/>
      <c r="E112" s="18"/>
      <c r="F112" s="18">
        <v>50</v>
      </c>
      <c r="G112" s="18"/>
      <c r="H112" s="18">
        <v>50</v>
      </c>
      <c r="I112" s="18"/>
      <c r="J112" s="18"/>
      <c r="K112" s="18">
        <v>50</v>
      </c>
      <c r="L112"/>
      <c r="M112"/>
      <c r="N112"/>
      <c r="O112"/>
      <c r="R112"/>
    </row>
    <row r="113" spans="1:18">
      <c r="A113" s="8" t="s">
        <v>775</v>
      </c>
      <c r="B113" s="18">
        <v>48</v>
      </c>
      <c r="C113" s="18"/>
      <c r="D113" s="18"/>
      <c r="E113" s="18"/>
      <c r="F113" s="18"/>
      <c r="G113" s="18"/>
      <c r="H113" s="18"/>
      <c r="I113" s="18"/>
      <c r="J113" s="18"/>
      <c r="K113" s="18">
        <v>48</v>
      </c>
      <c r="L113"/>
      <c r="M113"/>
      <c r="N113"/>
      <c r="O113"/>
      <c r="R113"/>
    </row>
    <row r="114" spans="1:18">
      <c r="A114" s="8" t="s">
        <v>776</v>
      </c>
      <c r="B114" s="18">
        <v>39.9</v>
      </c>
      <c r="C114" s="18"/>
      <c r="D114" s="18"/>
      <c r="E114" s="18"/>
      <c r="F114" s="18"/>
      <c r="G114" s="18"/>
      <c r="H114" s="18"/>
      <c r="I114" s="18"/>
      <c r="J114" s="18"/>
      <c r="K114" s="18">
        <v>39.9</v>
      </c>
      <c r="L114"/>
      <c r="M114"/>
      <c r="N114"/>
      <c r="O114"/>
      <c r="R114"/>
    </row>
    <row r="115" spans="1:18">
      <c r="A115" s="8" t="s">
        <v>654</v>
      </c>
      <c r="C115" s="18"/>
      <c r="D115" s="18"/>
      <c r="E115" s="18">
        <v>36</v>
      </c>
      <c r="F115" s="18"/>
      <c r="G115" s="18"/>
      <c r="H115" s="18">
        <v>36</v>
      </c>
      <c r="I115" s="18"/>
      <c r="J115" s="18"/>
      <c r="K115" s="18">
        <v>36</v>
      </c>
      <c r="L115"/>
      <c r="M115"/>
      <c r="N115"/>
      <c r="O115"/>
      <c r="R115"/>
    </row>
    <row r="116" spans="1:18">
      <c r="A116" s="8" t="s">
        <v>777</v>
      </c>
      <c r="B116" s="18">
        <v>35</v>
      </c>
      <c r="C116" s="18"/>
      <c r="D116" s="18"/>
      <c r="E116" s="18"/>
      <c r="F116" s="18"/>
      <c r="G116" s="18"/>
      <c r="H116" s="18"/>
      <c r="I116" s="18"/>
      <c r="J116" s="18"/>
      <c r="K116" s="18">
        <v>35</v>
      </c>
      <c r="L116"/>
      <c r="M116"/>
      <c r="N116"/>
      <c r="O116"/>
      <c r="R116"/>
    </row>
    <row r="117" spans="1:18">
      <c r="A117" s="8" t="s">
        <v>778</v>
      </c>
      <c r="B117" s="18">
        <v>21.8</v>
      </c>
      <c r="C117" s="18"/>
      <c r="D117" s="18"/>
      <c r="E117" s="18"/>
      <c r="F117" s="18"/>
      <c r="G117" s="18"/>
      <c r="H117" s="18"/>
      <c r="I117" s="18"/>
      <c r="J117" s="18"/>
      <c r="K117" s="18">
        <v>21.8</v>
      </c>
      <c r="L117"/>
      <c r="M117"/>
      <c r="N117"/>
      <c r="O117"/>
      <c r="R117"/>
    </row>
    <row r="118" spans="1:18">
      <c r="A118" s="8" t="s">
        <v>702</v>
      </c>
      <c r="C118" s="18"/>
      <c r="D118" s="18"/>
      <c r="E118" s="18">
        <v>12.5</v>
      </c>
      <c r="F118" s="18"/>
      <c r="G118" s="18"/>
      <c r="H118" s="18">
        <v>12.5</v>
      </c>
      <c r="I118" s="18"/>
      <c r="J118" s="18"/>
      <c r="K118" s="18">
        <v>12.5</v>
      </c>
      <c r="L118"/>
      <c r="M118"/>
      <c r="N118"/>
      <c r="O118"/>
      <c r="R118"/>
    </row>
    <row r="119" spans="1:18">
      <c r="A119" s="8" t="s">
        <v>3</v>
      </c>
      <c r="C119" s="18"/>
      <c r="D119" s="18"/>
      <c r="E119" s="18"/>
      <c r="F119" s="18"/>
      <c r="G119" s="18"/>
      <c r="H119" s="18"/>
      <c r="I119" s="18"/>
      <c r="J119" s="18"/>
      <c r="K119" s="18"/>
      <c r="L119"/>
      <c r="M119"/>
      <c r="N119"/>
      <c r="O119"/>
      <c r="R119"/>
    </row>
    <row r="120" spans="1:18">
      <c r="A120" s="8" t="s">
        <v>317</v>
      </c>
      <c r="C120" s="18"/>
      <c r="D120" s="18"/>
      <c r="E120" s="18">
        <v>0</v>
      </c>
      <c r="F120" s="18"/>
      <c r="G120" s="18"/>
      <c r="H120" s="18">
        <v>0</v>
      </c>
      <c r="I120" s="18"/>
      <c r="J120" s="18"/>
      <c r="K120" s="18">
        <v>0</v>
      </c>
      <c r="L120"/>
      <c r="M120"/>
      <c r="N120"/>
      <c r="O120"/>
      <c r="R120"/>
    </row>
    <row r="121" spans="1:18">
      <c r="A121" s="8" t="s">
        <v>5</v>
      </c>
      <c r="B121" s="18">
        <v>3826158.9500000011</v>
      </c>
      <c r="C121" s="18">
        <v>311536.30999999994</v>
      </c>
      <c r="D121" s="18">
        <v>327176.73000000004</v>
      </c>
      <c r="E121" s="18">
        <v>332050.92</v>
      </c>
      <c r="F121" s="18">
        <v>366849.7699999999</v>
      </c>
      <c r="G121" s="18">
        <v>333682.87000000005</v>
      </c>
      <c r="H121" s="18">
        <v>1671296.6000000003</v>
      </c>
      <c r="I121" s="18"/>
      <c r="J121" s="18"/>
      <c r="K121" s="18">
        <v>5497455.5499999989</v>
      </c>
      <c r="L121"/>
      <c r="M121"/>
      <c r="N121"/>
      <c r="O121"/>
      <c r="R121"/>
    </row>
    <row r="122" spans="1:18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R122"/>
    </row>
    <row r="123" spans="1:18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R123"/>
    </row>
    <row r="124" spans="1:18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R124"/>
    </row>
    <row r="125" spans="1:18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R125"/>
    </row>
    <row r="126" spans="1:18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R126"/>
    </row>
    <row r="127" spans="1:18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R127"/>
    </row>
    <row r="128" spans="1:18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R128"/>
    </row>
    <row r="129" spans="2:18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R129"/>
    </row>
    <row r="130" spans="2:18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R130"/>
    </row>
    <row r="131" spans="2:18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R131"/>
    </row>
    <row r="132" spans="2:18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R132"/>
    </row>
    <row r="133" spans="2:18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R133"/>
    </row>
    <row r="134" spans="2:18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R134"/>
    </row>
    <row r="135" spans="2:18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R135"/>
    </row>
    <row r="136" spans="2:18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R136"/>
    </row>
    <row r="137" spans="2:18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R137"/>
    </row>
    <row r="138" spans="2:18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R138"/>
    </row>
    <row r="139" spans="2:18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R139"/>
    </row>
    <row r="140" spans="2:18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R140"/>
    </row>
    <row r="141" spans="2:18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R141"/>
    </row>
    <row r="142" spans="2:18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R142"/>
    </row>
    <row r="143" spans="2:18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R143"/>
    </row>
    <row r="144" spans="2:18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R144"/>
    </row>
    <row r="145" spans="2:18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R145"/>
    </row>
    <row r="146" spans="2:18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R146"/>
    </row>
    <row r="147" spans="2:18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R147"/>
    </row>
    <row r="148" spans="2:18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R148"/>
    </row>
    <row r="149" spans="2:18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R149"/>
    </row>
    <row r="150" spans="2:18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R150"/>
    </row>
    <row r="151" spans="2:18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R151"/>
    </row>
    <row r="152" spans="2:18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R152"/>
    </row>
    <row r="153" spans="2:18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R153"/>
    </row>
    <row r="154" spans="2:18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R154"/>
    </row>
    <row r="155" spans="2:18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R155"/>
    </row>
    <row r="156" spans="2:18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R156"/>
    </row>
    <row r="157" spans="2:18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R157"/>
    </row>
    <row r="158" spans="2:18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R158"/>
    </row>
    <row r="159" spans="2:18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R159"/>
    </row>
    <row r="160" spans="2:18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R160"/>
    </row>
    <row r="161" spans="2:18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R161"/>
    </row>
    <row r="162" spans="2:18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R162"/>
    </row>
    <row r="163" spans="2:18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R163"/>
    </row>
    <row r="164" spans="2:18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R164"/>
    </row>
    <row r="165" spans="2:18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R165"/>
    </row>
    <row r="166" spans="2:18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R166"/>
    </row>
    <row r="167" spans="2:18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R167"/>
    </row>
    <row r="168" spans="2:18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R168"/>
    </row>
    <row r="169" spans="2:18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R169"/>
    </row>
    <row r="170" spans="2:18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R170"/>
    </row>
    <row r="171" spans="2:18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R171"/>
    </row>
    <row r="172" spans="2:18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R172"/>
    </row>
    <row r="173" spans="2:18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R173"/>
    </row>
    <row r="174" spans="2:18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R174"/>
    </row>
    <row r="175" spans="2:18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R175"/>
    </row>
    <row r="176" spans="2:18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R176"/>
    </row>
    <row r="177" spans="2:18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R177"/>
    </row>
    <row r="178" spans="2:18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R178"/>
    </row>
    <row r="179" spans="2:18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R179"/>
    </row>
    <row r="180" spans="2:18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R180"/>
    </row>
    <row r="181" spans="2:18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R181"/>
    </row>
    <row r="182" spans="2:18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R182"/>
    </row>
    <row r="183" spans="2:18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R183"/>
    </row>
    <row r="184" spans="2:18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R184"/>
    </row>
    <row r="185" spans="2:18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R185"/>
    </row>
    <row r="186" spans="2:18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R186"/>
    </row>
    <row r="187" spans="2:18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R187"/>
    </row>
    <row r="188" spans="2:18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R188"/>
    </row>
    <row r="189" spans="2:18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R189"/>
    </row>
    <row r="190" spans="2:18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R190"/>
    </row>
    <row r="191" spans="2:18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R191"/>
    </row>
    <row r="192" spans="2:18">
      <c r="B192"/>
      <c r="C192"/>
      <c r="D192"/>
      <c r="E192"/>
      <c r="F192"/>
      <c r="G192"/>
      <c r="H192"/>
      <c r="I192"/>
      <c r="J192"/>
      <c r="K192"/>
      <c r="L192"/>
      <c r="M192" s="23"/>
      <c r="O192"/>
    </row>
    <row r="193" spans="2:15">
      <c r="B193"/>
      <c r="C193"/>
      <c r="D193"/>
      <c r="E193"/>
      <c r="F193"/>
      <c r="G193"/>
      <c r="H193"/>
      <c r="I193"/>
      <c r="J193"/>
      <c r="K193"/>
      <c r="L193"/>
      <c r="M193" s="23"/>
      <c r="O193"/>
    </row>
    <row r="194" spans="2:15">
      <c r="B194"/>
      <c r="C194"/>
      <c r="D194"/>
      <c r="E194"/>
      <c r="F194"/>
      <c r="G194"/>
      <c r="H194"/>
      <c r="I194"/>
      <c r="J194"/>
      <c r="K194"/>
      <c r="L194"/>
      <c r="M194" s="23"/>
      <c r="O194"/>
    </row>
    <row r="195" spans="2:15">
      <c r="B195"/>
      <c r="C195"/>
      <c r="D195"/>
      <c r="E195"/>
      <c r="F195"/>
      <c r="G195"/>
      <c r="H195"/>
      <c r="I195"/>
      <c r="J195"/>
      <c r="K195"/>
      <c r="L195"/>
      <c r="M195" s="23"/>
      <c r="O195"/>
    </row>
    <row r="196" spans="2:15">
      <c r="B196"/>
      <c r="C196"/>
      <c r="D196"/>
      <c r="E196"/>
      <c r="F196"/>
      <c r="G196"/>
      <c r="H196"/>
      <c r="I196"/>
      <c r="J196"/>
      <c r="K196"/>
      <c r="L196"/>
      <c r="M196" s="23"/>
    </row>
    <row r="197" spans="2:15">
      <c r="B197"/>
      <c r="C197"/>
      <c r="D197"/>
      <c r="E197"/>
      <c r="F197"/>
      <c r="G197"/>
      <c r="H197"/>
      <c r="I197"/>
      <c r="J197"/>
      <c r="K197"/>
      <c r="L197"/>
      <c r="M197" s="23"/>
    </row>
    <row r="198" spans="2:15">
      <c r="B198"/>
      <c r="C198"/>
      <c r="D198"/>
      <c r="E198"/>
      <c r="F198"/>
      <c r="G198"/>
      <c r="H198"/>
      <c r="I198"/>
      <c r="J198"/>
      <c r="K198"/>
      <c r="L198"/>
      <c r="M198" s="23"/>
    </row>
    <row r="199" spans="2:15">
      <c r="B199"/>
      <c r="C199"/>
      <c r="D199"/>
      <c r="E199"/>
      <c r="F199"/>
      <c r="G199"/>
      <c r="H199"/>
      <c r="I199"/>
      <c r="J199"/>
      <c r="K199"/>
      <c r="L199"/>
      <c r="M199" s="23"/>
    </row>
    <row r="200" spans="2:15">
      <c r="B200"/>
      <c r="C200"/>
      <c r="D200"/>
      <c r="E200"/>
      <c r="F200"/>
      <c r="G200"/>
      <c r="H200"/>
      <c r="I200"/>
      <c r="J200"/>
      <c r="K200"/>
      <c r="L200"/>
      <c r="M200" s="23"/>
    </row>
    <row r="201" spans="2:15">
      <c r="B201"/>
      <c r="C201"/>
      <c r="D201"/>
      <c r="E201"/>
      <c r="F201"/>
      <c r="G201"/>
      <c r="H201"/>
      <c r="I201"/>
      <c r="J201"/>
      <c r="K201"/>
      <c r="L201"/>
      <c r="M201" s="23"/>
    </row>
    <row r="202" spans="2:15">
      <c r="B202"/>
      <c r="C202"/>
      <c r="D202"/>
      <c r="E202"/>
      <c r="F202"/>
      <c r="G202"/>
      <c r="H202"/>
      <c r="I202"/>
      <c r="J202"/>
      <c r="K202"/>
      <c r="L202"/>
      <c r="M202" s="23"/>
    </row>
    <row r="203" spans="2:15">
      <c r="B203"/>
      <c r="C203"/>
      <c r="D203"/>
      <c r="E203"/>
      <c r="F203"/>
      <c r="G203"/>
      <c r="H203"/>
      <c r="I203"/>
      <c r="J203"/>
      <c r="K203"/>
      <c r="L203"/>
      <c r="M203" s="23"/>
    </row>
    <row r="204" spans="2:15">
      <c r="B204"/>
      <c r="C204"/>
      <c r="D204"/>
      <c r="E204"/>
      <c r="F204"/>
      <c r="G204"/>
      <c r="H204"/>
      <c r="I204"/>
      <c r="J204"/>
      <c r="K204"/>
      <c r="L204"/>
      <c r="M204" s="23"/>
    </row>
    <row r="205" spans="2:15">
      <c r="B205"/>
      <c r="C205"/>
      <c r="D205"/>
      <c r="E205"/>
      <c r="F205"/>
      <c r="G205"/>
      <c r="H205"/>
      <c r="I205"/>
      <c r="J205"/>
      <c r="K205"/>
      <c r="L205"/>
      <c r="M205" s="23"/>
    </row>
    <row r="206" spans="2:15">
      <c r="B206"/>
      <c r="C206"/>
      <c r="D206"/>
      <c r="E206"/>
      <c r="F206"/>
      <c r="G206"/>
      <c r="H206"/>
      <c r="I206"/>
      <c r="J206"/>
      <c r="K206"/>
      <c r="L206"/>
      <c r="M206" s="23"/>
    </row>
    <row r="207" spans="2:15">
      <c r="B207"/>
      <c r="C207"/>
      <c r="D207"/>
      <c r="E207"/>
      <c r="F207"/>
      <c r="G207"/>
      <c r="H207"/>
      <c r="I207"/>
      <c r="J207"/>
      <c r="K207"/>
      <c r="L207"/>
      <c r="M207" s="23"/>
    </row>
    <row r="208" spans="2:15">
      <c r="B208"/>
      <c r="C208"/>
      <c r="D208"/>
      <c r="E208"/>
      <c r="F208"/>
      <c r="G208"/>
      <c r="H208"/>
      <c r="I208"/>
      <c r="J208"/>
      <c r="K208"/>
      <c r="L208"/>
      <c r="M208" s="23"/>
    </row>
    <row r="209" spans="2:13">
      <c r="B209"/>
      <c r="C209"/>
      <c r="D209"/>
      <c r="E209"/>
      <c r="F209"/>
      <c r="G209"/>
      <c r="H209"/>
      <c r="I209"/>
      <c r="J209"/>
      <c r="K209"/>
      <c r="L209"/>
      <c r="M209" s="23"/>
    </row>
    <row r="210" spans="2:13">
      <c r="B210"/>
      <c r="C210"/>
      <c r="D210"/>
      <c r="E210"/>
      <c r="F210"/>
      <c r="G210"/>
      <c r="H210"/>
      <c r="I210"/>
      <c r="J210"/>
      <c r="K210"/>
      <c r="L210"/>
      <c r="M210" s="23"/>
    </row>
    <row r="211" spans="2:13">
      <c r="B211"/>
      <c r="C211"/>
      <c r="D211"/>
      <c r="E211"/>
      <c r="F211"/>
      <c r="G211"/>
      <c r="H211"/>
      <c r="I211"/>
      <c r="J211"/>
      <c r="K211"/>
      <c r="L211"/>
      <c r="M211" s="23"/>
    </row>
    <row r="212" spans="2:13">
      <c r="B212"/>
      <c r="C212"/>
      <c r="D212"/>
      <c r="E212"/>
      <c r="F212"/>
      <c r="G212"/>
      <c r="H212"/>
      <c r="I212"/>
      <c r="J212"/>
      <c r="K212"/>
      <c r="L212"/>
      <c r="M212" s="23"/>
    </row>
    <row r="213" spans="2:13">
      <c r="B213"/>
      <c r="C213"/>
      <c r="D213"/>
      <c r="E213"/>
      <c r="F213"/>
      <c r="G213"/>
      <c r="H213"/>
      <c r="I213"/>
      <c r="J213"/>
      <c r="K213"/>
      <c r="L213"/>
      <c r="M213" s="23"/>
    </row>
    <row r="214" spans="2:13">
      <c r="B214"/>
      <c r="C214"/>
      <c r="D214"/>
      <c r="E214"/>
      <c r="F214"/>
      <c r="G214"/>
      <c r="H214"/>
      <c r="I214"/>
      <c r="J214"/>
      <c r="K214"/>
      <c r="L214"/>
      <c r="M214" s="23"/>
    </row>
    <row r="215" spans="2:13">
      <c r="B215"/>
      <c r="C215"/>
      <c r="D215"/>
      <c r="E215"/>
      <c r="F215"/>
      <c r="G215"/>
      <c r="H215"/>
      <c r="I215"/>
      <c r="J215"/>
      <c r="K215"/>
      <c r="L215"/>
      <c r="M215" s="23"/>
    </row>
    <row r="216" spans="2:13">
      <c r="B216"/>
      <c r="C216"/>
      <c r="D216"/>
      <c r="E216"/>
      <c r="F216"/>
      <c r="G216"/>
      <c r="H216"/>
      <c r="I216"/>
      <c r="J216"/>
      <c r="K216"/>
      <c r="L216"/>
      <c r="M216" s="23"/>
    </row>
    <row r="217" spans="2:13">
      <c r="B217"/>
      <c r="C217"/>
      <c r="D217"/>
      <c r="E217"/>
      <c r="F217"/>
      <c r="G217"/>
      <c r="H217"/>
      <c r="I217"/>
      <c r="J217"/>
      <c r="K217"/>
      <c r="L217"/>
      <c r="M217" s="23"/>
    </row>
    <row r="218" spans="2:13">
      <c r="B218"/>
      <c r="C218"/>
      <c r="D218"/>
      <c r="E218"/>
      <c r="F218"/>
      <c r="G218"/>
      <c r="H218"/>
      <c r="I218"/>
      <c r="J218"/>
      <c r="K218"/>
      <c r="L218"/>
      <c r="M218" s="23"/>
    </row>
    <row r="219" spans="2:13">
      <c r="B219"/>
      <c r="C219"/>
      <c r="D219"/>
      <c r="E219"/>
      <c r="F219"/>
      <c r="G219"/>
      <c r="H219"/>
      <c r="I219"/>
      <c r="J219"/>
      <c r="K219"/>
      <c r="L219"/>
      <c r="M219" s="23"/>
    </row>
    <row r="220" spans="2:13">
      <c r="B220"/>
      <c r="C220"/>
      <c r="D220"/>
      <c r="E220"/>
      <c r="F220"/>
      <c r="G220"/>
      <c r="H220"/>
      <c r="I220"/>
      <c r="J220"/>
      <c r="K220"/>
      <c r="L220"/>
      <c r="M220" s="23"/>
    </row>
    <row r="221" spans="2:13">
      <c r="B221"/>
      <c r="C221"/>
      <c r="D221"/>
      <c r="E221"/>
      <c r="F221"/>
      <c r="G221"/>
      <c r="H221"/>
      <c r="I221"/>
      <c r="J221"/>
      <c r="K221"/>
      <c r="L221"/>
      <c r="M221" s="23"/>
    </row>
    <row r="222" spans="2:13">
      <c r="B222"/>
      <c r="C222"/>
      <c r="D222"/>
      <c r="E222"/>
      <c r="F222"/>
      <c r="G222"/>
      <c r="H222"/>
      <c r="I222"/>
      <c r="J222"/>
      <c r="K222"/>
      <c r="L222"/>
      <c r="M222" s="23"/>
    </row>
    <row r="223" spans="2:13">
      <c r="B223"/>
      <c r="C223"/>
      <c r="D223"/>
      <c r="E223"/>
      <c r="F223"/>
      <c r="G223"/>
      <c r="H223"/>
      <c r="I223"/>
      <c r="J223"/>
      <c r="K223"/>
      <c r="L223"/>
      <c r="M223" s="23"/>
    </row>
    <row r="224" spans="2:13">
      <c r="B224"/>
      <c r="C224"/>
      <c r="D224"/>
      <c r="E224"/>
      <c r="F224"/>
      <c r="G224"/>
      <c r="H224"/>
      <c r="I224"/>
      <c r="J224"/>
      <c r="K224"/>
      <c r="L224"/>
      <c r="M224" s="23"/>
    </row>
    <row r="225" spans="2:13">
      <c r="B225"/>
      <c r="C225"/>
      <c r="D225"/>
      <c r="E225"/>
      <c r="F225"/>
      <c r="G225"/>
      <c r="H225"/>
      <c r="I225"/>
      <c r="J225"/>
      <c r="K225"/>
      <c r="L225"/>
      <c r="M225" s="23"/>
    </row>
    <row r="226" spans="2:13">
      <c r="B226"/>
      <c r="C226"/>
      <c r="D226"/>
      <c r="E226"/>
      <c r="F226"/>
      <c r="G226"/>
      <c r="H226"/>
      <c r="I226"/>
      <c r="J226"/>
      <c r="K226"/>
      <c r="L226"/>
      <c r="M226" s="23"/>
    </row>
    <row r="227" spans="2:13">
      <c r="B227"/>
      <c r="C227"/>
      <c r="D227"/>
      <c r="E227"/>
      <c r="F227"/>
      <c r="G227"/>
      <c r="H227"/>
      <c r="I227"/>
      <c r="J227"/>
      <c r="K227"/>
      <c r="L227"/>
      <c r="M227" s="23"/>
    </row>
    <row r="228" spans="2:13">
      <c r="B228"/>
      <c r="C228"/>
      <c r="D228"/>
      <c r="E228"/>
      <c r="F228"/>
      <c r="G228"/>
      <c r="H228"/>
      <c r="I228"/>
      <c r="J228"/>
      <c r="K228"/>
      <c r="L228"/>
      <c r="M228" s="23"/>
    </row>
    <row r="229" spans="2:13">
      <c r="B229"/>
      <c r="C229"/>
      <c r="D229"/>
      <c r="E229"/>
      <c r="F229"/>
      <c r="G229"/>
      <c r="H229"/>
      <c r="I229"/>
      <c r="J229"/>
      <c r="K229"/>
      <c r="L229"/>
      <c r="M229" s="23"/>
    </row>
    <row r="230" spans="2:13">
      <c r="B230"/>
      <c r="C230"/>
      <c r="D230"/>
      <c r="E230"/>
      <c r="F230"/>
      <c r="G230"/>
      <c r="H230"/>
      <c r="I230"/>
      <c r="J230"/>
      <c r="K230"/>
      <c r="L230"/>
      <c r="M230" s="23"/>
    </row>
    <row r="231" spans="2:13">
      <c r="B231"/>
      <c r="C231"/>
      <c r="D231"/>
      <c r="E231"/>
      <c r="F231"/>
      <c r="G231"/>
      <c r="H231"/>
      <c r="I231"/>
      <c r="J231"/>
      <c r="K231"/>
      <c r="L231"/>
      <c r="M231" s="23"/>
    </row>
    <row r="232" spans="2:13">
      <c r="B232"/>
      <c r="C232"/>
      <c r="D232"/>
      <c r="E232"/>
      <c r="F232"/>
      <c r="G232"/>
      <c r="H232"/>
      <c r="I232"/>
      <c r="J232"/>
      <c r="K232"/>
      <c r="L232"/>
      <c r="M232" s="23"/>
    </row>
    <row r="233" spans="2:13">
      <c r="B233"/>
      <c r="C233"/>
      <c r="D233"/>
      <c r="E233"/>
      <c r="F233"/>
      <c r="G233"/>
      <c r="H233"/>
      <c r="I233"/>
      <c r="J233"/>
      <c r="K233"/>
      <c r="L233"/>
      <c r="M233" s="23"/>
    </row>
    <row r="234" spans="2:13">
      <c r="B234"/>
      <c r="C234"/>
      <c r="D234"/>
      <c r="E234"/>
      <c r="F234"/>
      <c r="G234"/>
      <c r="H234"/>
      <c r="I234"/>
      <c r="J234"/>
      <c r="K234"/>
      <c r="L234"/>
      <c r="M234" s="23"/>
    </row>
    <row r="235" spans="2:13">
      <c r="B235"/>
      <c r="C235"/>
      <c r="D235"/>
      <c r="E235"/>
      <c r="F235"/>
      <c r="G235"/>
      <c r="H235"/>
      <c r="I235"/>
      <c r="J235"/>
      <c r="K235"/>
      <c r="L235"/>
      <c r="M235" s="23"/>
    </row>
    <row r="236" spans="2:13">
      <c r="B236"/>
      <c r="C236"/>
      <c r="D236"/>
      <c r="E236"/>
      <c r="F236"/>
      <c r="G236"/>
      <c r="H236"/>
      <c r="I236"/>
      <c r="J236"/>
      <c r="K236"/>
      <c r="L236"/>
      <c r="M236" s="23"/>
    </row>
    <row r="237" spans="2:13">
      <c r="B237"/>
      <c r="C237"/>
      <c r="D237"/>
      <c r="E237"/>
      <c r="F237"/>
      <c r="G237"/>
      <c r="H237"/>
      <c r="I237"/>
      <c r="J237"/>
      <c r="K237"/>
      <c r="L237"/>
      <c r="M237" s="23"/>
    </row>
    <row r="238" spans="2:13">
      <c r="B238"/>
      <c r="C238"/>
      <c r="D238"/>
      <c r="E238"/>
      <c r="F238"/>
      <c r="G238"/>
      <c r="H238"/>
      <c r="I238"/>
      <c r="J238"/>
      <c r="K238"/>
      <c r="L238"/>
      <c r="M238" s="23"/>
    </row>
    <row r="239" spans="2:13">
      <c r="B239"/>
      <c r="C239"/>
      <c r="D239"/>
      <c r="E239"/>
      <c r="F239"/>
      <c r="G239"/>
      <c r="H239"/>
      <c r="I239"/>
      <c r="J239"/>
      <c r="K239"/>
      <c r="L239"/>
      <c r="M239" s="23"/>
    </row>
    <row r="240" spans="2:13">
      <c r="B240"/>
      <c r="C240"/>
      <c r="D240"/>
      <c r="E240"/>
      <c r="F240"/>
      <c r="G240"/>
      <c r="H240"/>
      <c r="I240"/>
      <c r="J240"/>
      <c r="K240"/>
      <c r="L240"/>
      <c r="M240" s="23"/>
    </row>
    <row r="241" spans="2:13">
      <c r="B241"/>
      <c r="C241"/>
      <c r="D241"/>
      <c r="E241"/>
      <c r="F241"/>
      <c r="G241"/>
      <c r="H241"/>
      <c r="I241"/>
      <c r="J241"/>
      <c r="K241"/>
      <c r="L241"/>
      <c r="M241" s="23"/>
    </row>
    <row r="242" spans="2:13">
      <c r="B242"/>
      <c r="C242"/>
      <c r="D242"/>
      <c r="E242"/>
      <c r="F242"/>
      <c r="G242"/>
      <c r="H242"/>
      <c r="I242"/>
      <c r="J242"/>
      <c r="K242"/>
      <c r="L242"/>
      <c r="M242" s="23"/>
    </row>
    <row r="243" spans="2:13">
      <c r="B243"/>
      <c r="C243"/>
      <c r="D243"/>
      <c r="E243"/>
      <c r="F243"/>
      <c r="G243"/>
      <c r="H243"/>
      <c r="I243"/>
      <c r="J243"/>
      <c r="K243"/>
      <c r="L243"/>
      <c r="M243" s="23"/>
    </row>
    <row r="244" spans="2:13">
      <c r="B244"/>
      <c r="C244"/>
      <c r="D244"/>
      <c r="E244"/>
      <c r="F244"/>
      <c r="G244"/>
      <c r="H244"/>
      <c r="I244"/>
      <c r="J244"/>
      <c r="K244"/>
      <c r="L244"/>
      <c r="M244" s="23"/>
    </row>
    <row r="245" spans="2:13">
      <c r="B245"/>
      <c r="C245"/>
      <c r="D245"/>
      <c r="E245"/>
      <c r="F245"/>
      <c r="G245"/>
      <c r="H245"/>
      <c r="I245"/>
      <c r="J245"/>
      <c r="K245"/>
      <c r="L245"/>
      <c r="M245" s="23"/>
    </row>
    <row r="246" spans="2:13">
      <c r="B246"/>
      <c r="C246"/>
      <c r="D246"/>
      <c r="E246"/>
      <c r="F246"/>
      <c r="G246"/>
      <c r="H246"/>
      <c r="I246"/>
      <c r="J246"/>
      <c r="K246"/>
      <c r="L246"/>
      <c r="M246" s="23"/>
    </row>
    <row r="247" spans="2:13">
      <c r="B247"/>
      <c r="C247"/>
      <c r="D247"/>
      <c r="E247"/>
      <c r="F247"/>
      <c r="G247"/>
      <c r="H247"/>
      <c r="I247"/>
      <c r="J247"/>
      <c r="K247"/>
      <c r="L247"/>
      <c r="M247" s="23"/>
    </row>
    <row r="248" spans="2:13">
      <c r="B248"/>
      <c r="C248"/>
      <c r="D248"/>
      <c r="E248"/>
      <c r="F248"/>
      <c r="G248"/>
      <c r="H248"/>
      <c r="I248"/>
      <c r="J248"/>
      <c r="K248"/>
      <c r="L248"/>
      <c r="M248" s="23"/>
    </row>
    <row r="249" spans="2:13">
      <c r="B249"/>
      <c r="C249"/>
      <c r="D249"/>
      <c r="E249"/>
      <c r="F249"/>
      <c r="G249"/>
      <c r="H249"/>
      <c r="I249"/>
      <c r="J249"/>
      <c r="K249"/>
      <c r="L249"/>
      <c r="M249" s="23"/>
    </row>
    <row r="250" spans="2:13">
      <c r="B250"/>
      <c r="C250"/>
      <c r="D250"/>
      <c r="E250"/>
      <c r="F250"/>
      <c r="G250"/>
      <c r="H250"/>
      <c r="I250"/>
      <c r="J250"/>
      <c r="K250"/>
      <c r="L250"/>
      <c r="M250" s="23"/>
    </row>
    <row r="251" spans="2:13">
      <c r="B251"/>
      <c r="C251"/>
      <c r="D251"/>
      <c r="E251"/>
      <c r="F251"/>
      <c r="G251"/>
      <c r="H251"/>
      <c r="I251"/>
      <c r="J251"/>
      <c r="K251"/>
      <c r="L251"/>
      <c r="M251" s="23"/>
    </row>
    <row r="252" spans="2:13">
      <c r="B252"/>
      <c r="C252"/>
      <c r="D252"/>
      <c r="E252"/>
      <c r="F252"/>
      <c r="G252"/>
      <c r="H252"/>
      <c r="I252"/>
      <c r="J252"/>
      <c r="K252"/>
      <c r="L252"/>
      <c r="M252" s="23"/>
    </row>
    <row r="253" spans="2:13">
      <c r="B253"/>
      <c r="C253"/>
      <c r="D253"/>
      <c r="E253"/>
      <c r="F253"/>
      <c r="G253"/>
      <c r="H253"/>
      <c r="I253"/>
      <c r="J253"/>
      <c r="K253"/>
      <c r="L253"/>
      <c r="M253" s="23"/>
    </row>
    <row r="254" spans="2:13">
      <c r="B254"/>
      <c r="C254"/>
      <c r="D254"/>
      <c r="E254"/>
      <c r="F254"/>
      <c r="G254"/>
      <c r="H254"/>
      <c r="I254"/>
      <c r="J254"/>
      <c r="K254"/>
      <c r="L254"/>
      <c r="M254" s="23"/>
    </row>
    <row r="255" spans="2:13">
      <c r="B255"/>
      <c r="C255"/>
      <c r="D255"/>
      <c r="E255"/>
      <c r="F255"/>
      <c r="G255"/>
      <c r="H255"/>
      <c r="I255"/>
      <c r="J255"/>
      <c r="K255"/>
      <c r="L255"/>
      <c r="M255" s="23"/>
    </row>
    <row r="256" spans="2:13">
      <c r="B256"/>
      <c r="C256"/>
      <c r="D256"/>
      <c r="E256"/>
      <c r="F256"/>
      <c r="G256"/>
      <c r="H256"/>
      <c r="I256"/>
      <c r="J256"/>
      <c r="K256"/>
      <c r="L256"/>
      <c r="M256" s="23"/>
    </row>
    <row r="257" spans="2:13">
      <c r="B257"/>
      <c r="C257"/>
      <c r="D257"/>
      <c r="E257"/>
      <c r="F257"/>
      <c r="G257"/>
      <c r="H257"/>
      <c r="I257"/>
      <c r="J257"/>
      <c r="K257"/>
      <c r="L257"/>
      <c r="M257" s="23"/>
    </row>
    <row r="258" spans="2:13">
      <c r="B258"/>
      <c r="C258"/>
      <c r="D258"/>
      <c r="E258"/>
      <c r="F258"/>
      <c r="G258"/>
      <c r="H258"/>
      <c r="I258"/>
      <c r="J258"/>
      <c r="K258"/>
      <c r="L258"/>
      <c r="M258" s="23"/>
    </row>
    <row r="259" spans="2:13">
      <c r="B259"/>
      <c r="C259"/>
      <c r="D259"/>
      <c r="E259"/>
      <c r="F259"/>
      <c r="G259"/>
      <c r="H259"/>
      <c r="I259"/>
      <c r="J259"/>
      <c r="K259"/>
      <c r="L259"/>
      <c r="M259" s="23"/>
    </row>
    <row r="260" spans="2:13">
      <c r="B260"/>
      <c r="C260"/>
      <c r="D260"/>
      <c r="E260"/>
      <c r="F260"/>
      <c r="G260"/>
      <c r="H260"/>
      <c r="I260"/>
      <c r="J260"/>
      <c r="K260"/>
      <c r="L260"/>
      <c r="M260" s="23"/>
    </row>
    <row r="261" spans="2:13">
      <c r="B261"/>
      <c r="C261"/>
      <c r="D261"/>
      <c r="E261"/>
      <c r="F261"/>
      <c r="G261"/>
      <c r="H261"/>
      <c r="I261"/>
      <c r="J261"/>
      <c r="K261"/>
      <c r="L261"/>
      <c r="M261" s="23"/>
    </row>
    <row r="262" spans="2:13">
      <c r="B262"/>
      <c r="C262"/>
      <c r="D262"/>
      <c r="E262"/>
      <c r="F262"/>
      <c r="G262"/>
      <c r="H262"/>
      <c r="I262"/>
      <c r="J262"/>
      <c r="K262"/>
    </row>
    <row r="263" spans="2:13">
      <c r="B263"/>
      <c r="C263"/>
      <c r="D263"/>
      <c r="E263"/>
      <c r="F263"/>
      <c r="G263"/>
      <c r="H263"/>
      <c r="I263"/>
      <c r="J263"/>
      <c r="K263"/>
    </row>
    <row r="264" spans="2:13">
      <c r="B264"/>
      <c r="C264"/>
      <c r="D264"/>
      <c r="E264"/>
      <c r="F264"/>
      <c r="G264"/>
      <c r="H264"/>
      <c r="I264"/>
      <c r="J264"/>
      <c r="K264"/>
    </row>
    <row r="265" spans="2:13">
      <c r="B265"/>
      <c r="C265"/>
      <c r="D265"/>
      <c r="E265"/>
      <c r="F265"/>
      <c r="G265"/>
      <c r="H265"/>
      <c r="I265"/>
      <c r="J265"/>
      <c r="K265"/>
    </row>
    <row r="266" spans="2:13">
      <c r="B266"/>
      <c r="C266"/>
      <c r="D266"/>
      <c r="E266"/>
      <c r="F266"/>
      <c r="G266"/>
      <c r="H266"/>
      <c r="I266"/>
      <c r="J266"/>
      <c r="K266"/>
    </row>
    <row r="267" spans="2:13">
      <c r="B267"/>
      <c r="C267"/>
      <c r="D267"/>
      <c r="E267"/>
      <c r="F267"/>
      <c r="G267"/>
      <c r="H267"/>
      <c r="I267"/>
      <c r="J267"/>
      <c r="K267"/>
    </row>
    <row r="268" spans="2:13">
      <c r="B268"/>
      <c r="C268"/>
      <c r="D268"/>
      <c r="E268"/>
      <c r="F268"/>
      <c r="G268"/>
      <c r="H268"/>
      <c r="I268"/>
      <c r="J268"/>
      <c r="K268"/>
    </row>
  </sheetData>
  <autoFilter ref="O12:O107" xr:uid="{90FCD5CF-1081-4D1B-B130-D179700EAC51}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E4BE-0314-4547-BF92-A302642D825D}">
  <sheetPr filterMode="1"/>
  <dimension ref="A1:M5339"/>
  <sheetViews>
    <sheetView showOutlineSymbols="0" zoomScaleNormal="100" workbookViewId="0">
      <pane ySplit="1" topLeftCell="A5164" activePane="bottomLeft" state="frozen"/>
      <selection pane="bottomLeft" activeCell="G5164" sqref="G5164:G5317"/>
    </sheetView>
  </sheetViews>
  <sheetFormatPr defaultColWidth="18.42578125" defaultRowHeight="12.75" customHeight="1"/>
  <cols>
    <col min="1" max="1" width="8.85546875" customWidth="1"/>
    <col min="2" max="2" width="36.140625" customWidth="1"/>
    <col min="3" max="3" width="37.28515625" customWidth="1"/>
    <col min="4" max="4" width="10.7109375" bestFit="1" customWidth="1"/>
    <col min="5" max="5" width="13" style="6" bestFit="1" customWidth="1"/>
    <col min="6" max="6" width="12.28515625" style="6" bestFit="1" customWidth="1"/>
    <col min="7" max="7" width="13" style="18" bestFit="1" customWidth="1"/>
    <col min="11" max="11" width="25.5703125" style="32" customWidth="1"/>
    <col min="13" max="13" width="9.7109375" customWidth="1"/>
    <col min="14" max="14" width="36.5703125" bestFit="1" customWidth="1"/>
  </cols>
  <sheetData>
    <row r="1" spans="1:13">
      <c r="A1" t="s">
        <v>779</v>
      </c>
      <c r="B1" t="s">
        <v>780</v>
      </c>
      <c r="C1" t="s">
        <v>781</v>
      </c>
      <c r="D1" t="s">
        <v>782</v>
      </c>
      <c r="E1" s="6" t="s">
        <v>783</v>
      </c>
      <c r="F1" s="6" t="s">
        <v>784</v>
      </c>
      <c r="G1" s="18" t="s">
        <v>785</v>
      </c>
      <c r="H1" t="s">
        <v>786</v>
      </c>
      <c r="I1" t="s">
        <v>787</v>
      </c>
      <c r="J1" t="s">
        <v>788</v>
      </c>
      <c r="K1" s="32" t="s">
        <v>789</v>
      </c>
      <c r="L1" t="s">
        <v>790</v>
      </c>
      <c r="M1" t="s">
        <v>791</v>
      </c>
    </row>
    <row r="2" spans="1:13" hidden="1">
      <c r="A2" t="s">
        <v>792</v>
      </c>
      <c r="B2" t="s">
        <v>35</v>
      </c>
      <c r="C2" t="s">
        <v>206</v>
      </c>
      <c r="D2" t="s">
        <v>793</v>
      </c>
      <c r="E2" s="1">
        <v>45659</v>
      </c>
      <c r="F2" s="1">
        <v>45659</v>
      </c>
      <c r="G2" s="12">
        <v>1000</v>
      </c>
      <c r="H2" s="2">
        <v>0</v>
      </c>
      <c r="I2" s="2">
        <v>0</v>
      </c>
      <c r="J2" s="2">
        <v>0</v>
      </c>
      <c r="K2" s="20">
        <v>1000</v>
      </c>
      <c r="L2" t="s">
        <v>794</v>
      </c>
      <c r="M2">
        <f>YEAR(F2)</f>
        <v>2025</v>
      </c>
    </row>
    <row r="3" spans="1:13" hidden="1">
      <c r="A3" t="s">
        <v>795</v>
      </c>
      <c r="B3" t="s">
        <v>258</v>
      </c>
      <c r="C3" t="s">
        <v>139</v>
      </c>
      <c r="D3" t="s">
        <v>793</v>
      </c>
      <c r="E3" s="1">
        <v>45659</v>
      </c>
      <c r="F3" s="1">
        <v>45659</v>
      </c>
      <c r="G3" s="12">
        <v>183.6</v>
      </c>
      <c r="H3" s="2">
        <v>0</v>
      </c>
      <c r="I3" s="2">
        <v>0</v>
      </c>
      <c r="J3" s="2">
        <v>0</v>
      </c>
      <c r="K3" s="20">
        <v>183.6</v>
      </c>
      <c r="L3" t="s">
        <v>794</v>
      </c>
      <c r="M3">
        <f t="shared" ref="M3:M66" si="0">YEAR(F3)</f>
        <v>2025</v>
      </c>
    </row>
    <row r="4" spans="1:13" hidden="1">
      <c r="A4" t="s">
        <v>796</v>
      </c>
      <c r="B4" t="s">
        <v>181</v>
      </c>
      <c r="C4" t="s">
        <v>139</v>
      </c>
      <c r="D4" t="s">
        <v>793</v>
      </c>
      <c r="E4" s="1">
        <v>45659</v>
      </c>
      <c r="F4" s="1">
        <v>45659</v>
      </c>
      <c r="G4" s="12">
        <v>63.6</v>
      </c>
      <c r="H4" s="2">
        <v>0</v>
      </c>
      <c r="I4" s="2">
        <v>0</v>
      </c>
      <c r="J4" s="2">
        <v>0</v>
      </c>
      <c r="K4" s="20">
        <v>63.6</v>
      </c>
      <c r="L4" t="s">
        <v>794</v>
      </c>
      <c r="M4">
        <f t="shared" si="0"/>
        <v>2025</v>
      </c>
    </row>
    <row r="5" spans="1:13" hidden="1">
      <c r="A5" t="s">
        <v>797</v>
      </c>
      <c r="B5" t="s">
        <v>25</v>
      </c>
      <c r="C5" t="s">
        <v>206</v>
      </c>
      <c r="D5" t="s">
        <v>793</v>
      </c>
      <c r="E5" s="1">
        <v>45659</v>
      </c>
      <c r="F5" s="1">
        <v>45659</v>
      </c>
      <c r="G5" s="12">
        <v>1000</v>
      </c>
      <c r="H5" s="2">
        <v>0</v>
      </c>
      <c r="I5" s="2">
        <v>0</v>
      </c>
      <c r="J5" s="2">
        <v>0</v>
      </c>
      <c r="K5" s="20">
        <v>1000</v>
      </c>
      <c r="L5" t="s">
        <v>794</v>
      </c>
      <c r="M5">
        <f t="shared" si="0"/>
        <v>2025</v>
      </c>
    </row>
    <row r="6" spans="1:13" hidden="1">
      <c r="A6" t="s">
        <v>797</v>
      </c>
      <c r="B6" t="s">
        <v>25</v>
      </c>
      <c r="C6" t="s">
        <v>206</v>
      </c>
      <c r="D6" t="s">
        <v>793</v>
      </c>
      <c r="E6" s="1">
        <v>45659</v>
      </c>
      <c r="F6" s="1">
        <v>45659</v>
      </c>
      <c r="G6" s="12">
        <v>2288.3000000000002</v>
      </c>
      <c r="H6" s="2">
        <v>0</v>
      </c>
      <c r="I6" s="2">
        <v>0</v>
      </c>
      <c r="J6" s="2">
        <v>0</v>
      </c>
      <c r="K6" s="20">
        <v>2288.3000000000002</v>
      </c>
      <c r="L6" t="s">
        <v>794</v>
      </c>
      <c r="M6">
        <f t="shared" si="0"/>
        <v>2025</v>
      </c>
    </row>
    <row r="7" spans="1:13" hidden="1">
      <c r="A7" t="s">
        <v>792</v>
      </c>
      <c r="B7" t="s">
        <v>35</v>
      </c>
      <c r="C7" t="s">
        <v>206</v>
      </c>
      <c r="D7" t="s">
        <v>793</v>
      </c>
      <c r="E7" s="1">
        <v>45659</v>
      </c>
      <c r="F7" s="1">
        <v>45659</v>
      </c>
      <c r="G7" s="12">
        <v>1211.7</v>
      </c>
      <c r="H7" s="2">
        <v>0</v>
      </c>
      <c r="I7" s="2">
        <v>0</v>
      </c>
      <c r="J7" s="2">
        <v>0</v>
      </c>
      <c r="K7" s="20">
        <v>1211.7</v>
      </c>
      <c r="L7" t="s">
        <v>794</v>
      </c>
      <c r="M7">
        <f t="shared" si="0"/>
        <v>2025</v>
      </c>
    </row>
    <row r="8" spans="1:13" hidden="1">
      <c r="A8" t="s">
        <v>798</v>
      </c>
      <c r="B8" t="s">
        <v>481</v>
      </c>
      <c r="C8" t="s">
        <v>139</v>
      </c>
      <c r="D8" t="s">
        <v>793</v>
      </c>
      <c r="E8" s="1">
        <v>45659</v>
      </c>
      <c r="F8" s="1">
        <v>45659</v>
      </c>
      <c r="G8" s="12">
        <v>165.8</v>
      </c>
      <c r="H8" s="2">
        <v>0</v>
      </c>
      <c r="I8" s="2">
        <v>0</v>
      </c>
      <c r="J8" s="2">
        <v>0</v>
      </c>
      <c r="K8" s="20">
        <v>165.8</v>
      </c>
      <c r="L8" t="s">
        <v>794</v>
      </c>
      <c r="M8">
        <f t="shared" si="0"/>
        <v>2025</v>
      </c>
    </row>
    <row r="9" spans="1:13" hidden="1">
      <c r="A9" t="s">
        <v>799</v>
      </c>
      <c r="B9" t="s">
        <v>24</v>
      </c>
      <c r="C9" t="s">
        <v>139</v>
      </c>
      <c r="D9" t="s">
        <v>793</v>
      </c>
      <c r="E9" s="1">
        <v>45659</v>
      </c>
      <c r="F9" s="1">
        <v>45659</v>
      </c>
      <c r="G9" s="12">
        <v>2737.9</v>
      </c>
      <c r="H9" s="2">
        <v>0</v>
      </c>
      <c r="I9" s="2">
        <v>0</v>
      </c>
      <c r="J9" s="2">
        <v>0</v>
      </c>
      <c r="K9" s="20">
        <v>2737.9</v>
      </c>
      <c r="L9" t="s">
        <v>794</v>
      </c>
      <c r="M9">
        <f t="shared" si="0"/>
        <v>2025</v>
      </c>
    </row>
    <row r="10" spans="1:13" hidden="1">
      <c r="A10" t="s">
        <v>800</v>
      </c>
      <c r="B10" t="s">
        <v>85</v>
      </c>
      <c r="C10" t="s">
        <v>398</v>
      </c>
      <c r="D10" t="s">
        <v>793</v>
      </c>
      <c r="E10" s="1">
        <v>45659</v>
      </c>
      <c r="F10" s="1">
        <v>45659</v>
      </c>
      <c r="G10" s="12">
        <v>900</v>
      </c>
      <c r="H10" s="2">
        <v>0</v>
      </c>
      <c r="I10" s="2">
        <v>0</v>
      </c>
      <c r="J10" s="2">
        <v>0</v>
      </c>
      <c r="K10" s="20">
        <v>900</v>
      </c>
      <c r="L10" t="s">
        <v>794</v>
      </c>
      <c r="M10">
        <f t="shared" si="0"/>
        <v>2025</v>
      </c>
    </row>
    <row r="11" spans="1:13" hidden="1">
      <c r="A11" t="s">
        <v>801</v>
      </c>
      <c r="B11" t="s">
        <v>13</v>
      </c>
      <c r="C11" t="s">
        <v>726</v>
      </c>
      <c r="D11" t="s">
        <v>793</v>
      </c>
      <c r="E11" s="1">
        <v>45660</v>
      </c>
      <c r="F11" s="1">
        <v>45660</v>
      </c>
      <c r="G11" s="12">
        <v>1.79</v>
      </c>
      <c r="H11" s="2">
        <v>0</v>
      </c>
      <c r="I11" s="2">
        <v>0</v>
      </c>
      <c r="J11" s="2">
        <v>0</v>
      </c>
      <c r="K11" s="20">
        <v>1.79</v>
      </c>
      <c r="L11" t="s">
        <v>794</v>
      </c>
      <c r="M11">
        <f t="shared" si="0"/>
        <v>2025</v>
      </c>
    </row>
    <row r="12" spans="1:13" hidden="1">
      <c r="A12" t="s">
        <v>801</v>
      </c>
      <c r="B12" t="s">
        <v>13</v>
      </c>
      <c r="C12" t="s">
        <v>740</v>
      </c>
      <c r="D12" t="s">
        <v>793</v>
      </c>
      <c r="E12" s="1">
        <v>45660</v>
      </c>
      <c r="F12" s="1">
        <v>45660</v>
      </c>
      <c r="G12" s="12">
        <v>93.66</v>
      </c>
      <c r="H12" s="2">
        <v>0</v>
      </c>
      <c r="I12" s="2">
        <v>0</v>
      </c>
      <c r="J12" s="2">
        <v>0</v>
      </c>
      <c r="K12" s="20">
        <v>93.66</v>
      </c>
      <c r="L12" t="s">
        <v>794</v>
      </c>
      <c r="M12">
        <f t="shared" si="0"/>
        <v>2025</v>
      </c>
    </row>
    <row r="13" spans="1:13" hidden="1">
      <c r="A13" t="s">
        <v>802</v>
      </c>
      <c r="B13" t="s">
        <v>121</v>
      </c>
      <c r="C13" t="s">
        <v>142</v>
      </c>
      <c r="D13" t="s">
        <v>793</v>
      </c>
      <c r="E13" s="1">
        <v>45660</v>
      </c>
      <c r="F13" s="1">
        <v>45660</v>
      </c>
      <c r="G13" s="12">
        <v>30</v>
      </c>
      <c r="H13" s="2">
        <v>0</v>
      </c>
      <c r="I13" s="2">
        <v>0</v>
      </c>
      <c r="J13" s="2">
        <v>0</v>
      </c>
      <c r="K13" s="20">
        <v>30</v>
      </c>
      <c r="L13" t="s">
        <v>794</v>
      </c>
      <c r="M13">
        <f t="shared" si="0"/>
        <v>2025</v>
      </c>
    </row>
    <row r="14" spans="1:13" hidden="1">
      <c r="A14" t="s">
        <v>801</v>
      </c>
      <c r="B14" t="s">
        <v>13</v>
      </c>
      <c r="C14" t="s">
        <v>740</v>
      </c>
      <c r="D14" t="s">
        <v>793</v>
      </c>
      <c r="E14" s="1">
        <v>45660</v>
      </c>
      <c r="F14" s="1">
        <v>45660</v>
      </c>
      <c r="G14" s="12">
        <v>212.68</v>
      </c>
      <c r="H14" s="2">
        <v>0</v>
      </c>
      <c r="I14" s="2">
        <v>0</v>
      </c>
      <c r="J14" s="2">
        <v>0</v>
      </c>
      <c r="K14" s="20">
        <v>212.68</v>
      </c>
      <c r="L14" t="s">
        <v>794</v>
      </c>
      <c r="M14">
        <f t="shared" si="0"/>
        <v>2025</v>
      </c>
    </row>
    <row r="15" spans="1:13" hidden="1">
      <c r="A15" t="s">
        <v>801</v>
      </c>
      <c r="B15" t="s">
        <v>13</v>
      </c>
      <c r="C15" t="s">
        <v>726</v>
      </c>
      <c r="D15" t="s">
        <v>793</v>
      </c>
      <c r="E15" s="1">
        <v>45660</v>
      </c>
      <c r="F15" s="1">
        <v>45660</v>
      </c>
      <c r="G15" s="12">
        <v>41.17</v>
      </c>
      <c r="H15" s="2">
        <v>0</v>
      </c>
      <c r="I15" s="2">
        <v>0</v>
      </c>
      <c r="J15" s="2">
        <v>0</v>
      </c>
      <c r="K15" s="20">
        <v>41.17</v>
      </c>
      <c r="L15" t="s">
        <v>794</v>
      </c>
      <c r="M15">
        <f t="shared" si="0"/>
        <v>2025</v>
      </c>
    </row>
    <row r="16" spans="1:13" hidden="1">
      <c r="A16" t="s">
        <v>801</v>
      </c>
      <c r="B16" t="s">
        <v>13</v>
      </c>
      <c r="C16" t="s">
        <v>740</v>
      </c>
      <c r="D16" t="s">
        <v>793</v>
      </c>
      <c r="E16" s="1">
        <v>45660</v>
      </c>
      <c r="F16" s="1">
        <v>45660</v>
      </c>
      <c r="G16" s="12">
        <v>116.75</v>
      </c>
      <c r="H16" s="2">
        <v>0</v>
      </c>
      <c r="I16" s="2">
        <v>0</v>
      </c>
      <c r="J16" s="2">
        <v>0</v>
      </c>
      <c r="K16" s="20">
        <v>116.75</v>
      </c>
      <c r="L16" t="s">
        <v>794</v>
      </c>
      <c r="M16">
        <f t="shared" si="0"/>
        <v>2025</v>
      </c>
    </row>
    <row r="17" spans="1:13" hidden="1">
      <c r="A17" t="s">
        <v>801</v>
      </c>
      <c r="B17" t="s">
        <v>13</v>
      </c>
      <c r="C17" t="s">
        <v>739</v>
      </c>
      <c r="D17" t="s">
        <v>793</v>
      </c>
      <c r="E17" s="1">
        <v>45660</v>
      </c>
      <c r="F17" s="1">
        <v>45660</v>
      </c>
      <c r="G17" s="12">
        <v>351.32</v>
      </c>
      <c r="H17" s="2">
        <v>0</v>
      </c>
      <c r="I17" s="2">
        <v>0</v>
      </c>
      <c r="J17" s="2">
        <v>0</v>
      </c>
      <c r="K17" s="20">
        <v>351.32</v>
      </c>
      <c r="L17" t="s">
        <v>794</v>
      </c>
      <c r="M17">
        <f t="shared" si="0"/>
        <v>2025</v>
      </c>
    </row>
    <row r="18" spans="1:13" hidden="1">
      <c r="A18" t="s">
        <v>801</v>
      </c>
      <c r="B18" t="s">
        <v>13</v>
      </c>
      <c r="C18" t="s">
        <v>726</v>
      </c>
      <c r="D18" t="s">
        <v>793</v>
      </c>
      <c r="E18" s="1">
        <v>45663</v>
      </c>
      <c r="F18" s="1">
        <v>45663</v>
      </c>
      <c r="G18" s="12">
        <v>3.58</v>
      </c>
      <c r="H18" s="2">
        <v>0</v>
      </c>
      <c r="I18" s="2">
        <v>0</v>
      </c>
      <c r="J18" s="2">
        <v>0</v>
      </c>
      <c r="K18" s="20">
        <v>3.58</v>
      </c>
      <c r="L18" t="s">
        <v>794</v>
      </c>
      <c r="M18">
        <f t="shared" si="0"/>
        <v>2025</v>
      </c>
    </row>
    <row r="19" spans="1:13" hidden="1">
      <c r="A19" t="s">
        <v>801</v>
      </c>
      <c r="B19" t="s">
        <v>13</v>
      </c>
      <c r="C19" t="s">
        <v>769</v>
      </c>
      <c r="D19" t="s">
        <v>793</v>
      </c>
      <c r="E19" s="1">
        <v>45663</v>
      </c>
      <c r="F19" s="1">
        <v>45663</v>
      </c>
      <c r="G19" s="12">
        <v>135.52000000000001</v>
      </c>
      <c r="H19" s="2">
        <v>0</v>
      </c>
      <c r="I19" s="2">
        <v>0</v>
      </c>
      <c r="J19" s="2">
        <v>0</v>
      </c>
      <c r="K19" s="20">
        <v>135.52000000000001</v>
      </c>
      <c r="L19" t="s">
        <v>794</v>
      </c>
      <c r="M19">
        <f t="shared" si="0"/>
        <v>2025</v>
      </c>
    </row>
    <row r="20" spans="1:13" hidden="1">
      <c r="A20" t="s">
        <v>803</v>
      </c>
      <c r="B20" t="s">
        <v>125</v>
      </c>
      <c r="C20" t="s">
        <v>141</v>
      </c>
      <c r="D20" t="s">
        <v>793</v>
      </c>
      <c r="E20" s="1">
        <v>45663</v>
      </c>
      <c r="F20" s="1">
        <v>45663</v>
      </c>
      <c r="G20" s="12">
        <v>100</v>
      </c>
      <c r="H20" s="2">
        <v>0</v>
      </c>
      <c r="I20" s="2">
        <v>0</v>
      </c>
      <c r="J20" s="2">
        <v>0</v>
      </c>
      <c r="K20" s="20">
        <v>100</v>
      </c>
      <c r="L20" t="s">
        <v>794</v>
      </c>
      <c r="M20">
        <f t="shared" si="0"/>
        <v>2025</v>
      </c>
    </row>
    <row r="21" spans="1:13" hidden="1">
      <c r="A21" t="s">
        <v>804</v>
      </c>
      <c r="B21" t="s">
        <v>350</v>
      </c>
      <c r="C21" t="s">
        <v>99</v>
      </c>
      <c r="D21" t="s">
        <v>793</v>
      </c>
      <c r="E21" s="1">
        <v>45663</v>
      </c>
      <c r="F21" s="1">
        <v>45663</v>
      </c>
      <c r="G21" s="12">
        <v>50</v>
      </c>
      <c r="H21" s="2">
        <v>0</v>
      </c>
      <c r="I21" s="2">
        <v>0</v>
      </c>
      <c r="J21" s="2">
        <v>0</v>
      </c>
      <c r="K21" s="20">
        <v>50</v>
      </c>
      <c r="L21" t="s">
        <v>794</v>
      </c>
      <c r="M21">
        <f t="shared" si="0"/>
        <v>2025</v>
      </c>
    </row>
    <row r="22" spans="1:13" hidden="1">
      <c r="A22" t="s">
        <v>801</v>
      </c>
      <c r="B22" t="s">
        <v>13</v>
      </c>
      <c r="C22" t="s">
        <v>726</v>
      </c>
      <c r="D22" t="s">
        <v>793</v>
      </c>
      <c r="E22" s="1">
        <v>45663</v>
      </c>
      <c r="F22" s="1">
        <v>45663</v>
      </c>
      <c r="G22" s="12">
        <v>48.33</v>
      </c>
      <c r="H22" s="2">
        <v>0</v>
      </c>
      <c r="I22" s="2">
        <v>0</v>
      </c>
      <c r="J22" s="2">
        <v>0</v>
      </c>
      <c r="K22" s="20">
        <v>48.33</v>
      </c>
      <c r="L22" t="s">
        <v>794</v>
      </c>
      <c r="M22">
        <f t="shared" si="0"/>
        <v>2025</v>
      </c>
    </row>
    <row r="23" spans="1:13" hidden="1">
      <c r="A23" t="s">
        <v>805</v>
      </c>
      <c r="B23" t="s">
        <v>17</v>
      </c>
      <c r="C23" t="s">
        <v>713</v>
      </c>
      <c r="D23" t="s">
        <v>793</v>
      </c>
      <c r="E23" s="1">
        <v>45663</v>
      </c>
      <c r="F23" s="1">
        <v>45663</v>
      </c>
      <c r="G23" s="12">
        <v>12557.01</v>
      </c>
      <c r="H23" s="2">
        <v>0</v>
      </c>
      <c r="I23" s="2">
        <v>0</v>
      </c>
      <c r="J23" s="2">
        <v>0</v>
      </c>
      <c r="K23" s="20">
        <v>12557.01</v>
      </c>
      <c r="L23" t="s">
        <v>794</v>
      </c>
      <c r="M23">
        <f t="shared" si="0"/>
        <v>2025</v>
      </c>
    </row>
    <row r="24" spans="1:13" hidden="1">
      <c r="A24" t="s">
        <v>806</v>
      </c>
      <c r="B24" t="s">
        <v>19</v>
      </c>
      <c r="C24" t="s">
        <v>183</v>
      </c>
      <c r="D24" t="s">
        <v>793</v>
      </c>
      <c r="E24" s="1">
        <v>45663</v>
      </c>
      <c r="F24" s="1">
        <v>45663</v>
      </c>
      <c r="G24" s="12">
        <v>2106.33</v>
      </c>
      <c r="H24" s="2">
        <v>0</v>
      </c>
      <c r="I24" s="2">
        <v>0</v>
      </c>
      <c r="J24" s="2">
        <v>0</v>
      </c>
      <c r="K24" s="20">
        <v>2106.33</v>
      </c>
      <c r="L24" t="s">
        <v>794</v>
      </c>
      <c r="M24">
        <f t="shared" si="0"/>
        <v>2025</v>
      </c>
    </row>
    <row r="25" spans="1:13" hidden="1">
      <c r="A25" t="s">
        <v>801</v>
      </c>
      <c r="B25" t="s">
        <v>13</v>
      </c>
      <c r="C25" t="s">
        <v>726</v>
      </c>
      <c r="D25" t="s">
        <v>793</v>
      </c>
      <c r="E25" s="1">
        <v>45664</v>
      </c>
      <c r="F25" s="1">
        <v>45664</v>
      </c>
      <c r="G25" s="12">
        <v>98.45</v>
      </c>
      <c r="H25" s="2">
        <v>0</v>
      </c>
      <c r="I25" s="2">
        <v>0</v>
      </c>
      <c r="J25" s="2">
        <v>0</v>
      </c>
      <c r="K25" s="20">
        <v>98.45</v>
      </c>
      <c r="L25" t="s">
        <v>794</v>
      </c>
      <c r="M25">
        <f t="shared" si="0"/>
        <v>2025</v>
      </c>
    </row>
    <row r="26" spans="1:13" hidden="1">
      <c r="A26" t="s">
        <v>807</v>
      </c>
      <c r="B26" t="s">
        <v>366</v>
      </c>
      <c r="C26" t="s">
        <v>491</v>
      </c>
      <c r="D26" t="s">
        <v>793</v>
      </c>
      <c r="E26" s="1">
        <v>45664</v>
      </c>
      <c r="F26" s="1">
        <v>45664</v>
      </c>
      <c r="G26" s="12">
        <v>40</v>
      </c>
      <c r="H26" s="2">
        <v>0</v>
      </c>
      <c r="I26" s="2">
        <v>0</v>
      </c>
      <c r="J26" s="2">
        <v>0</v>
      </c>
      <c r="K26" s="20">
        <v>40</v>
      </c>
      <c r="L26" t="s">
        <v>794</v>
      </c>
      <c r="M26">
        <f t="shared" si="0"/>
        <v>2025</v>
      </c>
    </row>
    <row r="27" spans="1:13" hidden="1">
      <c r="A27" t="s">
        <v>807</v>
      </c>
      <c r="B27" t="s">
        <v>366</v>
      </c>
      <c r="C27" t="s">
        <v>491</v>
      </c>
      <c r="D27" t="s">
        <v>793</v>
      </c>
      <c r="E27" s="1">
        <v>45664</v>
      </c>
      <c r="F27" s="1">
        <v>45664</v>
      </c>
      <c r="G27" s="12">
        <v>185</v>
      </c>
      <c r="H27" s="2">
        <v>0</v>
      </c>
      <c r="I27" s="2">
        <v>0</v>
      </c>
      <c r="J27" s="2">
        <v>0</v>
      </c>
      <c r="K27" s="20">
        <v>185</v>
      </c>
      <c r="L27" t="s">
        <v>794</v>
      </c>
      <c r="M27">
        <f t="shared" si="0"/>
        <v>2025</v>
      </c>
    </row>
    <row r="28" spans="1:13" hidden="1">
      <c r="A28" t="s">
        <v>808</v>
      </c>
      <c r="B28" t="s">
        <v>154</v>
      </c>
      <c r="C28" t="s">
        <v>693</v>
      </c>
      <c r="D28" t="s">
        <v>793</v>
      </c>
      <c r="E28" s="1">
        <v>45664</v>
      </c>
      <c r="F28" s="1">
        <v>45664</v>
      </c>
      <c r="G28" s="12">
        <v>300</v>
      </c>
      <c r="H28" s="2">
        <v>0</v>
      </c>
      <c r="I28" s="2">
        <v>0</v>
      </c>
      <c r="J28" s="2">
        <v>0</v>
      </c>
      <c r="K28" s="20">
        <v>300</v>
      </c>
      <c r="L28" t="s">
        <v>794</v>
      </c>
      <c r="M28">
        <f t="shared" si="0"/>
        <v>2025</v>
      </c>
    </row>
    <row r="29" spans="1:13" hidden="1">
      <c r="A29" t="s">
        <v>809</v>
      </c>
      <c r="B29" t="s">
        <v>91</v>
      </c>
      <c r="C29" t="s">
        <v>140</v>
      </c>
      <c r="D29" t="s">
        <v>793</v>
      </c>
      <c r="E29" s="1">
        <v>45664</v>
      </c>
      <c r="F29" s="1">
        <v>45664</v>
      </c>
      <c r="G29" s="12">
        <v>30</v>
      </c>
      <c r="H29" s="2">
        <v>0</v>
      </c>
      <c r="I29" s="2">
        <v>0</v>
      </c>
      <c r="J29" s="2">
        <v>0</v>
      </c>
      <c r="K29" s="20">
        <v>30</v>
      </c>
      <c r="L29" t="s">
        <v>794</v>
      </c>
      <c r="M29">
        <f t="shared" si="0"/>
        <v>2025</v>
      </c>
    </row>
    <row r="30" spans="1:13" hidden="1">
      <c r="A30" t="s">
        <v>810</v>
      </c>
      <c r="B30" t="s">
        <v>54</v>
      </c>
      <c r="C30" t="s">
        <v>140</v>
      </c>
      <c r="D30" t="s">
        <v>793</v>
      </c>
      <c r="E30" s="1">
        <v>45664</v>
      </c>
      <c r="F30" s="1">
        <v>45664</v>
      </c>
      <c r="G30" s="12">
        <v>30</v>
      </c>
      <c r="H30" s="2">
        <v>0</v>
      </c>
      <c r="I30" s="2">
        <v>0</v>
      </c>
      <c r="J30" s="2">
        <v>0</v>
      </c>
      <c r="K30" s="20">
        <v>30</v>
      </c>
      <c r="L30" t="s">
        <v>794</v>
      </c>
      <c r="M30">
        <f t="shared" si="0"/>
        <v>2025</v>
      </c>
    </row>
    <row r="31" spans="1:13" hidden="1">
      <c r="A31" t="s">
        <v>811</v>
      </c>
      <c r="B31" t="s">
        <v>39</v>
      </c>
      <c r="C31" t="s">
        <v>137</v>
      </c>
      <c r="D31" t="s">
        <v>793</v>
      </c>
      <c r="E31" s="1">
        <v>45664</v>
      </c>
      <c r="F31" s="1">
        <v>45664</v>
      </c>
      <c r="G31" s="12">
        <v>1491</v>
      </c>
      <c r="H31" s="2">
        <v>0</v>
      </c>
      <c r="I31" s="2">
        <v>0</v>
      </c>
      <c r="J31" s="2">
        <v>0</v>
      </c>
      <c r="K31" s="20">
        <v>1491</v>
      </c>
      <c r="L31" t="s">
        <v>794</v>
      </c>
      <c r="M31">
        <f t="shared" si="0"/>
        <v>2025</v>
      </c>
    </row>
    <row r="32" spans="1:13" hidden="1">
      <c r="A32" t="s">
        <v>812</v>
      </c>
      <c r="B32" t="s">
        <v>31</v>
      </c>
      <c r="C32" t="s">
        <v>137</v>
      </c>
      <c r="D32" t="s">
        <v>793</v>
      </c>
      <c r="E32" s="1">
        <v>45664</v>
      </c>
      <c r="F32" s="1">
        <v>45664</v>
      </c>
      <c r="G32" s="12">
        <v>891</v>
      </c>
      <c r="H32" s="2">
        <v>0</v>
      </c>
      <c r="I32" s="2">
        <v>0</v>
      </c>
      <c r="J32" s="2">
        <v>0</v>
      </c>
      <c r="K32" s="20">
        <v>891</v>
      </c>
      <c r="L32" t="s">
        <v>794</v>
      </c>
      <c r="M32">
        <f t="shared" si="0"/>
        <v>2025</v>
      </c>
    </row>
    <row r="33" spans="1:13" hidden="1">
      <c r="A33" t="s">
        <v>813</v>
      </c>
      <c r="B33" t="s">
        <v>173</v>
      </c>
      <c r="C33" t="s">
        <v>137</v>
      </c>
      <c r="D33" t="s">
        <v>793</v>
      </c>
      <c r="E33" s="1">
        <v>45664</v>
      </c>
      <c r="F33" s="1">
        <v>45664</v>
      </c>
      <c r="G33" s="12">
        <v>1490</v>
      </c>
      <c r="H33" s="2">
        <v>0</v>
      </c>
      <c r="I33" s="2">
        <v>0</v>
      </c>
      <c r="J33" s="2">
        <v>0</v>
      </c>
      <c r="K33" s="20">
        <v>1490</v>
      </c>
      <c r="L33" t="s">
        <v>794</v>
      </c>
      <c r="M33">
        <f t="shared" si="0"/>
        <v>2025</v>
      </c>
    </row>
    <row r="34" spans="1:13" hidden="1">
      <c r="A34" t="s">
        <v>814</v>
      </c>
      <c r="B34" t="s">
        <v>56</v>
      </c>
      <c r="C34" t="s">
        <v>137</v>
      </c>
      <c r="D34" t="s">
        <v>793</v>
      </c>
      <c r="E34" s="1">
        <v>45664</v>
      </c>
      <c r="F34" s="1">
        <v>45664</v>
      </c>
      <c r="G34" s="12">
        <v>1614</v>
      </c>
      <c r="H34" s="2">
        <v>0</v>
      </c>
      <c r="I34" s="2">
        <v>0</v>
      </c>
      <c r="J34" s="2">
        <v>0</v>
      </c>
      <c r="K34" s="20">
        <v>1614</v>
      </c>
      <c r="L34" t="s">
        <v>794</v>
      </c>
      <c r="M34">
        <f t="shared" si="0"/>
        <v>2025</v>
      </c>
    </row>
    <row r="35" spans="1:13" hidden="1">
      <c r="A35" t="s">
        <v>815</v>
      </c>
      <c r="B35" t="s">
        <v>134</v>
      </c>
      <c r="C35" t="s">
        <v>137</v>
      </c>
      <c r="D35" t="s">
        <v>793</v>
      </c>
      <c r="E35" s="1">
        <v>45664</v>
      </c>
      <c r="F35" s="1">
        <v>45664</v>
      </c>
      <c r="G35" s="12">
        <v>1490</v>
      </c>
      <c r="H35" s="2">
        <v>0</v>
      </c>
      <c r="I35" s="2">
        <v>0</v>
      </c>
      <c r="J35" s="2">
        <v>0</v>
      </c>
      <c r="K35" s="20">
        <v>1490</v>
      </c>
      <c r="L35" t="s">
        <v>794</v>
      </c>
      <c r="M35">
        <f t="shared" si="0"/>
        <v>2025</v>
      </c>
    </row>
    <row r="36" spans="1:13" hidden="1">
      <c r="A36" t="s">
        <v>816</v>
      </c>
      <c r="B36" t="s">
        <v>148</v>
      </c>
      <c r="C36" t="s">
        <v>137</v>
      </c>
      <c r="D36" t="s">
        <v>793</v>
      </c>
      <c r="E36" s="1">
        <v>45664</v>
      </c>
      <c r="F36" s="1">
        <v>45664</v>
      </c>
      <c r="G36" s="12">
        <v>1490</v>
      </c>
      <c r="H36" s="2">
        <v>0</v>
      </c>
      <c r="I36" s="2">
        <v>0</v>
      </c>
      <c r="J36" s="2">
        <v>0</v>
      </c>
      <c r="K36" s="20">
        <v>1490</v>
      </c>
      <c r="L36" t="s">
        <v>794</v>
      </c>
      <c r="M36">
        <f t="shared" si="0"/>
        <v>2025</v>
      </c>
    </row>
    <row r="37" spans="1:13" hidden="1">
      <c r="A37" t="s">
        <v>802</v>
      </c>
      <c r="B37" t="s">
        <v>121</v>
      </c>
      <c r="C37" t="s">
        <v>137</v>
      </c>
      <c r="D37" t="s">
        <v>793</v>
      </c>
      <c r="E37" s="1">
        <v>45664</v>
      </c>
      <c r="F37" s="1">
        <v>45664</v>
      </c>
      <c r="G37" s="12">
        <v>2174</v>
      </c>
      <c r="H37" s="2">
        <v>0</v>
      </c>
      <c r="I37" s="2">
        <v>0</v>
      </c>
      <c r="J37" s="2">
        <v>0</v>
      </c>
      <c r="K37" s="20">
        <v>2174</v>
      </c>
      <c r="L37" t="s">
        <v>794</v>
      </c>
      <c r="M37">
        <f t="shared" si="0"/>
        <v>2025</v>
      </c>
    </row>
    <row r="38" spans="1:13" hidden="1">
      <c r="A38" t="s">
        <v>817</v>
      </c>
      <c r="B38" t="s">
        <v>51</v>
      </c>
      <c r="C38" t="s">
        <v>137</v>
      </c>
      <c r="D38" t="s">
        <v>793</v>
      </c>
      <c r="E38" s="1">
        <v>45664</v>
      </c>
      <c r="F38" s="1">
        <v>45664</v>
      </c>
      <c r="G38" s="12">
        <v>2741</v>
      </c>
      <c r="H38" s="2">
        <v>0</v>
      </c>
      <c r="I38" s="2">
        <v>0</v>
      </c>
      <c r="J38" s="2">
        <v>0</v>
      </c>
      <c r="K38" s="20">
        <v>2741</v>
      </c>
      <c r="L38" t="s">
        <v>794</v>
      </c>
      <c r="M38">
        <f t="shared" si="0"/>
        <v>2025</v>
      </c>
    </row>
    <row r="39" spans="1:13" hidden="1">
      <c r="A39" t="s">
        <v>818</v>
      </c>
      <c r="B39" t="s">
        <v>30</v>
      </c>
      <c r="C39" t="s">
        <v>137</v>
      </c>
      <c r="D39" t="s">
        <v>793</v>
      </c>
      <c r="E39" s="1">
        <v>45664</v>
      </c>
      <c r="F39" s="1">
        <v>45664</v>
      </c>
      <c r="G39" s="12">
        <v>1275</v>
      </c>
      <c r="H39" s="2">
        <v>0</v>
      </c>
      <c r="I39" s="2">
        <v>0</v>
      </c>
      <c r="J39" s="2">
        <v>0</v>
      </c>
      <c r="K39" s="20">
        <v>1275</v>
      </c>
      <c r="L39" t="s">
        <v>794</v>
      </c>
      <c r="M39">
        <f t="shared" si="0"/>
        <v>2025</v>
      </c>
    </row>
    <row r="40" spans="1:13" hidden="1">
      <c r="A40" t="s">
        <v>819</v>
      </c>
      <c r="B40" t="s">
        <v>38</v>
      </c>
      <c r="C40" t="s">
        <v>137</v>
      </c>
      <c r="D40" t="s">
        <v>793</v>
      </c>
      <c r="E40" s="1">
        <v>45664</v>
      </c>
      <c r="F40" s="1">
        <v>45664</v>
      </c>
      <c r="G40" s="12">
        <v>1490</v>
      </c>
      <c r="H40" s="2">
        <v>0</v>
      </c>
      <c r="I40" s="2">
        <v>0</v>
      </c>
      <c r="J40" s="2">
        <v>0</v>
      </c>
      <c r="K40" s="20">
        <v>1490</v>
      </c>
      <c r="L40" t="s">
        <v>794</v>
      </c>
      <c r="M40">
        <f t="shared" si="0"/>
        <v>2025</v>
      </c>
    </row>
    <row r="41" spans="1:13" hidden="1">
      <c r="A41" t="s">
        <v>820</v>
      </c>
      <c r="B41" t="s">
        <v>196</v>
      </c>
      <c r="C41" t="s">
        <v>137</v>
      </c>
      <c r="D41" t="s">
        <v>793</v>
      </c>
      <c r="E41" s="1">
        <v>45664</v>
      </c>
      <c r="F41" s="1">
        <v>45664</v>
      </c>
      <c r="G41" s="12">
        <v>2000</v>
      </c>
      <c r="H41" s="2">
        <v>0</v>
      </c>
      <c r="I41" s="2">
        <v>0</v>
      </c>
      <c r="J41" s="2">
        <v>0</v>
      </c>
      <c r="K41" s="20">
        <v>2000</v>
      </c>
      <c r="L41" t="s">
        <v>794</v>
      </c>
      <c r="M41">
        <f t="shared" si="0"/>
        <v>2025</v>
      </c>
    </row>
    <row r="42" spans="1:13" hidden="1">
      <c r="A42" t="s">
        <v>821</v>
      </c>
      <c r="B42" t="s">
        <v>72</v>
      </c>
      <c r="C42" t="s">
        <v>722</v>
      </c>
      <c r="D42" t="s">
        <v>793</v>
      </c>
      <c r="E42" s="1">
        <v>45664</v>
      </c>
      <c r="F42" s="1">
        <v>45664</v>
      </c>
      <c r="G42" s="12">
        <v>1409.45</v>
      </c>
      <c r="H42" s="2">
        <v>0</v>
      </c>
      <c r="I42" s="2">
        <v>0</v>
      </c>
      <c r="J42" s="2">
        <v>0</v>
      </c>
      <c r="K42" s="20">
        <v>1409.45</v>
      </c>
      <c r="L42" t="s">
        <v>794</v>
      </c>
      <c r="M42">
        <f t="shared" si="0"/>
        <v>2025</v>
      </c>
    </row>
    <row r="43" spans="1:13" hidden="1">
      <c r="A43" t="s">
        <v>822</v>
      </c>
      <c r="B43" t="s">
        <v>101</v>
      </c>
      <c r="C43" t="s">
        <v>137</v>
      </c>
      <c r="D43" t="s">
        <v>793</v>
      </c>
      <c r="E43" s="1">
        <v>45664</v>
      </c>
      <c r="F43" s="1">
        <v>45664</v>
      </c>
      <c r="G43" s="12">
        <v>1700</v>
      </c>
      <c r="H43" s="2">
        <v>0</v>
      </c>
      <c r="I43" s="2">
        <v>0</v>
      </c>
      <c r="J43" s="2">
        <v>0</v>
      </c>
      <c r="K43" s="20">
        <v>1700</v>
      </c>
      <c r="L43" t="s">
        <v>794</v>
      </c>
      <c r="M43">
        <f t="shared" si="0"/>
        <v>2025</v>
      </c>
    </row>
    <row r="44" spans="1:13" hidden="1">
      <c r="A44" t="s">
        <v>823</v>
      </c>
      <c r="B44" t="s">
        <v>245</v>
      </c>
      <c r="C44" t="s">
        <v>723</v>
      </c>
      <c r="D44" t="s">
        <v>793</v>
      </c>
      <c r="E44" s="1">
        <v>45664</v>
      </c>
      <c r="F44" s="1">
        <v>45664</v>
      </c>
      <c r="G44" s="12">
        <v>252.28</v>
      </c>
      <c r="H44" s="2">
        <v>0</v>
      </c>
      <c r="I44" s="2">
        <v>0</v>
      </c>
      <c r="J44" s="2">
        <v>0</v>
      </c>
      <c r="K44" s="20">
        <v>252.28</v>
      </c>
      <c r="L44" t="s">
        <v>794</v>
      </c>
      <c r="M44">
        <f t="shared" si="0"/>
        <v>2025</v>
      </c>
    </row>
    <row r="45" spans="1:13" hidden="1">
      <c r="A45" t="s">
        <v>801</v>
      </c>
      <c r="B45" t="s">
        <v>13</v>
      </c>
      <c r="C45" t="s">
        <v>726</v>
      </c>
      <c r="D45" t="s">
        <v>793</v>
      </c>
      <c r="E45" s="1">
        <v>45664</v>
      </c>
      <c r="F45" s="1">
        <v>45664</v>
      </c>
      <c r="G45" s="12">
        <v>841.30000000000007</v>
      </c>
      <c r="H45" s="2">
        <v>0</v>
      </c>
      <c r="I45" s="2">
        <v>0</v>
      </c>
      <c r="J45" s="2">
        <v>0</v>
      </c>
      <c r="K45" s="20">
        <v>841.30000000000007</v>
      </c>
      <c r="L45" t="s">
        <v>794</v>
      </c>
      <c r="M45">
        <f t="shared" si="0"/>
        <v>2025</v>
      </c>
    </row>
    <row r="46" spans="1:13" hidden="1">
      <c r="A46" t="s">
        <v>824</v>
      </c>
      <c r="B46" t="s">
        <v>157</v>
      </c>
      <c r="C46" t="s">
        <v>137</v>
      </c>
      <c r="D46" t="s">
        <v>793</v>
      </c>
      <c r="E46" s="1">
        <v>45664</v>
      </c>
      <c r="F46" s="1">
        <v>45664</v>
      </c>
      <c r="G46" s="12">
        <v>1552</v>
      </c>
      <c r="H46" s="2">
        <v>0</v>
      </c>
      <c r="I46" s="2">
        <v>0</v>
      </c>
      <c r="J46" s="2">
        <v>0</v>
      </c>
      <c r="K46" s="20">
        <v>1552</v>
      </c>
      <c r="L46" t="s">
        <v>794</v>
      </c>
      <c r="M46">
        <f t="shared" si="0"/>
        <v>2025</v>
      </c>
    </row>
    <row r="47" spans="1:13" hidden="1">
      <c r="A47" t="s">
        <v>825</v>
      </c>
      <c r="B47" t="s">
        <v>46</v>
      </c>
      <c r="C47" t="s">
        <v>137</v>
      </c>
      <c r="D47" t="s">
        <v>793</v>
      </c>
      <c r="E47" s="1">
        <v>45664</v>
      </c>
      <c r="F47" s="1">
        <v>45664</v>
      </c>
      <c r="G47" s="12">
        <v>1490</v>
      </c>
      <c r="H47" s="2">
        <v>0</v>
      </c>
      <c r="I47" s="2">
        <v>0</v>
      </c>
      <c r="J47" s="2">
        <v>0</v>
      </c>
      <c r="K47" s="20">
        <v>1490</v>
      </c>
      <c r="L47" t="s">
        <v>794</v>
      </c>
      <c r="M47">
        <f t="shared" si="0"/>
        <v>2025</v>
      </c>
    </row>
    <row r="48" spans="1:13" hidden="1">
      <c r="A48" t="s">
        <v>826</v>
      </c>
      <c r="B48" t="s">
        <v>21</v>
      </c>
      <c r="C48" t="s">
        <v>137</v>
      </c>
      <c r="D48" t="s">
        <v>793</v>
      </c>
      <c r="E48" s="1">
        <v>45664</v>
      </c>
      <c r="F48" s="1">
        <v>45664</v>
      </c>
      <c r="G48" s="12">
        <v>2146</v>
      </c>
      <c r="H48" s="2">
        <v>0</v>
      </c>
      <c r="I48" s="2">
        <v>0</v>
      </c>
      <c r="J48" s="2">
        <v>0</v>
      </c>
      <c r="K48" s="20">
        <v>2146</v>
      </c>
      <c r="L48" t="s">
        <v>794</v>
      </c>
      <c r="M48">
        <f t="shared" si="0"/>
        <v>2025</v>
      </c>
    </row>
    <row r="49" spans="1:13" hidden="1">
      <c r="A49" t="s">
        <v>795</v>
      </c>
      <c r="B49" t="s">
        <v>258</v>
      </c>
      <c r="C49" t="s">
        <v>137</v>
      </c>
      <c r="D49" t="s">
        <v>793</v>
      </c>
      <c r="E49" s="1">
        <v>45664</v>
      </c>
      <c r="F49" s="1">
        <v>45664</v>
      </c>
      <c r="G49" s="12">
        <v>850</v>
      </c>
      <c r="H49" s="2">
        <v>0</v>
      </c>
      <c r="I49" s="2">
        <v>0</v>
      </c>
      <c r="J49" s="2">
        <v>0</v>
      </c>
      <c r="K49" s="20">
        <v>850</v>
      </c>
      <c r="L49" t="s">
        <v>794</v>
      </c>
      <c r="M49">
        <f t="shared" si="0"/>
        <v>2025</v>
      </c>
    </row>
    <row r="50" spans="1:13" hidden="1">
      <c r="A50" t="s">
        <v>827</v>
      </c>
      <c r="B50" t="s">
        <v>265</v>
      </c>
      <c r="C50" t="s">
        <v>137</v>
      </c>
      <c r="D50" t="s">
        <v>793</v>
      </c>
      <c r="E50" s="1">
        <v>45664</v>
      </c>
      <c r="F50" s="1">
        <v>45664</v>
      </c>
      <c r="G50" s="12">
        <v>892.27</v>
      </c>
      <c r="H50" s="2">
        <v>0</v>
      </c>
      <c r="I50" s="2">
        <v>0</v>
      </c>
      <c r="J50" s="2">
        <v>0</v>
      </c>
      <c r="K50" s="20">
        <v>892.27</v>
      </c>
      <c r="L50" t="s">
        <v>794</v>
      </c>
      <c r="M50">
        <f t="shared" si="0"/>
        <v>2025</v>
      </c>
    </row>
    <row r="51" spans="1:13" hidden="1">
      <c r="A51" t="s">
        <v>828</v>
      </c>
      <c r="B51" t="s">
        <v>242</v>
      </c>
      <c r="C51" t="s">
        <v>137</v>
      </c>
      <c r="D51" t="s">
        <v>793</v>
      </c>
      <c r="E51" s="1">
        <v>45664</v>
      </c>
      <c r="F51" s="1">
        <v>45664</v>
      </c>
      <c r="G51" s="12">
        <v>900</v>
      </c>
      <c r="H51" s="2">
        <v>0</v>
      </c>
      <c r="I51" s="2">
        <v>0</v>
      </c>
      <c r="J51" s="2">
        <v>0</v>
      </c>
      <c r="K51" s="20">
        <v>900</v>
      </c>
      <c r="L51" t="s">
        <v>794</v>
      </c>
      <c r="M51">
        <f t="shared" si="0"/>
        <v>2025</v>
      </c>
    </row>
    <row r="52" spans="1:13" hidden="1">
      <c r="A52" t="s">
        <v>803</v>
      </c>
      <c r="B52" t="s">
        <v>125</v>
      </c>
      <c r="C52" t="s">
        <v>137</v>
      </c>
      <c r="D52" t="s">
        <v>793</v>
      </c>
      <c r="E52" s="1">
        <v>45664</v>
      </c>
      <c r="F52" s="1">
        <v>45664</v>
      </c>
      <c r="G52" s="12">
        <v>1673.02</v>
      </c>
      <c r="H52" s="2">
        <v>0</v>
      </c>
      <c r="I52" s="2">
        <v>0</v>
      </c>
      <c r="J52" s="2">
        <v>0</v>
      </c>
      <c r="K52" s="20">
        <v>1673.02</v>
      </c>
      <c r="L52" t="s">
        <v>794</v>
      </c>
      <c r="M52">
        <f t="shared" si="0"/>
        <v>2025</v>
      </c>
    </row>
    <row r="53" spans="1:13" hidden="1">
      <c r="A53" t="s">
        <v>796</v>
      </c>
      <c r="B53" t="s">
        <v>181</v>
      </c>
      <c r="C53" t="s">
        <v>137</v>
      </c>
      <c r="D53" t="s">
        <v>793</v>
      </c>
      <c r="E53" s="1">
        <v>45664</v>
      </c>
      <c r="F53" s="1">
        <v>45664</v>
      </c>
      <c r="G53" s="12">
        <v>1360</v>
      </c>
      <c r="H53" s="2">
        <v>0</v>
      </c>
      <c r="I53" s="2">
        <v>0</v>
      </c>
      <c r="J53" s="2">
        <v>0</v>
      </c>
      <c r="K53" s="20">
        <v>1360</v>
      </c>
      <c r="L53" t="s">
        <v>794</v>
      </c>
      <c r="M53">
        <f t="shared" si="0"/>
        <v>2025</v>
      </c>
    </row>
    <row r="54" spans="1:13" hidden="1">
      <c r="A54" t="s">
        <v>829</v>
      </c>
      <c r="B54" t="s">
        <v>231</v>
      </c>
      <c r="C54" t="s">
        <v>137</v>
      </c>
      <c r="D54" t="s">
        <v>793</v>
      </c>
      <c r="E54" s="1">
        <v>45664</v>
      </c>
      <c r="F54" s="1">
        <v>45664</v>
      </c>
      <c r="G54" s="12">
        <v>1490</v>
      </c>
      <c r="H54" s="2">
        <v>0</v>
      </c>
      <c r="I54" s="2">
        <v>0</v>
      </c>
      <c r="J54" s="2">
        <v>0</v>
      </c>
      <c r="K54" s="20">
        <v>1490</v>
      </c>
      <c r="L54" t="s">
        <v>794</v>
      </c>
      <c r="M54">
        <f t="shared" si="0"/>
        <v>2025</v>
      </c>
    </row>
    <row r="55" spans="1:13" hidden="1">
      <c r="A55" t="s">
        <v>827</v>
      </c>
      <c r="B55" t="s">
        <v>265</v>
      </c>
      <c r="C55" t="s">
        <v>137</v>
      </c>
      <c r="D55" t="s">
        <v>793</v>
      </c>
      <c r="E55" s="1">
        <v>45664</v>
      </c>
      <c r="F55" s="1">
        <v>45664</v>
      </c>
      <c r="G55" s="12">
        <v>524</v>
      </c>
      <c r="H55" s="2">
        <v>0</v>
      </c>
      <c r="I55" s="2">
        <v>0</v>
      </c>
      <c r="J55" s="2">
        <v>0</v>
      </c>
      <c r="K55" s="20">
        <v>524</v>
      </c>
      <c r="L55" t="s">
        <v>794</v>
      </c>
      <c r="M55">
        <f t="shared" si="0"/>
        <v>2025</v>
      </c>
    </row>
    <row r="56" spans="1:13" hidden="1">
      <c r="A56" t="s">
        <v>830</v>
      </c>
      <c r="B56" t="s">
        <v>273</v>
      </c>
      <c r="C56" t="s">
        <v>137</v>
      </c>
      <c r="D56" t="s">
        <v>793</v>
      </c>
      <c r="E56" s="1">
        <v>45664</v>
      </c>
      <c r="F56" s="1">
        <v>45664</v>
      </c>
      <c r="G56" s="12">
        <v>388</v>
      </c>
      <c r="H56" s="2">
        <v>0</v>
      </c>
      <c r="I56" s="2">
        <v>0</v>
      </c>
      <c r="J56" s="2">
        <v>0</v>
      </c>
      <c r="K56" s="20">
        <v>388</v>
      </c>
      <c r="L56" t="s">
        <v>794</v>
      </c>
      <c r="M56">
        <f t="shared" si="0"/>
        <v>2025</v>
      </c>
    </row>
    <row r="57" spans="1:13" hidden="1">
      <c r="A57" t="s">
        <v>831</v>
      </c>
      <c r="B57" t="s">
        <v>90</v>
      </c>
      <c r="C57" t="s">
        <v>137</v>
      </c>
      <c r="D57" t="s">
        <v>793</v>
      </c>
      <c r="E57" s="1">
        <v>45664</v>
      </c>
      <c r="F57" s="1">
        <v>45664</v>
      </c>
      <c r="G57" s="12">
        <v>2406</v>
      </c>
      <c r="H57" s="2">
        <v>0</v>
      </c>
      <c r="I57" s="2">
        <v>0</v>
      </c>
      <c r="J57" s="2">
        <v>0</v>
      </c>
      <c r="K57" s="20">
        <v>2406</v>
      </c>
      <c r="L57" t="s">
        <v>794</v>
      </c>
      <c r="M57">
        <f t="shared" si="0"/>
        <v>2025</v>
      </c>
    </row>
    <row r="58" spans="1:13" hidden="1">
      <c r="A58" t="s">
        <v>832</v>
      </c>
      <c r="B58" t="s">
        <v>120</v>
      </c>
      <c r="C58" t="s">
        <v>137</v>
      </c>
      <c r="D58" t="s">
        <v>793</v>
      </c>
      <c r="E58" s="1">
        <v>45664</v>
      </c>
      <c r="F58" s="1">
        <v>45664</v>
      </c>
      <c r="G58" s="12">
        <v>1528</v>
      </c>
      <c r="H58" s="2">
        <v>0</v>
      </c>
      <c r="I58" s="2">
        <v>0</v>
      </c>
      <c r="J58" s="2">
        <v>0</v>
      </c>
      <c r="K58" s="20">
        <v>1528</v>
      </c>
      <c r="L58" t="s">
        <v>794</v>
      </c>
      <c r="M58">
        <f t="shared" si="0"/>
        <v>2025</v>
      </c>
    </row>
    <row r="59" spans="1:13" hidden="1">
      <c r="A59" t="s">
        <v>833</v>
      </c>
      <c r="B59" t="s">
        <v>27</v>
      </c>
      <c r="C59" t="s">
        <v>137</v>
      </c>
      <c r="D59" t="s">
        <v>793</v>
      </c>
      <c r="E59" s="1">
        <v>45664</v>
      </c>
      <c r="F59" s="1">
        <v>45664</v>
      </c>
      <c r="G59" s="12">
        <v>1720</v>
      </c>
      <c r="H59" s="2">
        <v>0</v>
      </c>
      <c r="I59" s="2">
        <v>0</v>
      </c>
      <c r="J59" s="2">
        <v>0</v>
      </c>
      <c r="K59" s="20">
        <v>1720</v>
      </c>
      <c r="L59" t="s">
        <v>794</v>
      </c>
      <c r="M59">
        <f t="shared" si="0"/>
        <v>2025</v>
      </c>
    </row>
    <row r="60" spans="1:13" hidden="1">
      <c r="A60" t="s">
        <v>834</v>
      </c>
      <c r="B60" t="s">
        <v>135</v>
      </c>
      <c r="C60" t="s">
        <v>137</v>
      </c>
      <c r="D60" t="s">
        <v>793</v>
      </c>
      <c r="E60" s="1">
        <v>45664</v>
      </c>
      <c r="F60" s="1">
        <v>45664</v>
      </c>
      <c r="G60" s="12">
        <v>1490</v>
      </c>
      <c r="H60" s="2">
        <v>0</v>
      </c>
      <c r="I60" s="2">
        <v>0</v>
      </c>
      <c r="J60" s="2">
        <v>0</v>
      </c>
      <c r="K60" s="20">
        <v>1490</v>
      </c>
      <c r="L60" t="s">
        <v>794</v>
      </c>
      <c r="M60">
        <f t="shared" si="0"/>
        <v>2025</v>
      </c>
    </row>
    <row r="61" spans="1:13" hidden="1">
      <c r="A61" t="s">
        <v>835</v>
      </c>
      <c r="B61" t="s">
        <v>214</v>
      </c>
      <c r="C61" t="s">
        <v>137</v>
      </c>
      <c r="D61" t="s">
        <v>793</v>
      </c>
      <c r="E61" s="1">
        <v>45664</v>
      </c>
      <c r="F61" s="1">
        <v>45664</v>
      </c>
      <c r="G61" s="12">
        <v>854</v>
      </c>
      <c r="H61" s="2">
        <v>0</v>
      </c>
      <c r="I61" s="2">
        <v>0</v>
      </c>
      <c r="J61" s="2">
        <v>0</v>
      </c>
      <c r="K61" s="20">
        <v>854</v>
      </c>
      <c r="L61" t="s">
        <v>794</v>
      </c>
      <c r="M61">
        <f t="shared" si="0"/>
        <v>2025</v>
      </c>
    </row>
    <row r="62" spans="1:13" hidden="1">
      <c r="A62" t="s">
        <v>835</v>
      </c>
      <c r="B62" t="s">
        <v>214</v>
      </c>
      <c r="C62" t="s">
        <v>139</v>
      </c>
      <c r="D62" t="s">
        <v>793</v>
      </c>
      <c r="E62" s="1">
        <v>45664</v>
      </c>
      <c r="F62" s="1">
        <v>45664</v>
      </c>
      <c r="G62" s="12">
        <v>217.8</v>
      </c>
      <c r="H62" s="2">
        <v>0</v>
      </c>
      <c r="I62" s="2">
        <v>0</v>
      </c>
      <c r="J62" s="2">
        <v>0</v>
      </c>
      <c r="K62" s="20">
        <v>217.8</v>
      </c>
      <c r="L62" t="s">
        <v>794</v>
      </c>
      <c r="M62">
        <f t="shared" si="0"/>
        <v>2025</v>
      </c>
    </row>
    <row r="63" spans="1:13" hidden="1">
      <c r="A63" t="s">
        <v>836</v>
      </c>
      <c r="B63" t="s">
        <v>37</v>
      </c>
      <c r="C63" t="s">
        <v>137</v>
      </c>
      <c r="D63" t="s">
        <v>793</v>
      </c>
      <c r="E63" s="1">
        <v>45664</v>
      </c>
      <c r="F63" s="1">
        <v>45664</v>
      </c>
      <c r="G63" s="12">
        <v>1171.1200000000001</v>
      </c>
      <c r="H63" s="2">
        <v>0</v>
      </c>
      <c r="I63" s="2">
        <v>0</v>
      </c>
      <c r="J63" s="2">
        <v>0</v>
      </c>
      <c r="K63" s="20">
        <v>1171.1200000000001</v>
      </c>
      <c r="L63" t="s">
        <v>794</v>
      </c>
      <c r="M63">
        <f t="shared" si="0"/>
        <v>2025</v>
      </c>
    </row>
    <row r="64" spans="1:13" hidden="1">
      <c r="A64" t="s">
        <v>837</v>
      </c>
      <c r="B64" t="s">
        <v>58</v>
      </c>
      <c r="C64" t="s">
        <v>206</v>
      </c>
      <c r="D64" t="s">
        <v>793</v>
      </c>
      <c r="E64" s="1">
        <v>45664</v>
      </c>
      <c r="F64" s="1">
        <v>45664</v>
      </c>
      <c r="G64" s="12">
        <v>1945.1200000000001</v>
      </c>
      <c r="H64" s="2">
        <v>0</v>
      </c>
      <c r="I64" s="2">
        <v>0</v>
      </c>
      <c r="J64" s="2">
        <v>0</v>
      </c>
      <c r="K64" s="20">
        <v>1945.1200000000001</v>
      </c>
      <c r="L64" t="s">
        <v>794</v>
      </c>
      <c r="M64">
        <f t="shared" si="0"/>
        <v>2025</v>
      </c>
    </row>
    <row r="65" spans="1:13" hidden="1">
      <c r="A65" t="s">
        <v>838</v>
      </c>
      <c r="B65" t="s">
        <v>363</v>
      </c>
      <c r="C65" t="s">
        <v>725</v>
      </c>
      <c r="D65" t="s">
        <v>793</v>
      </c>
      <c r="E65" s="1">
        <v>45664</v>
      </c>
      <c r="F65" s="1">
        <v>45664</v>
      </c>
      <c r="G65" s="12">
        <v>680</v>
      </c>
      <c r="H65" s="2">
        <v>0</v>
      </c>
      <c r="I65" s="2">
        <v>0</v>
      </c>
      <c r="J65" s="2">
        <v>0</v>
      </c>
      <c r="K65" s="20">
        <v>680</v>
      </c>
      <c r="L65" t="s">
        <v>794</v>
      </c>
      <c r="M65">
        <f t="shared" si="0"/>
        <v>2025</v>
      </c>
    </row>
    <row r="66" spans="1:13" hidden="1">
      <c r="A66" t="s">
        <v>801</v>
      </c>
      <c r="B66" t="s">
        <v>13</v>
      </c>
      <c r="C66" t="s">
        <v>726</v>
      </c>
      <c r="D66" t="s">
        <v>793</v>
      </c>
      <c r="E66" s="1">
        <v>45665</v>
      </c>
      <c r="F66" s="1">
        <v>45665</v>
      </c>
      <c r="G66" s="12">
        <v>1.79</v>
      </c>
      <c r="H66" s="2">
        <v>0</v>
      </c>
      <c r="I66" s="2">
        <v>0</v>
      </c>
      <c r="J66" s="2">
        <v>0</v>
      </c>
      <c r="K66" s="20">
        <v>1.79</v>
      </c>
      <c r="L66" t="s">
        <v>794</v>
      </c>
      <c r="M66">
        <f t="shared" si="0"/>
        <v>2025</v>
      </c>
    </row>
    <row r="67" spans="1:13" hidden="1">
      <c r="A67" t="s">
        <v>803</v>
      </c>
      <c r="B67" t="s">
        <v>125</v>
      </c>
      <c r="C67" t="s">
        <v>139</v>
      </c>
      <c r="D67" t="s">
        <v>793</v>
      </c>
      <c r="E67" s="1">
        <v>45665</v>
      </c>
      <c r="F67" s="1">
        <v>45665</v>
      </c>
      <c r="G67" s="12">
        <v>125</v>
      </c>
      <c r="H67" s="2">
        <v>0</v>
      </c>
      <c r="I67" s="2">
        <v>0</v>
      </c>
      <c r="J67" s="2">
        <v>0</v>
      </c>
      <c r="K67" s="20">
        <v>125</v>
      </c>
      <c r="L67" t="s">
        <v>794</v>
      </c>
      <c r="M67">
        <f t="shared" ref="M67:M130" si="1">YEAR(F67)</f>
        <v>2025</v>
      </c>
    </row>
    <row r="68" spans="1:13" hidden="1">
      <c r="A68" t="s">
        <v>809</v>
      </c>
      <c r="B68" t="s">
        <v>91</v>
      </c>
      <c r="C68" t="s">
        <v>139</v>
      </c>
      <c r="D68" t="s">
        <v>793</v>
      </c>
      <c r="E68" s="1">
        <v>45665</v>
      </c>
      <c r="F68" s="1">
        <v>45665</v>
      </c>
      <c r="G68" s="12">
        <v>75.2</v>
      </c>
      <c r="H68" s="2">
        <v>0</v>
      </c>
      <c r="I68" s="2">
        <v>0</v>
      </c>
      <c r="J68" s="2">
        <v>0</v>
      </c>
      <c r="K68" s="20">
        <v>75.2</v>
      </c>
      <c r="L68" t="s">
        <v>794</v>
      </c>
      <c r="M68">
        <f t="shared" si="1"/>
        <v>2025</v>
      </c>
    </row>
    <row r="69" spans="1:13" hidden="1">
      <c r="A69" t="s">
        <v>810</v>
      </c>
      <c r="B69" t="s">
        <v>54</v>
      </c>
      <c r="C69" t="s">
        <v>139</v>
      </c>
      <c r="D69" t="s">
        <v>793</v>
      </c>
      <c r="E69" s="1">
        <v>45665</v>
      </c>
      <c r="F69" s="1">
        <v>45665</v>
      </c>
      <c r="G69" s="12">
        <v>40.800000000000004</v>
      </c>
      <c r="H69" s="2">
        <v>0</v>
      </c>
      <c r="I69" s="2">
        <v>0</v>
      </c>
      <c r="J69" s="2">
        <v>0</v>
      </c>
      <c r="K69" s="20">
        <v>40.800000000000004</v>
      </c>
      <c r="L69" t="s">
        <v>794</v>
      </c>
      <c r="M69">
        <f t="shared" si="1"/>
        <v>2025</v>
      </c>
    </row>
    <row r="70" spans="1:13" hidden="1">
      <c r="A70" t="s">
        <v>839</v>
      </c>
      <c r="B70" t="s">
        <v>44</v>
      </c>
      <c r="C70" t="s">
        <v>722</v>
      </c>
      <c r="D70" t="s">
        <v>793</v>
      </c>
      <c r="E70" s="1">
        <v>45665</v>
      </c>
      <c r="F70" s="1">
        <v>45665</v>
      </c>
      <c r="G70" s="12">
        <v>804.63</v>
      </c>
      <c r="H70" s="2">
        <v>0</v>
      </c>
      <c r="I70" s="2">
        <v>0</v>
      </c>
      <c r="J70" s="2">
        <v>0</v>
      </c>
      <c r="K70" s="20">
        <v>804.63</v>
      </c>
      <c r="L70" t="s">
        <v>794</v>
      </c>
      <c r="M70">
        <f t="shared" si="1"/>
        <v>2025</v>
      </c>
    </row>
    <row r="71" spans="1:13" hidden="1">
      <c r="A71" t="s">
        <v>802</v>
      </c>
      <c r="B71" t="s">
        <v>121</v>
      </c>
      <c r="C71" t="s">
        <v>204</v>
      </c>
      <c r="D71" t="s">
        <v>793</v>
      </c>
      <c r="E71" s="1">
        <v>45665</v>
      </c>
      <c r="F71" s="1">
        <v>45665</v>
      </c>
      <c r="G71" s="12">
        <v>4015.82</v>
      </c>
      <c r="H71" s="2">
        <v>0</v>
      </c>
      <c r="I71" s="2">
        <v>0</v>
      </c>
      <c r="J71" s="2">
        <v>0</v>
      </c>
      <c r="K71" s="20">
        <v>4015.82</v>
      </c>
      <c r="L71" t="s">
        <v>794</v>
      </c>
      <c r="M71">
        <f t="shared" si="1"/>
        <v>2025</v>
      </c>
    </row>
    <row r="72" spans="1:13" hidden="1">
      <c r="A72" t="s">
        <v>840</v>
      </c>
      <c r="B72" t="s">
        <v>309</v>
      </c>
      <c r="C72" t="s">
        <v>438</v>
      </c>
      <c r="D72" t="s">
        <v>793</v>
      </c>
      <c r="E72" s="1">
        <v>45665</v>
      </c>
      <c r="F72" s="1">
        <v>45665</v>
      </c>
      <c r="G72" s="12">
        <v>482</v>
      </c>
      <c r="H72" s="2">
        <v>0</v>
      </c>
      <c r="I72" s="2">
        <v>0</v>
      </c>
      <c r="J72" s="2">
        <v>0</v>
      </c>
      <c r="K72" s="20">
        <v>482</v>
      </c>
      <c r="L72" t="s">
        <v>794</v>
      </c>
      <c r="M72">
        <f t="shared" si="1"/>
        <v>2025</v>
      </c>
    </row>
    <row r="73" spans="1:13" hidden="1">
      <c r="A73" t="s">
        <v>801</v>
      </c>
      <c r="B73" t="s">
        <v>13</v>
      </c>
      <c r="C73" t="s">
        <v>726</v>
      </c>
      <c r="D73" t="s">
        <v>793</v>
      </c>
      <c r="E73" s="1">
        <v>45665</v>
      </c>
      <c r="F73" s="1">
        <v>45665</v>
      </c>
      <c r="G73" s="12">
        <v>127.09</v>
      </c>
      <c r="H73" s="2">
        <v>0</v>
      </c>
      <c r="I73" s="2">
        <v>0</v>
      </c>
      <c r="J73" s="2">
        <v>0</v>
      </c>
      <c r="K73" s="20">
        <v>127.09</v>
      </c>
      <c r="L73" t="s">
        <v>794</v>
      </c>
      <c r="M73">
        <f t="shared" si="1"/>
        <v>2025</v>
      </c>
    </row>
    <row r="74" spans="1:13" hidden="1">
      <c r="A74" t="s">
        <v>841</v>
      </c>
      <c r="B74" t="s">
        <v>164</v>
      </c>
      <c r="C74" t="s">
        <v>722</v>
      </c>
      <c r="D74" t="s">
        <v>793</v>
      </c>
      <c r="E74" s="1">
        <v>45665</v>
      </c>
      <c r="F74" s="1">
        <v>45665</v>
      </c>
      <c r="G74" s="12">
        <v>352.17</v>
      </c>
      <c r="H74" s="2">
        <v>0</v>
      </c>
      <c r="I74" s="2">
        <v>0</v>
      </c>
      <c r="J74" s="2">
        <v>0</v>
      </c>
      <c r="K74" s="20">
        <v>352.17</v>
      </c>
      <c r="L74" t="s">
        <v>794</v>
      </c>
      <c r="M74">
        <f t="shared" si="1"/>
        <v>2025</v>
      </c>
    </row>
    <row r="75" spans="1:13" hidden="1">
      <c r="A75" t="s">
        <v>802</v>
      </c>
      <c r="B75" t="s">
        <v>121</v>
      </c>
      <c r="C75" t="s">
        <v>723</v>
      </c>
      <c r="D75" t="s">
        <v>793</v>
      </c>
      <c r="E75" s="1">
        <v>45665</v>
      </c>
      <c r="F75" s="1">
        <v>45665</v>
      </c>
      <c r="G75" s="12">
        <v>1000</v>
      </c>
      <c r="H75" s="2">
        <v>0</v>
      </c>
      <c r="I75" s="2">
        <v>0</v>
      </c>
      <c r="J75" s="2">
        <v>0</v>
      </c>
      <c r="K75" s="20">
        <v>1000</v>
      </c>
      <c r="L75" t="s">
        <v>794</v>
      </c>
      <c r="M75">
        <f t="shared" si="1"/>
        <v>2025</v>
      </c>
    </row>
    <row r="76" spans="1:13" hidden="1">
      <c r="A76" t="s">
        <v>839</v>
      </c>
      <c r="B76" t="s">
        <v>44</v>
      </c>
      <c r="C76" t="s">
        <v>722</v>
      </c>
      <c r="D76" t="s">
        <v>793</v>
      </c>
      <c r="E76" s="1">
        <v>45665</v>
      </c>
      <c r="F76" s="1">
        <v>45665</v>
      </c>
      <c r="G76" s="12">
        <v>957.48</v>
      </c>
      <c r="H76" s="2">
        <v>0</v>
      </c>
      <c r="I76" s="2">
        <v>0</v>
      </c>
      <c r="J76" s="2">
        <v>0</v>
      </c>
      <c r="K76" s="20">
        <v>957.48</v>
      </c>
      <c r="L76" t="s">
        <v>794</v>
      </c>
      <c r="M76">
        <f t="shared" si="1"/>
        <v>2025</v>
      </c>
    </row>
    <row r="77" spans="1:13" hidden="1">
      <c r="A77" t="s">
        <v>842</v>
      </c>
      <c r="B77" t="s">
        <v>505</v>
      </c>
      <c r="C77" t="s">
        <v>770</v>
      </c>
      <c r="D77" t="s">
        <v>793</v>
      </c>
      <c r="E77" s="1">
        <v>45665</v>
      </c>
      <c r="F77" s="1">
        <v>45665</v>
      </c>
      <c r="G77" s="12">
        <v>125.4</v>
      </c>
      <c r="H77" s="2">
        <v>0</v>
      </c>
      <c r="I77" s="2">
        <v>0</v>
      </c>
      <c r="J77" s="2">
        <v>0</v>
      </c>
      <c r="K77" s="20">
        <v>125.4</v>
      </c>
      <c r="L77" t="s">
        <v>843</v>
      </c>
      <c r="M77">
        <f t="shared" si="1"/>
        <v>2025</v>
      </c>
    </row>
    <row r="78" spans="1:13" hidden="1">
      <c r="A78" t="s">
        <v>801</v>
      </c>
      <c r="B78" t="s">
        <v>13</v>
      </c>
      <c r="C78" t="s">
        <v>726</v>
      </c>
      <c r="D78" t="s">
        <v>793</v>
      </c>
      <c r="E78" s="1">
        <v>45666</v>
      </c>
      <c r="F78" s="1">
        <v>45666</v>
      </c>
      <c r="G78" s="12">
        <v>3.58</v>
      </c>
      <c r="H78" s="2">
        <v>0</v>
      </c>
      <c r="I78" s="2">
        <v>0</v>
      </c>
      <c r="J78" s="2">
        <v>0</v>
      </c>
      <c r="K78" s="20">
        <v>3.58</v>
      </c>
      <c r="L78" t="s">
        <v>794</v>
      </c>
      <c r="M78">
        <f t="shared" si="1"/>
        <v>2025</v>
      </c>
    </row>
    <row r="79" spans="1:13" hidden="1">
      <c r="A79" t="s">
        <v>844</v>
      </c>
      <c r="B79" t="s">
        <v>18</v>
      </c>
      <c r="C79" t="s">
        <v>719</v>
      </c>
      <c r="D79" t="s">
        <v>793</v>
      </c>
      <c r="E79" s="1">
        <v>45666</v>
      </c>
      <c r="F79" s="1">
        <v>45666</v>
      </c>
      <c r="G79" s="12">
        <v>9371.5300000000007</v>
      </c>
      <c r="H79" s="2">
        <v>0</v>
      </c>
      <c r="I79" s="2">
        <v>0</v>
      </c>
      <c r="J79" s="2">
        <v>0</v>
      </c>
      <c r="K79" s="20">
        <v>9371.5300000000007</v>
      </c>
      <c r="L79" t="s">
        <v>794</v>
      </c>
      <c r="M79">
        <f t="shared" si="1"/>
        <v>2025</v>
      </c>
    </row>
    <row r="80" spans="1:13" hidden="1">
      <c r="A80" t="s">
        <v>845</v>
      </c>
      <c r="B80" t="s">
        <v>112</v>
      </c>
      <c r="C80" t="s">
        <v>729</v>
      </c>
      <c r="D80" t="s">
        <v>793</v>
      </c>
      <c r="E80" s="1">
        <v>45666</v>
      </c>
      <c r="F80" s="1">
        <v>45666</v>
      </c>
      <c r="G80" s="12">
        <v>1809.3400000000001</v>
      </c>
      <c r="H80" s="2">
        <v>0</v>
      </c>
      <c r="I80" s="2">
        <v>0</v>
      </c>
      <c r="J80" s="2">
        <v>0</v>
      </c>
      <c r="K80" s="20">
        <v>1809.3400000000001</v>
      </c>
      <c r="L80" t="s">
        <v>794</v>
      </c>
      <c r="M80">
        <f t="shared" si="1"/>
        <v>2025</v>
      </c>
    </row>
    <row r="81" spans="1:13" hidden="1">
      <c r="A81" t="s">
        <v>846</v>
      </c>
      <c r="B81" t="s">
        <v>253</v>
      </c>
      <c r="C81" t="s">
        <v>398</v>
      </c>
      <c r="D81" t="s">
        <v>793</v>
      </c>
      <c r="E81" s="1">
        <v>45666</v>
      </c>
      <c r="F81" s="1">
        <v>45666</v>
      </c>
      <c r="G81" s="12">
        <v>363.76</v>
      </c>
      <c r="H81" s="2">
        <v>0</v>
      </c>
      <c r="I81" s="2">
        <v>0</v>
      </c>
      <c r="J81" s="2">
        <v>0</v>
      </c>
      <c r="K81" s="20">
        <v>363.76</v>
      </c>
      <c r="L81" t="s">
        <v>794</v>
      </c>
      <c r="M81">
        <f t="shared" si="1"/>
        <v>2025</v>
      </c>
    </row>
    <row r="82" spans="1:13" hidden="1">
      <c r="A82" t="s">
        <v>847</v>
      </c>
      <c r="B82" t="s">
        <v>169</v>
      </c>
      <c r="C82" t="s">
        <v>722</v>
      </c>
      <c r="D82" t="s">
        <v>793</v>
      </c>
      <c r="E82" s="1">
        <v>45666</v>
      </c>
      <c r="F82" s="1">
        <v>45666</v>
      </c>
      <c r="G82" s="12">
        <v>209.81</v>
      </c>
      <c r="H82" s="2">
        <v>0</v>
      </c>
      <c r="I82" s="2">
        <v>0</v>
      </c>
      <c r="J82" s="2">
        <v>0</v>
      </c>
      <c r="K82" s="20">
        <v>209.81</v>
      </c>
      <c r="L82" t="s">
        <v>794</v>
      </c>
      <c r="M82">
        <f t="shared" si="1"/>
        <v>2025</v>
      </c>
    </row>
    <row r="83" spans="1:13" hidden="1">
      <c r="A83" t="s">
        <v>848</v>
      </c>
      <c r="B83" t="s">
        <v>14</v>
      </c>
      <c r="C83" t="s">
        <v>714</v>
      </c>
      <c r="D83" t="s">
        <v>793</v>
      </c>
      <c r="E83" s="1">
        <v>45666</v>
      </c>
      <c r="F83" s="1">
        <v>45666</v>
      </c>
      <c r="G83" s="12">
        <v>26091.79</v>
      </c>
      <c r="H83" s="2">
        <v>0</v>
      </c>
      <c r="I83" s="2">
        <v>0</v>
      </c>
      <c r="J83" s="2">
        <v>0</v>
      </c>
      <c r="K83" s="20">
        <v>26091.79</v>
      </c>
      <c r="L83" t="s">
        <v>794</v>
      </c>
      <c r="M83">
        <f t="shared" si="1"/>
        <v>2025</v>
      </c>
    </row>
    <row r="84" spans="1:13" hidden="1">
      <c r="A84" t="s">
        <v>849</v>
      </c>
      <c r="B84" t="s">
        <v>283</v>
      </c>
      <c r="C84" t="s">
        <v>722</v>
      </c>
      <c r="D84" t="s">
        <v>793</v>
      </c>
      <c r="E84" s="1">
        <v>45666</v>
      </c>
      <c r="F84" s="1">
        <v>45666</v>
      </c>
      <c r="G84" s="12">
        <v>99</v>
      </c>
      <c r="H84" s="2">
        <v>0</v>
      </c>
      <c r="I84" s="2">
        <v>0</v>
      </c>
      <c r="J84" s="2">
        <v>0</v>
      </c>
      <c r="K84" s="20">
        <v>99</v>
      </c>
      <c r="L84" t="s">
        <v>794</v>
      </c>
      <c r="M84">
        <f t="shared" si="1"/>
        <v>2025</v>
      </c>
    </row>
    <row r="85" spans="1:13" hidden="1">
      <c r="A85" t="s">
        <v>833</v>
      </c>
      <c r="B85" t="s">
        <v>235</v>
      </c>
      <c r="C85" t="s">
        <v>558</v>
      </c>
      <c r="D85" t="s">
        <v>793</v>
      </c>
      <c r="E85" s="1">
        <v>45666</v>
      </c>
      <c r="F85" s="1">
        <v>45666</v>
      </c>
      <c r="G85" s="12">
        <v>396.40000000000003</v>
      </c>
      <c r="H85" s="2">
        <v>0</v>
      </c>
      <c r="I85" s="2">
        <v>0</v>
      </c>
      <c r="J85" s="2">
        <v>0</v>
      </c>
      <c r="K85" s="20">
        <v>396.40000000000003</v>
      </c>
      <c r="L85" t="s">
        <v>794</v>
      </c>
      <c r="M85">
        <f t="shared" si="1"/>
        <v>2025</v>
      </c>
    </row>
    <row r="86" spans="1:13" hidden="1">
      <c r="A86" t="s">
        <v>850</v>
      </c>
      <c r="B86" t="s">
        <v>105</v>
      </c>
      <c r="C86" t="s">
        <v>384</v>
      </c>
      <c r="D86" t="s">
        <v>793</v>
      </c>
      <c r="E86" s="1">
        <v>45666</v>
      </c>
      <c r="F86" s="1">
        <v>45666</v>
      </c>
      <c r="G86" s="12">
        <v>1094.58</v>
      </c>
      <c r="H86" s="2">
        <v>0</v>
      </c>
      <c r="I86" s="2">
        <v>0</v>
      </c>
      <c r="J86" s="2">
        <v>0</v>
      </c>
      <c r="K86" s="20">
        <v>1094.58</v>
      </c>
      <c r="L86" t="s">
        <v>794</v>
      </c>
      <c r="M86">
        <f t="shared" si="1"/>
        <v>2025</v>
      </c>
    </row>
    <row r="87" spans="1:13" hidden="1">
      <c r="A87" t="s">
        <v>851</v>
      </c>
      <c r="B87" t="s">
        <v>369</v>
      </c>
      <c r="C87" t="s">
        <v>646</v>
      </c>
      <c r="D87" t="s">
        <v>793</v>
      </c>
      <c r="E87" s="1">
        <v>45666</v>
      </c>
      <c r="F87" s="1">
        <v>45666</v>
      </c>
      <c r="G87" s="12">
        <v>89.97</v>
      </c>
      <c r="H87" s="2">
        <v>0</v>
      </c>
      <c r="I87" s="2">
        <v>0</v>
      </c>
      <c r="J87" s="2">
        <v>0</v>
      </c>
      <c r="K87" s="20">
        <v>89.97</v>
      </c>
      <c r="L87" t="s">
        <v>794</v>
      </c>
      <c r="M87">
        <f t="shared" si="1"/>
        <v>2025</v>
      </c>
    </row>
    <row r="88" spans="1:13" hidden="1">
      <c r="A88" t="s">
        <v>840</v>
      </c>
      <c r="B88" t="s">
        <v>309</v>
      </c>
      <c r="C88" t="s">
        <v>452</v>
      </c>
      <c r="D88" t="s">
        <v>793</v>
      </c>
      <c r="E88" s="1">
        <v>45666</v>
      </c>
      <c r="F88" s="1">
        <v>45666</v>
      </c>
      <c r="G88" s="12">
        <v>69</v>
      </c>
      <c r="H88" s="2">
        <v>0</v>
      </c>
      <c r="I88" s="2">
        <v>0</v>
      </c>
      <c r="J88" s="2">
        <v>0</v>
      </c>
      <c r="K88" s="20">
        <v>69</v>
      </c>
      <c r="L88" t="s">
        <v>794</v>
      </c>
      <c r="M88">
        <f t="shared" si="1"/>
        <v>2025</v>
      </c>
    </row>
    <row r="89" spans="1:13" hidden="1">
      <c r="A89" t="s">
        <v>801</v>
      </c>
      <c r="B89" t="s">
        <v>13</v>
      </c>
      <c r="C89" t="s">
        <v>726</v>
      </c>
      <c r="D89" t="s">
        <v>793</v>
      </c>
      <c r="E89" s="1">
        <v>45666</v>
      </c>
      <c r="F89" s="1">
        <v>45666</v>
      </c>
      <c r="G89" s="12">
        <v>130.67000000000002</v>
      </c>
      <c r="H89" s="2">
        <v>0</v>
      </c>
      <c r="I89" s="2">
        <v>0</v>
      </c>
      <c r="J89" s="2">
        <v>0</v>
      </c>
      <c r="K89" s="20">
        <v>130.67000000000002</v>
      </c>
      <c r="L89" t="s">
        <v>794</v>
      </c>
      <c r="M89">
        <f t="shared" si="1"/>
        <v>2025</v>
      </c>
    </row>
    <row r="90" spans="1:13" hidden="1">
      <c r="A90" t="s">
        <v>801</v>
      </c>
      <c r="B90" t="s">
        <v>13</v>
      </c>
      <c r="C90" t="s">
        <v>726</v>
      </c>
      <c r="D90" t="s">
        <v>793</v>
      </c>
      <c r="E90" s="1">
        <v>45667</v>
      </c>
      <c r="F90" s="1">
        <v>45667</v>
      </c>
      <c r="G90" s="12">
        <v>17</v>
      </c>
      <c r="H90" s="2">
        <v>0</v>
      </c>
      <c r="I90" s="2">
        <v>0</v>
      </c>
      <c r="J90" s="2">
        <v>0</v>
      </c>
      <c r="K90" s="20">
        <v>17</v>
      </c>
      <c r="L90" t="s">
        <v>794</v>
      </c>
      <c r="M90">
        <f t="shared" si="1"/>
        <v>2025</v>
      </c>
    </row>
    <row r="91" spans="1:13" hidden="1">
      <c r="A91" t="s">
        <v>809</v>
      </c>
      <c r="B91" t="s">
        <v>91</v>
      </c>
      <c r="C91" t="s">
        <v>139</v>
      </c>
      <c r="D91" t="s">
        <v>793</v>
      </c>
      <c r="E91" s="1">
        <v>45667</v>
      </c>
      <c r="F91" s="1">
        <v>45667</v>
      </c>
      <c r="G91" s="12">
        <v>75.2</v>
      </c>
      <c r="H91" s="2">
        <v>0</v>
      </c>
      <c r="I91" s="2">
        <v>0</v>
      </c>
      <c r="J91" s="2">
        <v>0</v>
      </c>
      <c r="K91" s="20">
        <v>75.2</v>
      </c>
      <c r="L91" t="s">
        <v>794</v>
      </c>
      <c r="M91">
        <f t="shared" si="1"/>
        <v>2025</v>
      </c>
    </row>
    <row r="92" spans="1:13" hidden="1">
      <c r="A92" t="s">
        <v>796</v>
      </c>
      <c r="B92" t="s">
        <v>181</v>
      </c>
      <c r="C92" t="s">
        <v>141</v>
      </c>
      <c r="D92" t="s">
        <v>793</v>
      </c>
      <c r="E92" s="1">
        <v>45667</v>
      </c>
      <c r="F92" s="1">
        <v>45667</v>
      </c>
      <c r="G92" s="12">
        <v>600</v>
      </c>
      <c r="H92" s="2">
        <v>0</v>
      </c>
      <c r="I92" s="2">
        <v>0</v>
      </c>
      <c r="J92" s="2">
        <v>0</v>
      </c>
      <c r="K92" s="20">
        <v>600</v>
      </c>
      <c r="L92" t="s">
        <v>794</v>
      </c>
      <c r="M92">
        <f t="shared" si="1"/>
        <v>2025</v>
      </c>
    </row>
    <row r="93" spans="1:13" hidden="1">
      <c r="A93" t="s">
        <v>815</v>
      </c>
      <c r="B93" t="s">
        <v>134</v>
      </c>
      <c r="C93" t="s">
        <v>141</v>
      </c>
      <c r="D93" t="s">
        <v>793</v>
      </c>
      <c r="E93" s="1">
        <v>45667</v>
      </c>
      <c r="F93" s="1">
        <v>45667</v>
      </c>
      <c r="G93" s="12">
        <v>100</v>
      </c>
      <c r="H93" s="2">
        <v>0</v>
      </c>
      <c r="I93" s="2">
        <v>0</v>
      </c>
      <c r="J93" s="2">
        <v>0</v>
      </c>
      <c r="K93" s="20">
        <v>100</v>
      </c>
      <c r="L93" t="s">
        <v>794</v>
      </c>
      <c r="M93">
        <f t="shared" si="1"/>
        <v>2025</v>
      </c>
    </row>
    <row r="94" spans="1:13" hidden="1">
      <c r="A94" t="s">
        <v>813</v>
      </c>
      <c r="B94" t="s">
        <v>173</v>
      </c>
      <c r="C94" t="s">
        <v>141</v>
      </c>
      <c r="D94" t="s">
        <v>793</v>
      </c>
      <c r="E94" s="1">
        <v>45667</v>
      </c>
      <c r="F94" s="1">
        <v>45667</v>
      </c>
      <c r="G94" s="12">
        <v>300</v>
      </c>
      <c r="H94" s="2">
        <v>0</v>
      </c>
      <c r="I94" s="2">
        <v>0</v>
      </c>
      <c r="J94" s="2">
        <v>0</v>
      </c>
      <c r="K94" s="20">
        <v>300</v>
      </c>
      <c r="L94" t="s">
        <v>794</v>
      </c>
      <c r="M94">
        <f t="shared" si="1"/>
        <v>2025</v>
      </c>
    </row>
    <row r="95" spans="1:13" hidden="1">
      <c r="A95" t="s">
        <v>826</v>
      </c>
      <c r="B95" t="s">
        <v>21</v>
      </c>
      <c r="C95" t="s">
        <v>141</v>
      </c>
      <c r="D95" t="s">
        <v>793</v>
      </c>
      <c r="E95" s="1">
        <v>45667</v>
      </c>
      <c r="F95" s="1">
        <v>45667</v>
      </c>
      <c r="G95" s="12">
        <v>2710</v>
      </c>
      <c r="H95" s="2">
        <v>0</v>
      </c>
      <c r="I95" s="2">
        <v>0</v>
      </c>
      <c r="J95" s="2">
        <v>0</v>
      </c>
      <c r="K95" s="20">
        <v>2710</v>
      </c>
      <c r="L95" t="s">
        <v>794</v>
      </c>
      <c r="M95">
        <f t="shared" si="1"/>
        <v>2025</v>
      </c>
    </row>
    <row r="96" spans="1:13" hidden="1">
      <c r="A96" t="s">
        <v>810</v>
      </c>
      <c r="B96" t="s">
        <v>54</v>
      </c>
      <c r="C96" t="s">
        <v>139</v>
      </c>
      <c r="D96" t="s">
        <v>793</v>
      </c>
      <c r="E96" s="1">
        <v>45667</v>
      </c>
      <c r="F96" s="1">
        <v>45667</v>
      </c>
      <c r="G96" s="12">
        <v>40.800000000000004</v>
      </c>
      <c r="H96" s="2">
        <v>0</v>
      </c>
      <c r="I96" s="2">
        <v>0</v>
      </c>
      <c r="J96" s="2">
        <v>0</v>
      </c>
      <c r="K96" s="20">
        <v>40.800000000000004</v>
      </c>
      <c r="L96" t="s">
        <v>794</v>
      </c>
      <c r="M96">
        <f t="shared" si="1"/>
        <v>2025</v>
      </c>
    </row>
    <row r="97" spans="1:13" hidden="1">
      <c r="A97" t="s">
        <v>833</v>
      </c>
      <c r="B97" t="s">
        <v>27</v>
      </c>
      <c r="C97" t="s">
        <v>141</v>
      </c>
      <c r="D97" t="s">
        <v>793</v>
      </c>
      <c r="E97" s="1">
        <v>45667</v>
      </c>
      <c r="F97" s="1">
        <v>45667</v>
      </c>
      <c r="G97" s="12">
        <v>200</v>
      </c>
      <c r="H97" s="2">
        <v>0</v>
      </c>
      <c r="I97" s="2">
        <v>0</v>
      </c>
      <c r="J97" s="2">
        <v>0</v>
      </c>
      <c r="K97" s="20">
        <v>200</v>
      </c>
      <c r="L97" t="s">
        <v>794</v>
      </c>
      <c r="M97">
        <f t="shared" si="1"/>
        <v>2025</v>
      </c>
    </row>
    <row r="98" spans="1:13" hidden="1">
      <c r="A98" t="s">
        <v>815</v>
      </c>
      <c r="B98" t="s">
        <v>134</v>
      </c>
      <c r="C98" t="s">
        <v>141</v>
      </c>
      <c r="D98" t="s">
        <v>793</v>
      </c>
      <c r="E98" s="1">
        <v>45667</v>
      </c>
      <c r="F98" s="1">
        <v>45667</v>
      </c>
      <c r="G98" s="12">
        <v>300</v>
      </c>
      <c r="H98" s="2">
        <v>0</v>
      </c>
      <c r="I98" s="2">
        <v>0</v>
      </c>
      <c r="J98" s="2">
        <v>0</v>
      </c>
      <c r="K98" s="20">
        <v>300</v>
      </c>
      <c r="L98" t="s">
        <v>794</v>
      </c>
      <c r="M98">
        <f t="shared" si="1"/>
        <v>2025</v>
      </c>
    </row>
    <row r="99" spans="1:13" hidden="1">
      <c r="A99" t="s">
        <v>827</v>
      </c>
      <c r="B99" t="s">
        <v>265</v>
      </c>
      <c r="C99" t="s">
        <v>141</v>
      </c>
      <c r="D99" t="s">
        <v>793</v>
      </c>
      <c r="E99" s="1">
        <v>45667</v>
      </c>
      <c r="F99" s="1">
        <v>45667</v>
      </c>
      <c r="G99" s="12">
        <v>160</v>
      </c>
      <c r="H99" s="2">
        <v>0</v>
      </c>
      <c r="I99" s="2">
        <v>0</v>
      </c>
      <c r="J99" s="2">
        <v>0</v>
      </c>
      <c r="K99" s="20">
        <v>160</v>
      </c>
      <c r="L99" t="s">
        <v>794</v>
      </c>
      <c r="M99">
        <f t="shared" si="1"/>
        <v>2025</v>
      </c>
    </row>
    <row r="100" spans="1:13" hidden="1">
      <c r="A100" t="s">
        <v>803</v>
      </c>
      <c r="B100" t="s">
        <v>125</v>
      </c>
      <c r="C100" t="s">
        <v>141</v>
      </c>
      <c r="D100" t="s">
        <v>793</v>
      </c>
      <c r="E100" s="1">
        <v>45667</v>
      </c>
      <c r="F100" s="1">
        <v>45667</v>
      </c>
      <c r="G100" s="12">
        <v>600</v>
      </c>
      <c r="H100" s="2">
        <v>0</v>
      </c>
      <c r="I100" s="2">
        <v>0</v>
      </c>
      <c r="J100" s="2">
        <v>0</v>
      </c>
      <c r="K100" s="20">
        <v>600</v>
      </c>
      <c r="L100" t="s">
        <v>794</v>
      </c>
      <c r="M100">
        <f t="shared" si="1"/>
        <v>2025</v>
      </c>
    </row>
    <row r="101" spans="1:13" hidden="1">
      <c r="A101" t="s">
        <v>812</v>
      </c>
      <c r="B101" t="s">
        <v>31</v>
      </c>
      <c r="C101" t="s">
        <v>141</v>
      </c>
      <c r="D101" t="s">
        <v>793</v>
      </c>
      <c r="E101" s="1">
        <v>45667</v>
      </c>
      <c r="F101" s="1">
        <v>45667</v>
      </c>
      <c r="G101" s="12">
        <v>950</v>
      </c>
      <c r="H101" s="2">
        <v>0</v>
      </c>
      <c r="I101" s="2">
        <v>0</v>
      </c>
      <c r="J101" s="2">
        <v>0</v>
      </c>
      <c r="K101" s="20">
        <v>950</v>
      </c>
      <c r="L101" t="s">
        <v>794</v>
      </c>
      <c r="M101">
        <f t="shared" si="1"/>
        <v>2025</v>
      </c>
    </row>
    <row r="102" spans="1:13" hidden="1">
      <c r="A102" t="s">
        <v>818</v>
      </c>
      <c r="B102" t="s">
        <v>30</v>
      </c>
      <c r="C102" t="s">
        <v>141</v>
      </c>
      <c r="D102" t="s">
        <v>793</v>
      </c>
      <c r="E102" s="1">
        <v>45667</v>
      </c>
      <c r="F102" s="1">
        <v>45667</v>
      </c>
      <c r="G102" s="12">
        <v>1100</v>
      </c>
      <c r="H102" s="2">
        <v>0</v>
      </c>
      <c r="I102" s="2">
        <v>0</v>
      </c>
      <c r="J102" s="2">
        <v>0</v>
      </c>
      <c r="K102" s="20">
        <v>1100</v>
      </c>
      <c r="L102" t="s">
        <v>794</v>
      </c>
      <c r="M102">
        <f t="shared" si="1"/>
        <v>2025</v>
      </c>
    </row>
    <row r="103" spans="1:13" hidden="1">
      <c r="A103" t="s">
        <v>852</v>
      </c>
      <c r="B103" t="s">
        <v>342</v>
      </c>
      <c r="C103" t="s">
        <v>558</v>
      </c>
      <c r="D103" t="s">
        <v>793</v>
      </c>
      <c r="E103" s="1">
        <v>45667</v>
      </c>
      <c r="F103" s="1">
        <v>45667</v>
      </c>
      <c r="G103" s="12">
        <v>35.96</v>
      </c>
      <c r="H103" s="2">
        <v>0</v>
      </c>
      <c r="I103" s="2">
        <v>0</v>
      </c>
      <c r="J103" s="2">
        <v>0</v>
      </c>
      <c r="K103" s="20">
        <v>35.96</v>
      </c>
      <c r="L103" t="s">
        <v>794</v>
      </c>
      <c r="M103">
        <f t="shared" si="1"/>
        <v>2025</v>
      </c>
    </row>
    <row r="104" spans="1:13" hidden="1">
      <c r="A104" t="s">
        <v>801</v>
      </c>
      <c r="B104" t="s">
        <v>13</v>
      </c>
      <c r="C104" t="s">
        <v>726</v>
      </c>
      <c r="D104" t="s">
        <v>793</v>
      </c>
      <c r="E104" s="1">
        <v>45667</v>
      </c>
      <c r="F104" s="1">
        <v>45667</v>
      </c>
      <c r="G104" s="12">
        <v>3.58</v>
      </c>
      <c r="H104" s="2">
        <v>0</v>
      </c>
      <c r="I104" s="2">
        <v>0</v>
      </c>
      <c r="J104" s="2">
        <v>0</v>
      </c>
      <c r="K104" s="20">
        <v>3.58</v>
      </c>
      <c r="L104" t="s">
        <v>794</v>
      </c>
      <c r="M104">
        <f t="shared" si="1"/>
        <v>2025</v>
      </c>
    </row>
    <row r="105" spans="1:13" hidden="1">
      <c r="A105" t="s">
        <v>853</v>
      </c>
      <c r="B105" t="s">
        <v>303</v>
      </c>
      <c r="C105" t="s">
        <v>200</v>
      </c>
      <c r="D105" t="s">
        <v>793</v>
      </c>
      <c r="E105" s="1">
        <v>45667</v>
      </c>
      <c r="F105" s="1">
        <v>45667</v>
      </c>
      <c r="G105" s="12">
        <v>1260</v>
      </c>
      <c r="H105" s="2">
        <v>0</v>
      </c>
      <c r="I105" s="2">
        <v>0</v>
      </c>
      <c r="J105" s="2">
        <v>0</v>
      </c>
      <c r="K105" s="20">
        <v>1260</v>
      </c>
      <c r="L105" t="s">
        <v>794</v>
      </c>
      <c r="M105">
        <f t="shared" si="1"/>
        <v>2025</v>
      </c>
    </row>
    <row r="106" spans="1:13" hidden="1">
      <c r="A106" t="s">
        <v>854</v>
      </c>
      <c r="B106" t="s">
        <v>79</v>
      </c>
      <c r="C106" t="s">
        <v>201</v>
      </c>
      <c r="D106" t="s">
        <v>793</v>
      </c>
      <c r="E106" s="1">
        <v>45667</v>
      </c>
      <c r="F106" s="1">
        <v>45667</v>
      </c>
      <c r="G106" s="12">
        <v>2600</v>
      </c>
      <c r="H106" s="2">
        <v>0</v>
      </c>
      <c r="I106" s="2">
        <v>0</v>
      </c>
      <c r="J106" s="2">
        <v>0</v>
      </c>
      <c r="K106" s="20">
        <v>2600</v>
      </c>
      <c r="L106" t="s">
        <v>794</v>
      </c>
      <c r="M106">
        <f t="shared" si="1"/>
        <v>2025</v>
      </c>
    </row>
    <row r="107" spans="1:13" hidden="1">
      <c r="A107" t="s">
        <v>802</v>
      </c>
      <c r="B107" t="s">
        <v>121</v>
      </c>
      <c r="C107" t="s">
        <v>200</v>
      </c>
      <c r="D107" t="s">
        <v>793</v>
      </c>
      <c r="E107" s="1">
        <v>45667</v>
      </c>
      <c r="F107" s="1">
        <v>45667</v>
      </c>
      <c r="G107" s="12">
        <v>160</v>
      </c>
      <c r="H107" s="2">
        <v>0</v>
      </c>
      <c r="I107" s="2">
        <v>0</v>
      </c>
      <c r="J107" s="2">
        <v>0</v>
      </c>
      <c r="K107" s="20">
        <v>160</v>
      </c>
      <c r="L107" t="s">
        <v>794</v>
      </c>
      <c r="M107">
        <f t="shared" si="1"/>
        <v>2025</v>
      </c>
    </row>
    <row r="108" spans="1:13" hidden="1">
      <c r="A108" t="s">
        <v>840</v>
      </c>
      <c r="B108" t="s">
        <v>309</v>
      </c>
      <c r="C108" t="s">
        <v>452</v>
      </c>
      <c r="D108" t="s">
        <v>793</v>
      </c>
      <c r="E108" s="1">
        <v>45667</v>
      </c>
      <c r="F108" s="1">
        <v>45667</v>
      </c>
      <c r="G108" s="12">
        <v>49</v>
      </c>
      <c r="H108" s="2">
        <v>0</v>
      </c>
      <c r="I108" s="2">
        <v>0</v>
      </c>
      <c r="J108" s="2">
        <v>0</v>
      </c>
      <c r="K108" s="20">
        <v>49</v>
      </c>
      <c r="L108" t="s">
        <v>794</v>
      </c>
      <c r="M108">
        <f t="shared" si="1"/>
        <v>2025</v>
      </c>
    </row>
    <row r="109" spans="1:13" hidden="1">
      <c r="A109" t="s">
        <v>815</v>
      </c>
      <c r="B109" t="s">
        <v>134</v>
      </c>
      <c r="C109" t="s">
        <v>730</v>
      </c>
      <c r="D109" t="s">
        <v>793</v>
      </c>
      <c r="E109" s="1">
        <v>45667</v>
      </c>
      <c r="F109" s="1">
        <v>45667</v>
      </c>
      <c r="G109" s="12">
        <v>2189.1</v>
      </c>
      <c r="H109" s="2">
        <v>0</v>
      </c>
      <c r="I109" s="2">
        <v>0</v>
      </c>
      <c r="J109" s="2">
        <v>0</v>
      </c>
      <c r="K109" s="20">
        <v>2189.1</v>
      </c>
      <c r="L109" t="s">
        <v>794</v>
      </c>
      <c r="M109">
        <f t="shared" si="1"/>
        <v>2025</v>
      </c>
    </row>
    <row r="110" spans="1:13" hidden="1">
      <c r="A110" t="s">
        <v>855</v>
      </c>
      <c r="B110" t="s">
        <v>20</v>
      </c>
      <c r="C110" t="s">
        <v>201</v>
      </c>
      <c r="D110" t="s">
        <v>793</v>
      </c>
      <c r="E110" s="1">
        <v>45667</v>
      </c>
      <c r="F110" s="1">
        <v>45667</v>
      </c>
      <c r="G110" s="12">
        <v>1360</v>
      </c>
      <c r="H110" s="2">
        <v>0</v>
      </c>
      <c r="I110" s="2">
        <v>0</v>
      </c>
      <c r="J110" s="2">
        <v>0</v>
      </c>
      <c r="K110" s="20">
        <v>1360</v>
      </c>
      <c r="L110" t="s">
        <v>794</v>
      </c>
      <c r="M110">
        <f t="shared" si="1"/>
        <v>2025</v>
      </c>
    </row>
    <row r="111" spans="1:13" hidden="1">
      <c r="A111" t="s">
        <v>856</v>
      </c>
      <c r="B111" t="s">
        <v>170</v>
      </c>
      <c r="C111" t="s">
        <v>200</v>
      </c>
      <c r="D111" t="s">
        <v>793</v>
      </c>
      <c r="E111" s="1">
        <v>45667</v>
      </c>
      <c r="F111" s="1">
        <v>45667</v>
      </c>
      <c r="G111" s="12">
        <v>720</v>
      </c>
      <c r="H111" s="2">
        <v>0</v>
      </c>
      <c r="I111" s="2">
        <v>0</v>
      </c>
      <c r="J111" s="2">
        <v>0</v>
      </c>
      <c r="K111" s="20">
        <v>720</v>
      </c>
      <c r="L111" t="s">
        <v>794</v>
      </c>
      <c r="M111">
        <f t="shared" si="1"/>
        <v>2025</v>
      </c>
    </row>
    <row r="112" spans="1:13" hidden="1">
      <c r="A112" t="s">
        <v>857</v>
      </c>
      <c r="B112" t="s">
        <v>326</v>
      </c>
      <c r="C112" t="s">
        <v>200</v>
      </c>
      <c r="D112" t="s">
        <v>793</v>
      </c>
      <c r="E112" s="1">
        <v>45667</v>
      </c>
      <c r="F112" s="1">
        <v>45667</v>
      </c>
      <c r="G112" s="12">
        <v>160</v>
      </c>
      <c r="H112" s="2">
        <v>0</v>
      </c>
      <c r="I112" s="2">
        <v>0</v>
      </c>
      <c r="J112" s="2">
        <v>0</v>
      </c>
      <c r="K112" s="20">
        <v>160</v>
      </c>
      <c r="L112" t="s">
        <v>794</v>
      </c>
      <c r="M112">
        <f t="shared" si="1"/>
        <v>2025</v>
      </c>
    </row>
    <row r="113" spans="1:13" hidden="1">
      <c r="A113" t="s">
        <v>820</v>
      </c>
      <c r="B113" t="s">
        <v>196</v>
      </c>
      <c r="C113" t="s">
        <v>200</v>
      </c>
      <c r="D113" t="s">
        <v>793</v>
      </c>
      <c r="E113" s="1">
        <v>45667</v>
      </c>
      <c r="F113" s="1">
        <v>45667</v>
      </c>
      <c r="G113" s="12">
        <v>1440</v>
      </c>
      <c r="H113" s="2">
        <v>0</v>
      </c>
      <c r="I113" s="2">
        <v>0</v>
      </c>
      <c r="J113" s="2">
        <v>0</v>
      </c>
      <c r="K113" s="20">
        <v>1440</v>
      </c>
      <c r="L113" t="s">
        <v>794</v>
      </c>
      <c r="M113">
        <f t="shared" si="1"/>
        <v>2025</v>
      </c>
    </row>
    <row r="114" spans="1:13" hidden="1">
      <c r="A114" t="s">
        <v>858</v>
      </c>
      <c r="B114" t="s">
        <v>243</v>
      </c>
      <c r="C114" t="s">
        <v>200</v>
      </c>
      <c r="D114" t="s">
        <v>793</v>
      </c>
      <c r="E114" s="1">
        <v>45667</v>
      </c>
      <c r="F114" s="1">
        <v>45667</v>
      </c>
      <c r="G114" s="12">
        <v>80</v>
      </c>
      <c r="H114" s="2">
        <v>0</v>
      </c>
      <c r="I114" s="2">
        <v>0</v>
      </c>
      <c r="J114" s="2">
        <v>0</v>
      </c>
      <c r="K114" s="20">
        <v>80</v>
      </c>
      <c r="L114" t="s">
        <v>794</v>
      </c>
      <c r="M114">
        <f t="shared" si="1"/>
        <v>2025</v>
      </c>
    </row>
    <row r="115" spans="1:13" hidden="1">
      <c r="A115" t="s">
        <v>859</v>
      </c>
      <c r="B115" t="s">
        <v>264</v>
      </c>
      <c r="C115" t="s">
        <v>200</v>
      </c>
      <c r="D115" t="s">
        <v>793</v>
      </c>
      <c r="E115" s="1">
        <v>45667</v>
      </c>
      <c r="F115" s="1">
        <v>45667</v>
      </c>
      <c r="G115" s="12">
        <v>560</v>
      </c>
      <c r="H115" s="2">
        <v>0</v>
      </c>
      <c r="I115" s="2">
        <v>0</v>
      </c>
      <c r="J115" s="2">
        <v>0</v>
      </c>
      <c r="K115" s="20">
        <v>560</v>
      </c>
      <c r="L115" t="s">
        <v>794</v>
      </c>
      <c r="M115">
        <f t="shared" si="1"/>
        <v>2025</v>
      </c>
    </row>
    <row r="116" spans="1:13" hidden="1">
      <c r="A116" t="s">
        <v>860</v>
      </c>
      <c r="B116" t="s">
        <v>95</v>
      </c>
      <c r="C116" t="s">
        <v>200</v>
      </c>
      <c r="D116" t="s">
        <v>793</v>
      </c>
      <c r="E116" s="1">
        <v>45667</v>
      </c>
      <c r="F116" s="1">
        <v>45667</v>
      </c>
      <c r="G116" s="12">
        <v>3080</v>
      </c>
      <c r="H116" s="2">
        <v>0</v>
      </c>
      <c r="I116" s="2">
        <v>0</v>
      </c>
      <c r="J116" s="2">
        <v>0</v>
      </c>
      <c r="K116" s="20">
        <v>3080</v>
      </c>
      <c r="L116" t="s">
        <v>794</v>
      </c>
      <c r="M116">
        <f t="shared" si="1"/>
        <v>2025</v>
      </c>
    </row>
    <row r="117" spans="1:13" hidden="1">
      <c r="A117" t="s">
        <v>861</v>
      </c>
      <c r="B117" t="s">
        <v>218</v>
      </c>
      <c r="C117" t="s">
        <v>200</v>
      </c>
      <c r="D117" t="s">
        <v>793</v>
      </c>
      <c r="E117" s="1">
        <v>45667</v>
      </c>
      <c r="F117" s="1">
        <v>45667</v>
      </c>
      <c r="G117" s="12">
        <v>840</v>
      </c>
      <c r="H117" s="2">
        <v>0</v>
      </c>
      <c r="I117" s="2">
        <v>0</v>
      </c>
      <c r="J117" s="2">
        <v>0</v>
      </c>
      <c r="K117" s="20">
        <v>840</v>
      </c>
      <c r="L117" t="s">
        <v>794</v>
      </c>
      <c r="M117">
        <f t="shared" si="1"/>
        <v>2025</v>
      </c>
    </row>
    <row r="118" spans="1:13" hidden="1">
      <c r="A118" t="s">
        <v>862</v>
      </c>
      <c r="B118" t="s">
        <v>336</v>
      </c>
      <c r="C118" t="s">
        <v>200</v>
      </c>
      <c r="D118" t="s">
        <v>793</v>
      </c>
      <c r="E118" s="1">
        <v>45667</v>
      </c>
      <c r="F118" s="1">
        <v>45667</v>
      </c>
      <c r="G118" s="12">
        <v>676</v>
      </c>
      <c r="H118" s="2">
        <v>0</v>
      </c>
      <c r="I118" s="2">
        <v>0</v>
      </c>
      <c r="J118" s="2">
        <v>0</v>
      </c>
      <c r="K118" s="20">
        <v>676</v>
      </c>
      <c r="L118" t="s">
        <v>794</v>
      </c>
      <c r="M118">
        <f t="shared" si="1"/>
        <v>2025</v>
      </c>
    </row>
    <row r="119" spans="1:13" hidden="1">
      <c r="A119" t="s">
        <v>863</v>
      </c>
      <c r="B119" t="s">
        <v>266</v>
      </c>
      <c r="C119" t="s">
        <v>200</v>
      </c>
      <c r="D119" t="s">
        <v>793</v>
      </c>
      <c r="E119" s="1">
        <v>45667</v>
      </c>
      <c r="F119" s="1">
        <v>45667</v>
      </c>
      <c r="G119" s="12">
        <v>1840</v>
      </c>
      <c r="H119" s="2">
        <v>0</v>
      </c>
      <c r="I119" s="2">
        <v>0</v>
      </c>
      <c r="J119" s="2">
        <v>0</v>
      </c>
      <c r="K119" s="20">
        <v>1840</v>
      </c>
      <c r="L119" t="s">
        <v>794</v>
      </c>
      <c r="M119">
        <f t="shared" si="1"/>
        <v>2025</v>
      </c>
    </row>
    <row r="120" spans="1:13" hidden="1">
      <c r="A120" t="s">
        <v>817</v>
      </c>
      <c r="B120" t="s">
        <v>51</v>
      </c>
      <c r="C120" t="s">
        <v>200</v>
      </c>
      <c r="D120" t="s">
        <v>793</v>
      </c>
      <c r="E120" s="1">
        <v>45667</v>
      </c>
      <c r="F120" s="1">
        <v>45667</v>
      </c>
      <c r="G120" s="12">
        <v>2160</v>
      </c>
      <c r="H120" s="2">
        <v>0</v>
      </c>
      <c r="I120" s="2">
        <v>0</v>
      </c>
      <c r="J120" s="2">
        <v>0</v>
      </c>
      <c r="K120" s="20">
        <v>2160</v>
      </c>
      <c r="L120" t="s">
        <v>794</v>
      </c>
      <c r="M120">
        <f t="shared" si="1"/>
        <v>2025</v>
      </c>
    </row>
    <row r="121" spans="1:13" hidden="1">
      <c r="A121" t="s">
        <v>864</v>
      </c>
      <c r="B121" t="s">
        <v>36</v>
      </c>
      <c r="C121" t="s">
        <v>201</v>
      </c>
      <c r="D121" t="s">
        <v>793</v>
      </c>
      <c r="E121" s="1">
        <v>45667</v>
      </c>
      <c r="F121" s="1">
        <v>45667</v>
      </c>
      <c r="G121" s="12">
        <v>520</v>
      </c>
      <c r="H121" s="2">
        <v>0</v>
      </c>
      <c r="I121" s="2">
        <v>0</v>
      </c>
      <c r="J121" s="2">
        <v>0</v>
      </c>
      <c r="K121" s="20">
        <v>520</v>
      </c>
      <c r="L121" t="s">
        <v>794</v>
      </c>
      <c r="M121">
        <f t="shared" si="1"/>
        <v>2025</v>
      </c>
    </row>
    <row r="122" spans="1:13" hidden="1">
      <c r="A122" t="s">
        <v>865</v>
      </c>
      <c r="B122" t="s">
        <v>76</v>
      </c>
      <c r="C122" t="s">
        <v>200</v>
      </c>
      <c r="D122" t="s">
        <v>793</v>
      </c>
      <c r="E122" s="1">
        <v>45667</v>
      </c>
      <c r="F122" s="1">
        <v>45667</v>
      </c>
      <c r="G122" s="12">
        <v>720</v>
      </c>
      <c r="H122" s="2">
        <v>0</v>
      </c>
      <c r="I122" s="2">
        <v>0</v>
      </c>
      <c r="J122" s="2">
        <v>0</v>
      </c>
      <c r="K122" s="20">
        <v>720</v>
      </c>
      <c r="L122" t="s">
        <v>794</v>
      </c>
      <c r="M122">
        <f t="shared" si="1"/>
        <v>2025</v>
      </c>
    </row>
    <row r="123" spans="1:13" hidden="1">
      <c r="A123" t="s">
        <v>865</v>
      </c>
      <c r="B123" t="s">
        <v>76</v>
      </c>
      <c r="C123" t="s">
        <v>201</v>
      </c>
      <c r="D123" t="s">
        <v>793</v>
      </c>
      <c r="E123" s="1">
        <v>45667</v>
      </c>
      <c r="F123" s="1">
        <v>45667</v>
      </c>
      <c r="G123" s="12">
        <v>1440</v>
      </c>
      <c r="H123" s="2">
        <v>0</v>
      </c>
      <c r="I123" s="2">
        <v>0</v>
      </c>
      <c r="J123" s="2">
        <v>0</v>
      </c>
      <c r="K123" s="20">
        <v>1440</v>
      </c>
      <c r="L123" t="s">
        <v>794</v>
      </c>
      <c r="M123">
        <f t="shared" si="1"/>
        <v>2025</v>
      </c>
    </row>
    <row r="124" spans="1:13" hidden="1">
      <c r="A124" t="s">
        <v>866</v>
      </c>
      <c r="B124" t="s">
        <v>78</v>
      </c>
      <c r="C124" t="s">
        <v>200</v>
      </c>
      <c r="D124" t="s">
        <v>793</v>
      </c>
      <c r="E124" s="1">
        <v>45667</v>
      </c>
      <c r="F124" s="1">
        <v>45667</v>
      </c>
      <c r="G124" s="12">
        <v>2640</v>
      </c>
      <c r="H124" s="2">
        <v>0</v>
      </c>
      <c r="I124" s="2">
        <v>0</v>
      </c>
      <c r="J124" s="2">
        <v>0</v>
      </c>
      <c r="K124" s="20">
        <v>2640</v>
      </c>
      <c r="L124" t="s">
        <v>794</v>
      </c>
      <c r="M124">
        <f t="shared" si="1"/>
        <v>2025</v>
      </c>
    </row>
    <row r="125" spans="1:13" hidden="1">
      <c r="A125" t="s">
        <v>867</v>
      </c>
      <c r="B125" t="s">
        <v>207</v>
      </c>
      <c r="C125" t="s">
        <v>200</v>
      </c>
      <c r="D125" t="s">
        <v>793</v>
      </c>
      <c r="E125" s="1">
        <v>45667</v>
      </c>
      <c r="F125" s="1">
        <v>45667</v>
      </c>
      <c r="G125" s="12">
        <v>720</v>
      </c>
      <c r="H125" s="2">
        <v>0</v>
      </c>
      <c r="I125" s="2">
        <v>0</v>
      </c>
      <c r="J125" s="2">
        <v>0</v>
      </c>
      <c r="K125" s="20">
        <v>720</v>
      </c>
      <c r="L125" t="s">
        <v>794</v>
      </c>
      <c r="M125">
        <f t="shared" si="1"/>
        <v>2025</v>
      </c>
    </row>
    <row r="126" spans="1:13" hidden="1">
      <c r="A126" t="s">
        <v>868</v>
      </c>
      <c r="B126" t="s">
        <v>306</v>
      </c>
      <c r="C126" t="s">
        <v>201</v>
      </c>
      <c r="D126" t="s">
        <v>793</v>
      </c>
      <c r="E126" s="1">
        <v>45667</v>
      </c>
      <c r="F126" s="1">
        <v>45667</v>
      </c>
      <c r="G126" s="12">
        <v>1200</v>
      </c>
      <c r="H126" s="2">
        <v>0</v>
      </c>
      <c r="I126" s="2">
        <v>0</v>
      </c>
      <c r="J126" s="2">
        <v>0</v>
      </c>
      <c r="K126" s="20">
        <v>1200</v>
      </c>
      <c r="L126" t="s">
        <v>794</v>
      </c>
      <c r="M126">
        <f t="shared" si="1"/>
        <v>2025</v>
      </c>
    </row>
    <row r="127" spans="1:13" hidden="1">
      <c r="A127" t="s">
        <v>869</v>
      </c>
      <c r="B127" t="s">
        <v>124</v>
      </c>
      <c r="C127" t="s">
        <v>201</v>
      </c>
      <c r="D127" t="s">
        <v>793</v>
      </c>
      <c r="E127" s="1">
        <v>45667</v>
      </c>
      <c r="F127" s="1">
        <v>45667</v>
      </c>
      <c r="G127" s="12">
        <v>1360</v>
      </c>
      <c r="H127" s="2">
        <v>0</v>
      </c>
      <c r="I127" s="2">
        <v>0</v>
      </c>
      <c r="J127" s="2">
        <v>0</v>
      </c>
      <c r="K127" s="20">
        <v>1360</v>
      </c>
      <c r="L127" t="s">
        <v>794</v>
      </c>
      <c r="M127">
        <f t="shared" si="1"/>
        <v>2025</v>
      </c>
    </row>
    <row r="128" spans="1:13" hidden="1">
      <c r="A128" t="s">
        <v>870</v>
      </c>
      <c r="B128" t="s">
        <v>119</v>
      </c>
      <c r="C128" t="s">
        <v>200</v>
      </c>
      <c r="D128" t="s">
        <v>793</v>
      </c>
      <c r="E128" s="1">
        <v>45667</v>
      </c>
      <c r="F128" s="1">
        <v>45667</v>
      </c>
      <c r="G128" s="12">
        <v>800</v>
      </c>
      <c r="H128" s="2">
        <v>0</v>
      </c>
      <c r="I128" s="2">
        <v>0</v>
      </c>
      <c r="J128" s="2">
        <v>0</v>
      </c>
      <c r="K128" s="20">
        <v>800</v>
      </c>
      <c r="L128" t="s">
        <v>794</v>
      </c>
      <c r="M128">
        <f t="shared" si="1"/>
        <v>2025</v>
      </c>
    </row>
    <row r="129" spans="1:13" hidden="1">
      <c r="A129" t="s">
        <v>870</v>
      </c>
      <c r="B129" t="s">
        <v>119</v>
      </c>
      <c r="C129" t="s">
        <v>201</v>
      </c>
      <c r="D129" t="s">
        <v>793</v>
      </c>
      <c r="E129" s="1">
        <v>45667</v>
      </c>
      <c r="F129" s="1">
        <v>45667</v>
      </c>
      <c r="G129" s="12">
        <v>1040</v>
      </c>
      <c r="H129" s="2">
        <v>0</v>
      </c>
      <c r="I129" s="2">
        <v>0</v>
      </c>
      <c r="J129" s="2">
        <v>0</v>
      </c>
      <c r="K129" s="20">
        <v>1040</v>
      </c>
      <c r="L129" t="s">
        <v>794</v>
      </c>
      <c r="M129">
        <f t="shared" si="1"/>
        <v>2025</v>
      </c>
    </row>
    <row r="130" spans="1:13" hidden="1">
      <c r="A130" t="s">
        <v>871</v>
      </c>
      <c r="B130" t="s">
        <v>627</v>
      </c>
      <c r="C130" t="s">
        <v>452</v>
      </c>
      <c r="D130" t="s">
        <v>793</v>
      </c>
      <c r="E130" s="1">
        <v>45667</v>
      </c>
      <c r="F130" s="1">
        <v>45667</v>
      </c>
      <c r="G130" s="12">
        <v>49</v>
      </c>
      <c r="H130" s="2">
        <v>0</v>
      </c>
      <c r="I130" s="2">
        <v>0</v>
      </c>
      <c r="J130" s="2">
        <v>0</v>
      </c>
      <c r="K130" s="20">
        <v>49</v>
      </c>
      <c r="L130" t="s">
        <v>794</v>
      </c>
      <c r="M130">
        <f t="shared" si="1"/>
        <v>2025</v>
      </c>
    </row>
    <row r="131" spans="1:13" hidden="1">
      <c r="A131" t="s">
        <v>872</v>
      </c>
      <c r="B131" t="s">
        <v>256</v>
      </c>
      <c r="C131" t="s">
        <v>201</v>
      </c>
      <c r="D131" t="s">
        <v>873</v>
      </c>
      <c r="E131" s="1">
        <v>45667</v>
      </c>
      <c r="F131" s="1">
        <v>45667</v>
      </c>
      <c r="G131" s="12">
        <v>1020</v>
      </c>
      <c r="H131" s="2">
        <v>0</v>
      </c>
      <c r="I131" s="2">
        <v>0</v>
      </c>
      <c r="J131" s="2">
        <v>0</v>
      </c>
      <c r="K131" s="20">
        <v>1020</v>
      </c>
      <c r="L131" t="s">
        <v>794</v>
      </c>
      <c r="M131">
        <f t="shared" ref="M131:M194" si="2">YEAR(F131)</f>
        <v>2025</v>
      </c>
    </row>
    <row r="132" spans="1:13" hidden="1">
      <c r="A132" t="s">
        <v>832</v>
      </c>
      <c r="B132" t="s">
        <v>120</v>
      </c>
      <c r="C132" t="s">
        <v>141</v>
      </c>
      <c r="D132" t="s">
        <v>793</v>
      </c>
      <c r="E132" s="1">
        <v>45668</v>
      </c>
      <c r="F132" s="1">
        <v>45668</v>
      </c>
      <c r="G132" s="12">
        <v>300</v>
      </c>
      <c r="H132" s="2">
        <v>0</v>
      </c>
      <c r="I132" s="2">
        <v>0</v>
      </c>
      <c r="J132" s="2">
        <v>0</v>
      </c>
      <c r="K132" s="20">
        <v>300</v>
      </c>
      <c r="L132" t="s">
        <v>794</v>
      </c>
      <c r="M132">
        <f t="shared" si="2"/>
        <v>2025</v>
      </c>
    </row>
    <row r="133" spans="1:13" hidden="1">
      <c r="A133" t="s">
        <v>825</v>
      </c>
      <c r="B133" t="s">
        <v>46</v>
      </c>
      <c r="C133" t="s">
        <v>141</v>
      </c>
      <c r="D133" t="s">
        <v>793</v>
      </c>
      <c r="E133" s="1">
        <v>45668</v>
      </c>
      <c r="F133" s="1">
        <v>45668</v>
      </c>
      <c r="G133" s="12">
        <v>100</v>
      </c>
      <c r="H133" s="2">
        <v>0</v>
      </c>
      <c r="I133" s="2">
        <v>0</v>
      </c>
      <c r="J133" s="2">
        <v>0</v>
      </c>
      <c r="K133" s="20">
        <v>100</v>
      </c>
      <c r="L133" t="s">
        <v>794</v>
      </c>
      <c r="M133">
        <f t="shared" si="2"/>
        <v>2025</v>
      </c>
    </row>
    <row r="134" spans="1:13" hidden="1">
      <c r="A134" t="s">
        <v>812</v>
      </c>
      <c r="B134" t="s">
        <v>31</v>
      </c>
      <c r="C134" t="s">
        <v>141</v>
      </c>
      <c r="D134" t="s">
        <v>793</v>
      </c>
      <c r="E134" s="1">
        <v>45670</v>
      </c>
      <c r="F134" s="1">
        <v>45670</v>
      </c>
      <c r="G134" s="12">
        <v>364</v>
      </c>
      <c r="H134" s="2">
        <v>0</v>
      </c>
      <c r="I134" s="2">
        <v>0</v>
      </c>
      <c r="J134" s="2">
        <v>0</v>
      </c>
      <c r="K134" s="20">
        <v>364</v>
      </c>
      <c r="L134" t="s">
        <v>794</v>
      </c>
      <c r="M134">
        <f t="shared" si="2"/>
        <v>2025</v>
      </c>
    </row>
    <row r="135" spans="1:13" hidden="1">
      <c r="A135" t="s">
        <v>810</v>
      </c>
      <c r="B135" t="s">
        <v>54</v>
      </c>
      <c r="C135" t="s">
        <v>139</v>
      </c>
      <c r="D135" t="s">
        <v>793</v>
      </c>
      <c r="E135" s="1">
        <v>45670</v>
      </c>
      <c r="F135" s="1">
        <v>45670</v>
      </c>
      <c r="G135" s="12">
        <v>40.800000000000004</v>
      </c>
      <c r="H135" s="2">
        <v>0</v>
      </c>
      <c r="I135" s="2">
        <v>0</v>
      </c>
      <c r="J135" s="2">
        <v>0</v>
      </c>
      <c r="K135" s="20">
        <v>40.800000000000004</v>
      </c>
      <c r="L135" t="s">
        <v>794</v>
      </c>
      <c r="M135">
        <f t="shared" si="2"/>
        <v>2025</v>
      </c>
    </row>
    <row r="136" spans="1:13" hidden="1">
      <c r="A136" t="s">
        <v>818</v>
      </c>
      <c r="B136" t="s">
        <v>30</v>
      </c>
      <c r="C136" t="s">
        <v>141</v>
      </c>
      <c r="D136" t="s">
        <v>793</v>
      </c>
      <c r="E136" s="1">
        <v>45670</v>
      </c>
      <c r="F136" s="1">
        <v>45670</v>
      </c>
      <c r="G136" s="12">
        <v>270</v>
      </c>
      <c r="H136" s="2">
        <v>0</v>
      </c>
      <c r="I136" s="2">
        <v>0</v>
      </c>
      <c r="J136" s="2">
        <v>0</v>
      </c>
      <c r="K136" s="20">
        <v>270</v>
      </c>
      <c r="L136" t="s">
        <v>794</v>
      </c>
      <c r="M136">
        <f t="shared" si="2"/>
        <v>2025</v>
      </c>
    </row>
    <row r="137" spans="1:13" hidden="1">
      <c r="A137" t="s">
        <v>811</v>
      </c>
      <c r="B137" t="s">
        <v>39</v>
      </c>
      <c r="C137" t="s">
        <v>139</v>
      </c>
      <c r="D137" t="s">
        <v>793</v>
      </c>
      <c r="E137" s="1">
        <v>45670</v>
      </c>
      <c r="F137" s="1">
        <v>45670</v>
      </c>
      <c r="G137" s="12">
        <v>61.2</v>
      </c>
      <c r="H137" s="2">
        <v>0</v>
      </c>
      <c r="I137" s="2">
        <v>0</v>
      </c>
      <c r="J137" s="2">
        <v>0</v>
      </c>
      <c r="K137" s="20">
        <v>61.2</v>
      </c>
      <c r="L137" t="s">
        <v>794</v>
      </c>
      <c r="M137">
        <f t="shared" si="2"/>
        <v>2025</v>
      </c>
    </row>
    <row r="138" spans="1:13" hidden="1">
      <c r="A138" t="s">
        <v>851</v>
      </c>
      <c r="B138" t="s">
        <v>369</v>
      </c>
      <c r="C138" t="s">
        <v>646</v>
      </c>
      <c r="D138" t="s">
        <v>793</v>
      </c>
      <c r="E138" s="1">
        <v>45670</v>
      </c>
      <c r="F138" s="1">
        <v>45670</v>
      </c>
      <c r="G138" s="12">
        <v>155.94</v>
      </c>
      <c r="H138" s="2">
        <v>0</v>
      </c>
      <c r="I138" s="2">
        <v>0</v>
      </c>
      <c r="J138" s="2">
        <v>0</v>
      </c>
      <c r="K138" s="20">
        <v>155.94</v>
      </c>
      <c r="L138" t="s">
        <v>794</v>
      </c>
      <c r="M138">
        <f t="shared" si="2"/>
        <v>2025</v>
      </c>
    </row>
    <row r="139" spans="1:13" hidden="1">
      <c r="A139" t="s">
        <v>804</v>
      </c>
      <c r="B139" t="s">
        <v>350</v>
      </c>
      <c r="C139" t="s">
        <v>141</v>
      </c>
      <c r="D139" t="s">
        <v>793</v>
      </c>
      <c r="E139" s="1">
        <v>45670</v>
      </c>
      <c r="F139" s="1">
        <v>45670</v>
      </c>
      <c r="G139" s="12">
        <v>300</v>
      </c>
      <c r="H139" s="2">
        <v>0</v>
      </c>
      <c r="I139" s="2">
        <v>0</v>
      </c>
      <c r="J139" s="2">
        <v>0</v>
      </c>
      <c r="K139" s="20">
        <v>300</v>
      </c>
      <c r="L139" t="s">
        <v>794</v>
      </c>
      <c r="M139">
        <f t="shared" si="2"/>
        <v>2025</v>
      </c>
    </row>
    <row r="140" spans="1:13" hidden="1">
      <c r="A140" t="s">
        <v>804</v>
      </c>
      <c r="B140" t="s">
        <v>350</v>
      </c>
      <c r="C140" t="s">
        <v>138</v>
      </c>
      <c r="D140" t="s">
        <v>793</v>
      </c>
      <c r="E140" s="1">
        <v>45670</v>
      </c>
      <c r="F140" s="1">
        <v>45670</v>
      </c>
      <c r="G140" s="12">
        <v>40</v>
      </c>
      <c r="H140" s="2">
        <v>0</v>
      </c>
      <c r="I140" s="2">
        <v>0</v>
      </c>
      <c r="J140" s="2">
        <v>0</v>
      </c>
      <c r="K140" s="20">
        <v>40</v>
      </c>
      <c r="L140" t="s">
        <v>794</v>
      </c>
      <c r="M140">
        <f t="shared" si="2"/>
        <v>2025</v>
      </c>
    </row>
    <row r="141" spans="1:13" hidden="1">
      <c r="A141" t="s">
        <v>809</v>
      </c>
      <c r="B141" t="s">
        <v>91</v>
      </c>
      <c r="C141" t="s">
        <v>139</v>
      </c>
      <c r="D141" t="s">
        <v>793</v>
      </c>
      <c r="E141" s="1">
        <v>45670</v>
      </c>
      <c r="F141" s="1">
        <v>45670</v>
      </c>
      <c r="G141" s="12">
        <v>75.2</v>
      </c>
      <c r="H141" s="2">
        <v>0</v>
      </c>
      <c r="I141" s="2">
        <v>0</v>
      </c>
      <c r="J141" s="2">
        <v>0</v>
      </c>
      <c r="K141" s="20">
        <v>75.2</v>
      </c>
      <c r="L141" t="s">
        <v>794</v>
      </c>
      <c r="M141">
        <f t="shared" si="2"/>
        <v>2025</v>
      </c>
    </row>
    <row r="142" spans="1:13" hidden="1">
      <c r="A142" t="s">
        <v>803</v>
      </c>
      <c r="B142" t="s">
        <v>125</v>
      </c>
      <c r="C142" t="s">
        <v>139</v>
      </c>
      <c r="D142" t="s">
        <v>793</v>
      </c>
      <c r="E142" s="1">
        <v>45670</v>
      </c>
      <c r="F142" s="1">
        <v>45670</v>
      </c>
      <c r="G142" s="12">
        <v>30</v>
      </c>
      <c r="H142" s="2">
        <v>0</v>
      </c>
      <c r="I142" s="2">
        <v>0</v>
      </c>
      <c r="J142" s="2">
        <v>0</v>
      </c>
      <c r="K142" s="20">
        <v>30</v>
      </c>
      <c r="L142" t="s">
        <v>794</v>
      </c>
      <c r="M142">
        <f t="shared" si="2"/>
        <v>2025</v>
      </c>
    </row>
    <row r="143" spans="1:13" hidden="1">
      <c r="A143" t="s">
        <v>874</v>
      </c>
      <c r="B143" t="s">
        <v>116</v>
      </c>
      <c r="C143" t="s">
        <v>200</v>
      </c>
      <c r="D143" t="s">
        <v>793</v>
      </c>
      <c r="E143" s="1">
        <v>45670</v>
      </c>
      <c r="F143" s="1">
        <v>45670</v>
      </c>
      <c r="G143" s="12">
        <v>2160</v>
      </c>
      <c r="H143" s="2">
        <v>0</v>
      </c>
      <c r="I143" s="2">
        <v>0</v>
      </c>
      <c r="J143" s="2">
        <v>0</v>
      </c>
      <c r="K143" s="20">
        <v>2160</v>
      </c>
      <c r="L143" t="s">
        <v>794</v>
      </c>
      <c r="M143">
        <f t="shared" si="2"/>
        <v>2025</v>
      </c>
    </row>
    <row r="144" spans="1:13" hidden="1">
      <c r="A144" t="s">
        <v>875</v>
      </c>
      <c r="B144" t="s">
        <v>115</v>
      </c>
      <c r="C144" t="s">
        <v>201</v>
      </c>
      <c r="D144" t="s">
        <v>793</v>
      </c>
      <c r="E144" s="1">
        <v>45670</v>
      </c>
      <c r="F144" s="1">
        <v>45670</v>
      </c>
      <c r="G144" s="12">
        <v>120</v>
      </c>
      <c r="H144" s="2">
        <v>0</v>
      </c>
      <c r="I144" s="2">
        <v>0</v>
      </c>
      <c r="J144" s="2">
        <v>0</v>
      </c>
      <c r="K144" s="20">
        <v>120</v>
      </c>
      <c r="L144" t="s">
        <v>794</v>
      </c>
      <c r="M144">
        <f t="shared" si="2"/>
        <v>2025</v>
      </c>
    </row>
    <row r="145" spans="1:13" hidden="1">
      <c r="A145" t="s">
        <v>876</v>
      </c>
      <c r="B145" t="s">
        <v>74</v>
      </c>
      <c r="C145" t="s">
        <v>723</v>
      </c>
      <c r="D145" t="s">
        <v>793</v>
      </c>
      <c r="E145" s="1">
        <v>45670</v>
      </c>
      <c r="F145" s="1">
        <v>45670</v>
      </c>
      <c r="G145" s="12">
        <v>3036</v>
      </c>
      <c r="H145" s="2">
        <v>0</v>
      </c>
      <c r="I145" s="2">
        <v>0</v>
      </c>
      <c r="J145" s="2">
        <v>0</v>
      </c>
      <c r="K145" s="20">
        <v>3036</v>
      </c>
      <c r="L145" t="s">
        <v>794</v>
      </c>
      <c r="M145">
        <f t="shared" si="2"/>
        <v>2025</v>
      </c>
    </row>
    <row r="146" spans="1:13" hidden="1">
      <c r="A146" t="s">
        <v>877</v>
      </c>
      <c r="B146" t="s">
        <v>238</v>
      </c>
      <c r="C146" t="s">
        <v>200</v>
      </c>
      <c r="D146" t="s">
        <v>793</v>
      </c>
      <c r="E146" s="1">
        <v>45670</v>
      </c>
      <c r="F146" s="1">
        <v>45670</v>
      </c>
      <c r="G146" s="12">
        <v>1280</v>
      </c>
      <c r="H146" s="2">
        <v>0</v>
      </c>
      <c r="I146" s="2">
        <v>0</v>
      </c>
      <c r="J146" s="2">
        <v>0</v>
      </c>
      <c r="K146" s="20">
        <v>1280</v>
      </c>
      <c r="L146" t="s">
        <v>794</v>
      </c>
      <c r="M146">
        <f t="shared" si="2"/>
        <v>2025</v>
      </c>
    </row>
    <row r="147" spans="1:13" hidden="1">
      <c r="A147" t="s">
        <v>878</v>
      </c>
      <c r="B147" t="s">
        <v>32</v>
      </c>
      <c r="C147" t="s">
        <v>200</v>
      </c>
      <c r="D147" t="s">
        <v>793</v>
      </c>
      <c r="E147" s="1">
        <v>45670</v>
      </c>
      <c r="F147" s="1">
        <v>45670</v>
      </c>
      <c r="G147" s="12">
        <v>600</v>
      </c>
      <c r="H147" s="2">
        <v>0</v>
      </c>
      <c r="I147" s="2">
        <v>0</v>
      </c>
      <c r="J147" s="2">
        <v>0</v>
      </c>
      <c r="K147" s="20">
        <v>600</v>
      </c>
      <c r="L147" t="s">
        <v>794</v>
      </c>
      <c r="M147">
        <f t="shared" si="2"/>
        <v>2025</v>
      </c>
    </row>
    <row r="148" spans="1:13" hidden="1">
      <c r="A148" t="s">
        <v>879</v>
      </c>
      <c r="B148" t="s">
        <v>23</v>
      </c>
      <c r="C148" t="s">
        <v>713</v>
      </c>
      <c r="D148" t="s">
        <v>793</v>
      </c>
      <c r="E148" s="1">
        <v>45670</v>
      </c>
      <c r="F148" s="1">
        <v>45670</v>
      </c>
      <c r="G148" s="12">
        <v>590.32000000000005</v>
      </c>
      <c r="H148" s="2">
        <v>0</v>
      </c>
      <c r="I148" s="2">
        <v>0</v>
      </c>
      <c r="J148" s="2">
        <v>0</v>
      </c>
      <c r="K148" s="20">
        <v>590.32000000000005</v>
      </c>
      <c r="L148" t="s">
        <v>794</v>
      </c>
      <c r="M148">
        <f t="shared" si="2"/>
        <v>2025</v>
      </c>
    </row>
    <row r="149" spans="1:13" hidden="1">
      <c r="A149" t="s">
        <v>880</v>
      </c>
      <c r="B149" t="s">
        <v>333</v>
      </c>
      <c r="C149" t="s">
        <v>200</v>
      </c>
      <c r="D149" t="s">
        <v>793</v>
      </c>
      <c r="E149" s="1">
        <v>45670</v>
      </c>
      <c r="F149" s="1">
        <v>45670</v>
      </c>
      <c r="G149" s="12">
        <v>320</v>
      </c>
      <c r="H149" s="2">
        <v>0</v>
      </c>
      <c r="I149" s="2">
        <v>0</v>
      </c>
      <c r="J149" s="2">
        <v>0</v>
      </c>
      <c r="K149" s="20">
        <v>320</v>
      </c>
      <c r="L149" t="s">
        <v>794</v>
      </c>
      <c r="M149">
        <f t="shared" si="2"/>
        <v>2025</v>
      </c>
    </row>
    <row r="150" spans="1:13" hidden="1">
      <c r="A150" t="s">
        <v>801</v>
      </c>
      <c r="B150" t="s">
        <v>13</v>
      </c>
      <c r="C150" t="s">
        <v>726</v>
      </c>
      <c r="D150" t="s">
        <v>793</v>
      </c>
      <c r="E150" s="1">
        <v>45670</v>
      </c>
      <c r="F150" s="1">
        <v>45670</v>
      </c>
      <c r="G150" s="12">
        <v>3.58</v>
      </c>
      <c r="H150" s="2">
        <v>0</v>
      </c>
      <c r="I150" s="2">
        <v>0</v>
      </c>
      <c r="J150" s="2">
        <v>0</v>
      </c>
      <c r="K150" s="20">
        <v>3.58</v>
      </c>
      <c r="L150" t="s">
        <v>794</v>
      </c>
      <c r="M150">
        <f t="shared" si="2"/>
        <v>2025</v>
      </c>
    </row>
    <row r="151" spans="1:13" hidden="1">
      <c r="A151" t="s">
        <v>881</v>
      </c>
      <c r="B151" t="s">
        <v>48</v>
      </c>
      <c r="C151" t="s">
        <v>200</v>
      </c>
      <c r="D151" t="s">
        <v>793</v>
      </c>
      <c r="E151" s="1">
        <v>45670</v>
      </c>
      <c r="F151" s="1">
        <v>45670</v>
      </c>
      <c r="G151" s="12">
        <v>720</v>
      </c>
      <c r="H151" s="2">
        <v>0</v>
      </c>
      <c r="I151" s="2">
        <v>0</v>
      </c>
      <c r="J151" s="2">
        <v>0</v>
      </c>
      <c r="K151" s="20">
        <v>720</v>
      </c>
      <c r="L151" t="s">
        <v>794</v>
      </c>
      <c r="M151">
        <f t="shared" si="2"/>
        <v>2025</v>
      </c>
    </row>
    <row r="152" spans="1:13" hidden="1">
      <c r="A152" t="s">
        <v>806</v>
      </c>
      <c r="B152" t="s">
        <v>19</v>
      </c>
      <c r="C152" t="s">
        <v>720</v>
      </c>
      <c r="D152" t="s">
        <v>793</v>
      </c>
      <c r="E152" s="1">
        <v>45670</v>
      </c>
      <c r="F152" s="1">
        <v>45670</v>
      </c>
      <c r="G152" s="12">
        <v>12000</v>
      </c>
      <c r="H152" s="2">
        <v>0</v>
      </c>
      <c r="I152" s="2">
        <v>0</v>
      </c>
      <c r="J152" s="2">
        <v>0</v>
      </c>
      <c r="K152" s="20">
        <v>12000</v>
      </c>
      <c r="L152" t="s">
        <v>794</v>
      </c>
      <c r="M152">
        <f t="shared" si="2"/>
        <v>2025</v>
      </c>
    </row>
    <row r="153" spans="1:13" hidden="1">
      <c r="A153" t="s">
        <v>882</v>
      </c>
      <c r="B153" t="s">
        <v>34</v>
      </c>
      <c r="C153" t="s">
        <v>200</v>
      </c>
      <c r="D153" t="s">
        <v>793</v>
      </c>
      <c r="E153" s="1">
        <v>45670</v>
      </c>
      <c r="F153" s="1">
        <v>45670</v>
      </c>
      <c r="G153" s="12">
        <v>1440</v>
      </c>
      <c r="H153" s="2">
        <v>0</v>
      </c>
      <c r="I153" s="2">
        <v>0</v>
      </c>
      <c r="J153" s="2">
        <v>0</v>
      </c>
      <c r="K153" s="20">
        <v>1440</v>
      </c>
      <c r="L153" t="s">
        <v>794</v>
      </c>
      <c r="M153">
        <f t="shared" si="2"/>
        <v>2025</v>
      </c>
    </row>
    <row r="154" spans="1:13" hidden="1">
      <c r="A154" t="s">
        <v>801</v>
      </c>
      <c r="B154" t="s">
        <v>13</v>
      </c>
      <c r="C154" t="s">
        <v>726</v>
      </c>
      <c r="D154" t="s">
        <v>793</v>
      </c>
      <c r="E154" s="1">
        <v>45671</v>
      </c>
      <c r="F154" s="1">
        <v>45671</v>
      </c>
      <c r="G154" s="12">
        <v>603.5</v>
      </c>
      <c r="H154" s="2">
        <v>0</v>
      </c>
      <c r="I154" s="2">
        <v>0</v>
      </c>
      <c r="J154" s="2">
        <v>0</v>
      </c>
      <c r="K154" s="20">
        <v>603.5</v>
      </c>
      <c r="L154" t="s">
        <v>794</v>
      </c>
      <c r="M154">
        <f t="shared" si="2"/>
        <v>2025</v>
      </c>
    </row>
    <row r="155" spans="1:13" hidden="1">
      <c r="A155" t="s">
        <v>883</v>
      </c>
      <c r="B155" t="s">
        <v>325</v>
      </c>
      <c r="C155" t="s">
        <v>99</v>
      </c>
      <c r="D155" t="s">
        <v>884</v>
      </c>
      <c r="E155" s="1">
        <v>45670</v>
      </c>
      <c r="F155" s="1">
        <v>45671</v>
      </c>
      <c r="G155" s="12">
        <v>89.95</v>
      </c>
      <c r="H155" s="2">
        <v>0</v>
      </c>
      <c r="I155" s="2">
        <v>0</v>
      </c>
      <c r="J155" s="2">
        <v>0</v>
      </c>
      <c r="K155" s="20">
        <v>89.95</v>
      </c>
      <c r="L155" t="s">
        <v>794</v>
      </c>
      <c r="M155">
        <f t="shared" si="2"/>
        <v>2025</v>
      </c>
    </row>
    <row r="156" spans="1:13" hidden="1">
      <c r="A156" t="s">
        <v>885</v>
      </c>
      <c r="B156" t="s">
        <v>601</v>
      </c>
      <c r="C156" t="s">
        <v>723</v>
      </c>
      <c r="D156" t="s">
        <v>793</v>
      </c>
      <c r="E156" s="1">
        <v>45671</v>
      </c>
      <c r="F156" s="1">
        <v>45671</v>
      </c>
      <c r="G156" s="12">
        <v>50</v>
      </c>
      <c r="H156" s="2">
        <v>0</v>
      </c>
      <c r="I156" s="2">
        <v>0</v>
      </c>
      <c r="J156" s="2">
        <v>0</v>
      </c>
      <c r="K156" s="20">
        <v>50</v>
      </c>
      <c r="L156" t="s">
        <v>794</v>
      </c>
      <c r="M156">
        <f t="shared" si="2"/>
        <v>2025</v>
      </c>
    </row>
    <row r="157" spans="1:13" hidden="1">
      <c r="A157" t="s">
        <v>835</v>
      </c>
      <c r="B157" t="s">
        <v>214</v>
      </c>
      <c r="C157" t="s">
        <v>139</v>
      </c>
      <c r="D157" t="s">
        <v>793</v>
      </c>
      <c r="E157" s="1">
        <v>45671</v>
      </c>
      <c r="F157" s="1">
        <v>45671</v>
      </c>
      <c r="G157" s="12">
        <v>440</v>
      </c>
      <c r="H157" s="2">
        <v>0</v>
      </c>
      <c r="I157" s="2">
        <v>0</v>
      </c>
      <c r="J157" s="2">
        <v>0</v>
      </c>
      <c r="K157" s="20">
        <v>440</v>
      </c>
      <c r="L157" t="s">
        <v>794</v>
      </c>
      <c r="M157">
        <f t="shared" si="2"/>
        <v>2025</v>
      </c>
    </row>
    <row r="158" spans="1:13" hidden="1">
      <c r="A158" t="s">
        <v>803</v>
      </c>
      <c r="B158" t="s">
        <v>125</v>
      </c>
      <c r="C158" t="s">
        <v>139</v>
      </c>
      <c r="D158" t="s">
        <v>793</v>
      </c>
      <c r="E158" s="1">
        <v>45671</v>
      </c>
      <c r="F158" s="1">
        <v>45671</v>
      </c>
      <c r="G158" s="12">
        <v>30</v>
      </c>
      <c r="H158" s="2">
        <v>0</v>
      </c>
      <c r="I158" s="2">
        <v>0</v>
      </c>
      <c r="J158" s="2">
        <v>0</v>
      </c>
      <c r="K158" s="20">
        <v>30</v>
      </c>
      <c r="L158" t="s">
        <v>794</v>
      </c>
      <c r="M158">
        <f t="shared" si="2"/>
        <v>2025</v>
      </c>
    </row>
    <row r="159" spans="1:13" hidden="1">
      <c r="A159" t="s">
        <v>811</v>
      </c>
      <c r="B159" t="s">
        <v>39</v>
      </c>
      <c r="C159" t="s">
        <v>141</v>
      </c>
      <c r="D159" t="s">
        <v>793</v>
      </c>
      <c r="E159" s="1">
        <v>45671</v>
      </c>
      <c r="F159" s="1">
        <v>45671</v>
      </c>
      <c r="G159" s="12">
        <v>360</v>
      </c>
      <c r="H159" s="2">
        <v>0</v>
      </c>
      <c r="I159" s="2">
        <v>0</v>
      </c>
      <c r="J159" s="2">
        <v>0</v>
      </c>
      <c r="K159" s="20">
        <v>360</v>
      </c>
      <c r="L159" t="s">
        <v>794</v>
      </c>
      <c r="M159">
        <f t="shared" si="2"/>
        <v>2025</v>
      </c>
    </row>
    <row r="160" spans="1:13" hidden="1">
      <c r="A160" t="s">
        <v>803</v>
      </c>
      <c r="B160" t="s">
        <v>125</v>
      </c>
      <c r="C160" t="s">
        <v>139</v>
      </c>
      <c r="D160" t="s">
        <v>793</v>
      </c>
      <c r="E160" s="1">
        <v>45671</v>
      </c>
      <c r="F160" s="1">
        <v>45671</v>
      </c>
      <c r="G160" s="12">
        <v>22</v>
      </c>
      <c r="H160" s="2">
        <v>0</v>
      </c>
      <c r="I160" s="2">
        <v>0</v>
      </c>
      <c r="J160" s="2">
        <v>0</v>
      </c>
      <c r="K160" s="20">
        <v>22</v>
      </c>
      <c r="L160" t="s">
        <v>794</v>
      </c>
      <c r="M160">
        <f t="shared" si="2"/>
        <v>2025</v>
      </c>
    </row>
    <row r="161" spans="1:13" hidden="1">
      <c r="A161" t="s">
        <v>801</v>
      </c>
      <c r="B161" t="s">
        <v>13</v>
      </c>
      <c r="C161" t="s">
        <v>717</v>
      </c>
      <c r="D161" t="s">
        <v>793</v>
      </c>
      <c r="E161" s="1">
        <v>45671</v>
      </c>
      <c r="F161" s="1">
        <v>45671</v>
      </c>
      <c r="G161" s="12">
        <v>4248.63</v>
      </c>
      <c r="H161" s="2">
        <v>0</v>
      </c>
      <c r="I161" s="2">
        <v>0</v>
      </c>
      <c r="J161" s="2">
        <v>0</v>
      </c>
      <c r="K161" s="20">
        <v>4248.63</v>
      </c>
      <c r="L161" t="s">
        <v>794</v>
      </c>
      <c r="M161">
        <f t="shared" si="2"/>
        <v>2025</v>
      </c>
    </row>
    <row r="162" spans="1:13" hidden="1">
      <c r="A162" t="s">
        <v>886</v>
      </c>
      <c r="B162" t="s">
        <v>194</v>
      </c>
      <c r="C162" t="s">
        <v>743</v>
      </c>
      <c r="D162" t="s">
        <v>793</v>
      </c>
      <c r="E162" s="1">
        <v>45671</v>
      </c>
      <c r="F162" s="1">
        <v>45671</v>
      </c>
      <c r="G162" s="12">
        <v>224.21</v>
      </c>
      <c r="H162" s="2">
        <v>0</v>
      </c>
      <c r="I162" s="2">
        <v>0</v>
      </c>
      <c r="J162" s="2">
        <v>0</v>
      </c>
      <c r="K162" s="20">
        <v>224.21</v>
      </c>
      <c r="L162" t="s">
        <v>794</v>
      </c>
      <c r="M162">
        <f t="shared" si="2"/>
        <v>2025</v>
      </c>
    </row>
    <row r="163" spans="1:13" hidden="1">
      <c r="A163" t="s">
        <v>840</v>
      </c>
      <c r="B163" t="s">
        <v>309</v>
      </c>
      <c r="C163" t="s">
        <v>452</v>
      </c>
      <c r="D163" t="s">
        <v>793</v>
      </c>
      <c r="E163" s="1">
        <v>45671</v>
      </c>
      <c r="F163" s="1">
        <v>45671</v>
      </c>
      <c r="G163" s="12">
        <v>49</v>
      </c>
      <c r="H163" s="2">
        <v>0</v>
      </c>
      <c r="I163" s="2">
        <v>0</v>
      </c>
      <c r="J163" s="2">
        <v>0</v>
      </c>
      <c r="K163" s="20">
        <v>49</v>
      </c>
      <c r="L163" t="s">
        <v>794</v>
      </c>
      <c r="M163">
        <f t="shared" si="2"/>
        <v>2025</v>
      </c>
    </row>
    <row r="164" spans="1:13" hidden="1">
      <c r="A164" t="s">
        <v>887</v>
      </c>
      <c r="B164" t="s">
        <v>61</v>
      </c>
      <c r="C164" t="s">
        <v>200</v>
      </c>
      <c r="D164" t="s">
        <v>793</v>
      </c>
      <c r="E164" s="1">
        <v>45671</v>
      </c>
      <c r="F164" s="1">
        <v>45671</v>
      </c>
      <c r="G164" s="12">
        <v>1560</v>
      </c>
      <c r="H164" s="2">
        <v>0</v>
      </c>
      <c r="I164" s="2">
        <v>0</v>
      </c>
      <c r="J164" s="2">
        <v>0</v>
      </c>
      <c r="K164" s="20">
        <v>1560</v>
      </c>
      <c r="L164" t="s">
        <v>794</v>
      </c>
      <c r="M164">
        <f t="shared" si="2"/>
        <v>2025</v>
      </c>
    </row>
    <row r="165" spans="1:13" hidden="1">
      <c r="A165" t="s">
        <v>887</v>
      </c>
      <c r="B165" t="s">
        <v>61</v>
      </c>
      <c r="C165" t="s">
        <v>201</v>
      </c>
      <c r="D165" t="s">
        <v>793</v>
      </c>
      <c r="E165" s="1">
        <v>45671</v>
      </c>
      <c r="F165" s="1">
        <v>45671</v>
      </c>
      <c r="G165" s="12">
        <v>1200</v>
      </c>
      <c r="H165" s="2">
        <v>0</v>
      </c>
      <c r="I165" s="2">
        <v>0</v>
      </c>
      <c r="J165" s="2">
        <v>0</v>
      </c>
      <c r="K165" s="20">
        <v>1200</v>
      </c>
      <c r="L165" t="s">
        <v>794</v>
      </c>
      <c r="M165">
        <f t="shared" si="2"/>
        <v>2025</v>
      </c>
    </row>
    <row r="166" spans="1:13" hidden="1">
      <c r="A166" t="s">
        <v>875</v>
      </c>
      <c r="B166" t="s">
        <v>115</v>
      </c>
      <c r="C166" t="s">
        <v>200</v>
      </c>
      <c r="D166" t="s">
        <v>793</v>
      </c>
      <c r="E166" s="1">
        <v>45671</v>
      </c>
      <c r="F166" s="1">
        <v>45671</v>
      </c>
      <c r="G166" s="12">
        <v>1920</v>
      </c>
      <c r="H166" s="2">
        <v>0</v>
      </c>
      <c r="I166" s="2">
        <v>0</v>
      </c>
      <c r="J166" s="2">
        <v>0</v>
      </c>
      <c r="K166" s="20">
        <v>1920</v>
      </c>
      <c r="L166" t="s">
        <v>794</v>
      </c>
      <c r="M166">
        <f t="shared" si="2"/>
        <v>2025</v>
      </c>
    </row>
    <row r="167" spans="1:13" hidden="1">
      <c r="A167" t="s">
        <v>801</v>
      </c>
      <c r="B167" t="s">
        <v>13</v>
      </c>
      <c r="C167" t="s">
        <v>726</v>
      </c>
      <c r="D167" t="s">
        <v>793</v>
      </c>
      <c r="E167" s="1">
        <v>45672</v>
      </c>
      <c r="F167" s="1">
        <v>45672</v>
      </c>
      <c r="G167" s="12">
        <v>1.79</v>
      </c>
      <c r="H167" s="2">
        <v>0</v>
      </c>
      <c r="I167" s="2">
        <v>0</v>
      </c>
      <c r="J167" s="2">
        <v>0</v>
      </c>
      <c r="K167" s="20">
        <v>1.79</v>
      </c>
      <c r="L167" t="s">
        <v>794</v>
      </c>
      <c r="M167">
        <f t="shared" si="2"/>
        <v>2025</v>
      </c>
    </row>
    <row r="168" spans="1:13" hidden="1">
      <c r="A168" t="s">
        <v>888</v>
      </c>
      <c r="B168" t="s">
        <v>16</v>
      </c>
      <c r="C168" t="s">
        <v>716</v>
      </c>
      <c r="D168" t="s">
        <v>793</v>
      </c>
      <c r="E168" s="1">
        <v>45672</v>
      </c>
      <c r="F168" s="1">
        <v>45672</v>
      </c>
      <c r="G168" s="12">
        <v>18743.05</v>
      </c>
      <c r="H168" s="2">
        <v>0</v>
      </c>
      <c r="I168" s="2">
        <v>0</v>
      </c>
      <c r="J168" s="2">
        <v>0</v>
      </c>
      <c r="K168" s="20">
        <v>18743.05</v>
      </c>
      <c r="L168" t="s">
        <v>794</v>
      </c>
      <c r="M168">
        <f t="shared" si="2"/>
        <v>2025</v>
      </c>
    </row>
    <row r="169" spans="1:13" hidden="1">
      <c r="A169" t="s">
        <v>889</v>
      </c>
      <c r="B169" t="s">
        <v>376</v>
      </c>
      <c r="C169" t="s">
        <v>140</v>
      </c>
      <c r="D169" t="s">
        <v>793</v>
      </c>
      <c r="E169" s="1">
        <v>45672</v>
      </c>
      <c r="F169" s="1">
        <v>45672</v>
      </c>
      <c r="G169" s="12">
        <v>50</v>
      </c>
      <c r="H169" s="2">
        <v>0</v>
      </c>
      <c r="I169" s="2">
        <v>0</v>
      </c>
      <c r="J169" s="2">
        <v>0</v>
      </c>
      <c r="K169" s="20">
        <v>50</v>
      </c>
      <c r="L169" t="s">
        <v>794</v>
      </c>
      <c r="M169">
        <f t="shared" si="2"/>
        <v>2025</v>
      </c>
    </row>
    <row r="170" spans="1:13" hidden="1">
      <c r="A170" t="s">
        <v>890</v>
      </c>
      <c r="B170" t="s">
        <v>247</v>
      </c>
      <c r="C170" t="s">
        <v>140</v>
      </c>
      <c r="D170" t="s">
        <v>793</v>
      </c>
      <c r="E170" s="1">
        <v>45672</v>
      </c>
      <c r="F170" s="1">
        <v>45672</v>
      </c>
      <c r="G170" s="12">
        <v>40</v>
      </c>
      <c r="H170" s="2">
        <v>0</v>
      </c>
      <c r="I170" s="2">
        <v>0</v>
      </c>
      <c r="J170" s="2">
        <v>0</v>
      </c>
      <c r="K170" s="20">
        <v>40</v>
      </c>
      <c r="L170" t="s">
        <v>794</v>
      </c>
      <c r="M170">
        <f t="shared" si="2"/>
        <v>2025</v>
      </c>
    </row>
    <row r="171" spans="1:13" hidden="1">
      <c r="A171" t="s">
        <v>809</v>
      </c>
      <c r="B171" t="s">
        <v>91</v>
      </c>
      <c r="C171" t="s">
        <v>139</v>
      </c>
      <c r="D171" t="s">
        <v>793</v>
      </c>
      <c r="E171" s="1">
        <v>45672</v>
      </c>
      <c r="F171" s="1">
        <v>45672</v>
      </c>
      <c r="G171" s="12">
        <v>75.2</v>
      </c>
      <c r="H171" s="2">
        <v>0</v>
      </c>
      <c r="I171" s="2">
        <v>0</v>
      </c>
      <c r="J171" s="2">
        <v>0</v>
      </c>
      <c r="K171" s="20">
        <v>75.2</v>
      </c>
      <c r="L171" t="s">
        <v>794</v>
      </c>
      <c r="M171">
        <f t="shared" si="2"/>
        <v>2025</v>
      </c>
    </row>
    <row r="172" spans="1:13" hidden="1">
      <c r="A172" t="s">
        <v>836</v>
      </c>
      <c r="B172" t="s">
        <v>37</v>
      </c>
      <c r="C172" t="s">
        <v>139</v>
      </c>
      <c r="D172" t="s">
        <v>793</v>
      </c>
      <c r="E172" s="1">
        <v>45672</v>
      </c>
      <c r="F172" s="1">
        <v>45672</v>
      </c>
      <c r="G172" s="12">
        <v>345.8</v>
      </c>
      <c r="H172" s="2">
        <v>0</v>
      </c>
      <c r="I172" s="2">
        <v>0</v>
      </c>
      <c r="J172" s="2">
        <v>0</v>
      </c>
      <c r="K172" s="20">
        <v>345.8</v>
      </c>
      <c r="L172" t="s">
        <v>794</v>
      </c>
      <c r="M172">
        <f t="shared" si="2"/>
        <v>2025</v>
      </c>
    </row>
    <row r="173" spans="1:13" hidden="1">
      <c r="A173" t="s">
        <v>803</v>
      </c>
      <c r="B173" t="s">
        <v>125</v>
      </c>
      <c r="C173" t="s">
        <v>139</v>
      </c>
      <c r="D173" t="s">
        <v>793</v>
      </c>
      <c r="E173" s="1">
        <v>45672</v>
      </c>
      <c r="F173" s="1">
        <v>45672</v>
      </c>
      <c r="G173" s="12">
        <v>286</v>
      </c>
      <c r="H173" s="2">
        <v>0</v>
      </c>
      <c r="I173" s="2">
        <v>0</v>
      </c>
      <c r="J173" s="2">
        <v>0</v>
      </c>
      <c r="K173" s="20">
        <v>286</v>
      </c>
      <c r="L173" t="s">
        <v>794</v>
      </c>
      <c r="M173">
        <f t="shared" si="2"/>
        <v>2025</v>
      </c>
    </row>
    <row r="174" spans="1:13" hidden="1">
      <c r="A174" t="s">
        <v>879</v>
      </c>
      <c r="B174" t="s">
        <v>23</v>
      </c>
      <c r="C174" t="s">
        <v>713</v>
      </c>
      <c r="D174" t="s">
        <v>793</v>
      </c>
      <c r="E174" s="1">
        <v>45672</v>
      </c>
      <c r="F174" s="1">
        <v>45672</v>
      </c>
      <c r="G174" s="12">
        <v>700</v>
      </c>
      <c r="H174" s="2">
        <v>0</v>
      </c>
      <c r="I174" s="2">
        <v>0</v>
      </c>
      <c r="J174" s="2">
        <v>0</v>
      </c>
      <c r="K174" s="20">
        <v>700</v>
      </c>
      <c r="L174" t="s">
        <v>794</v>
      </c>
      <c r="M174">
        <f t="shared" si="2"/>
        <v>2025</v>
      </c>
    </row>
    <row r="175" spans="1:13" hidden="1">
      <c r="A175" t="s">
        <v>891</v>
      </c>
      <c r="B175" t="s">
        <v>102</v>
      </c>
      <c r="C175" t="s">
        <v>710</v>
      </c>
      <c r="D175" t="s">
        <v>793</v>
      </c>
      <c r="E175" s="1">
        <v>45672</v>
      </c>
      <c r="F175" s="1">
        <v>45672</v>
      </c>
      <c r="G175" s="12">
        <v>500</v>
      </c>
      <c r="H175" s="2">
        <v>0</v>
      </c>
      <c r="I175" s="2">
        <v>0</v>
      </c>
      <c r="J175" s="2">
        <v>0</v>
      </c>
      <c r="K175" s="20">
        <v>500</v>
      </c>
      <c r="L175" t="s">
        <v>794</v>
      </c>
      <c r="M175">
        <f t="shared" si="2"/>
        <v>2025</v>
      </c>
    </row>
    <row r="176" spans="1:13" hidden="1">
      <c r="A176" t="s">
        <v>796</v>
      </c>
      <c r="B176" t="s">
        <v>181</v>
      </c>
      <c r="C176" t="s">
        <v>139</v>
      </c>
      <c r="D176" t="s">
        <v>793</v>
      </c>
      <c r="E176" s="1">
        <v>45672</v>
      </c>
      <c r="F176" s="1">
        <v>45672</v>
      </c>
      <c r="G176" s="12">
        <v>162.4</v>
      </c>
      <c r="H176" s="2">
        <v>0</v>
      </c>
      <c r="I176" s="2">
        <v>0</v>
      </c>
      <c r="J176" s="2">
        <v>0</v>
      </c>
      <c r="K176" s="20">
        <v>162.4</v>
      </c>
      <c r="L176" t="s">
        <v>794</v>
      </c>
      <c r="M176">
        <f t="shared" si="2"/>
        <v>2025</v>
      </c>
    </row>
    <row r="177" spans="1:13" hidden="1">
      <c r="A177" t="s">
        <v>892</v>
      </c>
      <c r="B177" t="s">
        <v>110</v>
      </c>
      <c r="C177" t="s">
        <v>733</v>
      </c>
      <c r="D177" t="s">
        <v>793</v>
      </c>
      <c r="E177" s="1">
        <v>45672</v>
      </c>
      <c r="F177" s="1">
        <v>45672</v>
      </c>
      <c r="G177" s="12">
        <v>935</v>
      </c>
      <c r="H177" s="2">
        <v>0</v>
      </c>
      <c r="I177" s="2">
        <v>0</v>
      </c>
      <c r="J177" s="2">
        <v>0</v>
      </c>
      <c r="K177" s="20">
        <v>935</v>
      </c>
      <c r="L177" t="s">
        <v>794</v>
      </c>
      <c r="M177">
        <f t="shared" si="2"/>
        <v>2025</v>
      </c>
    </row>
    <row r="178" spans="1:13" hidden="1">
      <c r="A178" t="s">
        <v>801</v>
      </c>
      <c r="B178" t="s">
        <v>13</v>
      </c>
      <c r="C178" t="s">
        <v>726</v>
      </c>
      <c r="D178" t="s">
        <v>793</v>
      </c>
      <c r="E178" s="1">
        <v>45672</v>
      </c>
      <c r="F178" s="1">
        <v>45672</v>
      </c>
      <c r="G178" s="12">
        <v>222.02</v>
      </c>
      <c r="H178" s="2">
        <v>0</v>
      </c>
      <c r="I178" s="2">
        <v>0</v>
      </c>
      <c r="J178" s="2">
        <v>0</v>
      </c>
      <c r="K178" s="20">
        <v>222.02</v>
      </c>
      <c r="L178" t="s">
        <v>794</v>
      </c>
      <c r="M178">
        <f t="shared" si="2"/>
        <v>2025</v>
      </c>
    </row>
    <row r="179" spans="1:13" hidden="1">
      <c r="A179" t="s">
        <v>893</v>
      </c>
      <c r="B179" t="s">
        <v>212</v>
      </c>
      <c r="C179" t="s">
        <v>723</v>
      </c>
      <c r="D179" t="s">
        <v>793</v>
      </c>
      <c r="E179" s="1">
        <v>45672</v>
      </c>
      <c r="F179" s="1">
        <v>45672</v>
      </c>
      <c r="G179" s="12">
        <v>154.44</v>
      </c>
      <c r="H179" s="2">
        <v>0</v>
      </c>
      <c r="I179" s="2">
        <v>0</v>
      </c>
      <c r="J179" s="2">
        <v>0</v>
      </c>
      <c r="K179" s="20">
        <v>154.44</v>
      </c>
      <c r="L179" t="s">
        <v>794</v>
      </c>
      <c r="M179">
        <f t="shared" si="2"/>
        <v>2025</v>
      </c>
    </row>
    <row r="180" spans="1:13" hidden="1">
      <c r="A180" t="s">
        <v>879</v>
      </c>
      <c r="B180" t="s">
        <v>23</v>
      </c>
      <c r="C180" t="s">
        <v>716</v>
      </c>
      <c r="D180" t="s">
        <v>793</v>
      </c>
      <c r="E180" s="1">
        <v>45672</v>
      </c>
      <c r="F180" s="1">
        <v>45672</v>
      </c>
      <c r="G180" s="12">
        <v>1157.31</v>
      </c>
      <c r="H180" s="2">
        <v>0</v>
      </c>
      <c r="I180" s="2">
        <v>0</v>
      </c>
      <c r="J180" s="2">
        <v>0</v>
      </c>
      <c r="K180" s="20">
        <v>1157.31</v>
      </c>
      <c r="L180" t="s">
        <v>794</v>
      </c>
      <c r="M180">
        <f t="shared" si="2"/>
        <v>2025</v>
      </c>
    </row>
    <row r="181" spans="1:13" hidden="1">
      <c r="A181" t="s">
        <v>894</v>
      </c>
      <c r="B181" t="s">
        <v>50</v>
      </c>
      <c r="C181" t="s">
        <v>152</v>
      </c>
      <c r="D181" t="s">
        <v>793</v>
      </c>
      <c r="E181" s="1">
        <v>45672</v>
      </c>
      <c r="F181" s="1">
        <v>45672</v>
      </c>
      <c r="G181" s="12">
        <v>1518</v>
      </c>
      <c r="H181" s="2">
        <v>0</v>
      </c>
      <c r="I181" s="2">
        <v>0</v>
      </c>
      <c r="J181" s="2">
        <v>0</v>
      </c>
      <c r="K181" s="20">
        <v>1518</v>
      </c>
      <c r="L181" t="s">
        <v>794</v>
      </c>
      <c r="M181">
        <f t="shared" si="2"/>
        <v>2025</v>
      </c>
    </row>
    <row r="182" spans="1:13" hidden="1">
      <c r="A182" t="s">
        <v>895</v>
      </c>
      <c r="B182" t="s">
        <v>155</v>
      </c>
      <c r="C182" t="s">
        <v>398</v>
      </c>
      <c r="D182" t="s">
        <v>793</v>
      </c>
      <c r="E182" s="1">
        <v>45672</v>
      </c>
      <c r="F182" s="1">
        <v>45672</v>
      </c>
      <c r="G182" s="12">
        <v>390</v>
      </c>
      <c r="H182" s="2">
        <v>0</v>
      </c>
      <c r="I182" s="2">
        <v>0</v>
      </c>
      <c r="J182" s="2">
        <v>0</v>
      </c>
      <c r="K182" s="20">
        <v>390</v>
      </c>
      <c r="L182" t="s">
        <v>794</v>
      </c>
      <c r="M182">
        <f t="shared" si="2"/>
        <v>2025</v>
      </c>
    </row>
    <row r="183" spans="1:13" hidden="1">
      <c r="A183" t="s">
        <v>799</v>
      </c>
      <c r="B183" t="s">
        <v>24</v>
      </c>
      <c r="C183" t="s">
        <v>139</v>
      </c>
      <c r="D183" t="s">
        <v>793</v>
      </c>
      <c r="E183" s="1">
        <v>45672</v>
      </c>
      <c r="F183" s="1">
        <v>45672</v>
      </c>
      <c r="G183" s="12">
        <v>4098.5</v>
      </c>
      <c r="H183" s="2">
        <v>0</v>
      </c>
      <c r="I183" s="2">
        <v>0</v>
      </c>
      <c r="J183" s="2">
        <v>0</v>
      </c>
      <c r="K183" s="20">
        <v>4098.5</v>
      </c>
      <c r="L183" t="s">
        <v>794</v>
      </c>
      <c r="M183">
        <f t="shared" si="2"/>
        <v>2025</v>
      </c>
    </row>
    <row r="184" spans="1:13" hidden="1">
      <c r="A184" t="s">
        <v>879</v>
      </c>
      <c r="B184" t="s">
        <v>23</v>
      </c>
      <c r="C184" t="s">
        <v>713</v>
      </c>
      <c r="D184" t="s">
        <v>793</v>
      </c>
      <c r="E184" s="1">
        <v>45672</v>
      </c>
      <c r="F184" s="1">
        <v>45672</v>
      </c>
      <c r="G184" s="12">
        <v>721.2</v>
      </c>
      <c r="H184" s="2">
        <v>0</v>
      </c>
      <c r="I184" s="2">
        <v>0</v>
      </c>
      <c r="J184" s="2">
        <v>0</v>
      </c>
      <c r="K184" s="20">
        <v>721.2</v>
      </c>
      <c r="L184" t="s">
        <v>794</v>
      </c>
      <c r="M184">
        <f t="shared" si="2"/>
        <v>2025</v>
      </c>
    </row>
    <row r="185" spans="1:13" hidden="1">
      <c r="A185" t="s">
        <v>795</v>
      </c>
      <c r="B185" t="s">
        <v>258</v>
      </c>
      <c r="C185" t="s">
        <v>139</v>
      </c>
      <c r="D185" t="s">
        <v>793</v>
      </c>
      <c r="E185" s="1">
        <v>45672</v>
      </c>
      <c r="F185" s="1">
        <v>45672</v>
      </c>
      <c r="G185" s="12">
        <v>330</v>
      </c>
      <c r="H185" s="2">
        <v>0</v>
      </c>
      <c r="I185" s="2">
        <v>0</v>
      </c>
      <c r="J185" s="2">
        <v>0</v>
      </c>
      <c r="K185" s="20">
        <v>330</v>
      </c>
      <c r="L185" t="s">
        <v>794</v>
      </c>
      <c r="M185">
        <f t="shared" si="2"/>
        <v>2025</v>
      </c>
    </row>
    <row r="186" spans="1:13" hidden="1">
      <c r="A186" t="s">
        <v>886</v>
      </c>
      <c r="B186" t="s">
        <v>194</v>
      </c>
      <c r="C186" t="s">
        <v>743</v>
      </c>
      <c r="D186" t="s">
        <v>793</v>
      </c>
      <c r="E186" s="1">
        <v>45672</v>
      </c>
      <c r="F186" s="1">
        <v>45672</v>
      </c>
      <c r="G186" s="12">
        <v>217.76</v>
      </c>
      <c r="H186" s="2">
        <v>0</v>
      </c>
      <c r="I186" s="2">
        <v>0</v>
      </c>
      <c r="J186" s="2">
        <v>0</v>
      </c>
      <c r="K186" s="20">
        <v>217.76</v>
      </c>
      <c r="L186" t="s">
        <v>794</v>
      </c>
      <c r="M186">
        <f t="shared" si="2"/>
        <v>2025</v>
      </c>
    </row>
    <row r="187" spans="1:13" hidden="1">
      <c r="A187" t="s">
        <v>810</v>
      </c>
      <c r="B187" t="s">
        <v>54</v>
      </c>
      <c r="C187" t="s">
        <v>139</v>
      </c>
      <c r="D187" t="s">
        <v>793</v>
      </c>
      <c r="E187" s="1">
        <v>45672</v>
      </c>
      <c r="F187" s="1">
        <v>45672</v>
      </c>
      <c r="G187" s="12">
        <v>285.60000000000002</v>
      </c>
      <c r="H187" s="2">
        <v>0</v>
      </c>
      <c r="I187" s="2">
        <v>0</v>
      </c>
      <c r="J187" s="2">
        <v>0</v>
      </c>
      <c r="K187" s="20">
        <v>285.60000000000002</v>
      </c>
      <c r="L187" t="s">
        <v>794</v>
      </c>
      <c r="M187">
        <f t="shared" si="2"/>
        <v>2025</v>
      </c>
    </row>
    <row r="188" spans="1:13" hidden="1">
      <c r="A188" t="s">
        <v>850</v>
      </c>
      <c r="B188" t="s">
        <v>105</v>
      </c>
      <c r="C188" t="s">
        <v>384</v>
      </c>
      <c r="D188" t="s">
        <v>793</v>
      </c>
      <c r="E188" s="1">
        <v>45672</v>
      </c>
      <c r="F188" s="1">
        <v>45672</v>
      </c>
      <c r="G188" s="12">
        <v>61.29</v>
      </c>
      <c r="H188" s="2">
        <v>0</v>
      </c>
      <c r="I188" s="2">
        <v>0</v>
      </c>
      <c r="J188" s="2">
        <v>0</v>
      </c>
      <c r="K188" s="20">
        <v>61.29</v>
      </c>
      <c r="L188" t="s">
        <v>794</v>
      </c>
      <c r="M188">
        <f t="shared" si="2"/>
        <v>2025</v>
      </c>
    </row>
    <row r="189" spans="1:13" hidden="1">
      <c r="A189" t="s">
        <v>896</v>
      </c>
      <c r="B189" t="s">
        <v>897</v>
      </c>
      <c r="C189" t="s">
        <v>206</v>
      </c>
      <c r="D189" t="s">
        <v>793</v>
      </c>
      <c r="E189" s="1">
        <v>45673</v>
      </c>
      <c r="F189" s="1">
        <v>45673</v>
      </c>
      <c r="G189" s="12">
        <v>1147.5</v>
      </c>
      <c r="H189" s="2">
        <v>0</v>
      </c>
      <c r="I189" s="2">
        <v>0</v>
      </c>
      <c r="J189" s="2">
        <v>0</v>
      </c>
      <c r="K189" s="20">
        <v>1147.5</v>
      </c>
      <c r="L189" t="s">
        <v>794</v>
      </c>
      <c r="M189">
        <f t="shared" si="2"/>
        <v>2025</v>
      </c>
    </row>
    <row r="190" spans="1:13" hidden="1">
      <c r="A190" t="s">
        <v>896</v>
      </c>
      <c r="B190" t="s">
        <v>897</v>
      </c>
      <c r="C190" t="s">
        <v>206</v>
      </c>
      <c r="D190" t="s">
        <v>793</v>
      </c>
      <c r="E190" s="1">
        <v>45673</v>
      </c>
      <c r="F190" s="1">
        <v>45673</v>
      </c>
      <c r="G190" s="12">
        <v>724.80000000000007</v>
      </c>
      <c r="H190" s="2">
        <v>0</v>
      </c>
      <c r="I190" s="2">
        <v>0</v>
      </c>
      <c r="J190" s="2">
        <v>0</v>
      </c>
      <c r="K190" s="20">
        <v>724.80000000000007</v>
      </c>
      <c r="L190" t="s">
        <v>794</v>
      </c>
      <c r="M190">
        <f t="shared" si="2"/>
        <v>2025</v>
      </c>
    </row>
    <row r="191" spans="1:13" hidden="1">
      <c r="A191" t="s">
        <v>797</v>
      </c>
      <c r="B191" t="s">
        <v>25</v>
      </c>
      <c r="C191" t="s">
        <v>206</v>
      </c>
      <c r="D191" t="s">
        <v>793</v>
      </c>
      <c r="E191" s="1">
        <v>45673</v>
      </c>
      <c r="F191" s="1">
        <v>45673</v>
      </c>
      <c r="G191" s="12">
        <v>3352.5</v>
      </c>
      <c r="H191" s="2">
        <v>0</v>
      </c>
      <c r="I191" s="2">
        <v>0</v>
      </c>
      <c r="J191" s="2">
        <v>0</v>
      </c>
      <c r="K191" s="20">
        <v>3352.5</v>
      </c>
      <c r="L191" t="s">
        <v>794</v>
      </c>
      <c r="M191">
        <f t="shared" si="2"/>
        <v>2025</v>
      </c>
    </row>
    <row r="192" spans="1:13" hidden="1">
      <c r="A192" t="s">
        <v>797</v>
      </c>
      <c r="B192" t="s">
        <v>25</v>
      </c>
      <c r="C192" t="s">
        <v>206</v>
      </c>
      <c r="D192" t="s">
        <v>793</v>
      </c>
      <c r="E192" s="1">
        <v>45673</v>
      </c>
      <c r="F192" s="1">
        <v>45673</v>
      </c>
      <c r="G192" s="12">
        <v>2275.2000000000003</v>
      </c>
      <c r="H192" s="2">
        <v>0</v>
      </c>
      <c r="I192" s="2">
        <v>0</v>
      </c>
      <c r="J192" s="2">
        <v>0</v>
      </c>
      <c r="K192" s="20">
        <v>2275.2000000000003</v>
      </c>
      <c r="L192" t="s">
        <v>794</v>
      </c>
      <c r="M192">
        <f t="shared" si="2"/>
        <v>2025</v>
      </c>
    </row>
    <row r="193" spans="1:13" hidden="1">
      <c r="A193" t="s">
        <v>898</v>
      </c>
      <c r="B193" t="s">
        <v>353</v>
      </c>
      <c r="C193" t="s">
        <v>723</v>
      </c>
      <c r="D193" t="s">
        <v>793</v>
      </c>
      <c r="E193" s="1">
        <v>45673</v>
      </c>
      <c r="F193" s="1">
        <v>45673</v>
      </c>
      <c r="G193" s="12">
        <v>41.2</v>
      </c>
      <c r="H193" s="2">
        <v>0</v>
      </c>
      <c r="I193" s="2">
        <v>0</v>
      </c>
      <c r="J193" s="2">
        <v>0</v>
      </c>
      <c r="K193" s="20">
        <v>41.2</v>
      </c>
      <c r="L193" t="s">
        <v>794</v>
      </c>
      <c r="M193">
        <f t="shared" si="2"/>
        <v>2025</v>
      </c>
    </row>
    <row r="194" spans="1:13" hidden="1">
      <c r="A194" t="s">
        <v>899</v>
      </c>
      <c r="B194" t="s">
        <v>559</v>
      </c>
      <c r="C194" t="s">
        <v>723</v>
      </c>
      <c r="D194" t="s">
        <v>793</v>
      </c>
      <c r="E194" s="1">
        <v>45673</v>
      </c>
      <c r="F194" s="1">
        <v>45673</v>
      </c>
      <c r="G194" s="12">
        <v>24</v>
      </c>
      <c r="H194" s="2">
        <v>0</v>
      </c>
      <c r="I194" s="2">
        <v>0</v>
      </c>
      <c r="J194" s="2">
        <v>0</v>
      </c>
      <c r="K194" s="20">
        <v>24</v>
      </c>
      <c r="L194" t="s">
        <v>794</v>
      </c>
      <c r="M194">
        <f t="shared" si="2"/>
        <v>2025</v>
      </c>
    </row>
    <row r="195" spans="1:13" hidden="1">
      <c r="A195" t="s">
        <v>807</v>
      </c>
      <c r="B195" t="s">
        <v>366</v>
      </c>
      <c r="C195" t="s">
        <v>723</v>
      </c>
      <c r="D195" t="s">
        <v>793</v>
      </c>
      <c r="E195" s="1">
        <v>45673</v>
      </c>
      <c r="F195" s="1">
        <v>45673</v>
      </c>
      <c r="G195" s="12">
        <v>40</v>
      </c>
      <c r="H195" s="2">
        <v>0</v>
      </c>
      <c r="I195" s="2">
        <v>0</v>
      </c>
      <c r="J195" s="2">
        <v>0</v>
      </c>
      <c r="K195" s="20">
        <v>40</v>
      </c>
      <c r="L195" t="s">
        <v>794</v>
      </c>
      <c r="M195">
        <f t="shared" ref="M195:M258" si="3">YEAR(F195)</f>
        <v>2025</v>
      </c>
    </row>
    <row r="196" spans="1:13" hidden="1">
      <c r="A196" t="s">
        <v>890</v>
      </c>
      <c r="B196" t="s">
        <v>247</v>
      </c>
      <c r="C196" t="s">
        <v>140</v>
      </c>
      <c r="D196" t="s">
        <v>793</v>
      </c>
      <c r="E196" s="1">
        <v>45673</v>
      </c>
      <c r="F196" s="1">
        <v>45673</v>
      </c>
      <c r="G196" s="12">
        <v>40</v>
      </c>
      <c r="H196" s="2">
        <v>0</v>
      </c>
      <c r="I196" s="2">
        <v>0</v>
      </c>
      <c r="J196" s="2">
        <v>0</v>
      </c>
      <c r="K196" s="20">
        <v>40</v>
      </c>
      <c r="L196" t="s">
        <v>794</v>
      </c>
      <c r="M196">
        <f t="shared" si="3"/>
        <v>2025</v>
      </c>
    </row>
    <row r="197" spans="1:13" hidden="1">
      <c r="A197" t="s">
        <v>857</v>
      </c>
      <c r="B197" t="s">
        <v>326</v>
      </c>
      <c r="C197" t="s">
        <v>141</v>
      </c>
      <c r="D197" t="s">
        <v>793</v>
      </c>
      <c r="E197" s="1">
        <v>45673</v>
      </c>
      <c r="F197" s="1">
        <v>45673</v>
      </c>
      <c r="G197" s="12">
        <v>500</v>
      </c>
      <c r="H197" s="2">
        <v>0</v>
      </c>
      <c r="I197" s="2">
        <v>0</v>
      </c>
      <c r="J197" s="2">
        <v>0</v>
      </c>
      <c r="K197" s="20">
        <v>500</v>
      </c>
      <c r="L197" t="s">
        <v>794</v>
      </c>
      <c r="M197">
        <f t="shared" si="3"/>
        <v>2025</v>
      </c>
    </row>
    <row r="198" spans="1:13" hidden="1">
      <c r="A198" t="s">
        <v>816</v>
      </c>
      <c r="B198" t="s">
        <v>148</v>
      </c>
      <c r="C198" t="s">
        <v>139</v>
      </c>
      <c r="D198" t="s">
        <v>793</v>
      </c>
      <c r="E198" s="1">
        <v>45673</v>
      </c>
      <c r="F198" s="1">
        <v>45673</v>
      </c>
      <c r="G198" s="12">
        <v>33.6</v>
      </c>
      <c r="H198" s="2">
        <v>0</v>
      </c>
      <c r="I198" s="2">
        <v>0</v>
      </c>
      <c r="J198" s="2">
        <v>0</v>
      </c>
      <c r="K198" s="20">
        <v>33.6</v>
      </c>
      <c r="L198" t="s">
        <v>794</v>
      </c>
      <c r="M198">
        <f t="shared" si="3"/>
        <v>2025</v>
      </c>
    </row>
    <row r="199" spans="1:13" hidden="1">
      <c r="A199" t="s">
        <v>827</v>
      </c>
      <c r="B199" t="s">
        <v>265</v>
      </c>
      <c r="C199" t="s">
        <v>139</v>
      </c>
      <c r="D199" t="s">
        <v>793</v>
      </c>
      <c r="E199" s="1">
        <v>45673</v>
      </c>
      <c r="F199" s="1">
        <v>45673</v>
      </c>
      <c r="G199" s="12">
        <v>31.2</v>
      </c>
      <c r="H199" s="2">
        <v>0</v>
      </c>
      <c r="I199" s="2">
        <v>0</v>
      </c>
      <c r="J199" s="2">
        <v>0</v>
      </c>
      <c r="K199" s="20">
        <v>31.2</v>
      </c>
      <c r="L199" t="s">
        <v>794</v>
      </c>
      <c r="M199">
        <f t="shared" si="3"/>
        <v>2025</v>
      </c>
    </row>
    <row r="200" spans="1:13" hidden="1">
      <c r="A200" t="s">
        <v>840</v>
      </c>
      <c r="B200" t="s">
        <v>309</v>
      </c>
      <c r="C200" t="s">
        <v>438</v>
      </c>
      <c r="D200" t="s">
        <v>793</v>
      </c>
      <c r="E200" s="1">
        <v>45673</v>
      </c>
      <c r="F200" s="1">
        <v>45673</v>
      </c>
      <c r="G200" s="12">
        <v>280.88</v>
      </c>
      <c r="H200" s="2">
        <v>0</v>
      </c>
      <c r="I200" s="2">
        <v>0</v>
      </c>
      <c r="J200" s="2">
        <v>0</v>
      </c>
      <c r="K200" s="20">
        <v>280.88</v>
      </c>
      <c r="L200" t="s">
        <v>794</v>
      </c>
      <c r="M200">
        <f t="shared" si="3"/>
        <v>2025</v>
      </c>
    </row>
    <row r="201" spans="1:13" hidden="1">
      <c r="A201" t="s">
        <v>807</v>
      </c>
      <c r="B201" t="s">
        <v>366</v>
      </c>
      <c r="C201" t="s">
        <v>723</v>
      </c>
      <c r="D201" t="s">
        <v>793</v>
      </c>
      <c r="E201" s="1">
        <v>45674</v>
      </c>
      <c r="F201" s="1">
        <v>45674</v>
      </c>
      <c r="G201" s="12">
        <v>27</v>
      </c>
      <c r="H201" s="2">
        <v>0</v>
      </c>
      <c r="I201" s="2">
        <v>0</v>
      </c>
      <c r="J201" s="2">
        <v>0</v>
      </c>
      <c r="K201" s="20">
        <v>27</v>
      </c>
      <c r="L201" t="s">
        <v>794</v>
      </c>
      <c r="M201">
        <f t="shared" si="3"/>
        <v>2025</v>
      </c>
    </row>
    <row r="202" spans="1:13" hidden="1">
      <c r="A202" t="s">
        <v>852</v>
      </c>
      <c r="B202" t="s">
        <v>342</v>
      </c>
      <c r="C202" t="s">
        <v>646</v>
      </c>
      <c r="D202" t="s">
        <v>793</v>
      </c>
      <c r="E202" s="1">
        <v>45674</v>
      </c>
      <c r="F202" s="1">
        <v>45674</v>
      </c>
      <c r="G202" s="12">
        <v>30</v>
      </c>
      <c r="H202" s="2">
        <v>0</v>
      </c>
      <c r="I202" s="2">
        <v>0</v>
      </c>
      <c r="J202" s="2">
        <v>0</v>
      </c>
      <c r="K202" s="20">
        <v>30</v>
      </c>
      <c r="L202" t="s">
        <v>794</v>
      </c>
      <c r="M202">
        <f t="shared" si="3"/>
        <v>2025</v>
      </c>
    </row>
    <row r="203" spans="1:13" hidden="1">
      <c r="A203" t="s">
        <v>890</v>
      </c>
      <c r="B203" t="s">
        <v>247</v>
      </c>
      <c r="C203" t="s">
        <v>140</v>
      </c>
      <c r="D203" t="s">
        <v>793</v>
      </c>
      <c r="E203" s="1">
        <v>45674</v>
      </c>
      <c r="F203" s="1">
        <v>45674</v>
      </c>
      <c r="G203" s="12">
        <v>80</v>
      </c>
      <c r="H203" s="2">
        <v>0</v>
      </c>
      <c r="I203" s="2">
        <v>0</v>
      </c>
      <c r="J203" s="2">
        <v>0</v>
      </c>
      <c r="K203" s="20">
        <v>80</v>
      </c>
      <c r="L203" t="s">
        <v>794</v>
      </c>
      <c r="M203">
        <f t="shared" si="3"/>
        <v>2025</v>
      </c>
    </row>
    <row r="204" spans="1:13" hidden="1">
      <c r="A204" t="s">
        <v>852</v>
      </c>
      <c r="B204" t="s">
        <v>342</v>
      </c>
      <c r="C204" t="s">
        <v>558</v>
      </c>
      <c r="D204" t="s">
        <v>793</v>
      </c>
      <c r="E204" s="1">
        <v>45674</v>
      </c>
      <c r="F204" s="1">
        <v>45674</v>
      </c>
      <c r="G204" s="12">
        <v>26.45</v>
      </c>
      <c r="H204" s="2">
        <v>0</v>
      </c>
      <c r="I204" s="2">
        <v>0</v>
      </c>
      <c r="J204" s="2">
        <v>0</v>
      </c>
      <c r="K204" s="20">
        <v>26.45</v>
      </c>
      <c r="L204" t="s">
        <v>794</v>
      </c>
      <c r="M204">
        <f t="shared" si="3"/>
        <v>2025</v>
      </c>
    </row>
    <row r="205" spans="1:13" hidden="1">
      <c r="A205" t="s">
        <v>883</v>
      </c>
      <c r="B205" t="s">
        <v>325</v>
      </c>
      <c r="C205" t="s">
        <v>558</v>
      </c>
      <c r="D205" t="s">
        <v>793</v>
      </c>
      <c r="E205" s="1">
        <v>45674</v>
      </c>
      <c r="F205" s="1">
        <v>45674</v>
      </c>
      <c r="G205" s="12">
        <v>14.16</v>
      </c>
      <c r="H205" s="2">
        <v>0</v>
      </c>
      <c r="I205" s="2">
        <v>0</v>
      </c>
      <c r="J205" s="2">
        <v>0</v>
      </c>
      <c r="K205" s="20">
        <v>14.16</v>
      </c>
      <c r="L205" t="s">
        <v>794</v>
      </c>
      <c r="M205">
        <f t="shared" si="3"/>
        <v>2025</v>
      </c>
    </row>
    <row r="206" spans="1:13" hidden="1">
      <c r="A206" t="s">
        <v>900</v>
      </c>
      <c r="B206" t="s">
        <v>250</v>
      </c>
      <c r="C206" t="s">
        <v>200</v>
      </c>
      <c r="D206" t="s">
        <v>793</v>
      </c>
      <c r="E206" s="1">
        <v>45674</v>
      </c>
      <c r="F206" s="1">
        <v>45674</v>
      </c>
      <c r="G206" s="12">
        <v>1040</v>
      </c>
      <c r="H206" s="2">
        <v>0</v>
      </c>
      <c r="I206" s="2">
        <v>0</v>
      </c>
      <c r="J206" s="2">
        <v>0</v>
      </c>
      <c r="K206" s="20">
        <v>1040</v>
      </c>
      <c r="L206" t="s">
        <v>794</v>
      </c>
      <c r="M206">
        <f t="shared" si="3"/>
        <v>2025</v>
      </c>
    </row>
    <row r="207" spans="1:13" hidden="1">
      <c r="A207" t="s">
        <v>901</v>
      </c>
      <c r="B207" t="s">
        <v>422</v>
      </c>
      <c r="C207" t="s">
        <v>201</v>
      </c>
      <c r="D207" t="s">
        <v>793</v>
      </c>
      <c r="E207" s="1">
        <v>45674</v>
      </c>
      <c r="F207" s="1">
        <v>45674</v>
      </c>
      <c r="G207" s="12">
        <v>360</v>
      </c>
      <c r="H207" s="2">
        <v>0</v>
      </c>
      <c r="I207" s="2">
        <v>0</v>
      </c>
      <c r="J207" s="2">
        <v>0</v>
      </c>
      <c r="K207" s="20">
        <v>360</v>
      </c>
      <c r="L207" t="s">
        <v>794</v>
      </c>
      <c r="M207">
        <f t="shared" si="3"/>
        <v>2025</v>
      </c>
    </row>
    <row r="208" spans="1:13" hidden="1">
      <c r="A208" t="s">
        <v>809</v>
      </c>
      <c r="B208" t="s">
        <v>91</v>
      </c>
      <c r="C208" t="s">
        <v>139</v>
      </c>
      <c r="D208" t="s">
        <v>793</v>
      </c>
      <c r="E208" s="1">
        <v>45674</v>
      </c>
      <c r="F208" s="1">
        <v>45674</v>
      </c>
      <c r="G208" s="12">
        <v>99.9</v>
      </c>
      <c r="H208" s="2">
        <v>0</v>
      </c>
      <c r="I208" s="2">
        <v>0</v>
      </c>
      <c r="J208" s="2">
        <v>0</v>
      </c>
      <c r="K208" s="20">
        <v>99.9</v>
      </c>
      <c r="L208" t="s">
        <v>794</v>
      </c>
      <c r="M208">
        <f t="shared" si="3"/>
        <v>2025</v>
      </c>
    </row>
    <row r="209" spans="1:13" hidden="1">
      <c r="A209" t="s">
        <v>839</v>
      </c>
      <c r="B209" t="s">
        <v>44</v>
      </c>
      <c r="C209" t="s">
        <v>722</v>
      </c>
      <c r="D209" t="s">
        <v>793</v>
      </c>
      <c r="E209" s="1">
        <v>45677</v>
      </c>
      <c r="F209" s="1">
        <v>45677</v>
      </c>
      <c r="G209" s="12">
        <v>941.56000000000006</v>
      </c>
      <c r="H209" s="2">
        <v>0</v>
      </c>
      <c r="I209" s="2">
        <v>0</v>
      </c>
      <c r="J209" s="2">
        <v>0</v>
      </c>
      <c r="K209" s="20">
        <v>941.56000000000006</v>
      </c>
      <c r="L209" t="s">
        <v>794</v>
      </c>
      <c r="M209">
        <f t="shared" si="3"/>
        <v>2025</v>
      </c>
    </row>
    <row r="210" spans="1:13" hidden="1">
      <c r="A210" t="s">
        <v>839</v>
      </c>
      <c r="B210" t="s">
        <v>44</v>
      </c>
      <c r="C210" t="s">
        <v>722</v>
      </c>
      <c r="D210" t="s">
        <v>793</v>
      </c>
      <c r="E210" s="1">
        <v>45677</v>
      </c>
      <c r="F210" s="1">
        <v>45677</v>
      </c>
      <c r="G210" s="12">
        <v>791.23</v>
      </c>
      <c r="H210" s="2">
        <v>0</v>
      </c>
      <c r="I210" s="2">
        <v>0</v>
      </c>
      <c r="J210" s="2">
        <v>0</v>
      </c>
      <c r="K210" s="20">
        <v>791.23</v>
      </c>
      <c r="L210" t="s">
        <v>794</v>
      </c>
      <c r="M210">
        <f t="shared" si="3"/>
        <v>2025</v>
      </c>
    </row>
    <row r="211" spans="1:13" hidden="1">
      <c r="A211" t="s">
        <v>844</v>
      </c>
      <c r="B211" t="s">
        <v>314</v>
      </c>
      <c r="C211" t="s">
        <v>398</v>
      </c>
      <c r="D211" t="s">
        <v>793</v>
      </c>
      <c r="E211" s="1">
        <v>45677</v>
      </c>
      <c r="F211" s="1">
        <v>45677</v>
      </c>
      <c r="G211" s="12">
        <v>350</v>
      </c>
      <c r="H211" s="2">
        <v>0</v>
      </c>
      <c r="I211" s="2">
        <v>0</v>
      </c>
      <c r="J211" s="2">
        <v>0</v>
      </c>
      <c r="K211" s="20">
        <v>350</v>
      </c>
      <c r="L211" t="s">
        <v>794</v>
      </c>
      <c r="M211">
        <f t="shared" si="3"/>
        <v>2025</v>
      </c>
    </row>
    <row r="212" spans="1:13" hidden="1">
      <c r="A212" t="s">
        <v>902</v>
      </c>
      <c r="B212" t="s">
        <v>15</v>
      </c>
      <c r="C212" t="s">
        <v>715</v>
      </c>
      <c r="D212" t="s">
        <v>793</v>
      </c>
      <c r="E212" s="1">
        <v>45677</v>
      </c>
      <c r="F212" s="1">
        <v>45677</v>
      </c>
      <c r="G212" s="12">
        <v>17230.03</v>
      </c>
      <c r="H212" s="2">
        <v>0</v>
      </c>
      <c r="I212" s="2">
        <v>0</v>
      </c>
      <c r="J212" s="2">
        <v>0</v>
      </c>
      <c r="K212" s="20">
        <v>17230.03</v>
      </c>
      <c r="L212" t="s">
        <v>794</v>
      </c>
      <c r="M212">
        <f t="shared" si="3"/>
        <v>2025</v>
      </c>
    </row>
    <row r="213" spans="1:13" hidden="1">
      <c r="A213" t="s">
        <v>807</v>
      </c>
      <c r="B213" t="s">
        <v>366</v>
      </c>
      <c r="C213" t="s">
        <v>491</v>
      </c>
      <c r="D213" t="s">
        <v>793</v>
      </c>
      <c r="E213" s="1">
        <v>45677</v>
      </c>
      <c r="F213" s="1">
        <v>45677</v>
      </c>
      <c r="G213" s="12">
        <v>135</v>
      </c>
      <c r="H213" s="2">
        <v>0</v>
      </c>
      <c r="I213" s="2">
        <v>0</v>
      </c>
      <c r="J213" s="2">
        <v>0</v>
      </c>
      <c r="K213" s="20">
        <v>135</v>
      </c>
      <c r="L213" t="s">
        <v>794</v>
      </c>
      <c r="M213">
        <f t="shared" si="3"/>
        <v>2025</v>
      </c>
    </row>
    <row r="214" spans="1:13" hidden="1">
      <c r="A214" t="s">
        <v>878</v>
      </c>
      <c r="B214" t="s">
        <v>32</v>
      </c>
      <c r="C214" t="s">
        <v>721</v>
      </c>
      <c r="D214" t="s">
        <v>793</v>
      </c>
      <c r="E214" s="1">
        <v>45677</v>
      </c>
      <c r="F214" s="1">
        <v>45677</v>
      </c>
      <c r="G214" s="12">
        <v>300</v>
      </c>
      <c r="H214" s="2">
        <v>0</v>
      </c>
      <c r="I214" s="2">
        <v>0</v>
      </c>
      <c r="J214" s="2">
        <v>0</v>
      </c>
      <c r="K214" s="20">
        <v>300</v>
      </c>
      <c r="L214" t="s">
        <v>794</v>
      </c>
      <c r="M214">
        <f t="shared" si="3"/>
        <v>2025</v>
      </c>
    </row>
    <row r="215" spans="1:13" hidden="1">
      <c r="A215" t="s">
        <v>811</v>
      </c>
      <c r="B215" t="s">
        <v>39</v>
      </c>
      <c r="C215" t="s">
        <v>141</v>
      </c>
      <c r="D215" t="s">
        <v>793</v>
      </c>
      <c r="E215" s="1">
        <v>45677</v>
      </c>
      <c r="F215" s="1">
        <v>45677</v>
      </c>
      <c r="G215" s="12">
        <v>36</v>
      </c>
      <c r="H215" s="2">
        <v>0</v>
      </c>
      <c r="I215" s="2">
        <v>0</v>
      </c>
      <c r="J215" s="2">
        <v>0</v>
      </c>
      <c r="K215" s="20">
        <v>36</v>
      </c>
      <c r="L215" t="s">
        <v>794</v>
      </c>
      <c r="M215">
        <f t="shared" si="3"/>
        <v>2025</v>
      </c>
    </row>
    <row r="216" spans="1:13" hidden="1">
      <c r="A216" t="s">
        <v>827</v>
      </c>
      <c r="B216" t="s">
        <v>265</v>
      </c>
      <c r="C216" t="s">
        <v>141</v>
      </c>
      <c r="D216" t="s">
        <v>793</v>
      </c>
      <c r="E216" s="1">
        <v>45677</v>
      </c>
      <c r="F216" s="1">
        <v>45677</v>
      </c>
      <c r="G216" s="12">
        <v>60</v>
      </c>
      <c r="H216" s="2">
        <v>0</v>
      </c>
      <c r="I216" s="2">
        <v>0</v>
      </c>
      <c r="J216" s="2">
        <v>0</v>
      </c>
      <c r="K216" s="20">
        <v>60</v>
      </c>
      <c r="L216" t="s">
        <v>794</v>
      </c>
      <c r="M216">
        <f t="shared" si="3"/>
        <v>2025</v>
      </c>
    </row>
    <row r="217" spans="1:13" hidden="1">
      <c r="A217" t="s">
        <v>796</v>
      </c>
      <c r="B217" t="s">
        <v>181</v>
      </c>
      <c r="C217" t="s">
        <v>141</v>
      </c>
      <c r="D217" t="s">
        <v>793</v>
      </c>
      <c r="E217" s="1">
        <v>45677</v>
      </c>
      <c r="F217" s="1">
        <v>45677</v>
      </c>
      <c r="G217" s="12">
        <v>40</v>
      </c>
      <c r="H217" s="2">
        <v>0</v>
      </c>
      <c r="I217" s="2">
        <v>0</v>
      </c>
      <c r="J217" s="2">
        <v>0</v>
      </c>
      <c r="K217" s="20">
        <v>40</v>
      </c>
      <c r="L217" t="s">
        <v>794</v>
      </c>
      <c r="M217">
        <f t="shared" si="3"/>
        <v>2025</v>
      </c>
    </row>
    <row r="218" spans="1:13" hidden="1">
      <c r="A218" t="s">
        <v>835</v>
      </c>
      <c r="B218" t="s">
        <v>214</v>
      </c>
      <c r="C218" t="s">
        <v>138</v>
      </c>
      <c r="D218" t="s">
        <v>793</v>
      </c>
      <c r="E218" s="1">
        <v>45677</v>
      </c>
      <c r="F218" s="1">
        <v>45677</v>
      </c>
      <c r="G218" s="12">
        <v>242.4</v>
      </c>
      <c r="H218" s="2">
        <v>0</v>
      </c>
      <c r="I218" s="2">
        <v>0</v>
      </c>
      <c r="J218" s="2">
        <v>0</v>
      </c>
      <c r="K218" s="20">
        <v>242.4</v>
      </c>
      <c r="L218" t="s">
        <v>794</v>
      </c>
      <c r="M218">
        <f t="shared" si="3"/>
        <v>2025</v>
      </c>
    </row>
    <row r="219" spans="1:13" hidden="1">
      <c r="A219" t="s">
        <v>832</v>
      </c>
      <c r="B219" t="s">
        <v>120</v>
      </c>
      <c r="C219" t="s">
        <v>139</v>
      </c>
      <c r="D219" t="s">
        <v>793</v>
      </c>
      <c r="E219" s="1">
        <v>45677</v>
      </c>
      <c r="F219" s="1">
        <v>45677</v>
      </c>
      <c r="G219" s="12">
        <v>34.92</v>
      </c>
      <c r="H219" s="2">
        <v>0</v>
      </c>
      <c r="I219" s="2">
        <v>0</v>
      </c>
      <c r="J219" s="2">
        <v>0</v>
      </c>
      <c r="K219" s="20">
        <v>34.92</v>
      </c>
      <c r="L219" t="s">
        <v>794</v>
      </c>
      <c r="M219">
        <f t="shared" si="3"/>
        <v>2025</v>
      </c>
    </row>
    <row r="220" spans="1:13" hidden="1">
      <c r="A220" t="s">
        <v>890</v>
      </c>
      <c r="B220" t="s">
        <v>247</v>
      </c>
      <c r="C220" t="s">
        <v>140</v>
      </c>
      <c r="D220" t="s">
        <v>793</v>
      </c>
      <c r="E220" s="1">
        <v>45677</v>
      </c>
      <c r="F220" s="1">
        <v>45677</v>
      </c>
      <c r="G220" s="12">
        <v>80</v>
      </c>
      <c r="H220" s="2">
        <v>0</v>
      </c>
      <c r="I220" s="2">
        <v>0</v>
      </c>
      <c r="J220" s="2">
        <v>0</v>
      </c>
      <c r="K220" s="20">
        <v>80</v>
      </c>
      <c r="L220" t="s">
        <v>794</v>
      </c>
      <c r="M220">
        <f t="shared" si="3"/>
        <v>2025</v>
      </c>
    </row>
    <row r="221" spans="1:13" hidden="1">
      <c r="A221" t="s">
        <v>818</v>
      </c>
      <c r="B221" t="s">
        <v>30</v>
      </c>
      <c r="C221" t="s">
        <v>141</v>
      </c>
      <c r="D221" t="s">
        <v>793</v>
      </c>
      <c r="E221" s="1">
        <v>45677</v>
      </c>
      <c r="F221" s="1">
        <v>45677</v>
      </c>
      <c r="G221" s="12">
        <v>80</v>
      </c>
      <c r="H221" s="2">
        <v>0</v>
      </c>
      <c r="I221" s="2">
        <v>0</v>
      </c>
      <c r="J221" s="2">
        <v>0</v>
      </c>
      <c r="K221" s="20">
        <v>80</v>
      </c>
      <c r="L221" t="s">
        <v>794</v>
      </c>
      <c r="M221">
        <f t="shared" si="3"/>
        <v>2025</v>
      </c>
    </row>
    <row r="222" spans="1:13" hidden="1">
      <c r="A222" t="s">
        <v>825</v>
      </c>
      <c r="B222" t="s">
        <v>46</v>
      </c>
      <c r="C222" t="s">
        <v>139</v>
      </c>
      <c r="D222" t="s">
        <v>793</v>
      </c>
      <c r="E222" s="1">
        <v>45677</v>
      </c>
      <c r="F222" s="1">
        <v>45677</v>
      </c>
      <c r="G222" s="12">
        <v>49.6</v>
      </c>
      <c r="H222" s="2">
        <v>0</v>
      </c>
      <c r="I222" s="2">
        <v>0</v>
      </c>
      <c r="J222" s="2">
        <v>0</v>
      </c>
      <c r="K222" s="20">
        <v>49.6</v>
      </c>
      <c r="L222" t="s">
        <v>794</v>
      </c>
      <c r="M222">
        <f t="shared" si="3"/>
        <v>2025</v>
      </c>
    </row>
    <row r="223" spans="1:13" hidden="1">
      <c r="A223" t="s">
        <v>809</v>
      </c>
      <c r="B223" t="s">
        <v>91</v>
      </c>
      <c r="C223" t="s">
        <v>141</v>
      </c>
      <c r="D223" t="s">
        <v>793</v>
      </c>
      <c r="E223" s="1">
        <v>45677</v>
      </c>
      <c r="F223" s="1">
        <v>45677</v>
      </c>
      <c r="G223" s="12">
        <v>146</v>
      </c>
      <c r="H223" s="2">
        <v>0</v>
      </c>
      <c r="I223" s="2">
        <v>0</v>
      </c>
      <c r="J223" s="2">
        <v>0</v>
      </c>
      <c r="K223" s="20">
        <v>146</v>
      </c>
      <c r="L223" t="s">
        <v>794</v>
      </c>
      <c r="M223">
        <f t="shared" si="3"/>
        <v>2025</v>
      </c>
    </row>
    <row r="224" spans="1:13" hidden="1">
      <c r="A224" t="s">
        <v>812</v>
      </c>
      <c r="B224" t="s">
        <v>31</v>
      </c>
      <c r="C224" t="s">
        <v>141</v>
      </c>
      <c r="D224" t="s">
        <v>793</v>
      </c>
      <c r="E224" s="1">
        <v>45677</v>
      </c>
      <c r="F224" s="1">
        <v>45677</v>
      </c>
      <c r="G224" s="12">
        <v>226</v>
      </c>
      <c r="H224" s="2">
        <v>0</v>
      </c>
      <c r="I224" s="2">
        <v>0</v>
      </c>
      <c r="J224" s="2">
        <v>0</v>
      </c>
      <c r="K224" s="20">
        <v>226</v>
      </c>
      <c r="L224" t="s">
        <v>794</v>
      </c>
      <c r="M224">
        <f t="shared" si="3"/>
        <v>2025</v>
      </c>
    </row>
    <row r="225" spans="1:13" hidden="1">
      <c r="A225" t="s">
        <v>810</v>
      </c>
      <c r="B225" t="s">
        <v>54</v>
      </c>
      <c r="C225" t="s">
        <v>141</v>
      </c>
      <c r="D225" t="s">
        <v>793</v>
      </c>
      <c r="E225" s="1">
        <v>45677</v>
      </c>
      <c r="F225" s="1">
        <v>45677</v>
      </c>
      <c r="G225" s="12">
        <v>186</v>
      </c>
      <c r="H225" s="2">
        <v>0</v>
      </c>
      <c r="I225" s="2">
        <v>0</v>
      </c>
      <c r="J225" s="2">
        <v>0</v>
      </c>
      <c r="K225" s="20">
        <v>186</v>
      </c>
      <c r="L225" t="s">
        <v>794</v>
      </c>
      <c r="M225">
        <f t="shared" si="3"/>
        <v>2025</v>
      </c>
    </row>
    <row r="226" spans="1:13" hidden="1">
      <c r="A226" t="s">
        <v>889</v>
      </c>
      <c r="B226" t="s">
        <v>376</v>
      </c>
      <c r="C226" t="s">
        <v>139</v>
      </c>
      <c r="D226" t="s">
        <v>793</v>
      </c>
      <c r="E226" s="1">
        <v>45677</v>
      </c>
      <c r="F226" s="1">
        <v>45677</v>
      </c>
      <c r="G226" s="12">
        <v>204</v>
      </c>
      <c r="H226" s="2">
        <v>0</v>
      </c>
      <c r="I226" s="2">
        <v>0</v>
      </c>
      <c r="J226" s="2">
        <v>0</v>
      </c>
      <c r="K226" s="20">
        <v>204</v>
      </c>
      <c r="L226" t="s">
        <v>794</v>
      </c>
      <c r="M226">
        <f t="shared" si="3"/>
        <v>2025</v>
      </c>
    </row>
    <row r="227" spans="1:13" hidden="1">
      <c r="A227" t="s">
        <v>889</v>
      </c>
      <c r="B227" t="s">
        <v>376</v>
      </c>
      <c r="C227" t="s">
        <v>138</v>
      </c>
      <c r="D227" t="s">
        <v>793</v>
      </c>
      <c r="E227" s="1">
        <v>45677</v>
      </c>
      <c r="F227" s="1">
        <v>45677</v>
      </c>
      <c r="G227" s="12">
        <v>96</v>
      </c>
      <c r="H227" s="2">
        <v>0</v>
      </c>
      <c r="I227" s="2">
        <v>0</v>
      </c>
      <c r="J227" s="2">
        <v>0</v>
      </c>
      <c r="K227" s="20">
        <v>96</v>
      </c>
      <c r="L227" t="s">
        <v>794</v>
      </c>
      <c r="M227">
        <f t="shared" si="3"/>
        <v>2025</v>
      </c>
    </row>
    <row r="228" spans="1:13" hidden="1">
      <c r="A228" t="s">
        <v>903</v>
      </c>
      <c r="B228" t="s">
        <v>462</v>
      </c>
      <c r="C228" t="s">
        <v>767</v>
      </c>
      <c r="D228" t="s">
        <v>793</v>
      </c>
      <c r="E228" s="1">
        <v>45677</v>
      </c>
      <c r="F228" s="1">
        <v>45677</v>
      </c>
      <c r="G228" s="12">
        <v>99.990000000000009</v>
      </c>
      <c r="H228" s="2">
        <v>0</v>
      </c>
      <c r="I228" s="2">
        <v>0</v>
      </c>
      <c r="J228" s="2">
        <v>0</v>
      </c>
      <c r="K228" s="20">
        <v>99.990000000000009</v>
      </c>
      <c r="L228" t="s">
        <v>794</v>
      </c>
      <c r="M228">
        <f t="shared" si="3"/>
        <v>2025</v>
      </c>
    </row>
    <row r="229" spans="1:13" hidden="1">
      <c r="A229" t="s">
        <v>810</v>
      </c>
      <c r="B229" t="s">
        <v>54</v>
      </c>
      <c r="C229" t="s">
        <v>142</v>
      </c>
      <c r="D229" t="s">
        <v>793</v>
      </c>
      <c r="E229" s="1">
        <v>45677</v>
      </c>
      <c r="F229" s="1">
        <v>45677</v>
      </c>
      <c r="G229" s="12">
        <v>30</v>
      </c>
      <c r="H229" s="2">
        <v>0</v>
      </c>
      <c r="I229" s="2">
        <v>0</v>
      </c>
      <c r="J229" s="2">
        <v>0</v>
      </c>
      <c r="K229" s="20">
        <v>30</v>
      </c>
      <c r="L229" t="s">
        <v>794</v>
      </c>
      <c r="M229">
        <f t="shared" si="3"/>
        <v>2025</v>
      </c>
    </row>
    <row r="230" spans="1:13" hidden="1">
      <c r="A230" t="s">
        <v>904</v>
      </c>
      <c r="B230" t="s">
        <v>649</v>
      </c>
      <c r="C230" t="s">
        <v>99</v>
      </c>
      <c r="D230" t="s">
        <v>793</v>
      </c>
      <c r="E230" s="1">
        <v>45677</v>
      </c>
      <c r="F230" s="1">
        <v>45677</v>
      </c>
      <c r="G230" s="12">
        <v>3.5</v>
      </c>
      <c r="H230" s="2">
        <v>0</v>
      </c>
      <c r="I230" s="2">
        <v>0</v>
      </c>
      <c r="J230" s="2">
        <v>0</v>
      </c>
      <c r="K230" s="20">
        <v>3.5</v>
      </c>
      <c r="L230" t="s">
        <v>794</v>
      </c>
      <c r="M230">
        <f t="shared" si="3"/>
        <v>2025</v>
      </c>
    </row>
    <row r="231" spans="1:13" hidden="1">
      <c r="A231" t="s">
        <v>903</v>
      </c>
      <c r="B231" t="s">
        <v>462</v>
      </c>
      <c r="C231" t="s">
        <v>767</v>
      </c>
      <c r="D231" t="s">
        <v>793</v>
      </c>
      <c r="E231" s="1">
        <v>45677</v>
      </c>
      <c r="F231" s="1">
        <v>45677</v>
      </c>
      <c r="G231" s="12">
        <v>99.990000000000009</v>
      </c>
      <c r="H231" s="2">
        <v>0</v>
      </c>
      <c r="I231" s="2">
        <v>0</v>
      </c>
      <c r="J231" s="2">
        <v>0</v>
      </c>
      <c r="K231" s="20">
        <v>99.990000000000009</v>
      </c>
      <c r="L231" t="s">
        <v>794</v>
      </c>
      <c r="M231">
        <f t="shared" si="3"/>
        <v>2025</v>
      </c>
    </row>
    <row r="232" spans="1:13" hidden="1">
      <c r="A232" t="s">
        <v>905</v>
      </c>
      <c r="B232" t="s">
        <v>15</v>
      </c>
      <c r="C232" t="s">
        <v>727</v>
      </c>
      <c r="D232" t="s">
        <v>793</v>
      </c>
      <c r="E232" s="1">
        <v>45677</v>
      </c>
      <c r="F232" s="1">
        <v>45677</v>
      </c>
      <c r="G232" s="12">
        <v>114.86</v>
      </c>
      <c r="H232" s="2">
        <v>0</v>
      </c>
      <c r="I232" s="2">
        <v>0</v>
      </c>
      <c r="J232" s="2">
        <v>0</v>
      </c>
      <c r="K232" s="20">
        <v>114.86</v>
      </c>
      <c r="L232" t="s">
        <v>794</v>
      </c>
      <c r="M232">
        <f t="shared" si="3"/>
        <v>2025</v>
      </c>
    </row>
    <row r="233" spans="1:13" hidden="1">
      <c r="A233" t="s">
        <v>832</v>
      </c>
      <c r="B233" t="s">
        <v>120</v>
      </c>
      <c r="C233" t="s">
        <v>139</v>
      </c>
      <c r="D233" t="s">
        <v>793</v>
      </c>
      <c r="E233" s="1">
        <v>45678</v>
      </c>
      <c r="F233" s="1">
        <v>45678</v>
      </c>
      <c r="G233" s="12">
        <v>34.950000000000003</v>
      </c>
      <c r="H233" s="2">
        <v>0</v>
      </c>
      <c r="I233" s="2">
        <v>0</v>
      </c>
      <c r="J233" s="2">
        <v>0</v>
      </c>
      <c r="K233" s="20">
        <v>34.950000000000003</v>
      </c>
      <c r="L233" t="s">
        <v>794</v>
      </c>
      <c r="M233">
        <f t="shared" si="3"/>
        <v>2025</v>
      </c>
    </row>
    <row r="234" spans="1:13" hidden="1">
      <c r="A234" t="s">
        <v>906</v>
      </c>
      <c r="B234" t="s">
        <v>289</v>
      </c>
      <c r="C234" t="s">
        <v>768</v>
      </c>
      <c r="D234" t="s">
        <v>793</v>
      </c>
      <c r="E234" s="1">
        <v>45678</v>
      </c>
      <c r="F234" s="1">
        <v>45678</v>
      </c>
      <c r="G234" s="12">
        <v>49</v>
      </c>
      <c r="H234" s="2">
        <v>0</v>
      </c>
      <c r="I234" s="2">
        <v>0</v>
      </c>
      <c r="J234" s="2">
        <v>0</v>
      </c>
      <c r="K234" s="20">
        <v>49</v>
      </c>
      <c r="L234" t="s">
        <v>794</v>
      </c>
      <c r="M234">
        <f t="shared" si="3"/>
        <v>2025</v>
      </c>
    </row>
    <row r="235" spans="1:13" hidden="1">
      <c r="A235" t="s">
        <v>907</v>
      </c>
      <c r="B235" t="s">
        <v>291</v>
      </c>
      <c r="C235" t="s">
        <v>768</v>
      </c>
      <c r="D235" t="s">
        <v>793</v>
      </c>
      <c r="E235" s="1">
        <v>45678</v>
      </c>
      <c r="F235" s="1">
        <v>45678</v>
      </c>
      <c r="G235" s="12">
        <v>27.490000000000002</v>
      </c>
      <c r="H235" s="2">
        <v>0</v>
      </c>
      <c r="I235" s="2">
        <v>0</v>
      </c>
      <c r="J235" s="2">
        <v>0</v>
      </c>
      <c r="K235" s="20">
        <v>27.490000000000002</v>
      </c>
      <c r="L235" t="s">
        <v>794</v>
      </c>
      <c r="M235">
        <f t="shared" si="3"/>
        <v>2025</v>
      </c>
    </row>
    <row r="236" spans="1:13" hidden="1">
      <c r="A236" t="s">
        <v>899</v>
      </c>
      <c r="B236" t="s">
        <v>559</v>
      </c>
      <c r="C236" t="s">
        <v>723</v>
      </c>
      <c r="D236" t="s">
        <v>908</v>
      </c>
      <c r="E236" s="1">
        <v>45678</v>
      </c>
      <c r="F236" s="1">
        <v>45678</v>
      </c>
      <c r="G236" s="12">
        <v>24</v>
      </c>
      <c r="H236" s="2">
        <v>0</v>
      </c>
      <c r="I236" s="2">
        <v>0</v>
      </c>
      <c r="J236" s="2">
        <v>0</v>
      </c>
      <c r="K236" s="20">
        <v>24</v>
      </c>
      <c r="L236" t="s">
        <v>794</v>
      </c>
      <c r="M236">
        <f t="shared" si="3"/>
        <v>2025</v>
      </c>
    </row>
    <row r="237" spans="1:13" hidden="1">
      <c r="A237" t="s">
        <v>890</v>
      </c>
      <c r="B237" t="s">
        <v>247</v>
      </c>
      <c r="C237" t="s">
        <v>139</v>
      </c>
      <c r="D237" t="s">
        <v>793</v>
      </c>
      <c r="E237" s="1">
        <v>45678</v>
      </c>
      <c r="F237" s="1">
        <v>45678</v>
      </c>
      <c r="G237" s="12">
        <v>120</v>
      </c>
      <c r="H237" s="2">
        <v>0</v>
      </c>
      <c r="I237" s="2">
        <v>0</v>
      </c>
      <c r="J237" s="2">
        <v>0</v>
      </c>
      <c r="K237" s="20">
        <v>120</v>
      </c>
      <c r="L237" t="s">
        <v>794</v>
      </c>
      <c r="M237">
        <f t="shared" si="3"/>
        <v>2025</v>
      </c>
    </row>
    <row r="238" spans="1:13" hidden="1">
      <c r="A238" t="s">
        <v>809</v>
      </c>
      <c r="B238" t="s">
        <v>91</v>
      </c>
      <c r="C238" t="s">
        <v>139</v>
      </c>
      <c r="D238" t="s">
        <v>793</v>
      </c>
      <c r="E238" s="1">
        <v>45678</v>
      </c>
      <c r="F238" s="1">
        <v>45678</v>
      </c>
      <c r="G238" s="12">
        <v>90</v>
      </c>
      <c r="H238" s="2">
        <v>0</v>
      </c>
      <c r="I238" s="2">
        <v>0</v>
      </c>
      <c r="J238" s="2">
        <v>0</v>
      </c>
      <c r="K238" s="20">
        <v>90</v>
      </c>
      <c r="L238" t="s">
        <v>794</v>
      </c>
      <c r="M238">
        <f t="shared" si="3"/>
        <v>2025</v>
      </c>
    </row>
    <row r="239" spans="1:13" hidden="1">
      <c r="A239" t="s">
        <v>892</v>
      </c>
      <c r="B239" t="s">
        <v>110</v>
      </c>
      <c r="C239" t="s">
        <v>733</v>
      </c>
      <c r="D239" t="s">
        <v>793</v>
      </c>
      <c r="E239" s="1">
        <v>45678</v>
      </c>
      <c r="F239" s="1">
        <v>45678</v>
      </c>
      <c r="G239" s="12">
        <v>298.90000000000003</v>
      </c>
      <c r="H239" s="2">
        <v>0</v>
      </c>
      <c r="I239" s="2">
        <v>0</v>
      </c>
      <c r="J239" s="2">
        <v>0</v>
      </c>
      <c r="K239" s="20">
        <v>298.90000000000003</v>
      </c>
      <c r="L239" t="s">
        <v>794</v>
      </c>
      <c r="M239">
        <f t="shared" si="3"/>
        <v>2025</v>
      </c>
    </row>
    <row r="240" spans="1:13" hidden="1">
      <c r="A240" t="s">
        <v>883</v>
      </c>
      <c r="B240" t="s">
        <v>110</v>
      </c>
      <c r="C240" t="s">
        <v>733</v>
      </c>
      <c r="D240" t="s">
        <v>793</v>
      </c>
      <c r="E240" s="1">
        <v>45679</v>
      </c>
      <c r="F240" s="1">
        <v>45679</v>
      </c>
      <c r="G240" s="12">
        <v>390</v>
      </c>
      <c r="H240" s="2">
        <v>0</v>
      </c>
      <c r="I240" s="2">
        <v>0</v>
      </c>
      <c r="J240" s="2">
        <v>0</v>
      </c>
      <c r="K240" s="20">
        <v>390</v>
      </c>
      <c r="L240" t="s">
        <v>794</v>
      </c>
      <c r="M240">
        <f t="shared" si="3"/>
        <v>2025</v>
      </c>
    </row>
    <row r="241" spans="1:13" hidden="1">
      <c r="A241" t="s">
        <v>909</v>
      </c>
      <c r="B241" t="s">
        <v>97</v>
      </c>
      <c r="C241" t="s">
        <v>717</v>
      </c>
      <c r="D241" t="s">
        <v>793</v>
      </c>
      <c r="E241" s="1">
        <v>45679</v>
      </c>
      <c r="F241" s="1">
        <v>45679</v>
      </c>
      <c r="G241" s="12">
        <v>2000</v>
      </c>
      <c r="H241" s="2">
        <v>0</v>
      </c>
      <c r="I241" s="2">
        <v>0</v>
      </c>
      <c r="J241" s="2">
        <v>0</v>
      </c>
      <c r="K241" s="20">
        <v>2000</v>
      </c>
      <c r="L241" t="s">
        <v>794</v>
      </c>
      <c r="M241">
        <f t="shared" si="3"/>
        <v>2025</v>
      </c>
    </row>
    <row r="242" spans="1:13" hidden="1">
      <c r="A242" t="s">
        <v>883</v>
      </c>
      <c r="B242" t="s">
        <v>325</v>
      </c>
      <c r="C242" t="s">
        <v>99</v>
      </c>
      <c r="D242" t="s">
        <v>793</v>
      </c>
      <c r="E242" s="1">
        <v>45679</v>
      </c>
      <c r="F242" s="1">
        <v>45679</v>
      </c>
      <c r="G242" s="12">
        <v>90.93</v>
      </c>
      <c r="H242" s="2">
        <v>0</v>
      </c>
      <c r="I242" s="2">
        <v>0</v>
      </c>
      <c r="J242" s="2">
        <v>0</v>
      </c>
      <c r="K242" s="20">
        <v>90.93</v>
      </c>
      <c r="L242" t="s">
        <v>794</v>
      </c>
      <c r="M242">
        <f t="shared" si="3"/>
        <v>2025</v>
      </c>
    </row>
    <row r="243" spans="1:13" hidden="1">
      <c r="A243" t="s">
        <v>852</v>
      </c>
      <c r="B243" t="s">
        <v>342</v>
      </c>
      <c r="C243" t="s">
        <v>483</v>
      </c>
      <c r="D243" t="s">
        <v>793</v>
      </c>
      <c r="E243" s="1">
        <v>45679</v>
      </c>
      <c r="F243" s="1">
        <v>45679</v>
      </c>
      <c r="G243" s="12">
        <v>11.99</v>
      </c>
      <c r="H243" s="2">
        <v>0</v>
      </c>
      <c r="I243" s="2">
        <v>0</v>
      </c>
      <c r="J243" s="2">
        <v>0</v>
      </c>
      <c r="K243" s="20">
        <v>11.99</v>
      </c>
      <c r="L243" t="s">
        <v>794</v>
      </c>
      <c r="M243">
        <f t="shared" si="3"/>
        <v>2025</v>
      </c>
    </row>
    <row r="244" spans="1:13" hidden="1">
      <c r="A244" t="s">
        <v>910</v>
      </c>
      <c r="B244" t="s">
        <v>567</v>
      </c>
      <c r="C244" t="s">
        <v>398</v>
      </c>
      <c r="D244" t="s">
        <v>793</v>
      </c>
      <c r="E244" s="1">
        <v>45679</v>
      </c>
      <c r="F244" s="1">
        <v>45679</v>
      </c>
      <c r="G244" s="12">
        <v>4</v>
      </c>
      <c r="H244" s="2">
        <v>0</v>
      </c>
      <c r="I244" s="2">
        <v>0</v>
      </c>
      <c r="J244" s="2">
        <v>0</v>
      </c>
      <c r="K244" s="20">
        <v>4</v>
      </c>
      <c r="L244" t="s">
        <v>794</v>
      </c>
      <c r="M244">
        <f t="shared" si="3"/>
        <v>2025</v>
      </c>
    </row>
    <row r="245" spans="1:13" hidden="1">
      <c r="A245" t="s">
        <v>832</v>
      </c>
      <c r="B245" t="s">
        <v>120</v>
      </c>
      <c r="C245" t="s">
        <v>139</v>
      </c>
      <c r="D245" t="s">
        <v>793</v>
      </c>
      <c r="E245" s="1">
        <v>45679</v>
      </c>
      <c r="F245" s="1">
        <v>45679</v>
      </c>
      <c r="G245" s="12">
        <v>39.619999999999997</v>
      </c>
      <c r="H245" s="2">
        <v>0</v>
      </c>
      <c r="I245" s="2">
        <v>0</v>
      </c>
      <c r="J245" s="2">
        <v>0</v>
      </c>
      <c r="K245" s="20">
        <v>39.619999999999997</v>
      </c>
      <c r="L245" t="s">
        <v>794</v>
      </c>
      <c r="M245">
        <f t="shared" si="3"/>
        <v>2025</v>
      </c>
    </row>
    <row r="246" spans="1:13" hidden="1">
      <c r="A246" t="s">
        <v>852</v>
      </c>
      <c r="B246" t="s">
        <v>342</v>
      </c>
      <c r="C246" t="s">
        <v>483</v>
      </c>
      <c r="D246" t="s">
        <v>793</v>
      </c>
      <c r="E246" s="1">
        <v>45679</v>
      </c>
      <c r="F246" s="1">
        <v>45679</v>
      </c>
      <c r="G246" s="12">
        <v>26.37</v>
      </c>
      <c r="H246" s="2">
        <v>0</v>
      </c>
      <c r="I246" s="2">
        <v>0</v>
      </c>
      <c r="J246" s="2">
        <v>0</v>
      </c>
      <c r="K246" s="20">
        <v>26.37</v>
      </c>
      <c r="L246" t="s">
        <v>794</v>
      </c>
      <c r="M246">
        <f t="shared" si="3"/>
        <v>2025</v>
      </c>
    </row>
    <row r="247" spans="1:13" hidden="1">
      <c r="A247" t="s">
        <v>911</v>
      </c>
      <c r="B247" t="s">
        <v>499</v>
      </c>
      <c r="C247" t="s">
        <v>768</v>
      </c>
      <c r="D247" t="s">
        <v>793</v>
      </c>
      <c r="E247" s="1">
        <v>45679</v>
      </c>
      <c r="F247" s="1">
        <v>45679</v>
      </c>
      <c r="G247" s="12">
        <v>64.8</v>
      </c>
      <c r="H247" s="2">
        <v>0</v>
      </c>
      <c r="I247" s="2">
        <v>0</v>
      </c>
      <c r="J247" s="2">
        <v>0</v>
      </c>
      <c r="K247" s="20">
        <v>64.8</v>
      </c>
      <c r="L247" t="s">
        <v>794</v>
      </c>
      <c r="M247">
        <f t="shared" si="3"/>
        <v>2025</v>
      </c>
    </row>
    <row r="248" spans="1:13" hidden="1">
      <c r="A248" t="s">
        <v>906</v>
      </c>
      <c r="B248" t="s">
        <v>289</v>
      </c>
      <c r="C248" t="s">
        <v>483</v>
      </c>
      <c r="D248" t="s">
        <v>793</v>
      </c>
      <c r="E248" s="1">
        <v>45679</v>
      </c>
      <c r="F248" s="1">
        <v>45679</v>
      </c>
      <c r="G248" s="12">
        <v>51</v>
      </c>
      <c r="H248" s="2">
        <v>0</v>
      </c>
      <c r="I248" s="2">
        <v>0</v>
      </c>
      <c r="J248" s="2">
        <v>0</v>
      </c>
      <c r="K248" s="20">
        <v>51</v>
      </c>
      <c r="L248" t="s">
        <v>794</v>
      </c>
      <c r="M248">
        <f t="shared" si="3"/>
        <v>2025</v>
      </c>
    </row>
    <row r="249" spans="1:13" hidden="1">
      <c r="A249" t="s">
        <v>912</v>
      </c>
      <c r="B249" t="s">
        <v>260</v>
      </c>
      <c r="C249" t="s">
        <v>140</v>
      </c>
      <c r="D249" t="s">
        <v>793</v>
      </c>
      <c r="E249" s="1">
        <v>45679</v>
      </c>
      <c r="F249" s="1">
        <v>45679</v>
      </c>
      <c r="G249" s="12">
        <v>30</v>
      </c>
      <c r="H249" s="2">
        <v>0</v>
      </c>
      <c r="I249" s="2">
        <v>0</v>
      </c>
      <c r="J249" s="2">
        <v>0</v>
      </c>
      <c r="K249" s="20">
        <v>30</v>
      </c>
      <c r="L249" t="s">
        <v>794</v>
      </c>
      <c r="M249">
        <f t="shared" si="3"/>
        <v>2025</v>
      </c>
    </row>
    <row r="250" spans="1:13" hidden="1">
      <c r="A250" t="s">
        <v>913</v>
      </c>
      <c r="B250" t="s">
        <v>82</v>
      </c>
      <c r="C250" t="s">
        <v>723</v>
      </c>
      <c r="D250" t="s">
        <v>793</v>
      </c>
      <c r="E250" s="1">
        <v>45679</v>
      </c>
      <c r="F250" s="1">
        <v>45679</v>
      </c>
      <c r="G250" s="12">
        <v>1048.49</v>
      </c>
      <c r="H250" s="2">
        <v>0</v>
      </c>
      <c r="I250" s="2">
        <v>0</v>
      </c>
      <c r="J250" s="2">
        <v>0</v>
      </c>
      <c r="K250" s="20">
        <v>1048.49</v>
      </c>
      <c r="L250" t="s">
        <v>794</v>
      </c>
      <c r="M250">
        <f t="shared" si="3"/>
        <v>2025</v>
      </c>
    </row>
    <row r="251" spans="1:13" hidden="1">
      <c r="A251" t="s">
        <v>914</v>
      </c>
      <c r="B251" t="s">
        <v>28</v>
      </c>
      <c r="C251" t="s">
        <v>732</v>
      </c>
      <c r="D251" t="s">
        <v>793</v>
      </c>
      <c r="E251" s="1">
        <v>45679</v>
      </c>
      <c r="F251" s="1">
        <v>45679</v>
      </c>
      <c r="G251" s="12">
        <v>3241.09</v>
      </c>
      <c r="H251" s="2">
        <v>0</v>
      </c>
      <c r="I251" s="2">
        <v>0</v>
      </c>
      <c r="J251" s="2">
        <v>0</v>
      </c>
      <c r="K251" s="20">
        <v>3241.09</v>
      </c>
      <c r="L251" t="s">
        <v>794</v>
      </c>
      <c r="M251">
        <f t="shared" si="3"/>
        <v>2025</v>
      </c>
    </row>
    <row r="252" spans="1:13" hidden="1">
      <c r="A252" t="s">
        <v>915</v>
      </c>
      <c r="B252" t="s">
        <v>145</v>
      </c>
      <c r="C252" t="s">
        <v>723</v>
      </c>
      <c r="D252" t="s">
        <v>793</v>
      </c>
      <c r="E252" s="1">
        <v>45679</v>
      </c>
      <c r="F252" s="1">
        <v>45679</v>
      </c>
      <c r="G252" s="12">
        <v>2511</v>
      </c>
      <c r="H252" s="2">
        <v>0</v>
      </c>
      <c r="I252" s="2">
        <v>0</v>
      </c>
      <c r="J252" s="2">
        <v>0</v>
      </c>
      <c r="K252" s="20">
        <v>2511</v>
      </c>
      <c r="L252" t="s">
        <v>794</v>
      </c>
      <c r="M252">
        <f t="shared" si="3"/>
        <v>2025</v>
      </c>
    </row>
    <row r="253" spans="1:13" hidden="1">
      <c r="A253" t="s">
        <v>916</v>
      </c>
      <c r="B253" t="s">
        <v>198</v>
      </c>
      <c r="C253" t="s">
        <v>398</v>
      </c>
      <c r="D253" t="s">
        <v>793</v>
      </c>
      <c r="E253" s="1">
        <v>45680</v>
      </c>
      <c r="F253" s="1">
        <v>45680</v>
      </c>
      <c r="G253" s="12">
        <v>104.7</v>
      </c>
      <c r="H253" s="2">
        <v>0</v>
      </c>
      <c r="I253" s="2">
        <v>0</v>
      </c>
      <c r="J253" s="2">
        <v>0</v>
      </c>
      <c r="K253" s="20">
        <v>104.7</v>
      </c>
      <c r="L253" t="s">
        <v>794</v>
      </c>
      <c r="M253">
        <f t="shared" si="3"/>
        <v>2025</v>
      </c>
    </row>
    <row r="254" spans="1:13" hidden="1">
      <c r="A254" t="s">
        <v>905</v>
      </c>
      <c r="B254" t="s">
        <v>407</v>
      </c>
      <c r="C254" t="s">
        <v>438</v>
      </c>
      <c r="D254" t="s">
        <v>793</v>
      </c>
      <c r="E254" s="1">
        <v>45680</v>
      </c>
      <c r="F254" s="1">
        <v>45680</v>
      </c>
      <c r="G254" s="12">
        <v>234.5</v>
      </c>
      <c r="H254" s="2">
        <v>0</v>
      </c>
      <c r="I254" s="2">
        <v>0</v>
      </c>
      <c r="J254" s="2">
        <v>0</v>
      </c>
      <c r="K254" s="20">
        <v>234.5</v>
      </c>
      <c r="L254" t="s">
        <v>794</v>
      </c>
      <c r="M254">
        <f t="shared" si="3"/>
        <v>2025</v>
      </c>
    </row>
    <row r="255" spans="1:13" hidden="1">
      <c r="A255" t="s">
        <v>907</v>
      </c>
      <c r="B255" t="s">
        <v>291</v>
      </c>
      <c r="C255" t="s">
        <v>483</v>
      </c>
      <c r="D255" t="s">
        <v>793</v>
      </c>
      <c r="E255" s="1">
        <v>45680</v>
      </c>
      <c r="F255" s="1">
        <v>45680</v>
      </c>
      <c r="G255" s="12">
        <v>5.89</v>
      </c>
      <c r="H255" s="2">
        <v>0</v>
      </c>
      <c r="I255" s="2">
        <v>0</v>
      </c>
      <c r="J255" s="2">
        <v>0</v>
      </c>
      <c r="K255" s="20">
        <v>5.89</v>
      </c>
      <c r="L255" t="s">
        <v>794</v>
      </c>
      <c r="M255">
        <f t="shared" si="3"/>
        <v>2025</v>
      </c>
    </row>
    <row r="256" spans="1:13" hidden="1">
      <c r="A256" t="s">
        <v>917</v>
      </c>
      <c r="B256" t="s">
        <v>456</v>
      </c>
      <c r="C256" t="s">
        <v>647</v>
      </c>
      <c r="D256" t="s">
        <v>793</v>
      </c>
      <c r="E256" s="1">
        <v>45680</v>
      </c>
      <c r="F256" s="1">
        <v>45680</v>
      </c>
      <c r="G256" s="12">
        <v>80</v>
      </c>
      <c r="H256" s="2">
        <v>0</v>
      </c>
      <c r="I256" s="2">
        <v>0</v>
      </c>
      <c r="J256" s="2">
        <v>0</v>
      </c>
      <c r="K256" s="20">
        <v>80</v>
      </c>
      <c r="L256" t="s">
        <v>794</v>
      </c>
      <c r="M256">
        <f t="shared" si="3"/>
        <v>2025</v>
      </c>
    </row>
    <row r="257" spans="1:13" hidden="1">
      <c r="A257" t="s">
        <v>807</v>
      </c>
      <c r="B257" t="s">
        <v>366</v>
      </c>
      <c r="C257" t="s">
        <v>491</v>
      </c>
      <c r="D257" t="s">
        <v>793</v>
      </c>
      <c r="E257" s="1">
        <v>45680</v>
      </c>
      <c r="F257" s="1">
        <v>45680</v>
      </c>
      <c r="G257" s="12">
        <v>18</v>
      </c>
      <c r="H257" s="2">
        <v>0</v>
      </c>
      <c r="I257" s="2">
        <v>0</v>
      </c>
      <c r="J257" s="2">
        <v>0</v>
      </c>
      <c r="K257" s="20">
        <v>18</v>
      </c>
      <c r="L257" t="s">
        <v>794</v>
      </c>
      <c r="M257">
        <f t="shared" si="3"/>
        <v>2025</v>
      </c>
    </row>
    <row r="258" spans="1:13" hidden="1">
      <c r="A258" t="s">
        <v>852</v>
      </c>
      <c r="B258" t="s">
        <v>342</v>
      </c>
      <c r="C258" t="s">
        <v>483</v>
      </c>
      <c r="D258" t="s">
        <v>793</v>
      </c>
      <c r="E258" s="1">
        <v>45680</v>
      </c>
      <c r="F258" s="1">
        <v>45680</v>
      </c>
      <c r="G258" s="12">
        <v>34.07</v>
      </c>
      <c r="H258" s="2">
        <v>0</v>
      </c>
      <c r="I258" s="2">
        <v>0</v>
      </c>
      <c r="J258" s="2">
        <v>0</v>
      </c>
      <c r="K258" s="20">
        <v>34.07</v>
      </c>
      <c r="L258" t="s">
        <v>794</v>
      </c>
      <c r="M258">
        <f t="shared" si="3"/>
        <v>2025</v>
      </c>
    </row>
    <row r="259" spans="1:13" hidden="1">
      <c r="A259" t="s">
        <v>852</v>
      </c>
      <c r="B259" t="s">
        <v>342</v>
      </c>
      <c r="C259" t="s">
        <v>483</v>
      </c>
      <c r="D259" t="s">
        <v>793</v>
      </c>
      <c r="E259" s="1">
        <v>45680</v>
      </c>
      <c r="F259" s="1">
        <v>45680</v>
      </c>
      <c r="G259" s="12">
        <v>38.06</v>
      </c>
      <c r="H259" s="2">
        <v>0</v>
      </c>
      <c r="I259" s="2">
        <v>0</v>
      </c>
      <c r="J259" s="2">
        <v>0</v>
      </c>
      <c r="K259" s="20">
        <v>38.06</v>
      </c>
      <c r="L259" t="s">
        <v>794</v>
      </c>
      <c r="M259">
        <f t="shared" ref="M259:M322" si="4">YEAR(F259)</f>
        <v>2025</v>
      </c>
    </row>
    <row r="260" spans="1:13" hidden="1">
      <c r="A260" t="s">
        <v>912</v>
      </c>
      <c r="B260" t="s">
        <v>260</v>
      </c>
      <c r="C260" t="s">
        <v>140</v>
      </c>
      <c r="D260" t="s">
        <v>793</v>
      </c>
      <c r="E260" s="1">
        <v>45680</v>
      </c>
      <c r="F260" s="1">
        <v>45680</v>
      </c>
      <c r="G260" s="12">
        <v>30</v>
      </c>
      <c r="H260" s="2">
        <v>0</v>
      </c>
      <c r="I260" s="2">
        <v>0</v>
      </c>
      <c r="J260" s="2">
        <v>0</v>
      </c>
      <c r="K260" s="20">
        <v>30</v>
      </c>
      <c r="L260" t="s">
        <v>794</v>
      </c>
      <c r="M260">
        <f t="shared" si="4"/>
        <v>2025</v>
      </c>
    </row>
    <row r="261" spans="1:13" hidden="1">
      <c r="A261" t="s">
        <v>857</v>
      </c>
      <c r="B261" t="s">
        <v>326</v>
      </c>
      <c r="C261" t="s">
        <v>99</v>
      </c>
      <c r="D261" t="s">
        <v>793</v>
      </c>
      <c r="E261" s="1">
        <v>45680</v>
      </c>
      <c r="F261" s="1">
        <v>45680</v>
      </c>
      <c r="G261" s="12">
        <v>100</v>
      </c>
      <c r="H261" s="2">
        <v>0</v>
      </c>
      <c r="I261" s="2">
        <v>0</v>
      </c>
      <c r="J261" s="2">
        <v>0</v>
      </c>
      <c r="K261" s="20">
        <v>100</v>
      </c>
      <c r="L261" t="s">
        <v>794</v>
      </c>
      <c r="M261">
        <f t="shared" si="4"/>
        <v>2025</v>
      </c>
    </row>
    <row r="262" spans="1:13" hidden="1">
      <c r="A262" t="s">
        <v>825</v>
      </c>
      <c r="B262" t="s">
        <v>46</v>
      </c>
      <c r="C262" t="s">
        <v>139</v>
      </c>
      <c r="D262" t="s">
        <v>793</v>
      </c>
      <c r="E262" s="1">
        <v>45680</v>
      </c>
      <c r="F262" s="1">
        <v>45680</v>
      </c>
      <c r="G262" s="12">
        <v>50</v>
      </c>
      <c r="H262" s="2">
        <v>0</v>
      </c>
      <c r="I262" s="2">
        <v>0</v>
      </c>
      <c r="J262" s="2">
        <v>0</v>
      </c>
      <c r="K262" s="20">
        <v>50</v>
      </c>
      <c r="L262" t="s">
        <v>794</v>
      </c>
      <c r="M262">
        <f t="shared" si="4"/>
        <v>2025</v>
      </c>
    </row>
    <row r="263" spans="1:13" hidden="1">
      <c r="A263" t="s">
        <v>890</v>
      </c>
      <c r="B263" t="s">
        <v>247</v>
      </c>
      <c r="C263" t="s">
        <v>139</v>
      </c>
      <c r="D263" t="s">
        <v>793</v>
      </c>
      <c r="E263" s="1">
        <v>45680</v>
      </c>
      <c r="F263" s="1">
        <v>45680</v>
      </c>
      <c r="G263" s="12">
        <v>80</v>
      </c>
      <c r="H263" s="2">
        <v>0</v>
      </c>
      <c r="I263" s="2">
        <v>0</v>
      </c>
      <c r="J263" s="2">
        <v>0</v>
      </c>
      <c r="K263" s="20">
        <v>80</v>
      </c>
      <c r="L263" t="s">
        <v>794</v>
      </c>
      <c r="M263">
        <f t="shared" si="4"/>
        <v>2025</v>
      </c>
    </row>
    <row r="264" spans="1:13" hidden="1">
      <c r="A264" t="s">
        <v>801</v>
      </c>
      <c r="B264" t="s">
        <v>13</v>
      </c>
      <c r="C264" t="s">
        <v>726</v>
      </c>
      <c r="D264" t="s">
        <v>793</v>
      </c>
      <c r="E264" s="1">
        <v>45681</v>
      </c>
      <c r="F264" s="1">
        <v>45681</v>
      </c>
      <c r="G264" s="12">
        <v>1.79</v>
      </c>
      <c r="H264" s="2">
        <v>0</v>
      </c>
      <c r="I264" s="2">
        <v>0</v>
      </c>
      <c r="J264" s="2">
        <v>0</v>
      </c>
      <c r="K264" s="20">
        <v>1.79</v>
      </c>
      <c r="L264" t="s">
        <v>794</v>
      </c>
      <c r="M264">
        <f t="shared" si="4"/>
        <v>2025</v>
      </c>
    </row>
    <row r="265" spans="1:13" hidden="1">
      <c r="A265" t="s">
        <v>864</v>
      </c>
      <c r="B265" t="s">
        <v>918</v>
      </c>
      <c r="C265" t="s">
        <v>137</v>
      </c>
      <c r="D265" t="s">
        <v>793</v>
      </c>
      <c r="E265" s="1">
        <v>45681</v>
      </c>
      <c r="F265" s="1">
        <v>45681</v>
      </c>
      <c r="G265" s="12">
        <v>300</v>
      </c>
      <c r="H265" s="2">
        <v>0</v>
      </c>
      <c r="I265" s="2">
        <v>0</v>
      </c>
      <c r="J265" s="2">
        <v>0</v>
      </c>
      <c r="K265" s="20">
        <v>300</v>
      </c>
      <c r="L265" t="s">
        <v>794</v>
      </c>
      <c r="M265">
        <f t="shared" si="4"/>
        <v>2025</v>
      </c>
    </row>
    <row r="266" spans="1:13" hidden="1">
      <c r="A266" t="s">
        <v>919</v>
      </c>
      <c r="B266" t="s">
        <v>920</v>
      </c>
      <c r="C266" t="s">
        <v>139</v>
      </c>
      <c r="D266" t="s">
        <v>793</v>
      </c>
      <c r="E266" s="1">
        <v>45681</v>
      </c>
      <c r="F266" s="1">
        <v>45681</v>
      </c>
      <c r="G266" s="12">
        <v>30</v>
      </c>
      <c r="H266" s="2">
        <v>0</v>
      </c>
      <c r="I266" s="2">
        <v>0</v>
      </c>
      <c r="J266" s="2">
        <v>0</v>
      </c>
      <c r="K266" s="20">
        <v>30</v>
      </c>
      <c r="L266" t="s">
        <v>794</v>
      </c>
      <c r="M266">
        <f t="shared" si="4"/>
        <v>2025</v>
      </c>
    </row>
    <row r="267" spans="1:13" hidden="1">
      <c r="A267" t="s">
        <v>807</v>
      </c>
      <c r="B267" t="s">
        <v>366</v>
      </c>
      <c r="C267" t="s">
        <v>491</v>
      </c>
      <c r="D267" t="s">
        <v>793</v>
      </c>
      <c r="E267" s="1">
        <v>45681</v>
      </c>
      <c r="F267" s="1">
        <v>45681</v>
      </c>
      <c r="G267" s="12">
        <v>10</v>
      </c>
      <c r="H267" s="2">
        <v>0</v>
      </c>
      <c r="I267" s="2">
        <v>0</v>
      </c>
      <c r="J267" s="2">
        <v>0</v>
      </c>
      <c r="K267" s="20">
        <v>10</v>
      </c>
      <c r="L267" t="s">
        <v>794</v>
      </c>
      <c r="M267">
        <f t="shared" si="4"/>
        <v>2025</v>
      </c>
    </row>
    <row r="268" spans="1:13" hidden="1">
      <c r="A268" t="s">
        <v>912</v>
      </c>
      <c r="B268" t="s">
        <v>260</v>
      </c>
      <c r="C268" t="s">
        <v>140</v>
      </c>
      <c r="D268" t="s">
        <v>793</v>
      </c>
      <c r="E268" s="1">
        <v>45682</v>
      </c>
      <c r="F268" s="1">
        <v>45682</v>
      </c>
      <c r="G268" s="12">
        <v>60</v>
      </c>
      <c r="H268" s="2">
        <v>0</v>
      </c>
      <c r="I268" s="2">
        <v>0</v>
      </c>
      <c r="J268" s="2">
        <v>0</v>
      </c>
      <c r="K268" s="20">
        <v>60</v>
      </c>
      <c r="L268" t="s">
        <v>794</v>
      </c>
      <c r="M268">
        <f t="shared" si="4"/>
        <v>2025</v>
      </c>
    </row>
    <row r="269" spans="1:13" hidden="1">
      <c r="A269" t="s">
        <v>890</v>
      </c>
      <c r="B269" t="s">
        <v>247</v>
      </c>
      <c r="C269" t="s">
        <v>140</v>
      </c>
      <c r="D269" t="s">
        <v>793</v>
      </c>
      <c r="E269" s="1">
        <v>45680</v>
      </c>
      <c r="F269" s="1">
        <v>45682</v>
      </c>
      <c r="G269" s="12">
        <v>80</v>
      </c>
      <c r="H269" s="2">
        <v>0</v>
      </c>
      <c r="I269" s="2">
        <v>0</v>
      </c>
      <c r="J269" s="2">
        <v>0</v>
      </c>
      <c r="K269" s="20">
        <v>80</v>
      </c>
      <c r="L269" t="s">
        <v>794</v>
      </c>
      <c r="M269">
        <f t="shared" si="4"/>
        <v>2025</v>
      </c>
    </row>
    <row r="270" spans="1:13" hidden="1">
      <c r="A270" t="s">
        <v>890</v>
      </c>
      <c r="B270" t="s">
        <v>247</v>
      </c>
      <c r="C270" t="s">
        <v>139</v>
      </c>
      <c r="D270" t="s">
        <v>793</v>
      </c>
      <c r="E270" s="1">
        <v>45682</v>
      </c>
      <c r="F270" s="1">
        <v>45682</v>
      </c>
      <c r="G270" s="12">
        <v>128.4</v>
      </c>
      <c r="H270" s="2">
        <v>0</v>
      </c>
      <c r="I270" s="2">
        <v>0</v>
      </c>
      <c r="J270" s="2">
        <v>0</v>
      </c>
      <c r="K270" s="20">
        <v>128.4</v>
      </c>
      <c r="L270" t="s">
        <v>794</v>
      </c>
      <c r="M270">
        <f t="shared" si="4"/>
        <v>2025</v>
      </c>
    </row>
    <row r="271" spans="1:13" hidden="1">
      <c r="A271" t="s">
        <v>809</v>
      </c>
      <c r="B271" t="s">
        <v>91</v>
      </c>
      <c r="C271" t="s">
        <v>139</v>
      </c>
      <c r="D271" t="s">
        <v>793</v>
      </c>
      <c r="E271" s="1">
        <v>45682</v>
      </c>
      <c r="F271" s="1">
        <v>45682</v>
      </c>
      <c r="G271" s="12">
        <v>60</v>
      </c>
      <c r="H271" s="2">
        <v>0</v>
      </c>
      <c r="I271" s="2">
        <v>0</v>
      </c>
      <c r="J271" s="2">
        <v>0</v>
      </c>
      <c r="K271" s="20">
        <v>60</v>
      </c>
      <c r="L271" t="s">
        <v>794</v>
      </c>
      <c r="M271">
        <f t="shared" si="4"/>
        <v>2025</v>
      </c>
    </row>
    <row r="272" spans="1:13" hidden="1">
      <c r="A272" t="s">
        <v>921</v>
      </c>
      <c r="B272" t="s">
        <v>184</v>
      </c>
      <c r="C272" t="s">
        <v>483</v>
      </c>
      <c r="D272" t="s">
        <v>793</v>
      </c>
      <c r="E272" s="1">
        <v>45682</v>
      </c>
      <c r="F272" s="1">
        <v>45682</v>
      </c>
      <c r="G272" s="12">
        <v>20</v>
      </c>
      <c r="H272" s="2">
        <v>0</v>
      </c>
      <c r="I272" s="2">
        <v>0</v>
      </c>
      <c r="J272" s="2">
        <v>0</v>
      </c>
      <c r="K272" s="20">
        <v>20</v>
      </c>
      <c r="L272" t="s">
        <v>794</v>
      </c>
      <c r="M272">
        <f t="shared" si="4"/>
        <v>2025</v>
      </c>
    </row>
    <row r="273" spans="1:13" hidden="1">
      <c r="A273" t="s">
        <v>922</v>
      </c>
      <c r="B273" t="s">
        <v>149</v>
      </c>
      <c r="C273" t="s">
        <v>139</v>
      </c>
      <c r="D273" t="s">
        <v>793</v>
      </c>
      <c r="E273" s="1">
        <v>45684</v>
      </c>
      <c r="F273" s="1">
        <v>45684</v>
      </c>
      <c r="G273" s="12">
        <v>80</v>
      </c>
      <c r="H273" s="2">
        <v>0</v>
      </c>
      <c r="I273" s="2">
        <v>0</v>
      </c>
      <c r="J273" s="2">
        <v>0</v>
      </c>
      <c r="K273" s="20">
        <v>80</v>
      </c>
      <c r="L273" t="s">
        <v>794</v>
      </c>
      <c r="M273">
        <f t="shared" si="4"/>
        <v>2025</v>
      </c>
    </row>
    <row r="274" spans="1:13" hidden="1">
      <c r="A274" t="s">
        <v>801</v>
      </c>
      <c r="B274" t="s">
        <v>13</v>
      </c>
      <c r="C274" t="s">
        <v>717</v>
      </c>
      <c r="D274" t="s">
        <v>793</v>
      </c>
      <c r="E274" s="1">
        <v>45684</v>
      </c>
      <c r="F274" s="1">
        <v>45684</v>
      </c>
      <c r="G274" s="12">
        <v>749.82</v>
      </c>
      <c r="H274" s="2">
        <v>0</v>
      </c>
      <c r="I274" s="2">
        <v>0</v>
      </c>
      <c r="J274" s="2">
        <v>0</v>
      </c>
      <c r="K274" s="20">
        <v>749.82</v>
      </c>
      <c r="L274" t="s">
        <v>794</v>
      </c>
      <c r="M274">
        <f t="shared" si="4"/>
        <v>2025</v>
      </c>
    </row>
    <row r="275" spans="1:13" hidden="1">
      <c r="A275" t="s">
        <v>905</v>
      </c>
      <c r="B275" t="s">
        <v>407</v>
      </c>
      <c r="C275" t="s">
        <v>452</v>
      </c>
      <c r="D275" t="s">
        <v>793</v>
      </c>
      <c r="E275" s="1">
        <v>45684</v>
      </c>
      <c r="F275" s="1">
        <v>45684</v>
      </c>
      <c r="G275" s="12">
        <v>99</v>
      </c>
      <c r="H275" s="2">
        <v>0</v>
      </c>
      <c r="I275" s="2">
        <v>0</v>
      </c>
      <c r="J275" s="2">
        <v>0</v>
      </c>
      <c r="K275" s="20">
        <v>99</v>
      </c>
      <c r="L275" t="s">
        <v>794</v>
      </c>
      <c r="M275">
        <f t="shared" si="4"/>
        <v>2025</v>
      </c>
    </row>
    <row r="276" spans="1:13" hidden="1">
      <c r="A276" t="s">
        <v>923</v>
      </c>
      <c r="B276" t="s">
        <v>90</v>
      </c>
      <c r="C276" t="s">
        <v>730</v>
      </c>
      <c r="D276" t="s">
        <v>793</v>
      </c>
      <c r="E276" s="1">
        <v>45684</v>
      </c>
      <c r="F276" s="1">
        <v>45684</v>
      </c>
      <c r="G276" s="12">
        <v>3150.7400000000002</v>
      </c>
      <c r="H276" s="2">
        <v>0</v>
      </c>
      <c r="I276" s="2">
        <v>0</v>
      </c>
      <c r="J276" s="2">
        <v>0</v>
      </c>
      <c r="K276" s="20">
        <v>3150.7400000000002</v>
      </c>
      <c r="L276" t="s">
        <v>794</v>
      </c>
      <c r="M276">
        <f t="shared" si="4"/>
        <v>2025</v>
      </c>
    </row>
    <row r="277" spans="1:13" hidden="1">
      <c r="A277" t="s">
        <v>801</v>
      </c>
      <c r="B277" t="s">
        <v>13</v>
      </c>
      <c r="C277" t="s">
        <v>718</v>
      </c>
      <c r="D277" t="s">
        <v>793</v>
      </c>
      <c r="E277" s="1">
        <v>45684</v>
      </c>
      <c r="F277" s="1">
        <v>45684</v>
      </c>
      <c r="G277" s="12">
        <v>22534.37</v>
      </c>
      <c r="H277" s="2">
        <v>0</v>
      </c>
      <c r="I277" s="2">
        <v>0</v>
      </c>
      <c r="J277" s="2">
        <v>0</v>
      </c>
      <c r="K277" s="20">
        <v>8937.1200000000008</v>
      </c>
      <c r="L277" t="s">
        <v>794</v>
      </c>
      <c r="M277">
        <f t="shared" si="4"/>
        <v>2025</v>
      </c>
    </row>
    <row r="278" spans="1:13" hidden="1">
      <c r="A278" t="s">
        <v>801</v>
      </c>
      <c r="B278" t="s">
        <v>13</v>
      </c>
      <c r="C278" t="s">
        <v>718</v>
      </c>
      <c r="D278" t="s">
        <v>793</v>
      </c>
      <c r="E278" s="1">
        <v>45684</v>
      </c>
      <c r="F278" s="1">
        <v>45684</v>
      </c>
      <c r="G278" s="12">
        <v>22534.37</v>
      </c>
      <c r="H278" s="2">
        <v>0</v>
      </c>
      <c r="I278" s="2">
        <v>0</v>
      </c>
      <c r="J278" s="2">
        <v>0</v>
      </c>
      <c r="K278" s="20">
        <v>13597.25</v>
      </c>
      <c r="L278" t="s">
        <v>843</v>
      </c>
      <c r="M278">
        <f t="shared" si="4"/>
        <v>2025</v>
      </c>
    </row>
    <row r="279" spans="1:13" hidden="1">
      <c r="A279" t="s">
        <v>924</v>
      </c>
      <c r="B279" t="s">
        <v>87</v>
      </c>
      <c r="C279" t="s">
        <v>139</v>
      </c>
      <c r="D279" t="s">
        <v>793</v>
      </c>
      <c r="E279" s="1">
        <v>45684</v>
      </c>
      <c r="F279" s="1">
        <v>45684</v>
      </c>
      <c r="G279" s="12">
        <v>100</v>
      </c>
      <c r="H279" s="2">
        <v>0</v>
      </c>
      <c r="I279" s="2">
        <v>0</v>
      </c>
      <c r="J279" s="2">
        <v>0</v>
      </c>
      <c r="K279" s="20">
        <v>100</v>
      </c>
      <c r="L279" t="s">
        <v>794</v>
      </c>
      <c r="M279">
        <f t="shared" si="4"/>
        <v>2025</v>
      </c>
    </row>
    <row r="280" spans="1:13" hidden="1">
      <c r="A280" t="s">
        <v>925</v>
      </c>
      <c r="B280" t="s">
        <v>189</v>
      </c>
      <c r="C280" t="s">
        <v>139</v>
      </c>
      <c r="D280" t="s">
        <v>793</v>
      </c>
      <c r="E280" s="1">
        <v>45684</v>
      </c>
      <c r="F280" s="1">
        <v>45684</v>
      </c>
      <c r="G280" s="12">
        <v>100</v>
      </c>
      <c r="H280" s="2">
        <v>0</v>
      </c>
      <c r="I280" s="2">
        <v>0</v>
      </c>
      <c r="J280" s="2">
        <v>0</v>
      </c>
      <c r="K280" s="20">
        <v>100</v>
      </c>
      <c r="L280" t="s">
        <v>794</v>
      </c>
      <c r="M280">
        <f t="shared" si="4"/>
        <v>2025</v>
      </c>
    </row>
    <row r="281" spans="1:13" hidden="1">
      <c r="A281" t="s">
        <v>926</v>
      </c>
      <c r="B281" t="s">
        <v>416</v>
      </c>
      <c r="C281" t="s">
        <v>139</v>
      </c>
      <c r="D281" t="s">
        <v>793</v>
      </c>
      <c r="E281" s="1">
        <v>45684</v>
      </c>
      <c r="F281" s="1">
        <v>45684</v>
      </c>
      <c r="G281" s="12">
        <v>100</v>
      </c>
      <c r="H281" s="2">
        <v>0</v>
      </c>
      <c r="I281" s="2">
        <v>0</v>
      </c>
      <c r="J281" s="2">
        <v>0</v>
      </c>
      <c r="K281" s="20">
        <v>100</v>
      </c>
      <c r="L281" t="s">
        <v>794</v>
      </c>
      <c r="M281">
        <f t="shared" si="4"/>
        <v>2025</v>
      </c>
    </row>
    <row r="282" spans="1:13" hidden="1">
      <c r="A282" t="s">
        <v>912</v>
      </c>
      <c r="B282" t="s">
        <v>260</v>
      </c>
      <c r="C282" t="s">
        <v>140</v>
      </c>
      <c r="D282" t="s">
        <v>793</v>
      </c>
      <c r="E282" s="1">
        <v>45684</v>
      </c>
      <c r="F282" s="1">
        <v>45684</v>
      </c>
      <c r="G282" s="12">
        <v>30</v>
      </c>
      <c r="H282" s="2">
        <v>0</v>
      </c>
      <c r="I282" s="2">
        <v>0</v>
      </c>
      <c r="J282" s="2">
        <v>0</v>
      </c>
      <c r="K282" s="20">
        <v>30</v>
      </c>
      <c r="L282" t="s">
        <v>794</v>
      </c>
      <c r="M282">
        <f t="shared" si="4"/>
        <v>2025</v>
      </c>
    </row>
    <row r="283" spans="1:13" hidden="1">
      <c r="A283" t="s">
        <v>809</v>
      </c>
      <c r="B283" t="s">
        <v>91</v>
      </c>
      <c r="C283" t="s">
        <v>141</v>
      </c>
      <c r="D283" t="s">
        <v>793</v>
      </c>
      <c r="E283" s="1">
        <v>45684</v>
      </c>
      <c r="F283" s="1">
        <v>45684</v>
      </c>
      <c r="G283" s="12">
        <v>272</v>
      </c>
      <c r="H283" s="2">
        <v>0</v>
      </c>
      <c r="I283" s="2">
        <v>0</v>
      </c>
      <c r="J283" s="2">
        <v>0</v>
      </c>
      <c r="K283" s="20">
        <v>272</v>
      </c>
      <c r="L283" t="s">
        <v>794</v>
      </c>
      <c r="M283">
        <f t="shared" si="4"/>
        <v>2025</v>
      </c>
    </row>
    <row r="284" spans="1:13" hidden="1">
      <c r="A284" t="s">
        <v>818</v>
      </c>
      <c r="B284" t="s">
        <v>30</v>
      </c>
      <c r="C284" t="s">
        <v>141</v>
      </c>
      <c r="D284" t="s">
        <v>793</v>
      </c>
      <c r="E284" s="1">
        <v>45684</v>
      </c>
      <c r="F284" s="1">
        <v>45684</v>
      </c>
      <c r="G284" s="12">
        <v>200</v>
      </c>
      <c r="H284" s="2">
        <v>0</v>
      </c>
      <c r="I284" s="2">
        <v>0</v>
      </c>
      <c r="J284" s="2">
        <v>0</v>
      </c>
      <c r="K284" s="20">
        <v>200</v>
      </c>
      <c r="L284" t="s">
        <v>794</v>
      </c>
      <c r="M284">
        <f t="shared" si="4"/>
        <v>2025</v>
      </c>
    </row>
    <row r="285" spans="1:13" hidden="1">
      <c r="A285" t="s">
        <v>927</v>
      </c>
      <c r="B285" t="s">
        <v>522</v>
      </c>
      <c r="C285" t="s">
        <v>139</v>
      </c>
      <c r="D285" t="s">
        <v>793</v>
      </c>
      <c r="E285" s="1">
        <v>45684</v>
      </c>
      <c r="F285" s="1">
        <v>45684</v>
      </c>
      <c r="G285" s="12">
        <v>100</v>
      </c>
      <c r="H285" s="2">
        <v>0</v>
      </c>
      <c r="I285" s="2">
        <v>0</v>
      </c>
      <c r="J285" s="2">
        <v>0</v>
      </c>
      <c r="K285" s="20">
        <v>100</v>
      </c>
      <c r="L285" t="s">
        <v>794</v>
      </c>
      <c r="M285">
        <f t="shared" si="4"/>
        <v>2025</v>
      </c>
    </row>
    <row r="286" spans="1:13" hidden="1">
      <c r="A286" t="s">
        <v>928</v>
      </c>
      <c r="B286" t="s">
        <v>351</v>
      </c>
      <c r="C286" t="s">
        <v>757</v>
      </c>
      <c r="D286" t="s">
        <v>793</v>
      </c>
      <c r="E286" s="1">
        <v>45684</v>
      </c>
      <c r="F286" s="1">
        <v>45684</v>
      </c>
      <c r="G286" s="12">
        <v>750</v>
      </c>
      <c r="H286" s="2">
        <v>0</v>
      </c>
      <c r="I286" s="2">
        <v>0</v>
      </c>
      <c r="J286" s="2">
        <v>0</v>
      </c>
      <c r="K286" s="20">
        <v>750</v>
      </c>
      <c r="L286" t="s">
        <v>843</v>
      </c>
      <c r="M286">
        <f t="shared" si="4"/>
        <v>2025</v>
      </c>
    </row>
    <row r="287" spans="1:13" hidden="1">
      <c r="A287" t="s">
        <v>929</v>
      </c>
      <c r="B287" t="s">
        <v>310</v>
      </c>
      <c r="C287" t="s">
        <v>723</v>
      </c>
      <c r="D287" t="s">
        <v>793</v>
      </c>
      <c r="E287" s="1">
        <v>45684</v>
      </c>
      <c r="F287" s="1">
        <v>45684</v>
      </c>
      <c r="G287" s="12">
        <v>362.22</v>
      </c>
      <c r="H287" s="2">
        <v>0</v>
      </c>
      <c r="I287" s="2">
        <v>0</v>
      </c>
      <c r="J287" s="2">
        <v>0</v>
      </c>
      <c r="K287" s="20">
        <v>362.22</v>
      </c>
      <c r="L287" t="s">
        <v>794</v>
      </c>
      <c r="M287">
        <f t="shared" si="4"/>
        <v>2025</v>
      </c>
    </row>
    <row r="288" spans="1:13" hidden="1">
      <c r="A288" t="s">
        <v>801</v>
      </c>
      <c r="B288" t="s">
        <v>13</v>
      </c>
      <c r="C288" t="s">
        <v>726</v>
      </c>
      <c r="D288" t="s">
        <v>793</v>
      </c>
      <c r="E288" s="1">
        <v>45684</v>
      </c>
      <c r="F288" s="1">
        <v>45684</v>
      </c>
      <c r="G288" s="12">
        <v>1.79</v>
      </c>
      <c r="H288" s="2">
        <v>0</v>
      </c>
      <c r="I288" s="2">
        <v>0</v>
      </c>
      <c r="J288" s="2">
        <v>0</v>
      </c>
      <c r="K288" s="20">
        <v>1.79</v>
      </c>
      <c r="L288" t="s">
        <v>794</v>
      </c>
      <c r="M288">
        <f t="shared" si="4"/>
        <v>2025</v>
      </c>
    </row>
    <row r="289" spans="1:13" hidden="1">
      <c r="A289" t="s">
        <v>801</v>
      </c>
      <c r="B289" t="s">
        <v>13</v>
      </c>
      <c r="C289" t="s">
        <v>717</v>
      </c>
      <c r="D289" t="s">
        <v>793</v>
      </c>
      <c r="E289" s="1">
        <v>45684</v>
      </c>
      <c r="F289" s="1">
        <v>45684</v>
      </c>
      <c r="G289" s="12">
        <v>1325.41</v>
      </c>
      <c r="H289" s="2">
        <v>0</v>
      </c>
      <c r="I289" s="2">
        <v>0</v>
      </c>
      <c r="J289" s="2">
        <v>0</v>
      </c>
      <c r="K289" s="20">
        <v>1325.41</v>
      </c>
      <c r="L289" t="s">
        <v>794</v>
      </c>
      <c r="M289">
        <f t="shared" si="4"/>
        <v>2025</v>
      </c>
    </row>
    <row r="290" spans="1:13" hidden="1">
      <c r="A290" t="s">
        <v>930</v>
      </c>
      <c r="B290" t="s">
        <v>473</v>
      </c>
      <c r="C290" t="s">
        <v>491</v>
      </c>
      <c r="D290" t="s">
        <v>793</v>
      </c>
      <c r="E290" s="1">
        <v>45685</v>
      </c>
      <c r="F290" s="1">
        <v>45685</v>
      </c>
      <c r="G290" s="12">
        <v>39.99</v>
      </c>
      <c r="H290" s="2">
        <v>0</v>
      </c>
      <c r="I290" s="2">
        <v>0</v>
      </c>
      <c r="J290" s="2">
        <v>0</v>
      </c>
      <c r="K290" s="20">
        <v>39.99</v>
      </c>
      <c r="L290" t="s">
        <v>794</v>
      </c>
      <c r="M290">
        <f t="shared" si="4"/>
        <v>2025</v>
      </c>
    </row>
    <row r="291" spans="1:13" hidden="1">
      <c r="A291" t="s">
        <v>846</v>
      </c>
      <c r="B291" t="s">
        <v>253</v>
      </c>
      <c r="C291" t="s">
        <v>398</v>
      </c>
      <c r="D291" t="s">
        <v>793</v>
      </c>
      <c r="E291" s="1">
        <v>45685</v>
      </c>
      <c r="F291" s="1">
        <v>45685</v>
      </c>
      <c r="G291" s="12">
        <v>651.66999999999996</v>
      </c>
      <c r="H291" s="2">
        <v>0</v>
      </c>
      <c r="I291" s="2">
        <v>0</v>
      </c>
      <c r="J291" s="2">
        <v>0</v>
      </c>
      <c r="K291" s="20">
        <v>651.66999999999996</v>
      </c>
      <c r="L291" t="s">
        <v>794</v>
      </c>
      <c r="M291">
        <f t="shared" si="4"/>
        <v>2025</v>
      </c>
    </row>
    <row r="292" spans="1:13" hidden="1">
      <c r="A292" t="s">
        <v>919</v>
      </c>
      <c r="B292" t="s">
        <v>920</v>
      </c>
      <c r="C292" t="s">
        <v>139</v>
      </c>
      <c r="D292" t="s">
        <v>793</v>
      </c>
      <c r="E292" s="1">
        <v>45685</v>
      </c>
      <c r="F292" s="1">
        <v>45685</v>
      </c>
      <c r="G292" s="12">
        <v>90</v>
      </c>
      <c r="H292" s="2">
        <v>0</v>
      </c>
      <c r="I292" s="2">
        <v>0</v>
      </c>
      <c r="J292" s="2">
        <v>0</v>
      </c>
      <c r="K292" s="20">
        <v>90</v>
      </c>
      <c r="L292" t="s">
        <v>794</v>
      </c>
      <c r="M292">
        <f t="shared" si="4"/>
        <v>2025</v>
      </c>
    </row>
    <row r="293" spans="1:13" hidden="1">
      <c r="A293" t="s">
        <v>906</v>
      </c>
      <c r="B293" t="s">
        <v>289</v>
      </c>
      <c r="C293" t="s">
        <v>483</v>
      </c>
      <c r="D293" t="s">
        <v>793</v>
      </c>
      <c r="E293" s="1">
        <v>45685</v>
      </c>
      <c r="F293" s="1">
        <v>45685</v>
      </c>
      <c r="G293" s="12">
        <v>49</v>
      </c>
      <c r="H293" s="2">
        <v>0</v>
      </c>
      <c r="I293" s="2">
        <v>0</v>
      </c>
      <c r="J293" s="2">
        <v>0</v>
      </c>
      <c r="K293" s="20">
        <v>49</v>
      </c>
      <c r="L293" t="s">
        <v>794</v>
      </c>
      <c r="M293">
        <f t="shared" si="4"/>
        <v>2025</v>
      </c>
    </row>
    <row r="294" spans="1:13" hidden="1">
      <c r="A294" t="s">
        <v>906</v>
      </c>
      <c r="B294" t="s">
        <v>289</v>
      </c>
      <c r="C294" t="s">
        <v>558</v>
      </c>
      <c r="D294" t="s">
        <v>793</v>
      </c>
      <c r="E294" s="1">
        <v>45685</v>
      </c>
      <c r="F294" s="1">
        <v>45685</v>
      </c>
      <c r="G294" s="12">
        <v>100</v>
      </c>
      <c r="H294" s="2">
        <v>0</v>
      </c>
      <c r="I294" s="2">
        <v>0</v>
      </c>
      <c r="J294" s="2">
        <v>0</v>
      </c>
      <c r="K294" s="20">
        <v>100</v>
      </c>
      <c r="L294" t="s">
        <v>794</v>
      </c>
      <c r="M294">
        <f t="shared" si="4"/>
        <v>2025</v>
      </c>
    </row>
    <row r="295" spans="1:13" hidden="1">
      <c r="A295" t="s">
        <v>931</v>
      </c>
      <c r="B295" t="s">
        <v>696</v>
      </c>
      <c r="C295" t="s">
        <v>558</v>
      </c>
      <c r="D295" t="s">
        <v>793</v>
      </c>
      <c r="E295" s="1">
        <v>45686</v>
      </c>
      <c r="F295" s="1">
        <v>45686</v>
      </c>
      <c r="G295" s="12">
        <v>14.99</v>
      </c>
      <c r="H295" s="2">
        <v>0</v>
      </c>
      <c r="I295" s="2">
        <v>0</v>
      </c>
      <c r="J295" s="2">
        <v>0</v>
      </c>
      <c r="K295" s="20">
        <v>14.99</v>
      </c>
      <c r="L295" t="s">
        <v>794</v>
      </c>
      <c r="M295">
        <f t="shared" si="4"/>
        <v>2025</v>
      </c>
    </row>
    <row r="296" spans="1:13" hidden="1">
      <c r="A296" t="s">
        <v>921</v>
      </c>
      <c r="B296" t="s">
        <v>184</v>
      </c>
      <c r="C296" t="s">
        <v>483</v>
      </c>
      <c r="D296" t="s">
        <v>793</v>
      </c>
      <c r="E296" s="1">
        <v>45686</v>
      </c>
      <c r="F296" s="1">
        <v>45686</v>
      </c>
      <c r="G296" s="12">
        <v>33.25</v>
      </c>
      <c r="H296" s="2">
        <v>0</v>
      </c>
      <c r="I296" s="2">
        <v>0</v>
      </c>
      <c r="J296" s="2">
        <v>0</v>
      </c>
      <c r="K296" s="20">
        <v>33.25</v>
      </c>
      <c r="L296" t="s">
        <v>794</v>
      </c>
      <c r="M296">
        <f t="shared" si="4"/>
        <v>2025</v>
      </c>
    </row>
    <row r="297" spans="1:13" hidden="1">
      <c r="A297" t="s">
        <v>932</v>
      </c>
      <c r="B297" t="s">
        <v>933</v>
      </c>
      <c r="C297" t="s">
        <v>728</v>
      </c>
      <c r="D297" t="s">
        <v>793</v>
      </c>
      <c r="E297" s="1">
        <v>45686</v>
      </c>
      <c r="F297" s="1">
        <v>45686</v>
      </c>
      <c r="G297" s="12">
        <v>30.55</v>
      </c>
      <c r="H297" s="2">
        <v>0</v>
      </c>
      <c r="I297" s="2">
        <v>0</v>
      </c>
      <c r="J297" s="2">
        <v>0</v>
      </c>
      <c r="K297" s="20">
        <v>30.55</v>
      </c>
      <c r="L297" t="s">
        <v>794</v>
      </c>
      <c r="M297">
        <f t="shared" si="4"/>
        <v>2025</v>
      </c>
    </row>
    <row r="298" spans="1:13" hidden="1">
      <c r="A298" t="s">
        <v>801</v>
      </c>
      <c r="B298" t="s">
        <v>13</v>
      </c>
      <c r="C298" t="s">
        <v>726</v>
      </c>
      <c r="D298" t="s">
        <v>793</v>
      </c>
      <c r="E298" s="1">
        <v>45686</v>
      </c>
      <c r="F298" s="1">
        <v>45686</v>
      </c>
      <c r="G298" s="12">
        <v>5.37</v>
      </c>
      <c r="H298" s="2">
        <v>0</v>
      </c>
      <c r="I298" s="2">
        <v>0</v>
      </c>
      <c r="J298" s="2">
        <v>0</v>
      </c>
      <c r="K298" s="20">
        <v>5.37</v>
      </c>
      <c r="L298" t="s">
        <v>794</v>
      </c>
      <c r="M298">
        <f t="shared" si="4"/>
        <v>2025</v>
      </c>
    </row>
    <row r="299" spans="1:13" hidden="1">
      <c r="A299" t="s">
        <v>934</v>
      </c>
      <c r="B299" t="s">
        <v>191</v>
      </c>
      <c r="C299" t="s">
        <v>723</v>
      </c>
      <c r="D299" t="s">
        <v>793</v>
      </c>
      <c r="E299" s="1">
        <v>45687</v>
      </c>
      <c r="F299" s="1">
        <v>45687</v>
      </c>
      <c r="G299" s="12">
        <v>1335.5</v>
      </c>
      <c r="H299" s="2">
        <v>0</v>
      </c>
      <c r="I299" s="2">
        <v>0</v>
      </c>
      <c r="J299" s="2">
        <v>0</v>
      </c>
      <c r="K299" s="20">
        <v>1335.5</v>
      </c>
      <c r="L299" t="s">
        <v>843</v>
      </c>
      <c r="M299">
        <f t="shared" si="4"/>
        <v>2025</v>
      </c>
    </row>
    <row r="300" spans="1:13" hidden="1">
      <c r="A300" t="s">
        <v>890</v>
      </c>
      <c r="B300" t="s">
        <v>247</v>
      </c>
      <c r="C300" t="s">
        <v>138</v>
      </c>
      <c r="D300" t="s">
        <v>793</v>
      </c>
      <c r="E300" s="1">
        <v>45687</v>
      </c>
      <c r="F300" s="1">
        <v>45687</v>
      </c>
      <c r="G300" s="12">
        <v>200</v>
      </c>
      <c r="H300" s="2">
        <v>0</v>
      </c>
      <c r="I300" s="2">
        <v>0</v>
      </c>
      <c r="J300" s="2">
        <v>0</v>
      </c>
      <c r="K300" s="20">
        <v>200</v>
      </c>
      <c r="L300" t="s">
        <v>794</v>
      </c>
      <c r="M300">
        <f t="shared" si="4"/>
        <v>2025</v>
      </c>
    </row>
    <row r="301" spans="1:13" hidden="1">
      <c r="A301" t="s">
        <v>912</v>
      </c>
      <c r="B301" t="s">
        <v>260</v>
      </c>
      <c r="C301" t="s">
        <v>139</v>
      </c>
      <c r="D301" t="s">
        <v>793</v>
      </c>
      <c r="E301" s="1">
        <v>45687</v>
      </c>
      <c r="F301" s="1">
        <v>45687</v>
      </c>
      <c r="G301" s="12">
        <v>81.600000000000009</v>
      </c>
      <c r="H301" s="2">
        <v>0</v>
      </c>
      <c r="I301" s="2">
        <v>0</v>
      </c>
      <c r="J301" s="2">
        <v>0</v>
      </c>
      <c r="K301" s="20">
        <v>81.600000000000009</v>
      </c>
      <c r="L301" t="s">
        <v>794</v>
      </c>
      <c r="M301">
        <f t="shared" si="4"/>
        <v>2025</v>
      </c>
    </row>
    <row r="302" spans="1:13" hidden="1">
      <c r="A302" t="s">
        <v>825</v>
      </c>
      <c r="B302" t="s">
        <v>46</v>
      </c>
      <c r="C302" t="s">
        <v>139</v>
      </c>
      <c r="D302" t="s">
        <v>793</v>
      </c>
      <c r="E302" s="1">
        <v>45687</v>
      </c>
      <c r="F302" s="1">
        <v>45687</v>
      </c>
      <c r="G302" s="12">
        <v>43.2</v>
      </c>
      <c r="H302" s="2">
        <v>0</v>
      </c>
      <c r="I302" s="2">
        <v>0</v>
      </c>
      <c r="J302" s="2">
        <v>0</v>
      </c>
      <c r="K302" s="20">
        <v>43.2</v>
      </c>
      <c r="L302" t="s">
        <v>794</v>
      </c>
      <c r="M302">
        <f t="shared" si="4"/>
        <v>2025</v>
      </c>
    </row>
    <row r="303" spans="1:13" hidden="1">
      <c r="A303" t="s">
        <v>801</v>
      </c>
      <c r="B303" t="s">
        <v>13</v>
      </c>
      <c r="C303" t="s">
        <v>726</v>
      </c>
      <c r="D303" t="s">
        <v>793</v>
      </c>
      <c r="E303" s="1">
        <v>45687</v>
      </c>
      <c r="F303" s="1">
        <v>45687</v>
      </c>
      <c r="G303" s="12">
        <v>3.58</v>
      </c>
      <c r="H303" s="2">
        <v>0</v>
      </c>
      <c r="I303" s="2">
        <v>0</v>
      </c>
      <c r="J303" s="2">
        <v>0</v>
      </c>
      <c r="K303" s="20">
        <v>3.58</v>
      </c>
      <c r="L303" t="s">
        <v>794</v>
      </c>
      <c r="M303">
        <f t="shared" si="4"/>
        <v>2025</v>
      </c>
    </row>
    <row r="304" spans="1:13" hidden="1">
      <c r="A304" t="s">
        <v>841</v>
      </c>
      <c r="B304" t="s">
        <v>164</v>
      </c>
      <c r="C304" t="s">
        <v>722</v>
      </c>
      <c r="D304" t="s">
        <v>793</v>
      </c>
      <c r="E304" s="1">
        <v>45687</v>
      </c>
      <c r="F304" s="1">
        <v>45687</v>
      </c>
      <c r="G304" s="12">
        <v>350</v>
      </c>
      <c r="H304" s="2">
        <v>0</v>
      </c>
      <c r="I304" s="2">
        <v>0</v>
      </c>
      <c r="J304" s="2">
        <v>0</v>
      </c>
      <c r="K304" s="20">
        <v>350</v>
      </c>
      <c r="L304" t="s">
        <v>794</v>
      </c>
      <c r="M304">
        <f t="shared" si="4"/>
        <v>2025</v>
      </c>
    </row>
    <row r="305" spans="1:13" hidden="1">
      <c r="A305" t="s">
        <v>840</v>
      </c>
      <c r="B305" t="s">
        <v>309</v>
      </c>
      <c r="C305" t="s">
        <v>452</v>
      </c>
      <c r="D305" t="s">
        <v>793</v>
      </c>
      <c r="E305" s="1">
        <v>45687</v>
      </c>
      <c r="F305" s="1">
        <v>45687</v>
      </c>
      <c r="G305" s="12">
        <v>100</v>
      </c>
      <c r="H305" s="2">
        <v>0</v>
      </c>
      <c r="I305" s="2">
        <v>0</v>
      </c>
      <c r="J305" s="2">
        <v>0</v>
      </c>
      <c r="K305" s="20">
        <v>100</v>
      </c>
      <c r="L305" t="s">
        <v>794</v>
      </c>
      <c r="M305">
        <f t="shared" si="4"/>
        <v>2025</v>
      </c>
    </row>
    <row r="306" spans="1:13" hidden="1">
      <c r="A306" t="s">
        <v>839</v>
      </c>
      <c r="B306" t="s">
        <v>26</v>
      </c>
      <c r="C306" t="s">
        <v>138</v>
      </c>
      <c r="D306" t="s">
        <v>793</v>
      </c>
      <c r="E306" s="1">
        <v>45688</v>
      </c>
      <c r="F306" s="1">
        <v>45688</v>
      </c>
      <c r="G306" s="12">
        <v>6102.4000000000005</v>
      </c>
      <c r="H306" s="2">
        <v>0</v>
      </c>
      <c r="I306" s="2">
        <v>0</v>
      </c>
      <c r="J306" s="2">
        <v>0</v>
      </c>
      <c r="K306" s="20">
        <v>6102.4000000000005</v>
      </c>
      <c r="L306" t="s">
        <v>794</v>
      </c>
      <c r="M306">
        <f t="shared" si="4"/>
        <v>2025</v>
      </c>
    </row>
    <row r="307" spans="1:13" hidden="1">
      <c r="A307" t="s">
        <v>839</v>
      </c>
      <c r="B307" t="s">
        <v>26</v>
      </c>
      <c r="C307" t="s">
        <v>139</v>
      </c>
      <c r="D307" t="s">
        <v>793</v>
      </c>
      <c r="E307" s="1">
        <v>45688</v>
      </c>
      <c r="F307" s="1">
        <v>45688</v>
      </c>
      <c r="G307" s="12">
        <v>5250.6</v>
      </c>
      <c r="H307" s="2">
        <v>0</v>
      </c>
      <c r="I307" s="2">
        <v>0</v>
      </c>
      <c r="J307" s="2">
        <v>0</v>
      </c>
      <c r="K307" s="20">
        <v>5250.6</v>
      </c>
      <c r="L307" t="s">
        <v>794</v>
      </c>
      <c r="M307">
        <f t="shared" si="4"/>
        <v>2025</v>
      </c>
    </row>
    <row r="308" spans="1:13" hidden="1">
      <c r="A308" t="s">
        <v>902</v>
      </c>
      <c r="B308" t="s">
        <v>15</v>
      </c>
      <c r="C308" t="s">
        <v>715</v>
      </c>
      <c r="D308" t="s">
        <v>793</v>
      </c>
      <c r="E308" s="1">
        <v>45688</v>
      </c>
      <c r="F308" s="1">
        <v>45688</v>
      </c>
      <c r="G308" s="12">
        <v>645.94000000000005</v>
      </c>
      <c r="H308" s="2">
        <v>0</v>
      </c>
      <c r="I308" s="2">
        <v>0</v>
      </c>
      <c r="J308" s="2">
        <v>0</v>
      </c>
      <c r="K308" s="20">
        <v>645.94000000000005</v>
      </c>
      <c r="L308" t="s">
        <v>794</v>
      </c>
      <c r="M308">
        <f t="shared" si="4"/>
        <v>2025</v>
      </c>
    </row>
    <row r="309" spans="1:13" hidden="1">
      <c r="A309" t="s">
        <v>935</v>
      </c>
      <c r="B309" t="s">
        <v>158</v>
      </c>
      <c r="C309" t="s">
        <v>741</v>
      </c>
      <c r="D309" t="s">
        <v>793</v>
      </c>
      <c r="E309" s="1">
        <v>45688</v>
      </c>
      <c r="F309" s="1">
        <v>45688</v>
      </c>
      <c r="G309" s="12">
        <v>377.58</v>
      </c>
      <c r="H309" s="2">
        <v>0</v>
      </c>
      <c r="I309" s="2">
        <v>0</v>
      </c>
      <c r="J309" s="2">
        <v>0</v>
      </c>
      <c r="K309" s="20">
        <v>377.58</v>
      </c>
      <c r="L309" t="s">
        <v>794</v>
      </c>
      <c r="M309">
        <f t="shared" si="4"/>
        <v>2025</v>
      </c>
    </row>
    <row r="310" spans="1:13" hidden="1">
      <c r="A310" t="s">
        <v>890</v>
      </c>
      <c r="B310" t="s">
        <v>247</v>
      </c>
      <c r="C310" t="s">
        <v>139</v>
      </c>
      <c r="D310" t="s">
        <v>793</v>
      </c>
      <c r="E310" s="1">
        <v>45688</v>
      </c>
      <c r="F310" s="1">
        <v>45688</v>
      </c>
      <c r="G310" s="12">
        <v>300</v>
      </c>
      <c r="H310" s="2">
        <v>0</v>
      </c>
      <c r="I310" s="2">
        <v>0</v>
      </c>
      <c r="J310" s="2">
        <v>0</v>
      </c>
      <c r="K310" s="20">
        <v>300</v>
      </c>
      <c r="L310" t="s">
        <v>794</v>
      </c>
      <c r="M310">
        <f t="shared" si="4"/>
        <v>2025</v>
      </c>
    </row>
    <row r="311" spans="1:13" hidden="1">
      <c r="A311" t="s">
        <v>936</v>
      </c>
      <c r="B311" t="s">
        <v>655</v>
      </c>
      <c r="C311" t="s">
        <v>558</v>
      </c>
      <c r="D311" t="s">
        <v>793</v>
      </c>
      <c r="E311" s="1">
        <v>45688</v>
      </c>
      <c r="F311" s="1">
        <v>45688</v>
      </c>
      <c r="G311" s="12">
        <v>15.98</v>
      </c>
      <c r="H311" s="2">
        <v>0</v>
      </c>
      <c r="I311" s="2">
        <v>0</v>
      </c>
      <c r="J311" s="2">
        <v>0</v>
      </c>
      <c r="K311" s="20">
        <v>15.98</v>
      </c>
      <c r="L311" t="s">
        <v>794</v>
      </c>
      <c r="M311">
        <f t="shared" si="4"/>
        <v>2025</v>
      </c>
    </row>
    <row r="312" spans="1:13" hidden="1">
      <c r="A312" t="s">
        <v>852</v>
      </c>
      <c r="B312" t="s">
        <v>342</v>
      </c>
      <c r="C312" t="s">
        <v>483</v>
      </c>
      <c r="D312" t="s">
        <v>793</v>
      </c>
      <c r="E312" s="1">
        <v>45688</v>
      </c>
      <c r="F312" s="1">
        <v>45688</v>
      </c>
      <c r="G312" s="12">
        <v>18.18</v>
      </c>
      <c r="H312" s="2">
        <v>0</v>
      </c>
      <c r="I312" s="2">
        <v>0</v>
      </c>
      <c r="J312" s="2">
        <v>0</v>
      </c>
      <c r="K312" s="20">
        <v>18.18</v>
      </c>
      <c r="L312" t="s">
        <v>794</v>
      </c>
      <c r="M312">
        <f t="shared" si="4"/>
        <v>2025</v>
      </c>
    </row>
    <row r="313" spans="1:13" hidden="1">
      <c r="A313" t="s">
        <v>840</v>
      </c>
      <c r="B313" t="s">
        <v>309</v>
      </c>
      <c r="C313" t="s">
        <v>452</v>
      </c>
      <c r="D313" t="s">
        <v>793</v>
      </c>
      <c r="E313" s="1">
        <v>45688</v>
      </c>
      <c r="F313" s="1">
        <v>45688</v>
      </c>
      <c r="G313" s="12">
        <v>30</v>
      </c>
      <c r="H313" s="2">
        <v>0</v>
      </c>
      <c r="I313" s="2">
        <v>0</v>
      </c>
      <c r="J313" s="2">
        <v>0</v>
      </c>
      <c r="K313" s="20">
        <v>30</v>
      </c>
      <c r="L313" t="s">
        <v>794</v>
      </c>
      <c r="M313">
        <f t="shared" si="4"/>
        <v>2025</v>
      </c>
    </row>
    <row r="314" spans="1:13" hidden="1">
      <c r="A314" t="s">
        <v>801</v>
      </c>
      <c r="B314" t="s">
        <v>13</v>
      </c>
      <c r="C314" t="s">
        <v>726</v>
      </c>
      <c r="D314" t="s">
        <v>793</v>
      </c>
      <c r="E314" s="1">
        <v>45688</v>
      </c>
      <c r="F314" s="1">
        <v>45688</v>
      </c>
      <c r="G314" s="12">
        <v>3.58</v>
      </c>
      <c r="H314" s="2">
        <v>0</v>
      </c>
      <c r="I314" s="2">
        <v>0</v>
      </c>
      <c r="J314" s="2">
        <v>0</v>
      </c>
      <c r="K314" s="20">
        <v>3.58</v>
      </c>
      <c r="L314" t="s">
        <v>794</v>
      </c>
      <c r="M314">
        <f t="shared" si="4"/>
        <v>2025</v>
      </c>
    </row>
    <row r="315" spans="1:13" hidden="1">
      <c r="A315" t="s">
        <v>924</v>
      </c>
      <c r="B315" t="s">
        <v>87</v>
      </c>
      <c r="C315" t="s">
        <v>137</v>
      </c>
      <c r="D315" t="s">
        <v>908</v>
      </c>
      <c r="E315" s="1">
        <v>45691</v>
      </c>
      <c r="F315" s="1">
        <v>45691</v>
      </c>
      <c r="G315" s="12">
        <v>250</v>
      </c>
      <c r="H315" s="2">
        <v>0</v>
      </c>
      <c r="I315" s="2">
        <v>0</v>
      </c>
      <c r="J315" s="2">
        <v>0</v>
      </c>
      <c r="K315" s="20">
        <v>250</v>
      </c>
      <c r="L315" t="s">
        <v>794</v>
      </c>
      <c r="M315">
        <f t="shared" si="4"/>
        <v>2025</v>
      </c>
    </row>
    <row r="316" spans="1:13" hidden="1">
      <c r="A316" t="s">
        <v>925</v>
      </c>
      <c r="B316" t="s">
        <v>189</v>
      </c>
      <c r="C316" t="s">
        <v>754</v>
      </c>
      <c r="D316" t="s">
        <v>908</v>
      </c>
      <c r="E316" s="1">
        <v>45691</v>
      </c>
      <c r="F316" s="1">
        <v>45691</v>
      </c>
      <c r="G316" s="12">
        <v>250</v>
      </c>
      <c r="H316" s="2">
        <v>0</v>
      </c>
      <c r="I316" s="2">
        <v>0</v>
      </c>
      <c r="J316" s="2">
        <v>0</v>
      </c>
      <c r="K316" s="20">
        <v>250</v>
      </c>
      <c r="L316" t="s">
        <v>794</v>
      </c>
      <c r="M316">
        <f t="shared" si="4"/>
        <v>2025</v>
      </c>
    </row>
    <row r="317" spans="1:13" hidden="1">
      <c r="A317" t="s">
        <v>937</v>
      </c>
      <c r="B317" t="s">
        <v>447</v>
      </c>
      <c r="C317" t="s">
        <v>137</v>
      </c>
      <c r="D317" t="s">
        <v>908</v>
      </c>
      <c r="E317" s="1">
        <v>45691</v>
      </c>
      <c r="F317" s="1">
        <v>45691</v>
      </c>
      <c r="G317" s="12">
        <v>250</v>
      </c>
      <c r="H317" s="2">
        <v>0</v>
      </c>
      <c r="I317" s="2">
        <v>0</v>
      </c>
      <c r="J317" s="2">
        <v>0</v>
      </c>
      <c r="K317" s="20">
        <v>250</v>
      </c>
      <c r="L317" t="s">
        <v>794</v>
      </c>
      <c r="M317">
        <f t="shared" si="4"/>
        <v>2025</v>
      </c>
    </row>
    <row r="318" spans="1:13" hidden="1">
      <c r="A318" t="s">
        <v>938</v>
      </c>
      <c r="B318" t="s">
        <v>568</v>
      </c>
      <c r="C318" t="s">
        <v>646</v>
      </c>
      <c r="D318" t="s">
        <v>908</v>
      </c>
      <c r="E318" s="1">
        <v>45691</v>
      </c>
      <c r="F318" s="1">
        <v>45691</v>
      </c>
      <c r="G318" s="12">
        <v>70.02</v>
      </c>
      <c r="H318" s="2">
        <v>0</v>
      </c>
      <c r="I318" s="2">
        <v>0</v>
      </c>
      <c r="J318" s="2">
        <v>0</v>
      </c>
      <c r="K318" s="20">
        <v>70.02</v>
      </c>
      <c r="L318" t="s">
        <v>794</v>
      </c>
      <c r="M318">
        <f t="shared" si="4"/>
        <v>2025</v>
      </c>
    </row>
    <row r="319" spans="1:13" hidden="1">
      <c r="A319" t="s">
        <v>939</v>
      </c>
      <c r="B319" t="s">
        <v>72</v>
      </c>
      <c r="C319" t="s">
        <v>722</v>
      </c>
      <c r="D319" t="s">
        <v>908</v>
      </c>
      <c r="E319" s="1">
        <v>45691</v>
      </c>
      <c r="F319" s="1">
        <v>45691</v>
      </c>
      <c r="G319" s="12">
        <v>1381.38</v>
      </c>
      <c r="H319" s="2">
        <v>0</v>
      </c>
      <c r="I319" s="2">
        <v>0</v>
      </c>
      <c r="J319" s="2">
        <v>0</v>
      </c>
      <c r="K319" s="20">
        <v>1381.38</v>
      </c>
      <c r="L319" t="s">
        <v>794</v>
      </c>
      <c r="M319">
        <f t="shared" si="4"/>
        <v>2025</v>
      </c>
    </row>
    <row r="320" spans="1:13" hidden="1">
      <c r="A320" t="s">
        <v>940</v>
      </c>
      <c r="B320" t="s">
        <v>302</v>
      </c>
      <c r="C320" t="s">
        <v>743</v>
      </c>
      <c r="D320" t="s">
        <v>908</v>
      </c>
      <c r="E320" s="1">
        <v>45691</v>
      </c>
      <c r="F320" s="1">
        <v>45691</v>
      </c>
      <c r="G320" s="12">
        <v>252.28</v>
      </c>
      <c r="H320" s="2">
        <v>0</v>
      </c>
      <c r="I320" s="2">
        <v>0</v>
      </c>
      <c r="J320" s="2">
        <v>0</v>
      </c>
      <c r="K320" s="20">
        <v>252.28</v>
      </c>
      <c r="L320" t="s">
        <v>794</v>
      </c>
      <c r="M320">
        <f t="shared" si="4"/>
        <v>2025</v>
      </c>
    </row>
    <row r="321" spans="1:13" hidden="1">
      <c r="A321" t="s">
        <v>941</v>
      </c>
      <c r="B321" t="s">
        <v>52</v>
      </c>
      <c r="C321" t="s">
        <v>672</v>
      </c>
      <c r="D321" t="s">
        <v>908</v>
      </c>
      <c r="E321" s="1">
        <v>45691</v>
      </c>
      <c r="F321" s="1">
        <v>45691</v>
      </c>
      <c r="G321" s="12">
        <v>1437.3500000000001</v>
      </c>
      <c r="H321" s="2">
        <v>0</v>
      </c>
      <c r="I321" s="2">
        <v>0</v>
      </c>
      <c r="J321" s="2">
        <v>0</v>
      </c>
      <c r="K321" s="20">
        <v>1437.3500000000001</v>
      </c>
      <c r="L321" t="s">
        <v>794</v>
      </c>
      <c r="M321">
        <f t="shared" si="4"/>
        <v>2025</v>
      </c>
    </row>
    <row r="322" spans="1:13" hidden="1">
      <c r="A322" t="s">
        <v>850</v>
      </c>
      <c r="B322" t="s">
        <v>105</v>
      </c>
      <c r="C322" t="s">
        <v>384</v>
      </c>
      <c r="D322" t="s">
        <v>908</v>
      </c>
      <c r="E322" s="1">
        <v>45691</v>
      </c>
      <c r="F322" s="1">
        <v>45691</v>
      </c>
      <c r="G322" s="12">
        <v>1052.58</v>
      </c>
      <c r="H322" s="2">
        <v>0</v>
      </c>
      <c r="I322" s="2">
        <v>0</v>
      </c>
      <c r="J322" s="2">
        <v>0</v>
      </c>
      <c r="K322" s="20">
        <v>1052.58</v>
      </c>
      <c r="L322" t="s">
        <v>794</v>
      </c>
      <c r="M322">
        <f t="shared" si="4"/>
        <v>2025</v>
      </c>
    </row>
    <row r="323" spans="1:13" hidden="1">
      <c r="A323" t="s">
        <v>840</v>
      </c>
      <c r="B323" t="s">
        <v>46</v>
      </c>
      <c r="C323" t="s">
        <v>730</v>
      </c>
      <c r="D323" t="s">
        <v>908</v>
      </c>
      <c r="E323" s="1">
        <v>45691</v>
      </c>
      <c r="F323" s="1">
        <v>45691</v>
      </c>
      <c r="G323" s="12">
        <v>2124.98</v>
      </c>
      <c r="H323" s="2">
        <v>0</v>
      </c>
      <c r="I323" s="2">
        <v>0</v>
      </c>
      <c r="J323" s="2">
        <v>0</v>
      </c>
      <c r="K323" s="20">
        <v>2124.98</v>
      </c>
      <c r="L323" t="s">
        <v>794</v>
      </c>
      <c r="M323">
        <f t="shared" ref="M323:M386" si="5">YEAR(F323)</f>
        <v>2025</v>
      </c>
    </row>
    <row r="324" spans="1:13" hidden="1">
      <c r="A324" t="s">
        <v>801</v>
      </c>
      <c r="B324" t="s">
        <v>13</v>
      </c>
      <c r="C324" t="s">
        <v>726</v>
      </c>
      <c r="D324" t="s">
        <v>908</v>
      </c>
      <c r="E324" s="1">
        <v>45691</v>
      </c>
      <c r="F324" s="1">
        <v>45691</v>
      </c>
      <c r="G324" s="12">
        <v>1.79</v>
      </c>
      <c r="H324" s="2">
        <v>0</v>
      </c>
      <c r="I324" s="2">
        <v>0</v>
      </c>
      <c r="J324" s="2">
        <v>0</v>
      </c>
      <c r="K324" s="20">
        <v>1.79</v>
      </c>
      <c r="L324" t="s">
        <v>794</v>
      </c>
      <c r="M324">
        <f t="shared" si="5"/>
        <v>2025</v>
      </c>
    </row>
    <row r="325" spans="1:13" hidden="1">
      <c r="A325" t="s">
        <v>810</v>
      </c>
      <c r="B325" t="s">
        <v>54</v>
      </c>
      <c r="C325" t="s">
        <v>138</v>
      </c>
      <c r="D325" t="s">
        <v>942</v>
      </c>
      <c r="E325" s="1">
        <v>45325</v>
      </c>
      <c r="F325" s="1">
        <v>45691</v>
      </c>
      <c r="G325" s="12">
        <v>164.20000000000002</v>
      </c>
      <c r="H325" s="2">
        <v>0</v>
      </c>
      <c r="I325" s="2">
        <v>0</v>
      </c>
      <c r="J325" s="2">
        <v>0</v>
      </c>
      <c r="K325" s="20">
        <v>164.20000000000002</v>
      </c>
      <c r="L325" t="s">
        <v>794</v>
      </c>
      <c r="M325">
        <f t="shared" si="5"/>
        <v>2025</v>
      </c>
    </row>
    <row r="326" spans="1:13" hidden="1">
      <c r="A326" t="s">
        <v>801</v>
      </c>
      <c r="B326" t="s">
        <v>13</v>
      </c>
      <c r="C326" t="s">
        <v>726</v>
      </c>
      <c r="D326" t="s">
        <v>908</v>
      </c>
      <c r="E326" s="1">
        <v>45691</v>
      </c>
      <c r="F326" s="1">
        <v>45691</v>
      </c>
      <c r="G326" s="12">
        <v>1.79</v>
      </c>
      <c r="H326" s="2">
        <v>0</v>
      </c>
      <c r="I326" s="2">
        <v>0</v>
      </c>
      <c r="J326" s="2">
        <v>0</v>
      </c>
      <c r="K326" s="20">
        <v>1.79</v>
      </c>
      <c r="L326" t="s">
        <v>794</v>
      </c>
      <c r="M326">
        <f t="shared" si="5"/>
        <v>2025</v>
      </c>
    </row>
    <row r="327" spans="1:13" hidden="1">
      <c r="A327" t="s">
        <v>921</v>
      </c>
      <c r="B327" t="s">
        <v>29</v>
      </c>
      <c r="C327" t="s">
        <v>206</v>
      </c>
      <c r="D327" t="s">
        <v>908</v>
      </c>
      <c r="E327" s="1">
        <v>45692</v>
      </c>
      <c r="F327" s="1">
        <v>45692</v>
      </c>
      <c r="G327" s="12">
        <v>955.84</v>
      </c>
      <c r="H327" s="2">
        <v>0</v>
      </c>
      <c r="I327" s="2">
        <v>0</v>
      </c>
      <c r="J327" s="2">
        <v>0</v>
      </c>
      <c r="K327" s="20">
        <v>955.84</v>
      </c>
      <c r="L327" t="s">
        <v>794</v>
      </c>
      <c r="M327">
        <f t="shared" si="5"/>
        <v>2025</v>
      </c>
    </row>
    <row r="328" spans="1:13" hidden="1">
      <c r="A328" t="s">
        <v>921</v>
      </c>
      <c r="B328" t="s">
        <v>29</v>
      </c>
      <c r="C328" t="s">
        <v>206</v>
      </c>
      <c r="D328" t="s">
        <v>908</v>
      </c>
      <c r="E328" s="1">
        <v>45692</v>
      </c>
      <c r="F328" s="1">
        <v>45692</v>
      </c>
      <c r="G328" s="12">
        <v>704.6</v>
      </c>
      <c r="H328" s="2">
        <v>0</v>
      </c>
      <c r="I328" s="2">
        <v>0</v>
      </c>
      <c r="J328" s="2">
        <v>0</v>
      </c>
      <c r="K328" s="20">
        <v>704.6</v>
      </c>
      <c r="L328" t="s">
        <v>794</v>
      </c>
      <c r="M328">
        <f t="shared" si="5"/>
        <v>2025</v>
      </c>
    </row>
    <row r="329" spans="1:13" hidden="1">
      <c r="A329" t="s">
        <v>921</v>
      </c>
      <c r="B329" t="s">
        <v>29</v>
      </c>
      <c r="C329" t="s">
        <v>206</v>
      </c>
      <c r="D329" t="s">
        <v>908</v>
      </c>
      <c r="E329" s="1">
        <v>45692</v>
      </c>
      <c r="F329" s="1">
        <v>45692</v>
      </c>
      <c r="G329" s="12">
        <v>2244.16</v>
      </c>
      <c r="H329" s="2">
        <v>0</v>
      </c>
      <c r="I329" s="2">
        <v>0</v>
      </c>
      <c r="J329" s="2">
        <v>0</v>
      </c>
      <c r="K329" s="20">
        <v>2244.16</v>
      </c>
      <c r="L329" t="s">
        <v>794</v>
      </c>
      <c r="M329">
        <f t="shared" si="5"/>
        <v>2025</v>
      </c>
    </row>
    <row r="330" spans="1:13" hidden="1">
      <c r="A330" t="s">
        <v>921</v>
      </c>
      <c r="B330" t="s">
        <v>29</v>
      </c>
      <c r="C330" t="s">
        <v>206</v>
      </c>
      <c r="D330" t="s">
        <v>908</v>
      </c>
      <c r="E330" s="1">
        <v>45692</v>
      </c>
      <c r="F330" s="1">
        <v>45692</v>
      </c>
      <c r="G330" s="12">
        <v>1295.4000000000001</v>
      </c>
      <c r="H330" s="2">
        <v>0</v>
      </c>
      <c r="I330" s="2">
        <v>0</v>
      </c>
      <c r="J330" s="2">
        <v>0</v>
      </c>
      <c r="K330" s="20">
        <v>1295.4000000000001</v>
      </c>
      <c r="L330" t="s">
        <v>794</v>
      </c>
      <c r="M330">
        <f t="shared" si="5"/>
        <v>2025</v>
      </c>
    </row>
    <row r="331" spans="1:13" hidden="1">
      <c r="A331" t="s">
        <v>801</v>
      </c>
      <c r="B331" t="s">
        <v>13</v>
      </c>
      <c r="C331" t="s">
        <v>740</v>
      </c>
      <c r="D331" t="s">
        <v>908</v>
      </c>
      <c r="E331" s="1">
        <v>45692</v>
      </c>
      <c r="F331" s="1">
        <v>45692</v>
      </c>
      <c r="G331" s="12">
        <v>174.88</v>
      </c>
      <c r="H331" s="2">
        <v>0</v>
      </c>
      <c r="I331" s="2">
        <v>0</v>
      </c>
      <c r="J331" s="2">
        <v>0</v>
      </c>
      <c r="K331" s="20">
        <v>174.88</v>
      </c>
      <c r="L331" t="s">
        <v>794</v>
      </c>
      <c r="M331">
        <f t="shared" si="5"/>
        <v>2025</v>
      </c>
    </row>
    <row r="332" spans="1:13" hidden="1">
      <c r="A332" t="s">
        <v>801</v>
      </c>
      <c r="B332" t="s">
        <v>13</v>
      </c>
      <c r="C332" t="s">
        <v>726</v>
      </c>
      <c r="D332" t="s">
        <v>908</v>
      </c>
      <c r="E332" s="1">
        <v>45692</v>
      </c>
      <c r="F332" s="1">
        <v>45692</v>
      </c>
      <c r="G332" s="12">
        <v>1.79</v>
      </c>
      <c r="H332" s="2">
        <v>0</v>
      </c>
      <c r="I332" s="2">
        <v>0</v>
      </c>
      <c r="J332" s="2">
        <v>0</v>
      </c>
      <c r="K332" s="20">
        <v>1.79</v>
      </c>
      <c r="L332" t="s">
        <v>794</v>
      </c>
      <c r="M332">
        <f t="shared" si="5"/>
        <v>2025</v>
      </c>
    </row>
    <row r="333" spans="1:13" hidden="1">
      <c r="A333" t="s">
        <v>796</v>
      </c>
      <c r="B333" t="s">
        <v>181</v>
      </c>
      <c r="C333" t="s">
        <v>141</v>
      </c>
      <c r="D333" t="s">
        <v>908</v>
      </c>
      <c r="E333" s="1">
        <v>45692</v>
      </c>
      <c r="F333" s="1">
        <v>45692</v>
      </c>
      <c r="G333" s="12">
        <v>106</v>
      </c>
      <c r="H333" s="2">
        <v>0</v>
      </c>
      <c r="I333" s="2">
        <v>0</v>
      </c>
      <c r="J333" s="2">
        <v>0</v>
      </c>
      <c r="K333" s="20">
        <v>106</v>
      </c>
      <c r="L333" t="s">
        <v>794</v>
      </c>
      <c r="M333">
        <f t="shared" si="5"/>
        <v>2025</v>
      </c>
    </row>
    <row r="334" spans="1:13" hidden="1">
      <c r="A334" t="s">
        <v>818</v>
      </c>
      <c r="B334" t="s">
        <v>30</v>
      </c>
      <c r="C334" t="s">
        <v>141</v>
      </c>
      <c r="D334" t="s">
        <v>908</v>
      </c>
      <c r="E334" s="1">
        <v>45692</v>
      </c>
      <c r="F334" s="1">
        <v>45692</v>
      </c>
      <c r="G334" s="12">
        <v>100</v>
      </c>
      <c r="H334" s="2">
        <v>0</v>
      </c>
      <c r="I334" s="2">
        <v>0</v>
      </c>
      <c r="J334" s="2">
        <v>0</v>
      </c>
      <c r="K334" s="20">
        <v>100</v>
      </c>
      <c r="L334" t="s">
        <v>794</v>
      </c>
      <c r="M334">
        <f t="shared" si="5"/>
        <v>2025</v>
      </c>
    </row>
    <row r="335" spans="1:13" hidden="1">
      <c r="A335" t="s">
        <v>811</v>
      </c>
      <c r="B335" t="s">
        <v>39</v>
      </c>
      <c r="C335" t="s">
        <v>141</v>
      </c>
      <c r="D335" t="s">
        <v>908</v>
      </c>
      <c r="E335" s="1">
        <v>45692</v>
      </c>
      <c r="F335" s="1">
        <v>45692</v>
      </c>
      <c r="G335" s="12">
        <v>36</v>
      </c>
      <c r="H335" s="2">
        <v>0</v>
      </c>
      <c r="I335" s="2">
        <v>0</v>
      </c>
      <c r="J335" s="2">
        <v>0</v>
      </c>
      <c r="K335" s="20">
        <v>36</v>
      </c>
      <c r="L335" t="s">
        <v>794</v>
      </c>
      <c r="M335">
        <f t="shared" si="5"/>
        <v>2025</v>
      </c>
    </row>
    <row r="336" spans="1:13" hidden="1">
      <c r="A336" t="s">
        <v>812</v>
      </c>
      <c r="B336" t="s">
        <v>31</v>
      </c>
      <c r="C336" t="s">
        <v>141</v>
      </c>
      <c r="D336" t="s">
        <v>908</v>
      </c>
      <c r="E336" s="1">
        <v>45692</v>
      </c>
      <c r="F336" s="1">
        <v>45692</v>
      </c>
      <c r="G336" s="12">
        <v>400</v>
      </c>
      <c r="H336" s="2">
        <v>0</v>
      </c>
      <c r="I336" s="2">
        <v>0</v>
      </c>
      <c r="J336" s="2">
        <v>0</v>
      </c>
      <c r="K336" s="20">
        <v>400</v>
      </c>
      <c r="L336" t="s">
        <v>794</v>
      </c>
      <c r="M336">
        <f t="shared" si="5"/>
        <v>2025</v>
      </c>
    </row>
    <row r="337" spans="1:13" hidden="1">
      <c r="A337" t="s">
        <v>810</v>
      </c>
      <c r="B337" t="s">
        <v>54</v>
      </c>
      <c r="C337" t="s">
        <v>141</v>
      </c>
      <c r="D337" t="s">
        <v>908</v>
      </c>
      <c r="E337" s="1">
        <v>45692</v>
      </c>
      <c r="F337" s="1">
        <v>45692</v>
      </c>
      <c r="G337" s="12">
        <v>230</v>
      </c>
      <c r="H337" s="2">
        <v>0</v>
      </c>
      <c r="I337" s="2">
        <v>0</v>
      </c>
      <c r="J337" s="2">
        <v>0</v>
      </c>
      <c r="K337" s="20">
        <v>230</v>
      </c>
      <c r="L337" t="s">
        <v>794</v>
      </c>
      <c r="M337">
        <f t="shared" si="5"/>
        <v>2025</v>
      </c>
    </row>
    <row r="338" spans="1:13" hidden="1">
      <c r="A338" t="s">
        <v>809</v>
      </c>
      <c r="B338" t="s">
        <v>91</v>
      </c>
      <c r="C338" t="s">
        <v>141</v>
      </c>
      <c r="D338" t="s">
        <v>908</v>
      </c>
      <c r="E338" s="1">
        <v>45692</v>
      </c>
      <c r="F338" s="1">
        <v>45692</v>
      </c>
      <c r="G338" s="12">
        <v>100</v>
      </c>
      <c r="H338" s="2">
        <v>0</v>
      </c>
      <c r="I338" s="2">
        <v>0</v>
      </c>
      <c r="J338" s="2">
        <v>0</v>
      </c>
      <c r="K338" s="20">
        <v>100</v>
      </c>
      <c r="L338" t="s">
        <v>794</v>
      </c>
      <c r="M338">
        <f t="shared" si="5"/>
        <v>2025</v>
      </c>
    </row>
    <row r="339" spans="1:13" hidden="1">
      <c r="A339" t="s">
        <v>809</v>
      </c>
      <c r="B339" t="s">
        <v>91</v>
      </c>
      <c r="C339" t="s">
        <v>138</v>
      </c>
      <c r="D339" t="s">
        <v>908</v>
      </c>
      <c r="E339" s="1">
        <v>45692</v>
      </c>
      <c r="F339" s="1">
        <v>45692</v>
      </c>
      <c r="G339" s="12">
        <v>164.20000000000002</v>
      </c>
      <c r="H339" s="2">
        <v>0</v>
      </c>
      <c r="I339" s="2">
        <v>0</v>
      </c>
      <c r="J339" s="2">
        <v>0</v>
      </c>
      <c r="K339" s="20">
        <v>164.20000000000002</v>
      </c>
      <c r="L339" t="s">
        <v>794</v>
      </c>
      <c r="M339">
        <f t="shared" si="5"/>
        <v>2025</v>
      </c>
    </row>
    <row r="340" spans="1:13" hidden="1">
      <c r="A340" t="s">
        <v>943</v>
      </c>
      <c r="B340" t="s">
        <v>382</v>
      </c>
      <c r="C340" t="s">
        <v>693</v>
      </c>
      <c r="D340" t="s">
        <v>908</v>
      </c>
      <c r="E340" s="1">
        <v>45692</v>
      </c>
      <c r="F340" s="1">
        <v>45692</v>
      </c>
      <c r="G340" s="12">
        <v>300</v>
      </c>
      <c r="H340" s="2">
        <v>0</v>
      </c>
      <c r="I340" s="2">
        <v>0</v>
      </c>
      <c r="J340" s="2">
        <v>0</v>
      </c>
      <c r="K340" s="20">
        <v>300</v>
      </c>
      <c r="L340" t="s">
        <v>794</v>
      </c>
      <c r="M340">
        <f t="shared" si="5"/>
        <v>2025</v>
      </c>
    </row>
    <row r="341" spans="1:13" hidden="1">
      <c r="A341" t="s">
        <v>944</v>
      </c>
      <c r="B341" t="s">
        <v>439</v>
      </c>
      <c r="C341" t="s">
        <v>491</v>
      </c>
      <c r="D341" t="s">
        <v>908</v>
      </c>
      <c r="E341" s="1">
        <v>45692</v>
      </c>
      <c r="F341" s="1">
        <v>45692</v>
      </c>
      <c r="G341" s="12">
        <v>220</v>
      </c>
      <c r="H341" s="2">
        <v>0</v>
      </c>
      <c r="I341" s="2">
        <v>0</v>
      </c>
      <c r="J341" s="2">
        <v>0</v>
      </c>
      <c r="K341" s="20">
        <v>220</v>
      </c>
      <c r="L341" t="s">
        <v>794</v>
      </c>
      <c r="M341">
        <f t="shared" si="5"/>
        <v>2025</v>
      </c>
    </row>
    <row r="342" spans="1:13" hidden="1">
      <c r="A342" t="s">
        <v>801</v>
      </c>
      <c r="B342" t="s">
        <v>13</v>
      </c>
      <c r="C342" t="s">
        <v>726</v>
      </c>
      <c r="D342" t="s">
        <v>908</v>
      </c>
      <c r="E342" s="1">
        <v>45692</v>
      </c>
      <c r="F342" s="1">
        <v>45692</v>
      </c>
      <c r="G342" s="12">
        <v>46.54</v>
      </c>
      <c r="H342" s="2">
        <v>0</v>
      </c>
      <c r="I342" s="2">
        <v>0</v>
      </c>
      <c r="J342" s="2">
        <v>0</v>
      </c>
      <c r="K342" s="20">
        <v>46.54</v>
      </c>
      <c r="L342" t="s">
        <v>794</v>
      </c>
      <c r="M342">
        <f t="shared" si="5"/>
        <v>2025</v>
      </c>
    </row>
    <row r="343" spans="1:13" hidden="1">
      <c r="A343" t="s">
        <v>801</v>
      </c>
      <c r="B343" t="s">
        <v>13</v>
      </c>
      <c r="C343" t="s">
        <v>739</v>
      </c>
      <c r="D343" t="s">
        <v>908</v>
      </c>
      <c r="E343" s="1">
        <v>45692</v>
      </c>
      <c r="F343" s="1">
        <v>45692</v>
      </c>
      <c r="G343" s="12">
        <v>310.25</v>
      </c>
      <c r="H343" s="2">
        <v>0</v>
      </c>
      <c r="I343" s="2">
        <v>0</v>
      </c>
      <c r="J343" s="2">
        <v>0</v>
      </c>
      <c r="K343" s="20">
        <v>310.25</v>
      </c>
      <c r="L343" t="s">
        <v>794</v>
      </c>
      <c r="M343">
        <f t="shared" si="5"/>
        <v>2025</v>
      </c>
    </row>
    <row r="344" spans="1:13" hidden="1">
      <c r="A344" t="s">
        <v>801</v>
      </c>
      <c r="B344" t="s">
        <v>13</v>
      </c>
      <c r="C344" t="s">
        <v>740</v>
      </c>
      <c r="D344" t="s">
        <v>908</v>
      </c>
      <c r="E344" s="1">
        <v>45692</v>
      </c>
      <c r="F344" s="1">
        <v>45692</v>
      </c>
      <c r="G344" s="12">
        <v>101.68</v>
      </c>
      <c r="H344" s="2">
        <v>0</v>
      </c>
      <c r="I344" s="2">
        <v>0</v>
      </c>
      <c r="J344" s="2">
        <v>0</v>
      </c>
      <c r="K344" s="20">
        <v>101.68</v>
      </c>
      <c r="L344" t="s">
        <v>794</v>
      </c>
      <c r="M344">
        <f t="shared" si="5"/>
        <v>2025</v>
      </c>
    </row>
    <row r="345" spans="1:13" hidden="1">
      <c r="A345" t="s">
        <v>940</v>
      </c>
      <c r="B345" t="s">
        <v>29</v>
      </c>
      <c r="C345" t="s">
        <v>206</v>
      </c>
      <c r="D345" t="s">
        <v>908</v>
      </c>
      <c r="E345" s="1">
        <v>45693</v>
      </c>
      <c r="F345" s="1">
        <v>45693</v>
      </c>
      <c r="G345" s="12">
        <v>1905.75</v>
      </c>
      <c r="H345" s="2">
        <v>0</v>
      </c>
      <c r="I345" s="2">
        <v>0</v>
      </c>
      <c r="J345" s="2">
        <v>0</v>
      </c>
      <c r="K345" s="20">
        <v>1905.75</v>
      </c>
      <c r="L345" t="s">
        <v>794</v>
      </c>
      <c r="M345">
        <f t="shared" si="5"/>
        <v>2025</v>
      </c>
    </row>
    <row r="346" spans="1:13" hidden="1">
      <c r="A346" t="s">
        <v>801</v>
      </c>
      <c r="B346" t="s">
        <v>13</v>
      </c>
      <c r="C346" t="s">
        <v>751</v>
      </c>
      <c r="D346" t="s">
        <v>908</v>
      </c>
      <c r="E346" s="1">
        <v>45693</v>
      </c>
      <c r="F346" s="1">
        <v>45693</v>
      </c>
      <c r="G346" s="12">
        <v>135.52000000000001</v>
      </c>
      <c r="H346" s="2">
        <v>0</v>
      </c>
      <c r="I346" s="2">
        <v>0</v>
      </c>
      <c r="J346" s="2">
        <v>0</v>
      </c>
      <c r="K346" s="20">
        <v>135.52000000000001</v>
      </c>
      <c r="L346" t="s">
        <v>794</v>
      </c>
      <c r="M346">
        <f t="shared" si="5"/>
        <v>2025</v>
      </c>
    </row>
    <row r="347" spans="1:13" hidden="1">
      <c r="A347" t="s">
        <v>945</v>
      </c>
      <c r="B347" t="s">
        <v>143</v>
      </c>
      <c r="C347" t="s">
        <v>140</v>
      </c>
      <c r="D347" t="s">
        <v>908</v>
      </c>
      <c r="E347" s="1">
        <v>45693</v>
      </c>
      <c r="F347" s="1">
        <v>45693</v>
      </c>
      <c r="G347" s="12">
        <v>30</v>
      </c>
      <c r="H347" s="2">
        <v>0</v>
      </c>
      <c r="I347" s="2">
        <v>0</v>
      </c>
      <c r="J347" s="2">
        <v>0</v>
      </c>
      <c r="K347" s="20">
        <v>30</v>
      </c>
      <c r="L347" t="s">
        <v>794</v>
      </c>
      <c r="M347">
        <f t="shared" si="5"/>
        <v>2025</v>
      </c>
    </row>
    <row r="348" spans="1:13" hidden="1">
      <c r="A348" t="s">
        <v>801</v>
      </c>
      <c r="B348" t="s">
        <v>13</v>
      </c>
      <c r="C348" t="s">
        <v>726</v>
      </c>
      <c r="D348" t="s">
        <v>908</v>
      </c>
      <c r="E348" s="1">
        <v>45693</v>
      </c>
      <c r="F348" s="1">
        <v>45693</v>
      </c>
      <c r="G348" s="12">
        <v>26.85</v>
      </c>
      <c r="H348" s="2">
        <v>0</v>
      </c>
      <c r="I348" s="2">
        <v>0</v>
      </c>
      <c r="J348" s="2">
        <v>0</v>
      </c>
      <c r="K348" s="20">
        <v>26.85</v>
      </c>
      <c r="L348" t="s">
        <v>794</v>
      </c>
      <c r="M348">
        <f t="shared" si="5"/>
        <v>2025</v>
      </c>
    </row>
    <row r="349" spans="1:13" hidden="1">
      <c r="A349" t="s">
        <v>857</v>
      </c>
      <c r="B349" t="s">
        <v>326</v>
      </c>
      <c r="C349" t="s">
        <v>99</v>
      </c>
      <c r="D349" t="s">
        <v>908</v>
      </c>
      <c r="E349" s="1">
        <v>45693</v>
      </c>
      <c r="F349" s="1">
        <v>45693</v>
      </c>
      <c r="G349" s="12">
        <v>260</v>
      </c>
      <c r="H349" s="2">
        <v>0</v>
      </c>
      <c r="I349" s="2">
        <v>0</v>
      </c>
      <c r="J349" s="2">
        <v>0</v>
      </c>
      <c r="K349" s="20">
        <v>260</v>
      </c>
      <c r="L349" t="s">
        <v>843</v>
      </c>
      <c r="M349">
        <f t="shared" si="5"/>
        <v>2025</v>
      </c>
    </row>
    <row r="350" spans="1:13" hidden="1">
      <c r="A350" t="s">
        <v>946</v>
      </c>
      <c r="B350" t="s">
        <v>130</v>
      </c>
      <c r="C350" t="s">
        <v>713</v>
      </c>
      <c r="D350" t="s">
        <v>908</v>
      </c>
      <c r="E350" s="1">
        <v>45694</v>
      </c>
      <c r="F350" s="1">
        <v>45694</v>
      </c>
      <c r="G350" s="12">
        <v>2727.33</v>
      </c>
      <c r="H350" s="2">
        <v>0</v>
      </c>
      <c r="I350" s="2">
        <v>0</v>
      </c>
      <c r="J350" s="2">
        <v>0</v>
      </c>
      <c r="K350" s="20">
        <v>2727.33</v>
      </c>
      <c r="L350" t="s">
        <v>794</v>
      </c>
      <c r="M350">
        <f t="shared" si="5"/>
        <v>2025</v>
      </c>
    </row>
    <row r="351" spans="1:13" hidden="1">
      <c r="A351" t="s">
        <v>947</v>
      </c>
      <c r="B351" t="s">
        <v>162</v>
      </c>
      <c r="C351" t="s">
        <v>137</v>
      </c>
      <c r="D351" t="s">
        <v>908</v>
      </c>
      <c r="E351" s="1">
        <v>45694</v>
      </c>
      <c r="F351" s="1">
        <v>45694</v>
      </c>
      <c r="G351" s="12">
        <v>111.48</v>
      </c>
      <c r="H351" s="2">
        <v>0</v>
      </c>
      <c r="I351" s="2">
        <v>0</v>
      </c>
      <c r="J351" s="2">
        <v>0</v>
      </c>
      <c r="K351" s="20">
        <v>111.48</v>
      </c>
      <c r="L351" t="s">
        <v>794</v>
      </c>
      <c r="M351">
        <f t="shared" si="5"/>
        <v>2025</v>
      </c>
    </row>
    <row r="352" spans="1:13" hidden="1">
      <c r="A352" t="s">
        <v>922</v>
      </c>
      <c r="B352" t="s">
        <v>149</v>
      </c>
      <c r="C352" t="s">
        <v>137</v>
      </c>
      <c r="D352" t="s">
        <v>908</v>
      </c>
      <c r="E352" s="1">
        <v>45694</v>
      </c>
      <c r="F352" s="1">
        <v>45694</v>
      </c>
      <c r="G352" s="12">
        <v>1282.02</v>
      </c>
      <c r="H352" s="2">
        <v>0</v>
      </c>
      <c r="I352" s="2">
        <v>0</v>
      </c>
      <c r="J352" s="2">
        <v>0</v>
      </c>
      <c r="K352" s="20">
        <v>1282.02</v>
      </c>
      <c r="L352" t="s">
        <v>794</v>
      </c>
      <c r="M352">
        <f t="shared" si="5"/>
        <v>2025</v>
      </c>
    </row>
    <row r="353" spans="1:13" hidden="1">
      <c r="A353" t="s">
        <v>867</v>
      </c>
      <c r="B353" t="s">
        <v>171</v>
      </c>
      <c r="C353" t="s">
        <v>137</v>
      </c>
      <c r="D353" t="s">
        <v>908</v>
      </c>
      <c r="E353" s="1">
        <v>45694</v>
      </c>
      <c r="F353" s="1">
        <v>45694</v>
      </c>
      <c r="G353" s="12">
        <v>1209</v>
      </c>
      <c r="H353" s="2">
        <v>0</v>
      </c>
      <c r="I353" s="2">
        <v>0</v>
      </c>
      <c r="J353" s="2">
        <v>0</v>
      </c>
      <c r="K353" s="20">
        <v>1209</v>
      </c>
      <c r="L353" t="s">
        <v>794</v>
      </c>
      <c r="M353">
        <f t="shared" si="5"/>
        <v>2025</v>
      </c>
    </row>
    <row r="354" spans="1:13" hidden="1">
      <c r="A354" t="s">
        <v>919</v>
      </c>
      <c r="B354" t="s">
        <v>920</v>
      </c>
      <c r="C354" t="s">
        <v>137</v>
      </c>
      <c r="D354" t="s">
        <v>908</v>
      </c>
      <c r="E354" s="1">
        <v>45694</v>
      </c>
      <c r="F354" s="1">
        <v>45694</v>
      </c>
      <c r="G354" s="12">
        <v>1282.02</v>
      </c>
      <c r="H354" s="2">
        <v>0</v>
      </c>
      <c r="I354" s="2">
        <v>0</v>
      </c>
      <c r="J354" s="2">
        <v>0</v>
      </c>
      <c r="K354" s="20">
        <v>1282.02</v>
      </c>
      <c r="L354" t="s">
        <v>794</v>
      </c>
      <c r="M354">
        <f t="shared" si="5"/>
        <v>2025</v>
      </c>
    </row>
    <row r="355" spans="1:13" hidden="1">
      <c r="A355" t="s">
        <v>948</v>
      </c>
      <c r="B355" t="s">
        <v>51</v>
      </c>
      <c r="C355" t="s">
        <v>137</v>
      </c>
      <c r="D355" t="s">
        <v>908</v>
      </c>
      <c r="E355" s="1">
        <v>45694</v>
      </c>
      <c r="F355" s="1">
        <v>45694</v>
      </c>
      <c r="G355" s="12">
        <v>2747</v>
      </c>
      <c r="H355" s="2">
        <v>0</v>
      </c>
      <c r="I355" s="2">
        <v>0</v>
      </c>
      <c r="J355" s="2">
        <v>0</v>
      </c>
      <c r="K355" s="20">
        <v>2747</v>
      </c>
      <c r="L355" t="s">
        <v>794</v>
      </c>
      <c r="M355">
        <f t="shared" si="5"/>
        <v>2025</v>
      </c>
    </row>
    <row r="356" spans="1:13" hidden="1">
      <c r="A356" t="s">
        <v>949</v>
      </c>
      <c r="B356" t="s">
        <v>186</v>
      </c>
      <c r="C356" t="s">
        <v>137</v>
      </c>
      <c r="D356" t="s">
        <v>908</v>
      </c>
      <c r="E356" s="1">
        <v>45694</v>
      </c>
      <c r="F356" s="1">
        <v>45694</v>
      </c>
      <c r="G356" s="12">
        <v>2000</v>
      </c>
      <c r="H356" s="2">
        <v>0</v>
      </c>
      <c r="I356" s="2">
        <v>0</v>
      </c>
      <c r="J356" s="2">
        <v>0</v>
      </c>
      <c r="K356" s="20">
        <v>2000</v>
      </c>
      <c r="L356" t="s">
        <v>794</v>
      </c>
      <c r="M356">
        <f t="shared" si="5"/>
        <v>2025</v>
      </c>
    </row>
    <row r="357" spans="1:13" hidden="1">
      <c r="A357" t="s">
        <v>950</v>
      </c>
      <c r="B357" t="s">
        <v>951</v>
      </c>
      <c r="C357" t="s">
        <v>137</v>
      </c>
      <c r="D357" t="s">
        <v>908</v>
      </c>
      <c r="E357" s="1">
        <v>45694</v>
      </c>
      <c r="F357" s="1">
        <v>45694</v>
      </c>
      <c r="G357" s="12">
        <v>1282.02</v>
      </c>
      <c r="H357" s="2">
        <v>0</v>
      </c>
      <c r="I357" s="2">
        <v>0</v>
      </c>
      <c r="J357" s="2">
        <v>0</v>
      </c>
      <c r="K357" s="20">
        <v>1282.02</v>
      </c>
      <c r="L357" t="s">
        <v>794</v>
      </c>
      <c r="M357">
        <f t="shared" si="5"/>
        <v>2025</v>
      </c>
    </row>
    <row r="358" spans="1:13" hidden="1">
      <c r="A358" t="s">
        <v>952</v>
      </c>
      <c r="B358" t="s">
        <v>27</v>
      </c>
      <c r="C358" t="s">
        <v>137</v>
      </c>
      <c r="D358" t="s">
        <v>908</v>
      </c>
      <c r="E358" s="1">
        <v>45694</v>
      </c>
      <c r="F358" s="1">
        <v>45694</v>
      </c>
      <c r="G358" s="12">
        <v>1723</v>
      </c>
      <c r="H358" s="2">
        <v>0</v>
      </c>
      <c r="I358" s="2">
        <v>0</v>
      </c>
      <c r="J358" s="2">
        <v>0</v>
      </c>
      <c r="K358" s="20">
        <v>1723</v>
      </c>
      <c r="L358" t="s">
        <v>794</v>
      </c>
      <c r="M358">
        <f t="shared" si="5"/>
        <v>2025</v>
      </c>
    </row>
    <row r="359" spans="1:13" hidden="1">
      <c r="A359" t="s">
        <v>953</v>
      </c>
      <c r="B359" t="s">
        <v>954</v>
      </c>
      <c r="C359" t="s">
        <v>731</v>
      </c>
      <c r="D359" t="s">
        <v>908</v>
      </c>
      <c r="E359" s="1">
        <v>45694</v>
      </c>
      <c r="F359" s="1">
        <v>45694</v>
      </c>
      <c r="G359" s="12">
        <v>283.85000000000002</v>
      </c>
      <c r="H359" s="2">
        <v>0</v>
      </c>
      <c r="I359" s="2">
        <v>0</v>
      </c>
      <c r="J359" s="2">
        <v>0</v>
      </c>
      <c r="K359" s="20">
        <v>283.85000000000002</v>
      </c>
      <c r="L359" t="s">
        <v>794</v>
      </c>
      <c r="M359">
        <f t="shared" si="5"/>
        <v>2025</v>
      </c>
    </row>
    <row r="360" spans="1:13" hidden="1">
      <c r="A360" t="s">
        <v>801</v>
      </c>
      <c r="B360" t="s">
        <v>13</v>
      </c>
      <c r="C360" t="s">
        <v>726</v>
      </c>
      <c r="D360" t="s">
        <v>908</v>
      </c>
      <c r="E360" s="1">
        <v>45694</v>
      </c>
      <c r="F360" s="1">
        <v>45694</v>
      </c>
      <c r="G360" s="12">
        <v>79.56</v>
      </c>
      <c r="H360" s="2">
        <v>0</v>
      </c>
      <c r="I360" s="2">
        <v>0</v>
      </c>
      <c r="J360" s="2">
        <v>0</v>
      </c>
      <c r="K360" s="20">
        <v>79.56</v>
      </c>
      <c r="L360" t="s">
        <v>794</v>
      </c>
      <c r="M360">
        <f t="shared" si="5"/>
        <v>2025</v>
      </c>
    </row>
    <row r="361" spans="1:13" hidden="1">
      <c r="A361" t="s">
        <v>955</v>
      </c>
      <c r="B361" t="s">
        <v>659</v>
      </c>
      <c r="C361" t="s">
        <v>646</v>
      </c>
      <c r="D361" t="s">
        <v>908</v>
      </c>
      <c r="E361" s="1">
        <v>45694</v>
      </c>
      <c r="F361" s="1">
        <v>45694</v>
      </c>
      <c r="G361" s="12">
        <v>34.99</v>
      </c>
      <c r="H361" s="2">
        <v>0</v>
      </c>
      <c r="I361" s="2">
        <v>0</v>
      </c>
      <c r="J361" s="2">
        <v>0</v>
      </c>
      <c r="K361" s="20">
        <v>34.99</v>
      </c>
      <c r="L361" t="s">
        <v>794</v>
      </c>
      <c r="M361">
        <f t="shared" si="5"/>
        <v>2025</v>
      </c>
    </row>
    <row r="362" spans="1:13" hidden="1">
      <c r="A362" t="s">
        <v>803</v>
      </c>
      <c r="B362" t="s">
        <v>125</v>
      </c>
      <c r="C362" t="s">
        <v>141</v>
      </c>
      <c r="D362" t="s">
        <v>908</v>
      </c>
      <c r="E362" s="1">
        <v>45694</v>
      </c>
      <c r="F362" s="1">
        <v>45694</v>
      </c>
      <c r="G362" s="12">
        <v>176</v>
      </c>
      <c r="H362" s="2">
        <v>0</v>
      </c>
      <c r="I362" s="2">
        <v>0</v>
      </c>
      <c r="J362" s="2">
        <v>0</v>
      </c>
      <c r="K362" s="20">
        <v>176</v>
      </c>
      <c r="L362" t="s">
        <v>794</v>
      </c>
      <c r="M362">
        <f t="shared" si="5"/>
        <v>2025</v>
      </c>
    </row>
    <row r="363" spans="1:13" hidden="1">
      <c r="A363" t="s">
        <v>945</v>
      </c>
      <c r="B363" t="s">
        <v>143</v>
      </c>
      <c r="C363" t="s">
        <v>140</v>
      </c>
      <c r="D363" t="s">
        <v>908</v>
      </c>
      <c r="E363" s="1">
        <v>45694</v>
      </c>
      <c r="F363" s="1">
        <v>45694</v>
      </c>
      <c r="G363" s="12">
        <v>30</v>
      </c>
      <c r="H363" s="2">
        <v>0</v>
      </c>
      <c r="I363" s="2">
        <v>0</v>
      </c>
      <c r="J363" s="2">
        <v>0</v>
      </c>
      <c r="K363" s="20">
        <v>30</v>
      </c>
      <c r="L363" t="s">
        <v>794</v>
      </c>
      <c r="M363">
        <f t="shared" si="5"/>
        <v>2025</v>
      </c>
    </row>
    <row r="364" spans="1:13" hidden="1">
      <c r="A364" t="s">
        <v>830</v>
      </c>
      <c r="B364" t="s">
        <v>273</v>
      </c>
      <c r="C364" t="s">
        <v>142</v>
      </c>
      <c r="D364" t="s">
        <v>908</v>
      </c>
      <c r="E364" s="1">
        <v>45694</v>
      </c>
      <c r="F364" s="1">
        <v>45694</v>
      </c>
      <c r="G364" s="12">
        <v>30</v>
      </c>
      <c r="H364" s="2">
        <v>0</v>
      </c>
      <c r="I364" s="2">
        <v>0</v>
      </c>
      <c r="J364" s="2">
        <v>0</v>
      </c>
      <c r="K364" s="20">
        <v>30</v>
      </c>
      <c r="L364" t="s">
        <v>794</v>
      </c>
      <c r="M364">
        <f t="shared" si="5"/>
        <v>2025</v>
      </c>
    </row>
    <row r="365" spans="1:13" hidden="1">
      <c r="A365" t="s">
        <v>902</v>
      </c>
      <c r="B365" t="s">
        <v>561</v>
      </c>
      <c r="C365" t="s">
        <v>647</v>
      </c>
      <c r="D365" t="s">
        <v>908</v>
      </c>
      <c r="E365" s="1">
        <v>45694</v>
      </c>
      <c r="F365" s="1">
        <v>45694</v>
      </c>
      <c r="G365" s="12">
        <v>29.98</v>
      </c>
      <c r="H365" s="2">
        <v>0</v>
      </c>
      <c r="I365" s="2">
        <v>0</v>
      </c>
      <c r="J365" s="2">
        <v>0</v>
      </c>
      <c r="K365" s="20">
        <v>29.98</v>
      </c>
      <c r="L365" t="s">
        <v>794</v>
      </c>
      <c r="M365">
        <f t="shared" si="5"/>
        <v>2025</v>
      </c>
    </row>
    <row r="366" spans="1:13" hidden="1">
      <c r="A366" t="s">
        <v>851</v>
      </c>
      <c r="B366" t="s">
        <v>369</v>
      </c>
      <c r="C366" t="s">
        <v>646</v>
      </c>
      <c r="D366" t="s">
        <v>908</v>
      </c>
      <c r="E366" s="1">
        <v>45694</v>
      </c>
      <c r="F366" s="1">
        <v>45694</v>
      </c>
      <c r="G366" s="12">
        <v>100</v>
      </c>
      <c r="H366" s="2">
        <v>0</v>
      </c>
      <c r="I366" s="2">
        <v>0</v>
      </c>
      <c r="J366" s="2">
        <v>0</v>
      </c>
      <c r="K366" s="20">
        <v>100</v>
      </c>
      <c r="L366" t="s">
        <v>794</v>
      </c>
      <c r="M366">
        <f t="shared" si="5"/>
        <v>2025</v>
      </c>
    </row>
    <row r="367" spans="1:13" hidden="1">
      <c r="A367" t="s">
        <v>890</v>
      </c>
      <c r="B367" t="s">
        <v>247</v>
      </c>
      <c r="C367" t="s">
        <v>137</v>
      </c>
      <c r="D367" t="s">
        <v>908</v>
      </c>
      <c r="E367" s="1">
        <v>45694</v>
      </c>
      <c r="F367" s="1">
        <v>45694</v>
      </c>
      <c r="G367" s="12">
        <v>891.84</v>
      </c>
      <c r="H367" s="2">
        <v>0</v>
      </c>
      <c r="I367" s="2">
        <v>0</v>
      </c>
      <c r="J367" s="2">
        <v>0</v>
      </c>
      <c r="K367" s="20">
        <v>891.84</v>
      </c>
      <c r="L367" t="s">
        <v>794</v>
      </c>
      <c r="M367">
        <f t="shared" si="5"/>
        <v>2025</v>
      </c>
    </row>
    <row r="368" spans="1:13" hidden="1">
      <c r="A368" t="s">
        <v>819</v>
      </c>
      <c r="B368" t="s">
        <v>38</v>
      </c>
      <c r="C368" t="s">
        <v>137</v>
      </c>
      <c r="D368" t="s">
        <v>908</v>
      </c>
      <c r="E368" s="1">
        <v>45694</v>
      </c>
      <c r="F368" s="1">
        <v>45694</v>
      </c>
      <c r="G368" s="12">
        <v>1760</v>
      </c>
      <c r="H368" s="2">
        <v>0</v>
      </c>
      <c r="I368" s="2">
        <v>0</v>
      </c>
      <c r="J368" s="2">
        <v>0</v>
      </c>
      <c r="K368" s="20">
        <v>1760</v>
      </c>
      <c r="L368" t="s">
        <v>794</v>
      </c>
      <c r="M368">
        <f t="shared" si="5"/>
        <v>2025</v>
      </c>
    </row>
    <row r="369" spans="1:13" hidden="1">
      <c r="A369" t="s">
        <v>801</v>
      </c>
      <c r="B369" t="s">
        <v>13</v>
      </c>
      <c r="C369" t="s">
        <v>717</v>
      </c>
      <c r="D369" t="s">
        <v>908</v>
      </c>
      <c r="E369" s="1">
        <v>45694</v>
      </c>
      <c r="F369" s="1">
        <v>45694</v>
      </c>
      <c r="G369" s="12">
        <v>852.72</v>
      </c>
      <c r="H369" s="2">
        <v>0</v>
      </c>
      <c r="I369" s="2">
        <v>0</v>
      </c>
      <c r="J369" s="2">
        <v>0</v>
      </c>
      <c r="K369" s="20">
        <v>852.72</v>
      </c>
      <c r="L369" t="s">
        <v>794</v>
      </c>
      <c r="M369">
        <f t="shared" si="5"/>
        <v>2025</v>
      </c>
    </row>
    <row r="370" spans="1:13" hidden="1">
      <c r="A370" t="s">
        <v>956</v>
      </c>
      <c r="B370" t="s">
        <v>516</v>
      </c>
      <c r="C370" t="s">
        <v>764</v>
      </c>
      <c r="D370" t="s">
        <v>908</v>
      </c>
      <c r="E370" s="1">
        <v>45694</v>
      </c>
      <c r="F370" s="1">
        <v>45694</v>
      </c>
      <c r="G370" s="12">
        <v>100.8</v>
      </c>
      <c r="H370" s="2">
        <v>0</v>
      </c>
      <c r="I370" s="2">
        <v>0</v>
      </c>
      <c r="J370" s="2">
        <v>0</v>
      </c>
      <c r="K370" s="20">
        <v>100.8</v>
      </c>
      <c r="L370" t="s">
        <v>843</v>
      </c>
      <c r="M370">
        <f t="shared" si="5"/>
        <v>2025</v>
      </c>
    </row>
    <row r="371" spans="1:13" hidden="1">
      <c r="A371" t="s">
        <v>957</v>
      </c>
      <c r="B371" t="s">
        <v>39</v>
      </c>
      <c r="C371" t="s">
        <v>137</v>
      </c>
      <c r="D371" t="s">
        <v>908</v>
      </c>
      <c r="E371" s="1">
        <v>45694</v>
      </c>
      <c r="F371" s="1">
        <v>45694</v>
      </c>
      <c r="G371" s="12">
        <v>1492</v>
      </c>
      <c r="H371" s="2">
        <v>0</v>
      </c>
      <c r="I371" s="2">
        <v>0</v>
      </c>
      <c r="J371" s="2">
        <v>0</v>
      </c>
      <c r="K371" s="20">
        <v>1492</v>
      </c>
      <c r="L371" t="s">
        <v>794</v>
      </c>
      <c r="M371">
        <f t="shared" si="5"/>
        <v>2025</v>
      </c>
    </row>
    <row r="372" spans="1:13" hidden="1">
      <c r="A372" t="s">
        <v>826</v>
      </c>
      <c r="B372" t="s">
        <v>21</v>
      </c>
      <c r="C372" t="s">
        <v>137</v>
      </c>
      <c r="D372" t="s">
        <v>908</v>
      </c>
      <c r="E372" s="1">
        <v>45694</v>
      </c>
      <c r="F372" s="1">
        <v>45694</v>
      </c>
      <c r="G372" s="12">
        <v>1848</v>
      </c>
      <c r="H372" s="2">
        <v>0</v>
      </c>
      <c r="I372" s="2">
        <v>0</v>
      </c>
      <c r="J372" s="2">
        <v>0</v>
      </c>
      <c r="K372" s="20">
        <v>1848</v>
      </c>
      <c r="L372" t="s">
        <v>794</v>
      </c>
      <c r="M372">
        <f t="shared" si="5"/>
        <v>2025</v>
      </c>
    </row>
    <row r="373" spans="1:13" hidden="1">
      <c r="A373" t="s">
        <v>830</v>
      </c>
      <c r="B373" t="s">
        <v>273</v>
      </c>
      <c r="C373" t="s">
        <v>137</v>
      </c>
      <c r="D373" t="s">
        <v>908</v>
      </c>
      <c r="E373" s="1">
        <v>45694</v>
      </c>
      <c r="F373" s="1">
        <v>45694</v>
      </c>
      <c r="G373" s="12">
        <v>1182</v>
      </c>
      <c r="H373" s="2">
        <v>0</v>
      </c>
      <c r="I373" s="2">
        <v>0</v>
      </c>
      <c r="J373" s="2">
        <v>0</v>
      </c>
      <c r="K373" s="20">
        <v>1182</v>
      </c>
      <c r="L373" t="s">
        <v>794</v>
      </c>
      <c r="M373">
        <f t="shared" si="5"/>
        <v>2025</v>
      </c>
    </row>
    <row r="374" spans="1:13" hidden="1">
      <c r="A374" t="s">
        <v>815</v>
      </c>
      <c r="B374" t="s">
        <v>134</v>
      </c>
      <c r="C374" t="s">
        <v>137</v>
      </c>
      <c r="D374" t="s">
        <v>908</v>
      </c>
      <c r="E374" s="1">
        <v>45694</v>
      </c>
      <c r="F374" s="1">
        <v>45694</v>
      </c>
      <c r="G374" s="12">
        <v>571</v>
      </c>
      <c r="H374" s="2">
        <v>0</v>
      </c>
      <c r="I374" s="2">
        <v>0</v>
      </c>
      <c r="J374" s="2">
        <v>0</v>
      </c>
      <c r="K374" s="20">
        <v>571</v>
      </c>
      <c r="L374" t="s">
        <v>794</v>
      </c>
      <c r="M374">
        <f t="shared" si="5"/>
        <v>2025</v>
      </c>
    </row>
    <row r="375" spans="1:13" hidden="1">
      <c r="A375" t="s">
        <v>796</v>
      </c>
      <c r="B375" t="s">
        <v>181</v>
      </c>
      <c r="C375" t="s">
        <v>137</v>
      </c>
      <c r="D375" t="s">
        <v>908</v>
      </c>
      <c r="E375" s="1">
        <v>45694</v>
      </c>
      <c r="F375" s="1">
        <v>45694</v>
      </c>
      <c r="G375" s="12">
        <v>1521</v>
      </c>
      <c r="H375" s="2">
        <v>0</v>
      </c>
      <c r="I375" s="2">
        <v>0</v>
      </c>
      <c r="J375" s="2">
        <v>0</v>
      </c>
      <c r="K375" s="20">
        <v>1521</v>
      </c>
      <c r="L375" t="s">
        <v>794</v>
      </c>
      <c r="M375">
        <f t="shared" si="5"/>
        <v>2025</v>
      </c>
    </row>
    <row r="376" spans="1:13" hidden="1">
      <c r="A376" t="s">
        <v>831</v>
      </c>
      <c r="B376" t="s">
        <v>90</v>
      </c>
      <c r="C376" t="s">
        <v>137</v>
      </c>
      <c r="D376" t="s">
        <v>908</v>
      </c>
      <c r="E376" s="1">
        <v>45694</v>
      </c>
      <c r="F376" s="1">
        <v>45694</v>
      </c>
      <c r="G376" s="12">
        <v>1883</v>
      </c>
      <c r="H376" s="2">
        <v>0</v>
      </c>
      <c r="I376" s="2">
        <v>0</v>
      </c>
      <c r="J376" s="2">
        <v>0</v>
      </c>
      <c r="K376" s="20">
        <v>1883</v>
      </c>
      <c r="L376" t="s">
        <v>794</v>
      </c>
      <c r="M376">
        <f t="shared" si="5"/>
        <v>2025</v>
      </c>
    </row>
    <row r="377" spans="1:13" hidden="1">
      <c r="A377" t="s">
        <v>825</v>
      </c>
      <c r="B377" t="s">
        <v>46</v>
      </c>
      <c r="C377" t="s">
        <v>137</v>
      </c>
      <c r="D377" t="s">
        <v>908</v>
      </c>
      <c r="E377" s="1">
        <v>45694</v>
      </c>
      <c r="F377" s="1">
        <v>45694</v>
      </c>
      <c r="G377" s="12">
        <v>1492</v>
      </c>
      <c r="H377" s="2">
        <v>0</v>
      </c>
      <c r="I377" s="2">
        <v>0</v>
      </c>
      <c r="J377" s="2">
        <v>0</v>
      </c>
      <c r="K377" s="20">
        <v>1492</v>
      </c>
      <c r="L377" t="s">
        <v>794</v>
      </c>
      <c r="M377">
        <f t="shared" si="5"/>
        <v>2025</v>
      </c>
    </row>
    <row r="378" spans="1:13" hidden="1">
      <c r="A378" t="s">
        <v>816</v>
      </c>
      <c r="B378" t="s">
        <v>148</v>
      </c>
      <c r="C378" t="s">
        <v>137</v>
      </c>
      <c r="D378" t="s">
        <v>908</v>
      </c>
      <c r="E378" s="1">
        <v>45694</v>
      </c>
      <c r="F378" s="1">
        <v>45694</v>
      </c>
      <c r="G378" s="12">
        <v>1492</v>
      </c>
      <c r="H378" s="2">
        <v>0</v>
      </c>
      <c r="I378" s="2">
        <v>0</v>
      </c>
      <c r="J378" s="2">
        <v>0</v>
      </c>
      <c r="K378" s="20">
        <v>1492</v>
      </c>
      <c r="L378" t="s">
        <v>794</v>
      </c>
      <c r="M378">
        <f t="shared" si="5"/>
        <v>2025</v>
      </c>
    </row>
    <row r="379" spans="1:13" hidden="1">
      <c r="A379" t="s">
        <v>834</v>
      </c>
      <c r="B379" t="s">
        <v>135</v>
      </c>
      <c r="C379" t="s">
        <v>137</v>
      </c>
      <c r="D379" t="s">
        <v>908</v>
      </c>
      <c r="E379" s="1">
        <v>45694</v>
      </c>
      <c r="F379" s="1">
        <v>45694</v>
      </c>
      <c r="G379" s="12">
        <v>1492</v>
      </c>
      <c r="H379" s="2">
        <v>0</v>
      </c>
      <c r="I379" s="2">
        <v>0</v>
      </c>
      <c r="J379" s="2">
        <v>0</v>
      </c>
      <c r="K379" s="20">
        <v>1492</v>
      </c>
      <c r="L379" t="s">
        <v>794</v>
      </c>
      <c r="M379">
        <f t="shared" si="5"/>
        <v>2025</v>
      </c>
    </row>
    <row r="380" spans="1:13" hidden="1">
      <c r="A380" t="s">
        <v>814</v>
      </c>
      <c r="B380" t="s">
        <v>56</v>
      </c>
      <c r="C380" t="s">
        <v>137</v>
      </c>
      <c r="D380" t="s">
        <v>908</v>
      </c>
      <c r="E380" s="1">
        <v>45694</v>
      </c>
      <c r="F380" s="1">
        <v>45694</v>
      </c>
      <c r="G380" s="12">
        <v>1623</v>
      </c>
      <c r="H380" s="2">
        <v>0</v>
      </c>
      <c r="I380" s="2">
        <v>0</v>
      </c>
      <c r="J380" s="2">
        <v>0</v>
      </c>
      <c r="K380" s="20">
        <v>1623</v>
      </c>
      <c r="L380" t="s">
        <v>794</v>
      </c>
      <c r="M380">
        <f t="shared" si="5"/>
        <v>2025</v>
      </c>
    </row>
    <row r="381" spans="1:13" hidden="1">
      <c r="A381" t="s">
        <v>824</v>
      </c>
      <c r="B381" t="s">
        <v>157</v>
      </c>
      <c r="C381" t="s">
        <v>137</v>
      </c>
      <c r="D381" t="s">
        <v>908</v>
      </c>
      <c r="E381" s="1">
        <v>45694</v>
      </c>
      <c r="F381" s="1">
        <v>45694</v>
      </c>
      <c r="G381" s="12">
        <v>1557</v>
      </c>
      <c r="H381" s="2">
        <v>0</v>
      </c>
      <c r="I381" s="2">
        <v>0</v>
      </c>
      <c r="J381" s="2">
        <v>0</v>
      </c>
      <c r="K381" s="20">
        <v>1557</v>
      </c>
      <c r="L381" t="s">
        <v>794</v>
      </c>
      <c r="M381">
        <f t="shared" si="5"/>
        <v>2025</v>
      </c>
    </row>
    <row r="382" spans="1:13" hidden="1">
      <c r="A382" t="s">
        <v>832</v>
      </c>
      <c r="B382" t="s">
        <v>120</v>
      </c>
      <c r="C382" t="s">
        <v>137</v>
      </c>
      <c r="D382" t="s">
        <v>908</v>
      </c>
      <c r="E382" s="1">
        <v>45694</v>
      </c>
      <c r="F382" s="1">
        <v>45694</v>
      </c>
      <c r="G382" s="12">
        <v>1530</v>
      </c>
      <c r="H382" s="2">
        <v>0</v>
      </c>
      <c r="I382" s="2">
        <v>0</v>
      </c>
      <c r="J382" s="2">
        <v>0</v>
      </c>
      <c r="K382" s="20">
        <v>1530</v>
      </c>
      <c r="L382" t="s">
        <v>794</v>
      </c>
      <c r="M382">
        <f t="shared" si="5"/>
        <v>2025</v>
      </c>
    </row>
    <row r="383" spans="1:13" hidden="1">
      <c r="A383" t="s">
        <v>958</v>
      </c>
      <c r="B383" t="s">
        <v>392</v>
      </c>
      <c r="C383" t="s">
        <v>438</v>
      </c>
      <c r="D383" t="s">
        <v>908</v>
      </c>
      <c r="E383" s="1">
        <v>45694</v>
      </c>
      <c r="F383" s="1">
        <v>45694</v>
      </c>
      <c r="G383" s="12">
        <v>525.89</v>
      </c>
      <c r="H383" s="2">
        <v>0</v>
      </c>
      <c r="I383" s="2">
        <v>0</v>
      </c>
      <c r="J383" s="2">
        <v>0</v>
      </c>
      <c r="K383" s="20">
        <v>525.89</v>
      </c>
      <c r="L383" t="s">
        <v>794</v>
      </c>
      <c r="M383">
        <f t="shared" si="5"/>
        <v>2025</v>
      </c>
    </row>
    <row r="384" spans="1:13" hidden="1">
      <c r="A384" t="s">
        <v>836</v>
      </c>
      <c r="B384" t="s">
        <v>37</v>
      </c>
      <c r="C384" t="s">
        <v>137</v>
      </c>
      <c r="D384" t="s">
        <v>908</v>
      </c>
      <c r="E384" s="1">
        <v>45694</v>
      </c>
      <c r="F384" s="1">
        <v>45694</v>
      </c>
      <c r="G384" s="12">
        <v>445.98</v>
      </c>
      <c r="H384" s="2">
        <v>0</v>
      </c>
      <c r="I384" s="2">
        <v>0</v>
      </c>
      <c r="J384" s="2">
        <v>0</v>
      </c>
      <c r="K384" s="20">
        <v>445.98</v>
      </c>
      <c r="L384" t="s">
        <v>794</v>
      </c>
      <c r="M384">
        <f t="shared" si="5"/>
        <v>2025</v>
      </c>
    </row>
    <row r="385" spans="1:13" hidden="1">
      <c r="A385" t="s">
        <v>795</v>
      </c>
      <c r="B385" t="s">
        <v>258</v>
      </c>
      <c r="C385" t="s">
        <v>137</v>
      </c>
      <c r="D385" t="s">
        <v>908</v>
      </c>
      <c r="E385" s="1">
        <v>45694</v>
      </c>
      <c r="F385" s="1">
        <v>45694</v>
      </c>
      <c r="G385" s="12">
        <v>850</v>
      </c>
      <c r="H385" s="2">
        <v>0</v>
      </c>
      <c r="I385" s="2">
        <v>0</v>
      </c>
      <c r="J385" s="2">
        <v>0</v>
      </c>
      <c r="K385" s="20">
        <v>850</v>
      </c>
      <c r="L385" t="s">
        <v>794</v>
      </c>
      <c r="M385">
        <f t="shared" si="5"/>
        <v>2025</v>
      </c>
    </row>
    <row r="386" spans="1:13" hidden="1">
      <c r="A386" t="s">
        <v>829</v>
      </c>
      <c r="B386" t="s">
        <v>231</v>
      </c>
      <c r="C386" t="s">
        <v>137</v>
      </c>
      <c r="D386" t="s">
        <v>908</v>
      </c>
      <c r="E386" s="1">
        <v>45694</v>
      </c>
      <c r="F386" s="1">
        <v>45694</v>
      </c>
      <c r="G386" s="12">
        <v>1303</v>
      </c>
      <c r="H386" s="2">
        <v>0</v>
      </c>
      <c r="I386" s="2">
        <v>0</v>
      </c>
      <c r="J386" s="2">
        <v>0</v>
      </c>
      <c r="K386" s="20">
        <v>1303</v>
      </c>
      <c r="L386" t="s">
        <v>794</v>
      </c>
      <c r="M386">
        <f t="shared" si="5"/>
        <v>2025</v>
      </c>
    </row>
    <row r="387" spans="1:13" hidden="1">
      <c r="A387" t="s">
        <v>959</v>
      </c>
      <c r="B387" t="s">
        <v>547</v>
      </c>
      <c r="C387" t="s">
        <v>452</v>
      </c>
      <c r="D387" t="s">
        <v>908</v>
      </c>
      <c r="E387" s="1">
        <v>45694</v>
      </c>
      <c r="F387" s="1">
        <v>45694</v>
      </c>
      <c r="G387" s="12">
        <v>99</v>
      </c>
      <c r="H387" s="2">
        <v>0</v>
      </c>
      <c r="I387" s="2">
        <v>0</v>
      </c>
      <c r="J387" s="2">
        <v>0</v>
      </c>
      <c r="K387" s="20">
        <v>99</v>
      </c>
      <c r="L387" t="s">
        <v>794</v>
      </c>
      <c r="M387">
        <f t="shared" ref="M387:M450" si="6">YEAR(F387)</f>
        <v>2025</v>
      </c>
    </row>
    <row r="388" spans="1:13" hidden="1">
      <c r="A388" t="s">
        <v>812</v>
      </c>
      <c r="B388" t="s">
        <v>31</v>
      </c>
      <c r="C388" t="s">
        <v>137</v>
      </c>
      <c r="D388" t="s">
        <v>908</v>
      </c>
      <c r="E388" s="1">
        <v>45694</v>
      </c>
      <c r="F388" s="1">
        <v>45694</v>
      </c>
      <c r="G388" s="12">
        <v>1748</v>
      </c>
      <c r="H388" s="2">
        <v>0</v>
      </c>
      <c r="I388" s="2">
        <v>0</v>
      </c>
      <c r="J388" s="2">
        <v>0</v>
      </c>
      <c r="K388" s="20">
        <v>1748</v>
      </c>
      <c r="L388" t="s">
        <v>794</v>
      </c>
      <c r="M388">
        <f t="shared" si="6"/>
        <v>2025</v>
      </c>
    </row>
    <row r="389" spans="1:13" hidden="1">
      <c r="A389" t="s">
        <v>828</v>
      </c>
      <c r="B389" t="s">
        <v>242</v>
      </c>
      <c r="C389" t="s">
        <v>137</v>
      </c>
      <c r="D389" t="s">
        <v>908</v>
      </c>
      <c r="E389" s="1">
        <v>45694</v>
      </c>
      <c r="F389" s="1">
        <v>45694</v>
      </c>
      <c r="G389" s="12">
        <v>900</v>
      </c>
      <c r="H389" s="2">
        <v>0</v>
      </c>
      <c r="I389" s="2">
        <v>0</v>
      </c>
      <c r="J389" s="2">
        <v>0</v>
      </c>
      <c r="K389" s="20">
        <v>900</v>
      </c>
      <c r="L389" t="s">
        <v>794</v>
      </c>
      <c r="M389">
        <f t="shared" si="6"/>
        <v>2025</v>
      </c>
    </row>
    <row r="390" spans="1:13" hidden="1">
      <c r="A390" t="s">
        <v>818</v>
      </c>
      <c r="B390" t="s">
        <v>30</v>
      </c>
      <c r="C390" t="s">
        <v>137</v>
      </c>
      <c r="D390" t="s">
        <v>908</v>
      </c>
      <c r="E390" s="1">
        <v>45694</v>
      </c>
      <c r="F390" s="1">
        <v>45694</v>
      </c>
      <c r="G390" s="12">
        <v>1358</v>
      </c>
      <c r="H390" s="2">
        <v>0</v>
      </c>
      <c r="I390" s="2">
        <v>0</v>
      </c>
      <c r="J390" s="2">
        <v>0</v>
      </c>
      <c r="K390" s="20">
        <v>1358</v>
      </c>
      <c r="L390" t="s">
        <v>794</v>
      </c>
      <c r="M390">
        <f t="shared" si="6"/>
        <v>2025</v>
      </c>
    </row>
    <row r="391" spans="1:13" hidden="1">
      <c r="A391" t="s">
        <v>960</v>
      </c>
      <c r="B391" t="s">
        <v>629</v>
      </c>
      <c r="C391" t="s">
        <v>452</v>
      </c>
      <c r="D391" t="s">
        <v>908</v>
      </c>
      <c r="E391" s="1">
        <v>45695</v>
      </c>
      <c r="F391" s="1">
        <v>45695</v>
      </c>
      <c r="G391" s="12">
        <v>49</v>
      </c>
      <c r="H391" s="2">
        <v>0</v>
      </c>
      <c r="I391" s="2">
        <v>0</v>
      </c>
      <c r="J391" s="2">
        <v>0</v>
      </c>
      <c r="K391" s="20">
        <v>49</v>
      </c>
      <c r="L391" t="s">
        <v>794</v>
      </c>
      <c r="M391">
        <f t="shared" si="6"/>
        <v>2025</v>
      </c>
    </row>
    <row r="392" spans="1:13" hidden="1">
      <c r="A392" t="s">
        <v>801</v>
      </c>
      <c r="B392" t="s">
        <v>13</v>
      </c>
      <c r="C392" t="s">
        <v>726</v>
      </c>
      <c r="D392" t="s">
        <v>908</v>
      </c>
      <c r="E392" s="1">
        <v>45695</v>
      </c>
      <c r="F392" s="1">
        <v>45695</v>
      </c>
      <c r="G392" s="12">
        <v>4.08</v>
      </c>
      <c r="H392" s="2">
        <v>0</v>
      </c>
      <c r="I392" s="2">
        <v>0</v>
      </c>
      <c r="J392" s="2">
        <v>0</v>
      </c>
      <c r="K392" s="20">
        <v>4.08</v>
      </c>
      <c r="L392" t="s">
        <v>794</v>
      </c>
      <c r="M392">
        <f t="shared" si="6"/>
        <v>2025</v>
      </c>
    </row>
    <row r="393" spans="1:13" hidden="1">
      <c r="A393" t="s">
        <v>945</v>
      </c>
      <c r="B393" t="s">
        <v>143</v>
      </c>
      <c r="C393" t="s">
        <v>140</v>
      </c>
      <c r="D393" t="s">
        <v>908</v>
      </c>
      <c r="E393" s="1">
        <v>45695</v>
      </c>
      <c r="F393" s="1">
        <v>45695</v>
      </c>
      <c r="G393" s="12">
        <v>30</v>
      </c>
      <c r="H393" s="2">
        <v>0</v>
      </c>
      <c r="I393" s="2">
        <v>0</v>
      </c>
      <c r="J393" s="2">
        <v>0</v>
      </c>
      <c r="K393" s="20">
        <v>30</v>
      </c>
      <c r="L393" t="s">
        <v>794</v>
      </c>
      <c r="M393">
        <f t="shared" si="6"/>
        <v>2025</v>
      </c>
    </row>
    <row r="394" spans="1:13" hidden="1">
      <c r="A394" t="s">
        <v>961</v>
      </c>
      <c r="B394" t="s">
        <v>41</v>
      </c>
      <c r="C394" t="s">
        <v>138</v>
      </c>
      <c r="D394" t="s">
        <v>908</v>
      </c>
      <c r="E394" s="1">
        <v>45695</v>
      </c>
      <c r="F394" s="1">
        <v>45695</v>
      </c>
      <c r="G394" s="12">
        <v>56.56</v>
      </c>
      <c r="H394" s="2">
        <v>0</v>
      </c>
      <c r="I394" s="2">
        <v>0</v>
      </c>
      <c r="J394" s="2">
        <v>0</v>
      </c>
      <c r="K394" s="20">
        <v>56.56</v>
      </c>
      <c r="L394" t="s">
        <v>794</v>
      </c>
      <c r="M394">
        <f t="shared" si="6"/>
        <v>2025</v>
      </c>
    </row>
    <row r="395" spans="1:13" hidden="1">
      <c r="A395" t="s">
        <v>962</v>
      </c>
      <c r="B395" t="s">
        <v>662</v>
      </c>
      <c r="C395" t="s">
        <v>140</v>
      </c>
      <c r="D395" t="s">
        <v>908</v>
      </c>
      <c r="E395" s="1">
        <v>45695</v>
      </c>
      <c r="F395" s="1">
        <v>45695</v>
      </c>
      <c r="G395" s="12">
        <v>30</v>
      </c>
      <c r="H395" s="2">
        <v>0</v>
      </c>
      <c r="I395" s="2">
        <v>0</v>
      </c>
      <c r="J395" s="2">
        <v>0</v>
      </c>
      <c r="K395" s="20">
        <v>30</v>
      </c>
      <c r="L395" t="s">
        <v>794</v>
      </c>
      <c r="M395">
        <f t="shared" si="6"/>
        <v>2025</v>
      </c>
    </row>
    <row r="396" spans="1:13" hidden="1">
      <c r="A396" t="s">
        <v>961</v>
      </c>
      <c r="B396" t="s">
        <v>41</v>
      </c>
      <c r="C396" t="s">
        <v>139</v>
      </c>
      <c r="D396" t="s">
        <v>908</v>
      </c>
      <c r="E396" s="1">
        <v>45695</v>
      </c>
      <c r="F396" s="1">
        <v>45695</v>
      </c>
      <c r="G396" s="12">
        <v>132.65</v>
      </c>
      <c r="H396" s="2">
        <v>0</v>
      </c>
      <c r="I396" s="2">
        <v>0</v>
      </c>
      <c r="J396" s="2">
        <v>0</v>
      </c>
      <c r="K396" s="20">
        <v>132.65</v>
      </c>
      <c r="L396" t="s">
        <v>794</v>
      </c>
      <c r="M396">
        <f t="shared" si="6"/>
        <v>2025</v>
      </c>
    </row>
    <row r="397" spans="1:13" hidden="1">
      <c r="A397" t="s">
        <v>963</v>
      </c>
      <c r="B397" t="s">
        <v>217</v>
      </c>
      <c r="C397" t="s">
        <v>140</v>
      </c>
      <c r="D397" t="s">
        <v>908</v>
      </c>
      <c r="E397" s="1">
        <v>45695</v>
      </c>
      <c r="F397" s="1">
        <v>45695</v>
      </c>
      <c r="G397" s="12">
        <v>30</v>
      </c>
      <c r="H397" s="2">
        <v>0</v>
      </c>
      <c r="I397" s="2">
        <v>0</v>
      </c>
      <c r="J397" s="2">
        <v>0</v>
      </c>
      <c r="K397" s="20">
        <v>30</v>
      </c>
      <c r="L397" t="s">
        <v>794</v>
      </c>
      <c r="M397">
        <f t="shared" si="6"/>
        <v>2025</v>
      </c>
    </row>
    <row r="398" spans="1:13" hidden="1">
      <c r="A398" t="s">
        <v>832</v>
      </c>
      <c r="B398" t="s">
        <v>120</v>
      </c>
      <c r="C398" t="s">
        <v>733</v>
      </c>
      <c r="D398" t="s">
        <v>908</v>
      </c>
      <c r="E398" s="1">
        <v>45695</v>
      </c>
      <c r="F398" s="1">
        <v>45695</v>
      </c>
      <c r="G398" s="12">
        <v>97.89</v>
      </c>
      <c r="H398" s="2">
        <v>0</v>
      </c>
      <c r="I398" s="2">
        <v>0</v>
      </c>
      <c r="J398" s="2">
        <v>0</v>
      </c>
      <c r="K398" s="20">
        <v>97.89</v>
      </c>
      <c r="L398" t="s">
        <v>794</v>
      </c>
      <c r="M398">
        <f t="shared" si="6"/>
        <v>2025</v>
      </c>
    </row>
    <row r="399" spans="1:13" hidden="1">
      <c r="A399" t="s">
        <v>801</v>
      </c>
      <c r="B399" t="s">
        <v>13</v>
      </c>
      <c r="C399" t="s">
        <v>726</v>
      </c>
      <c r="D399" t="s">
        <v>908</v>
      </c>
      <c r="E399" s="1">
        <v>45695</v>
      </c>
      <c r="F399" s="1">
        <v>45695</v>
      </c>
      <c r="G399" s="12">
        <v>79.56</v>
      </c>
      <c r="H399" s="2">
        <v>0</v>
      </c>
      <c r="I399" s="2">
        <v>0</v>
      </c>
      <c r="J399" s="2">
        <v>0</v>
      </c>
      <c r="K399" s="20">
        <v>79.56</v>
      </c>
      <c r="L399" t="s">
        <v>794</v>
      </c>
      <c r="M399">
        <f t="shared" si="6"/>
        <v>2025</v>
      </c>
    </row>
    <row r="400" spans="1:13" hidden="1">
      <c r="A400" t="s">
        <v>964</v>
      </c>
      <c r="B400" t="s">
        <v>463</v>
      </c>
      <c r="C400" t="s">
        <v>438</v>
      </c>
      <c r="D400" t="s">
        <v>908</v>
      </c>
      <c r="E400" s="1">
        <v>45695</v>
      </c>
      <c r="F400" s="1">
        <v>45695</v>
      </c>
      <c r="G400" s="12">
        <v>199.9</v>
      </c>
      <c r="H400" s="2">
        <v>0</v>
      </c>
      <c r="I400" s="2">
        <v>0</v>
      </c>
      <c r="J400" s="2">
        <v>0</v>
      </c>
      <c r="K400" s="20">
        <v>199.9</v>
      </c>
      <c r="L400" t="s">
        <v>794</v>
      </c>
      <c r="M400">
        <f t="shared" si="6"/>
        <v>2025</v>
      </c>
    </row>
    <row r="401" spans="1:13" hidden="1">
      <c r="A401" t="s">
        <v>965</v>
      </c>
      <c r="B401" t="s">
        <v>271</v>
      </c>
      <c r="C401" t="s">
        <v>137</v>
      </c>
      <c r="D401" t="s">
        <v>908</v>
      </c>
      <c r="E401" s="1">
        <v>45696</v>
      </c>
      <c r="F401" s="1">
        <v>45696</v>
      </c>
      <c r="G401" s="12">
        <v>1193</v>
      </c>
      <c r="H401" s="2">
        <v>0</v>
      </c>
      <c r="I401" s="2">
        <v>0</v>
      </c>
      <c r="J401" s="2">
        <v>0</v>
      </c>
      <c r="K401" s="20">
        <v>1193</v>
      </c>
      <c r="L401" t="s">
        <v>794</v>
      </c>
      <c r="M401">
        <f t="shared" si="6"/>
        <v>2025</v>
      </c>
    </row>
    <row r="402" spans="1:13" hidden="1">
      <c r="A402" t="s">
        <v>966</v>
      </c>
      <c r="B402" t="s">
        <v>214</v>
      </c>
      <c r="C402" t="s">
        <v>137</v>
      </c>
      <c r="D402" t="s">
        <v>908</v>
      </c>
      <c r="E402" s="1">
        <v>45696</v>
      </c>
      <c r="F402" s="1">
        <v>45696</v>
      </c>
      <c r="G402" s="12">
        <v>1672.46</v>
      </c>
      <c r="H402" s="2">
        <v>0</v>
      </c>
      <c r="I402" s="2">
        <v>0</v>
      </c>
      <c r="J402" s="2">
        <v>0</v>
      </c>
      <c r="K402" s="20">
        <v>1672.46</v>
      </c>
      <c r="L402" t="s">
        <v>794</v>
      </c>
      <c r="M402">
        <f t="shared" si="6"/>
        <v>2025</v>
      </c>
    </row>
    <row r="403" spans="1:13" hidden="1">
      <c r="A403" t="s">
        <v>967</v>
      </c>
      <c r="B403" t="s">
        <v>968</v>
      </c>
      <c r="C403" t="s">
        <v>141</v>
      </c>
      <c r="D403" t="s">
        <v>908</v>
      </c>
      <c r="E403" s="1">
        <v>45698</v>
      </c>
      <c r="F403" s="1">
        <v>45698</v>
      </c>
      <c r="G403" s="12">
        <v>251</v>
      </c>
      <c r="H403" s="2">
        <v>0</v>
      </c>
      <c r="I403" s="2">
        <v>0</v>
      </c>
      <c r="J403" s="2">
        <v>0</v>
      </c>
      <c r="K403" s="20">
        <v>251</v>
      </c>
      <c r="L403" t="s">
        <v>794</v>
      </c>
      <c r="M403">
        <f t="shared" si="6"/>
        <v>2025</v>
      </c>
    </row>
    <row r="404" spans="1:13" hidden="1">
      <c r="A404" t="s">
        <v>919</v>
      </c>
      <c r="B404" t="s">
        <v>920</v>
      </c>
      <c r="C404" t="s">
        <v>141</v>
      </c>
      <c r="D404" t="s">
        <v>908</v>
      </c>
      <c r="E404" s="1">
        <v>45698</v>
      </c>
      <c r="F404" s="1">
        <v>45698</v>
      </c>
      <c r="G404" s="12">
        <v>840</v>
      </c>
      <c r="H404" s="2">
        <v>0</v>
      </c>
      <c r="I404" s="2">
        <v>0</v>
      </c>
      <c r="J404" s="2">
        <v>0</v>
      </c>
      <c r="K404" s="20">
        <v>840</v>
      </c>
      <c r="L404" t="s">
        <v>794</v>
      </c>
      <c r="M404">
        <f t="shared" si="6"/>
        <v>2025</v>
      </c>
    </row>
    <row r="405" spans="1:13" hidden="1">
      <c r="A405" t="s">
        <v>919</v>
      </c>
      <c r="B405" t="s">
        <v>920</v>
      </c>
      <c r="C405" t="s">
        <v>141</v>
      </c>
      <c r="D405" t="s">
        <v>908</v>
      </c>
      <c r="E405" s="1">
        <v>45698</v>
      </c>
      <c r="F405" s="1">
        <v>45698</v>
      </c>
      <c r="G405" s="12">
        <v>106</v>
      </c>
      <c r="H405" s="2">
        <v>0</v>
      </c>
      <c r="I405" s="2">
        <v>0</v>
      </c>
      <c r="J405" s="2">
        <v>0</v>
      </c>
      <c r="K405" s="20">
        <v>106</v>
      </c>
      <c r="L405" t="s">
        <v>794</v>
      </c>
      <c r="M405">
        <f t="shared" si="6"/>
        <v>2025</v>
      </c>
    </row>
    <row r="406" spans="1:13" hidden="1">
      <c r="A406" t="s">
        <v>844</v>
      </c>
      <c r="B406" t="s">
        <v>18</v>
      </c>
      <c r="C406" t="s">
        <v>719</v>
      </c>
      <c r="D406" t="s">
        <v>908</v>
      </c>
      <c r="E406" s="1">
        <v>45698</v>
      </c>
      <c r="F406" s="1">
        <v>45698</v>
      </c>
      <c r="G406" s="12">
        <v>11317</v>
      </c>
      <c r="H406" s="2">
        <v>0</v>
      </c>
      <c r="I406" s="2">
        <v>0</v>
      </c>
      <c r="J406" s="2">
        <v>0</v>
      </c>
      <c r="K406" s="20">
        <v>11317</v>
      </c>
      <c r="L406" t="s">
        <v>794</v>
      </c>
      <c r="M406">
        <f t="shared" si="6"/>
        <v>2025</v>
      </c>
    </row>
    <row r="407" spans="1:13" hidden="1">
      <c r="A407" t="s">
        <v>969</v>
      </c>
      <c r="B407" t="s">
        <v>121</v>
      </c>
      <c r="C407" t="s">
        <v>721</v>
      </c>
      <c r="D407" t="s">
        <v>908</v>
      </c>
      <c r="E407" s="1">
        <v>45698</v>
      </c>
      <c r="F407" s="1">
        <v>45698</v>
      </c>
      <c r="G407" s="12">
        <v>1000</v>
      </c>
      <c r="H407" s="2">
        <v>0</v>
      </c>
      <c r="I407" s="2">
        <v>0</v>
      </c>
      <c r="J407" s="2">
        <v>0</v>
      </c>
      <c r="K407" s="20">
        <v>1000</v>
      </c>
      <c r="L407" t="s">
        <v>794</v>
      </c>
      <c r="M407">
        <f t="shared" si="6"/>
        <v>2025</v>
      </c>
    </row>
    <row r="408" spans="1:13" hidden="1">
      <c r="A408" t="s">
        <v>848</v>
      </c>
      <c r="B408" t="s">
        <v>14</v>
      </c>
      <c r="C408" t="s">
        <v>714</v>
      </c>
      <c r="D408" t="s">
        <v>908</v>
      </c>
      <c r="E408" s="1">
        <v>45698</v>
      </c>
      <c r="F408" s="1">
        <v>45698</v>
      </c>
      <c r="G408" s="12">
        <v>26091.79</v>
      </c>
      <c r="H408" s="2">
        <v>0</v>
      </c>
      <c r="I408" s="2">
        <v>0</v>
      </c>
      <c r="J408" s="2">
        <v>0</v>
      </c>
      <c r="K408" s="20">
        <v>26091.79</v>
      </c>
      <c r="L408" t="s">
        <v>794</v>
      </c>
      <c r="M408">
        <f t="shared" si="6"/>
        <v>2025</v>
      </c>
    </row>
    <row r="409" spans="1:13" hidden="1">
      <c r="A409" t="s">
        <v>970</v>
      </c>
      <c r="B409" t="s">
        <v>971</v>
      </c>
      <c r="C409" t="s">
        <v>201</v>
      </c>
      <c r="D409" t="s">
        <v>908</v>
      </c>
      <c r="E409" s="1">
        <v>45698</v>
      </c>
      <c r="F409" s="1">
        <v>45698</v>
      </c>
      <c r="G409" s="12">
        <v>1440</v>
      </c>
      <c r="H409" s="2">
        <v>0</v>
      </c>
      <c r="I409" s="2">
        <v>0</v>
      </c>
      <c r="J409" s="2">
        <v>0</v>
      </c>
      <c r="K409" s="20">
        <v>1440</v>
      </c>
      <c r="L409" t="s">
        <v>794</v>
      </c>
      <c r="M409">
        <f t="shared" si="6"/>
        <v>2025</v>
      </c>
    </row>
    <row r="410" spans="1:13" hidden="1">
      <c r="A410" t="s">
        <v>972</v>
      </c>
      <c r="B410" t="s">
        <v>973</v>
      </c>
      <c r="C410" t="s">
        <v>201</v>
      </c>
      <c r="D410" t="s">
        <v>908</v>
      </c>
      <c r="E410" s="1">
        <v>45698</v>
      </c>
      <c r="F410" s="1">
        <v>45698</v>
      </c>
      <c r="G410" s="12">
        <v>1840</v>
      </c>
      <c r="H410" s="2">
        <v>0</v>
      </c>
      <c r="I410" s="2">
        <v>0</v>
      </c>
      <c r="J410" s="2">
        <v>0</v>
      </c>
      <c r="K410" s="20">
        <v>1840</v>
      </c>
      <c r="L410" t="s">
        <v>794</v>
      </c>
      <c r="M410">
        <f t="shared" si="6"/>
        <v>2025</v>
      </c>
    </row>
    <row r="411" spans="1:13" hidden="1">
      <c r="A411" t="s">
        <v>974</v>
      </c>
      <c r="B411" t="s">
        <v>174</v>
      </c>
      <c r="C411" t="s">
        <v>201</v>
      </c>
      <c r="D411" t="s">
        <v>908</v>
      </c>
      <c r="E411" s="1">
        <v>45698</v>
      </c>
      <c r="F411" s="1">
        <v>45698</v>
      </c>
      <c r="G411" s="12">
        <v>640</v>
      </c>
      <c r="H411" s="2">
        <v>0</v>
      </c>
      <c r="I411" s="2">
        <v>0</v>
      </c>
      <c r="J411" s="2">
        <v>0</v>
      </c>
      <c r="K411" s="20">
        <v>640</v>
      </c>
      <c r="L411" t="s">
        <v>794</v>
      </c>
      <c r="M411">
        <f t="shared" si="6"/>
        <v>2025</v>
      </c>
    </row>
    <row r="412" spans="1:13" hidden="1">
      <c r="A412" t="s">
        <v>855</v>
      </c>
      <c r="B412" t="s">
        <v>20</v>
      </c>
      <c r="C412" t="s">
        <v>201</v>
      </c>
      <c r="D412" t="s">
        <v>908</v>
      </c>
      <c r="E412" s="1">
        <v>45698</v>
      </c>
      <c r="F412" s="1">
        <v>45698</v>
      </c>
      <c r="G412" s="12">
        <v>1360</v>
      </c>
      <c r="H412" s="2">
        <v>0</v>
      </c>
      <c r="I412" s="2">
        <v>0</v>
      </c>
      <c r="J412" s="2">
        <v>0</v>
      </c>
      <c r="K412" s="20">
        <v>1360</v>
      </c>
      <c r="L412" t="s">
        <v>794</v>
      </c>
      <c r="M412">
        <f t="shared" si="6"/>
        <v>2025</v>
      </c>
    </row>
    <row r="413" spans="1:13" hidden="1">
      <c r="A413" t="s">
        <v>975</v>
      </c>
      <c r="B413" t="s">
        <v>36</v>
      </c>
      <c r="C413" t="s">
        <v>201</v>
      </c>
      <c r="D413" t="s">
        <v>908</v>
      </c>
      <c r="E413" s="1">
        <v>45698</v>
      </c>
      <c r="F413" s="1">
        <v>45698</v>
      </c>
      <c r="G413" s="12">
        <v>1042.26</v>
      </c>
      <c r="H413" s="2">
        <v>0</v>
      </c>
      <c r="I413" s="2">
        <v>0</v>
      </c>
      <c r="J413" s="2">
        <v>0</v>
      </c>
      <c r="K413" s="20">
        <v>1042.26</v>
      </c>
      <c r="L413" t="s">
        <v>794</v>
      </c>
      <c r="M413">
        <f t="shared" si="6"/>
        <v>2025</v>
      </c>
    </row>
    <row r="414" spans="1:13" hidden="1">
      <c r="A414" t="s">
        <v>976</v>
      </c>
      <c r="B414" t="s">
        <v>79</v>
      </c>
      <c r="C414" t="s">
        <v>201</v>
      </c>
      <c r="D414" t="s">
        <v>908</v>
      </c>
      <c r="E414" s="1">
        <v>45698</v>
      </c>
      <c r="F414" s="1">
        <v>45698</v>
      </c>
      <c r="G414" s="12">
        <v>920</v>
      </c>
      <c r="H414" s="2">
        <v>0</v>
      </c>
      <c r="I414" s="2">
        <v>0</v>
      </c>
      <c r="J414" s="2">
        <v>0</v>
      </c>
      <c r="K414" s="20">
        <v>920</v>
      </c>
      <c r="L414" t="s">
        <v>794</v>
      </c>
      <c r="M414">
        <f t="shared" si="6"/>
        <v>2025</v>
      </c>
    </row>
    <row r="415" spans="1:13" hidden="1">
      <c r="A415" t="s">
        <v>977</v>
      </c>
      <c r="B415" t="s">
        <v>61</v>
      </c>
      <c r="C415" t="s">
        <v>201</v>
      </c>
      <c r="D415" t="s">
        <v>908</v>
      </c>
      <c r="E415" s="1">
        <v>45698</v>
      </c>
      <c r="F415" s="1">
        <v>45698</v>
      </c>
      <c r="G415" s="12">
        <v>1200</v>
      </c>
      <c r="H415" s="2">
        <v>0</v>
      </c>
      <c r="I415" s="2">
        <v>0</v>
      </c>
      <c r="J415" s="2">
        <v>0</v>
      </c>
      <c r="K415" s="20">
        <v>1200</v>
      </c>
      <c r="L415" t="s">
        <v>794</v>
      </c>
      <c r="M415">
        <f t="shared" si="6"/>
        <v>2025</v>
      </c>
    </row>
    <row r="416" spans="1:13" hidden="1">
      <c r="A416" t="s">
        <v>978</v>
      </c>
      <c r="B416" t="s">
        <v>78</v>
      </c>
      <c r="C416" t="s">
        <v>201</v>
      </c>
      <c r="D416" t="s">
        <v>908</v>
      </c>
      <c r="E416" s="1">
        <v>45698</v>
      </c>
      <c r="F416" s="1">
        <v>45698</v>
      </c>
      <c r="G416" s="12">
        <v>2755.8</v>
      </c>
      <c r="H416" s="2">
        <v>0</v>
      </c>
      <c r="I416" s="2">
        <v>0</v>
      </c>
      <c r="J416" s="2">
        <v>0</v>
      </c>
      <c r="K416" s="20">
        <v>2755.8</v>
      </c>
      <c r="L416" t="s">
        <v>794</v>
      </c>
      <c r="M416">
        <f t="shared" si="6"/>
        <v>2025</v>
      </c>
    </row>
    <row r="417" spans="1:13" hidden="1">
      <c r="A417" t="s">
        <v>979</v>
      </c>
      <c r="B417" t="s">
        <v>126</v>
      </c>
      <c r="C417" t="s">
        <v>200</v>
      </c>
      <c r="D417" t="s">
        <v>908</v>
      </c>
      <c r="E417" s="1">
        <v>45698</v>
      </c>
      <c r="F417" s="1">
        <v>45698</v>
      </c>
      <c r="G417" s="12">
        <v>2600</v>
      </c>
      <c r="H417" s="2">
        <v>0</v>
      </c>
      <c r="I417" s="2">
        <v>0</v>
      </c>
      <c r="J417" s="2">
        <v>0</v>
      </c>
      <c r="K417" s="20">
        <v>2600</v>
      </c>
      <c r="L417" t="s">
        <v>794</v>
      </c>
      <c r="M417">
        <f t="shared" si="6"/>
        <v>2025</v>
      </c>
    </row>
    <row r="418" spans="1:13" hidden="1">
      <c r="A418" t="s">
        <v>801</v>
      </c>
      <c r="B418" t="s">
        <v>13</v>
      </c>
      <c r="C418" t="s">
        <v>726</v>
      </c>
      <c r="D418" t="s">
        <v>908</v>
      </c>
      <c r="E418" s="1">
        <v>45698</v>
      </c>
      <c r="F418" s="1">
        <v>45698</v>
      </c>
      <c r="G418" s="12">
        <v>4.08</v>
      </c>
      <c r="H418" s="2">
        <v>0</v>
      </c>
      <c r="I418" s="2">
        <v>0</v>
      </c>
      <c r="J418" s="2">
        <v>0</v>
      </c>
      <c r="K418" s="20">
        <v>4.08</v>
      </c>
      <c r="L418" t="s">
        <v>794</v>
      </c>
      <c r="M418">
        <f t="shared" si="6"/>
        <v>2025</v>
      </c>
    </row>
    <row r="419" spans="1:13" hidden="1">
      <c r="A419" t="s">
        <v>845</v>
      </c>
      <c r="B419" t="s">
        <v>112</v>
      </c>
      <c r="C419" t="s">
        <v>729</v>
      </c>
      <c r="D419" t="s">
        <v>908</v>
      </c>
      <c r="E419" s="1">
        <v>45698</v>
      </c>
      <c r="F419" s="1">
        <v>45698</v>
      </c>
      <c r="G419" s="12">
        <v>2366.5700000000002</v>
      </c>
      <c r="H419" s="2">
        <v>0</v>
      </c>
      <c r="I419" s="2">
        <v>0</v>
      </c>
      <c r="J419" s="2">
        <v>0</v>
      </c>
      <c r="K419" s="20">
        <v>2366.5700000000002</v>
      </c>
      <c r="L419" t="s">
        <v>794</v>
      </c>
      <c r="M419">
        <f t="shared" si="6"/>
        <v>2025</v>
      </c>
    </row>
    <row r="420" spans="1:13" hidden="1">
      <c r="A420" t="s">
        <v>870</v>
      </c>
      <c r="B420" t="s">
        <v>353</v>
      </c>
      <c r="C420" t="s">
        <v>761</v>
      </c>
      <c r="D420" t="s">
        <v>908</v>
      </c>
      <c r="E420" s="1">
        <v>45698</v>
      </c>
      <c r="F420" s="1">
        <v>45698</v>
      </c>
      <c r="G420" s="12">
        <v>120</v>
      </c>
      <c r="H420" s="2">
        <v>0</v>
      </c>
      <c r="I420" s="2">
        <v>0</v>
      </c>
      <c r="J420" s="2">
        <v>0</v>
      </c>
      <c r="K420" s="20">
        <v>120</v>
      </c>
      <c r="L420" t="s">
        <v>794</v>
      </c>
      <c r="M420">
        <f t="shared" si="6"/>
        <v>2025</v>
      </c>
    </row>
    <row r="421" spans="1:13" hidden="1">
      <c r="A421" t="s">
        <v>815</v>
      </c>
      <c r="B421" t="s">
        <v>134</v>
      </c>
      <c r="C421" t="s">
        <v>141</v>
      </c>
      <c r="D421" t="s">
        <v>908</v>
      </c>
      <c r="E421" s="1">
        <v>45698</v>
      </c>
      <c r="F421" s="1">
        <v>45698</v>
      </c>
      <c r="G421" s="12">
        <v>49</v>
      </c>
      <c r="H421" s="2">
        <v>0</v>
      </c>
      <c r="I421" s="2">
        <v>0</v>
      </c>
      <c r="J421" s="2">
        <v>0</v>
      </c>
      <c r="K421" s="20">
        <v>49</v>
      </c>
      <c r="L421" t="s">
        <v>794</v>
      </c>
      <c r="M421">
        <f t="shared" si="6"/>
        <v>2025</v>
      </c>
    </row>
    <row r="422" spans="1:13" hidden="1">
      <c r="A422" t="s">
        <v>980</v>
      </c>
      <c r="B422" t="s">
        <v>246</v>
      </c>
      <c r="C422" t="s">
        <v>398</v>
      </c>
      <c r="D422" t="s">
        <v>908</v>
      </c>
      <c r="E422" s="1">
        <v>45698</v>
      </c>
      <c r="F422" s="1">
        <v>45698</v>
      </c>
      <c r="G422" s="12">
        <v>363.76</v>
      </c>
      <c r="H422" s="2">
        <v>0</v>
      </c>
      <c r="I422" s="2">
        <v>0</v>
      </c>
      <c r="J422" s="2">
        <v>0</v>
      </c>
      <c r="K422" s="20">
        <v>363.76</v>
      </c>
      <c r="L422" t="s">
        <v>794</v>
      </c>
      <c r="M422">
        <f t="shared" si="6"/>
        <v>2025</v>
      </c>
    </row>
    <row r="423" spans="1:13" hidden="1">
      <c r="A423" t="s">
        <v>847</v>
      </c>
      <c r="B423" t="s">
        <v>169</v>
      </c>
      <c r="C423" t="s">
        <v>722</v>
      </c>
      <c r="D423" t="s">
        <v>908</v>
      </c>
      <c r="E423" s="1">
        <v>45698</v>
      </c>
      <c r="F423" s="1">
        <v>45698</v>
      </c>
      <c r="G423" s="12">
        <v>209.81</v>
      </c>
      <c r="H423" s="2">
        <v>0</v>
      </c>
      <c r="I423" s="2">
        <v>0</v>
      </c>
      <c r="J423" s="2">
        <v>0</v>
      </c>
      <c r="K423" s="20">
        <v>209.81</v>
      </c>
      <c r="L423" t="s">
        <v>794</v>
      </c>
      <c r="M423">
        <f t="shared" si="6"/>
        <v>2025</v>
      </c>
    </row>
    <row r="424" spans="1:13" hidden="1">
      <c r="A424" t="s">
        <v>849</v>
      </c>
      <c r="B424" t="s">
        <v>283</v>
      </c>
      <c r="C424" t="s">
        <v>722</v>
      </c>
      <c r="D424" t="s">
        <v>908</v>
      </c>
      <c r="E424" s="1">
        <v>45698</v>
      </c>
      <c r="F424" s="1">
        <v>45698</v>
      </c>
      <c r="G424" s="12">
        <v>99</v>
      </c>
      <c r="H424" s="2">
        <v>0</v>
      </c>
      <c r="I424" s="2">
        <v>0</v>
      </c>
      <c r="J424" s="2">
        <v>0</v>
      </c>
      <c r="K424" s="20">
        <v>99</v>
      </c>
      <c r="L424" t="s">
        <v>794</v>
      </c>
      <c r="M424">
        <f t="shared" si="6"/>
        <v>2025</v>
      </c>
    </row>
    <row r="425" spans="1:13" hidden="1">
      <c r="A425" t="s">
        <v>850</v>
      </c>
      <c r="B425" t="s">
        <v>105</v>
      </c>
      <c r="C425" t="s">
        <v>384</v>
      </c>
      <c r="D425" t="s">
        <v>908</v>
      </c>
      <c r="E425" s="1">
        <v>45698</v>
      </c>
      <c r="F425" s="1">
        <v>45698</v>
      </c>
      <c r="G425" s="12">
        <v>120</v>
      </c>
      <c r="H425" s="2">
        <v>0</v>
      </c>
      <c r="I425" s="2">
        <v>0</v>
      </c>
      <c r="J425" s="2">
        <v>0</v>
      </c>
      <c r="K425" s="20">
        <v>120</v>
      </c>
      <c r="L425" t="s">
        <v>794</v>
      </c>
      <c r="M425">
        <f t="shared" si="6"/>
        <v>2025</v>
      </c>
    </row>
    <row r="426" spans="1:13" hidden="1">
      <c r="A426" t="s">
        <v>912</v>
      </c>
      <c r="B426" t="s">
        <v>260</v>
      </c>
      <c r="C426" t="s">
        <v>141</v>
      </c>
      <c r="D426" t="s">
        <v>908</v>
      </c>
      <c r="E426" s="1">
        <v>45698</v>
      </c>
      <c r="F426" s="1">
        <v>45698</v>
      </c>
      <c r="G426" s="12">
        <v>120</v>
      </c>
      <c r="H426" s="2">
        <v>0</v>
      </c>
      <c r="I426" s="2">
        <v>0</v>
      </c>
      <c r="J426" s="2">
        <v>0</v>
      </c>
      <c r="K426" s="20">
        <v>120</v>
      </c>
      <c r="L426" t="s">
        <v>794</v>
      </c>
      <c r="M426">
        <f t="shared" si="6"/>
        <v>2025</v>
      </c>
    </row>
    <row r="427" spans="1:13" hidden="1">
      <c r="A427" t="s">
        <v>833</v>
      </c>
      <c r="B427" t="s">
        <v>27</v>
      </c>
      <c r="C427" t="s">
        <v>141</v>
      </c>
      <c r="D427" t="s">
        <v>908</v>
      </c>
      <c r="E427" s="1">
        <v>45698</v>
      </c>
      <c r="F427" s="1">
        <v>45698</v>
      </c>
      <c r="G427" s="12">
        <v>550</v>
      </c>
      <c r="H427" s="2">
        <v>0</v>
      </c>
      <c r="I427" s="2">
        <v>0</v>
      </c>
      <c r="J427" s="2">
        <v>0</v>
      </c>
      <c r="K427" s="20">
        <v>550</v>
      </c>
      <c r="L427" t="s">
        <v>794</v>
      </c>
      <c r="M427">
        <f t="shared" si="6"/>
        <v>2025</v>
      </c>
    </row>
    <row r="428" spans="1:13" hidden="1">
      <c r="A428" t="s">
        <v>812</v>
      </c>
      <c r="B428" t="s">
        <v>31</v>
      </c>
      <c r="C428" t="s">
        <v>141</v>
      </c>
      <c r="D428" t="s">
        <v>908</v>
      </c>
      <c r="E428" s="1">
        <v>45698</v>
      </c>
      <c r="F428" s="1">
        <v>45698</v>
      </c>
      <c r="G428" s="12">
        <v>1922</v>
      </c>
      <c r="H428" s="2">
        <v>0</v>
      </c>
      <c r="I428" s="2">
        <v>0</v>
      </c>
      <c r="J428" s="2">
        <v>0</v>
      </c>
      <c r="K428" s="20">
        <v>1922</v>
      </c>
      <c r="L428" t="s">
        <v>794</v>
      </c>
      <c r="M428">
        <f t="shared" si="6"/>
        <v>2025</v>
      </c>
    </row>
    <row r="429" spans="1:13" hidden="1">
      <c r="A429" t="s">
        <v>818</v>
      </c>
      <c r="B429" t="s">
        <v>30</v>
      </c>
      <c r="C429" t="s">
        <v>141</v>
      </c>
      <c r="D429" t="s">
        <v>908</v>
      </c>
      <c r="E429" s="1">
        <v>45698</v>
      </c>
      <c r="F429" s="1">
        <v>45698</v>
      </c>
      <c r="G429" s="12">
        <v>1620</v>
      </c>
      <c r="H429" s="2">
        <v>0</v>
      </c>
      <c r="I429" s="2">
        <v>0</v>
      </c>
      <c r="J429" s="2">
        <v>0</v>
      </c>
      <c r="K429" s="20">
        <v>1620</v>
      </c>
      <c r="L429" t="s">
        <v>794</v>
      </c>
      <c r="M429">
        <f t="shared" si="6"/>
        <v>2025</v>
      </c>
    </row>
    <row r="430" spans="1:13" hidden="1">
      <c r="A430" t="s">
        <v>815</v>
      </c>
      <c r="B430" t="s">
        <v>134</v>
      </c>
      <c r="C430" t="s">
        <v>141</v>
      </c>
      <c r="D430" t="s">
        <v>908</v>
      </c>
      <c r="E430" s="1">
        <v>45698</v>
      </c>
      <c r="F430" s="1">
        <v>45698</v>
      </c>
      <c r="G430" s="12">
        <v>275</v>
      </c>
      <c r="H430" s="2">
        <v>0</v>
      </c>
      <c r="I430" s="2">
        <v>0</v>
      </c>
      <c r="J430" s="2">
        <v>0</v>
      </c>
      <c r="K430" s="20">
        <v>275</v>
      </c>
      <c r="L430" t="s">
        <v>794</v>
      </c>
      <c r="M430">
        <f t="shared" si="6"/>
        <v>2025</v>
      </c>
    </row>
    <row r="431" spans="1:13" hidden="1">
      <c r="A431" t="s">
        <v>963</v>
      </c>
      <c r="B431" t="s">
        <v>217</v>
      </c>
      <c r="C431" t="s">
        <v>140</v>
      </c>
      <c r="D431" t="s">
        <v>908</v>
      </c>
      <c r="E431" s="1">
        <v>45698</v>
      </c>
      <c r="F431" s="1">
        <v>45698</v>
      </c>
      <c r="G431" s="12">
        <v>30</v>
      </c>
      <c r="H431" s="2">
        <v>0</v>
      </c>
      <c r="I431" s="2">
        <v>0</v>
      </c>
      <c r="J431" s="2">
        <v>0</v>
      </c>
      <c r="K431" s="20">
        <v>30</v>
      </c>
      <c r="L431" t="s">
        <v>794</v>
      </c>
      <c r="M431">
        <f t="shared" si="6"/>
        <v>2025</v>
      </c>
    </row>
    <row r="432" spans="1:13" hidden="1">
      <c r="A432" t="s">
        <v>945</v>
      </c>
      <c r="B432" t="s">
        <v>143</v>
      </c>
      <c r="C432" t="s">
        <v>140</v>
      </c>
      <c r="D432" t="s">
        <v>908</v>
      </c>
      <c r="E432" s="1">
        <v>45698</v>
      </c>
      <c r="F432" s="1">
        <v>45698</v>
      </c>
      <c r="G432" s="12">
        <v>30</v>
      </c>
      <c r="H432" s="2">
        <v>0</v>
      </c>
      <c r="I432" s="2">
        <v>0</v>
      </c>
      <c r="J432" s="2">
        <v>0</v>
      </c>
      <c r="K432" s="20">
        <v>30</v>
      </c>
      <c r="L432" t="s">
        <v>794</v>
      </c>
      <c r="M432">
        <f t="shared" si="6"/>
        <v>2025</v>
      </c>
    </row>
    <row r="433" spans="1:13" hidden="1">
      <c r="A433" t="s">
        <v>801</v>
      </c>
      <c r="B433" t="s">
        <v>13</v>
      </c>
      <c r="C433" t="s">
        <v>726</v>
      </c>
      <c r="D433" t="s">
        <v>908</v>
      </c>
      <c r="E433" s="1">
        <v>45698</v>
      </c>
      <c r="F433" s="1">
        <v>45698</v>
      </c>
      <c r="G433" s="12">
        <v>108.12</v>
      </c>
      <c r="H433" s="2">
        <v>0</v>
      </c>
      <c r="I433" s="2">
        <v>0</v>
      </c>
      <c r="J433" s="2">
        <v>0</v>
      </c>
      <c r="K433" s="20">
        <v>108.12</v>
      </c>
      <c r="L433" t="s">
        <v>794</v>
      </c>
      <c r="M433">
        <f t="shared" si="6"/>
        <v>2025</v>
      </c>
    </row>
    <row r="434" spans="1:13" hidden="1">
      <c r="A434" t="s">
        <v>813</v>
      </c>
      <c r="B434" t="s">
        <v>173</v>
      </c>
      <c r="C434" t="s">
        <v>137</v>
      </c>
      <c r="D434" t="s">
        <v>908</v>
      </c>
      <c r="E434" s="1">
        <v>45698</v>
      </c>
      <c r="F434" s="1">
        <v>45698</v>
      </c>
      <c r="G434" s="12">
        <v>1492</v>
      </c>
      <c r="H434" s="2">
        <v>0</v>
      </c>
      <c r="I434" s="2">
        <v>0</v>
      </c>
      <c r="J434" s="2">
        <v>0</v>
      </c>
      <c r="K434" s="20">
        <v>1492</v>
      </c>
      <c r="L434" t="s">
        <v>794</v>
      </c>
      <c r="M434">
        <f t="shared" si="6"/>
        <v>2025</v>
      </c>
    </row>
    <row r="435" spans="1:13" hidden="1">
      <c r="A435" t="s">
        <v>879</v>
      </c>
      <c r="B435" t="s">
        <v>23</v>
      </c>
      <c r="C435" t="s">
        <v>713</v>
      </c>
      <c r="D435" t="s">
        <v>908</v>
      </c>
      <c r="E435" s="1">
        <v>45698</v>
      </c>
      <c r="F435" s="1">
        <v>45698</v>
      </c>
      <c r="G435" s="12">
        <v>861.02</v>
      </c>
      <c r="H435" s="2">
        <v>0</v>
      </c>
      <c r="I435" s="2">
        <v>0</v>
      </c>
      <c r="J435" s="2">
        <v>0</v>
      </c>
      <c r="K435" s="20">
        <v>861.02</v>
      </c>
      <c r="L435" t="s">
        <v>794</v>
      </c>
      <c r="M435">
        <f t="shared" si="6"/>
        <v>2025</v>
      </c>
    </row>
    <row r="436" spans="1:13" hidden="1">
      <c r="A436" t="s">
        <v>882</v>
      </c>
      <c r="B436" t="s">
        <v>34</v>
      </c>
      <c r="C436" t="s">
        <v>200</v>
      </c>
      <c r="D436" t="s">
        <v>908</v>
      </c>
      <c r="E436" s="1">
        <v>45698</v>
      </c>
      <c r="F436" s="1">
        <v>45698</v>
      </c>
      <c r="G436" s="12">
        <v>1920</v>
      </c>
      <c r="H436" s="2">
        <v>0</v>
      </c>
      <c r="I436" s="2">
        <v>0</v>
      </c>
      <c r="J436" s="2">
        <v>0</v>
      </c>
      <c r="K436" s="20">
        <v>1920</v>
      </c>
      <c r="L436" t="s">
        <v>794</v>
      </c>
      <c r="M436">
        <f t="shared" si="6"/>
        <v>2025</v>
      </c>
    </row>
    <row r="437" spans="1:13" hidden="1">
      <c r="A437" t="s">
        <v>870</v>
      </c>
      <c r="B437" t="s">
        <v>119</v>
      </c>
      <c r="C437" t="s">
        <v>201</v>
      </c>
      <c r="D437" t="s">
        <v>908</v>
      </c>
      <c r="E437" s="1">
        <v>45698</v>
      </c>
      <c r="F437" s="1">
        <v>45698</v>
      </c>
      <c r="G437" s="12">
        <v>2320</v>
      </c>
      <c r="H437" s="2">
        <v>0</v>
      </c>
      <c r="I437" s="2">
        <v>0</v>
      </c>
      <c r="J437" s="2">
        <v>0</v>
      </c>
      <c r="K437" s="20">
        <v>2320</v>
      </c>
      <c r="L437" t="s">
        <v>794</v>
      </c>
      <c r="M437">
        <f t="shared" si="6"/>
        <v>2025</v>
      </c>
    </row>
    <row r="438" spans="1:13" hidden="1">
      <c r="A438" t="s">
        <v>826</v>
      </c>
      <c r="B438" t="s">
        <v>21</v>
      </c>
      <c r="C438" t="s">
        <v>141</v>
      </c>
      <c r="D438" t="s">
        <v>908</v>
      </c>
      <c r="E438" s="1">
        <v>45698</v>
      </c>
      <c r="F438" s="1">
        <v>45698</v>
      </c>
      <c r="G438" s="12">
        <v>4840</v>
      </c>
      <c r="H438" s="2">
        <v>0</v>
      </c>
      <c r="I438" s="2">
        <v>0</v>
      </c>
      <c r="J438" s="2">
        <v>0</v>
      </c>
      <c r="K438" s="20">
        <v>4840</v>
      </c>
      <c r="L438" t="s">
        <v>794</v>
      </c>
      <c r="M438">
        <f t="shared" si="6"/>
        <v>2025</v>
      </c>
    </row>
    <row r="439" spans="1:13" hidden="1">
      <c r="A439" t="s">
        <v>817</v>
      </c>
      <c r="B439" t="s">
        <v>51</v>
      </c>
      <c r="C439" t="s">
        <v>200</v>
      </c>
      <c r="D439" t="s">
        <v>908</v>
      </c>
      <c r="E439" s="1">
        <v>45698</v>
      </c>
      <c r="F439" s="1">
        <v>45698</v>
      </c>
      <c r="G439" s="12">
        <v>2820</v>
      </c>
      <c r="H439" s="2">
        <v>0</v>
      </c>
      <c r="I439" s="2">
        <v>0</v>
      </c>
      <c r="J439" s="2">
        <v>0</v>
      </c>
      <c r="K439" s="20">
        <v>2820</v>
      </c>
      <c r="L439" t="s">
        <v>794</v>
      </c>
      <c r="M439">
        <f t="shared" si="6"/>
        <v>2025</v>
      </c>
    </row>
    <row r="440" spans="1:13" hidden="1">
      <c r="A440" t="s">
        <v>858</v>
      </c>
      <c r="B440" t="s">
        <v>243</v>
      </c>
      <c r="C440" t="s">
        <v>200</v>
      </c>
      <c r="D440" t="s">
        <v>908</v>
      </c>
      <c r="E440" s="1">
        <v>45698</v>
      </c>
      <c r="F440" s="1">
        <v>45698</v>
      </c>
      <c r="G440" s="12">
        <v>2620</v>
      </c>
      <c r="H440" s="2">
        <v>0</v>
      </c>
      <c r="I440" s="2">
        <v>0</v>
      </c>
      <c r="J440" s="2">
        <v>0</v>
      </c>
      <c r="K440" s="20">
        <v>2620</v>
      </c>
      <c r="L440" t="s">
        <v>794</v>
      </c>
      <c r="M440">
        <f t="shared" si="6"/>
        <v>2025</v>
      </c>
    </row>
    <row r="441" spans="1:13" hidden="1">
      <c r="A441" t="s">
        <v>820</v>
      </c>
      <c r="B441" t="s">
        <v>196</v>
      </c>
      <c r="C441" t="s">
        <v>200</v>
      </c>
      <c r="D441" t="s">
        <v>908</v>
      </c>
      <c r="E441" s="1">
        <v>45698</v>
      </c>
      <c r="F441" s="1">
        <v>45698</v>
      </c>
      <c r="G441" s="12">
        <v>240</v>
      </c>
      <c r="H441" s="2">
        <v>0</v>
      </c>
      <c r="I441" s="2">
        <v>0</v>
      </c>
      <c r="J441" s="2">
        <v>0</v>
      </c>
      <c r="K441" s="20">
        <v>240</v>
      </c>
      <c r="L441" t="s">
        <v>794</v>
      </c>
      <c r="M441">
        <f t="shared" si="6"/>
        <v>2025</v>
      </c>
    </row>
    <row r="442" spans="1:13" hidden="1">
      <c r="A442" t="s">
        <v>860</v>
      </c>
      <c r="B442" t="s">
        <v>95</v>
      </c>
      <c r="C442" t="s">
        <v>200</v>
      </c>
      <c r="D442" t="s">
        <v>908</v>
      </c>
      <c r="E442" s="1">
        <v>45698</v>
      </c>
      <c r="F442" s="1">
        <v>45698</v>
      </c>
      <c r="G442" s="12">
        <v>2560</v>
      </c>
      <c r="H442" s="2">
        <v>0</v>
      </c>
      <c r="I442" s="2">
        <v>0</v>
      </c>
      <c r="J442" s="2">
        <v>0</v>
      </c>
      <c r="K442" s="20">
        <v>2560</v>
      </c>
      <c r="L442" t="s">
        <v>794</v>
      </c>
      <c r="M442">
        <f t="shared" si="6"/>
        <v>2025</v>
      </c>
    </row>
    <row r="443" spans="1:13" hidden="1">
      <c r="A443" t="s">
        <v>856</v>
      </c>
      <c r="B443" t="s">
        <v>170</v>
      </c>
      <c r="C443" t="s">
        <v>201</v>
      </c>
      <c r="D443" t="s">
        <v>908</v>
      </c>
      <c r="E443" s="1">
        <v>45698</v>
      </c>
      <c r="F443" s="1">
        <v>45698</v>
      </c>
      <c r="G443" s="12">
        <v>960</v>
      </c>
      <c r="H443" s="2">
        <v>0</v>
      </c>
      <c r="I443" s="2">
        <v>0</v>
      </c>
      <c r="J443" s="2">
        <v>0</v>
      </c>
      <c r="K443" s="20">
        <v>960</v>
      </c>
      <c r="L443" t="s">
        <v>794</v>
      </c>
      <c r="M443">
        <f t="shared" si="6"/>
        <v>2025</v>
      </c>
    </row>
    <row r="444" spans="1:13" hidden="1">
      <c r="A444" t="s">
        <v>961</v>
      </c>
      <c r="B444" t="s">
        <v>41</v>
      </c>
      <c r="C444" t="s">
        <v>200</v>
      </c>
      <c r="D444" t="s">
        <v>908</v>
      </c>
      <c r="E444" s="1">
        <v>45698</v>
      </c>
      <c r="F444" s="1">
        <v>45698</v>
      </c>
      <c r="G444" s="12">
        <v>1040</v>
      </c>
      <c r="H444" s="2">
        <v>0</v>
      </c>
      <c r="I444" s="2">
        <v>0</v>
      </c>
      <c r="J444" s="2">
        <v>0</v>
      </c>
      <c r="K444" s="20">
        <v>1040</v>
      </c>
      <c r="L444" t="s">
        <v>794</v>
      </c>
      <c r="M444">
        <f t="shared" si="6"/>
        <v>2025</v>
      </c>
    </row>
    <row r="445" spans="1:13" hidden="1">
      <c r="A445" t="s">
        <v>865</v>
      </c>
      <c r="B445" t="s">
        <v>76</v>
      </c>
      <c r="C445" t="s">
        <v>201</v>
      </c>
      <c r="D445" t="s">
        <v>908</v>
      </c>
      <c r="E445" s="1">
        <v>45698</v>
      </c>
      <c r="F445" s="1">
        <v>45698</v>
      </c>
      <c r="G445" s="12">
        <v>960</v>
      </c>
      <c r="H445" s="2">
        <v>0</v>
      </c>
      <c r="I445" s="2">
        <v>0</v>
      </c>
      <c r="J445" s="2">
        <v>0</v>
      </c>
      <c r="K445" s="20">
        <v>960</v>
      </c>
      <c r="L445" t="s">
        <v>794</v>
      </c>
      <c r="M445">
        <f t="shared" si="6"/>
        <v>2025</v>
      </c>
    </row>
    <row r="446" spans="1:13" hidden="1">
      <c r="A446" t="s">
        <v>874</v>
      </c>
      <c r="B446" t="s">
        <v>116</v>
      </c>
      <c r="C446" t="s">
        <v>200</v>
      </c>
      <c r="D446" t="s">
        <v>908</v>
      </c>
      <c r="E446" s="1">
        <v>45698</v>
      </c>
      <c r="F446" s="1">
        <v>45698</v>
      </c>
      <c r="G446" s="12">
        <v>2880</v>
      </c>
      <c r="H446" s="2">
        <v>0</v>
      </c>
      <c r="I446" s="2">
        <v>0</v>
      </c>
      <c r="J446" s="2">
        <v>0</v>
      </c>
      <c r="K446" s="20">
        <v>2880</v>
      </c>
      <c r="L446" t="s">
        <v>794</v>
      </c>
      <c r="M446">
        <f t="shared" si="6"/>
        <v>2025</v>
      </c>
    </row>
    <row r="447" spans="1:13" hidden="1">
      <c r="A447" t="s">
        <v>981</v>
      </c>
      <c r="B447" t="s">
        <v>55</v>
      </c>
      <c r="C447" t="s">
        <v>200</v>
      </c>
      <c r="D447" t="s">
        <v>908</v>
      </c>
      <c r="E447" s="1">
        <v>45698</v>
      </c>
      <c r="F447" s="1">
        <v>45698</v>
      </c>
      <c r="G447" s="12">
        <v>400</v>
      </c>
      <c r="H447" s="2">
        <v>0</v>
      </c>
      <c r="I447" s="2">
        <v>0</v>
      </c>
      <c r="J447" s="2">
        <v>0</v>
      </c>
      <c r="K447" s="20">
        <v>400</v>
      </c>
      <c r="L447" t="s">
        <v>794</v>
      </c>
      <c r="M447">
        <f t="shared" si="6"/>
        <v>2025</v>
      </c>
    </row>
    <row r="448" spans="1:13" hidden="1">
      <c r="A448" t="s">
        <v>881</v>
      </c>
      <c r="B448" t="s">
        <v>48</v>
      </c>
      <c r="C448" t="s">
        <v>200</v>
      </c>
      <c r="D448" t="s">
        <v>908</v>
      </c>
      <c r="E448" s="1">
        <v>45698</v>
      </c>
      <c r="F448" s="1">
        <v>45698</v>
      </c>
      <c r="G448" s="12">
        <v>1380</v>
      </c>
      <c r="H448" s="2">
        <v>0</v>
      </c>
      <c r="I448" s="2">
        <v>0</v>
      </c>
      <c r="J448" s="2">
        <v>0</v>
      </c>
      <c r="K448" s="20">
        <v>1380</v>
      </c>
      <c r="L448" t="s">
        <v>794</v>
      </c>
      <c r="M448">
        <f t="shared" si="6"/>
        <v>2025</v>
      </c>
    </row>
    <row r="449" spans="1:13" hidden="1">
      <c r="A449" t="s">
        <v>867</v>
      </c>
      <c r="B449" t="s">
        <v>207</v>
      </c>
      <c r="C449" t="s">
        <v>201</v>
      </c>
      <c r="D449" t="s">
        <v>908</v>
      </c>
      <c r="E449" s="1">
        <v>45698</v>
      </c>
      <c r="F449" s="1">
        <v>45698</v>
      </c>
      <c r="G449" s="12">
        <v>400</v>
      </c>
      <c r="H449" s="2">
        <v>0</v>
      </c>
      <c r="I449" s="2">
        <v>0</v>
      </c>
      <c r="J449" s="2">
        <v>0</v>
      </c>
      <c r="K449" s="20">
        <v>400</v>
      </c>
      <c r="L449" t="s">
        <v>794</v>
      </c>
      <c r="M449">
        <f t="shared" si="6"/>
        <v>2025</v>
      </c>
    </row>
    <row r="450" spans="1:13" hidden="1">
      <c r="A450" t="s">
        <v>982</v>
      </c>
      <c r="B450" t="s">
        <v>284</v>
      </c>
      <c r="C450" t="s">
        <v>183</v>
      </c>
      <c r="D450" t="s">
        <v>908</v>
      </c>
      <c r="E450" s="1">
        <v>45698</v>
      </c>
      <c r="F450" s="1">
        <v>45698</v>
      </c>
      <c r="G450" s="12">
        <v>1464.64</v>
      </c>
      <c r="H450" s="2">
        <v>0</v>
      </c>
      <c r="I450" s="2">
        <v>0</v>
      </c>
      <c r="J450" s="2">
        <v>0</v>
      </c>
      <c r="K450" s="20">
        <v>1464.64</v>
      </c>
      <c r="L450" t="s">
        <v>794</v>
      </c>
      <c r="M450">
        <f t="shared" si="6"/>
        <v>2025</v>
      </c>
    </row>
    <row r="451" spans="1:13" hidden="1">
      <c r="A451" t="s">
        <v>810</v>
      </c>
      <c r="B451" t="s">
        <v>54</v>
      </c>
      <c r="C451" t="s">
        <v>141</v>
      </c>
      <c r="D451" t="s">
        <v>908</v>
      </c>
      <c r="E451" s="1">
        <v>45698</v>
      </c>
      <c r="F451" s="1">
        <v>45698</v>
      </c>
      <c r="G451" s="12">
        <v>866</v>
      </c>
      <c r="H451" s="2">
        <v>0</v>
      </c>
      <c r="I451" s="2">
        <v>0</v>
      </c>
      <c r="J451" s="2">
        <v>0</v>
      </c>
      <c r="K451" s="20">
        <v>866</v>
      </c>
      <c r="L451" t="s">
        <v>794</v>
      </c>
      <c r="M451">
        <f t="shared" ref="M451:M514" si="7">YEAR(F451)</f>
        <v>2025</v>
      </c>
    </row>
    <row r="452" spans="1:13" hidden="1">
      <c r="A452" t="s">
        <v>803</v>
      </c>
      <c r="B452" t="s">
        <v>125</v>
      </c>
      <c r="C452" t="s">
        <v>141</v>
      </c>
      <c r="D452" t="s">
        <v>908</v>
      </c>
      <c r="E452" s="1">
        <v>45698</v>
      </c>
      <c r="F452" s="1">
        <v>45698</v>
      </c>
      <c r="G452" s="12">
        <v>640</v>
      </c>
      <c r="H452" s="2">
        <v>0</v>
      </c>
      <c r="I452" s="2">
        <v>0</v>
      </c>
      <c r="J452" s="2">
        <v>0</v>
      </c>
      <c r="K452" s="20">
        <v>640</v>
      </c>
      <c r="L452" t="s">
        <v>794</v>
      </c>
      <c r="M452">
        <f t="shared" si="7"/>
        <v>2025</v>
      </c>
    </row>
    <row r="453" spans="1:13" hidden="1">
      <c r="A453" t="s">
        <v>957</v>
      </c>
      <c r="B453" t="s">
        <v>39</v>
      </c>
      <c r="C453" t="s">
        <v>141</v>
      </c>
      <c r="D453" t="s">
        <v>908</v>
      </c>
      <c r="E453" s="1">
        <v>45698</v>
      </c>
      <c r="F453" s="1">
        <v>45698</v>
      </c>
      <c r="G453" s="12">
        <v>446</v>
      </c>
      <c r="H453" s="2">
        <v>0</v>
      </c>
      <c r="I453" s="2">
        <v>0</v>
      </c>
      <c r="J453" s="2">
        <v>0</v>
      </c>
      <c r="K453" s="20">
        <v>446</v>
      </c>
      <c r="L453" t="s">
        <v>794</v>
      </c>
      <c r="M453">
        <f t="shared" si="7"/>
        <v>2025</v>
      </c>
    </row>
    <row r="454" spans="1:13" hidden="1">
      <c r="A454" t="s">
        <v>977</v>
      </c>
      <c r="B454" t="s">
        <v>61</v>
      </c>
      <c r="C454" t="s">
        <v>201</v>
      </c>
      <c r="D454" t="s">
        <v>908</v>
      </c>
      <c r="E454" s="1">
        <v>45699</v>
      </c>
      <c r="F454" s="1">
        <v>45699</v>
      </c>
      <c r="G454" s="12">
        <v>1520</v>
      </c>
      <c r="H454" s="2">
        <v>0</v>
      </c>
      <c r="I454" s="2">
        <v>0</v>
      </c>
      <c r="J454" s="2">
        <v>0</v>
      </c>
      <c r="K454" s="20">
        <v>1520</v>
      </c>
      <c r="L454" t="s">
        <v>794</v>
      </c>
      <c r="M454">
        <f t="shared" si="7"/>
        <v>2025</v>
      </c>
    </row>
    <row r="455" spans="1:13" hidden="1">
      <c r="A455" t="s">
        <v>917</v>
      </c>
      <c r="B455" t="s">
        <v>120</v>
      </c>
      <c r="C455" t="s">
        <v>141</v>
      </c>
      <c r="D455" t="s">
        <v>908</v>
      </c>
      <c r="E455" s="1">
        <v>45699</v>
      </c>
      <c r="F455" s="1">
        <v>45699</v>
      </c>
      <c r="G455" s="12">
        <v>300</v>
      </c>
      <c r="H455" s="2">
        <v>0</v>
      </c>
      <c r="I455" s="2">
        <v>0</v>
      </c>
      <c r="J455" s="2">
        <v>0</v>
      </c>
      <c r="K455" s="20">
        <v>300</v>
      </c>
      <c r="L455" t="s">
        <v>794</v>
      </c>
      <c r="M455">
        <f t="shared" si="7"/>
        <v>2025</v>
      </c>
    </row>
    <row r="456" spans="1:13" hidden="1">
      <c r="A456" t="s">
        <v>983</v>
      </c>
      <c r="B456" t="s">
        <v>211</v>
      </c>
      <c r="C456" t="s">
        <v>141</v>
      </c>
      <c r="D456" t="s">
        <v>908</v>
      </c>
      <c r="E456" s="1">
        <v>45699</v>
      </c>
      <c r="F456" s="1">
        <v>45699</v>
      </c>
      <c r="G456" s="12">
        <v>300</v>
      </c>
      <c r="H456" s="2">
        <v>0</v>
      </c>
      <c r="I456" s="2">
        <v>0</v>
      </c>
      <c r="J456" s="2">
        <v>0</v>
      </c>
      <c r="K456" s="20">
        <v>300</v>
      </c>
      <c r="L456" t="s">
        <v>794</v>
      </c>
      <c r="M456">
        <f t="shared" si="7"/>
        <v>2025</v>
      </c>
    </row>
    <row r="457" spans="1:13" hidden="1">
      <c r="A457" t="s">
        <v>801</v>
      </c>
      <c r="B457" t="s">
        <v>13</v>
      </c>
      <c r="C457" t="s">
        <v>726</v>
      </c>
      <c r="D457" t="s">
        <v>908</v>
      </c>
      <c r="E457" s="1">
        <v>45699</v>
      </c>
      <c r="F457" s="1">
        <v>45699</v>
      </c>
      <c r="G457" s="12">
        <v>18.28</v>
      </c>
      <c r="H457" s="2">
        <v>0</v>
      </c>
      <c r="I457" s="2">
        <v>0</v>
      </c>
      <c r="J457" s="2">
        <v>0</v>
      </c>
      <c r="K457" s="20">
        <v>18.28</v>
      </c>
      <c r="L457" t="s">
        <v>794</v>
      </c>
      <c r="M457">
        <f t="shared" si="7"/>
        <v>2025</v>
      </c>
    </row>
    <row r="458" spans="1:13" hidden="1">
      <c r="A458" t="s">
        <v>883</v>
      </c>
      <c r="B458" t="s">
        <v>325</v>
      </c>
      <c r="C458" t="s">
        <v>99</v>
      </c>
      <c r="D458" t="s">
        <v>908</v>
      </c>
      <c r="E458" s="1">
        <v>45699</v>
      </c>
      <c r="F458" s="1">
        <v>45699</v>
      </c>
      <c r="G458" s="12">
        <v>95.18</v>
      </c>
      <c r="H458" s="2">
        <v>0</v>
      </c>
      <c r="I458" s="2">
        <v>0</v>
      </c>
      <c r="J458" s="2">
        <v>0</v>
      </c>
      <c r="K458" s="20">
        <v>95.18</v>
      </c>
      <c r="L458" t="s">
        <v>794</v>
      </c>
      <c r="M458">
        <f t="shared" si="7"/>
        <v>2025</v>
      </c>
    </row>
    <row r="459" spans="1:13" hidden="1">
      <c r="A459" t="s">
        <v>801</v>
      </c>
      <c r="B459" t="s">
        <v>13</v>
      </c>
      <c r="C459" t="s">
        <v>726</v>
      </c>
      <c r="D459" t="s">
        <v>908</v>
      </c>
      <c r="E459" s="1">
        <v>45699</v>
      </c>
      <c r="F459" s="1">
        <v>45699</v>
      </c>
      <c r="G459" s="12">
        <v>81.600000000000009</v>
      </c>
      <c r="H459" s="2">
        <v>0</v>
      </c>
      <c r="I459" s="2">
        <v>0</v>
      </c>
      <c r="J459" s="2">
        <v>0</v>
      </c>
      <c r="K459" s="20">
        <v>81.600000000000009</v>
      </c>
      <c r="L459" t="s">
        <v>794</v>
      </c>
      <c r="M459">
        <f t="shared" si="7"/>
        <v>2025</v>
      </c>
    </row>
    <row r="460" spans="1:13" hidden="1">
      <c r="A460" t="s">
        <v>876</v>
      </c>
      <c r="B460" t="s">
        <v>74</v>
      </c>
      <c r="C460" t="s">
        <v>723</v>
      </c>
      <c r="D460" t="s">
        <v>908</v>
      </c>
      <c r="E460" s="1">
        <v>45699</v>
      </c>
      <c r="F460" s="1">
        <v>45699</v>
      </c>
      <c r="G460" s="12">
        <v>3036</v>
      </c>
      <c r="H460" s="2">
        <v>0</v>
      </c>
      <c r="I460" s="2">
        <v>0</v>
      </c>
      <c r="J460" s="2">
        <v>0</v>
      </c>
      <c r="K460" s="20">
        <v>3036</v>
      </c>
      <c r="L460" t="s">
        <v>794</v>
      </c>
      <c r="M460">
        <f t="shared" si="7"/>
        <v>2025</v>
      </c>
    </row>
    <row r="461" spans="1:13" hidden="1">
      <c r="A461" t="s">
        <v>984</v>
      </c>
      <c r="B461" t="s">
        <v>431</v>
      </c>
      <c r="C461" t="s">
        <v>200</v>
      </c>
      <c r="D461" t="s">
        <v>908</v>
      </c>
      <c r="E461" s="1">
        <v>45699</v>
      </c>
      <c r="F461" s="1">
        <v>45699</v>
      </c>
      <c r="G461" s="12">
        <v>320</v>
      </c>
      <c r="H461" s="2">
        <v>0</v>
      </c>
      <c r="I461" s="2">
        <v>0</v>
      </c>
      <c r="J461" s="2">
        <v>0</v>
      </c>
      <c r="K461" s="20">
        <v>320</v>
      </c>
      <c r="L461" t="s">
        <v>794</v>
      </c>
      <c r="M461">
        <f t="shared" si="7"/>
        <v>2025</v>
      </c>
    </row>
    <row r="462" spans="1:13" hidden="1">
      <c r="A462" t="s">
        <v>875</v>
      </c>
      <c r="B462" t="s">
        <v>115</v>
      </c>
      <c r="C462" t="s">
        <v>201</v>
      </c>
      <c r="D462" t="s">
        <v>908</v>
      </c>
      <c r="E462" s="1">
        <v>45699</v>
      </c>
      <c r="F462" s="1">
        <v>45699</v>
      </c>
      <c r="G462" s="12">
        <v>700</v>
      </c>
      <c r="H462" s="2">
        <v>0</v>
      </c>
      <c r="I462" s="2">
        <v>0</v>
      </c>
      <c r="J462" s="2">
        <v>0</v>
      </c>
      <c r="K462" s="20">
        <v>700</v>
      </c>
      <c r="L462" t="s">
        <v>794</v>
      </c>
      <c r="M462">
        <f t="shared" si="7"/>
        <v>2025</v>
      </c>
    </row>
    <row r="463" spans="1:13" hidden="1">
      <c r="A463" t="s">
        <v>985</v>
      </c>
      <c r="B463" t="s">
        <v>301</v>
      </c>
      <c r="C463" t="s">
        <v>200</v>
      </c>
      <c r="D463" t="s">
        <v>908</v>
      </c>
      <c r="E463" s="1">
        <v>45699</v>
      </c>
      <c r="F463" s="1">
        <v>45699</v>
      </c>
      <c r="G463" s="12">
        <v>560</v>
      </c>
      <c r="H463" s="2">
        <v>0</v>
      </c>
      <c r="I463" s="2">
        <v>0</v>
      </c>
      <c r="J463" s="2">
        <v>0</v>
      </c>
      <c r="K463" s="20">
        <v>560</v>
      </c>
      <c r="L463" t="s">
        <v>794</v>
      </c>
      <c r="M463">
        <f t="shared" si="7"/>
        <v>2025</v>
      </c>
    </row>
    <row r="464" spans="1:13" hidden="1">
      <c r="A464" t="s">
        <v>986</v>
      </c>
      <c r="B464" t="s">
        <v>347</v>
      </c>
      <c r="C464" t="s">
        <v>200</v>
      </c>
      <c r="D464" t="s">
        <v>908</v>
      </c>
      <c r="E464" s="1">
        <v>45699</v>
      </c>
      <c r="F464" s="1">
        <v>45699</v>
      </c>
      <c r="G464" s="12">
        <v>800</v>
      </c>
      <c r="H464" s="2">
        <v>0</v>
      </c>
      <c r="I464" s="2">
        <v>0</v>
      </c>
      <c r="J464" s="2">
        <v>0</v>
      </c>
      <c r="K464" s="20">
        <v>800</v>
      </c>
      <c r="L464" t="s">
        <v>794</v>
      </c>
      <c r="M464">
        <f t="shared" si="7"/>
        <v>2025</v>
      </c>
    </row>
    <row r="465" spans="1:13" hidden="1">
      <c r="A465" t="s">
        <v>880</v>
      </c>
      <c r="B465" t="s">
        <v>333</v>
      </c>
      <c r="C465" t="s">
        <v>200</v>
      </c>
      <c r="D465" t="s">
        <v>908</v>
      </c>
      <c r="E465" s="1">
        <v>45699</v>
      </c>
      <c r="F465" s="1">
        <v>45699</v>
      </c>
      <c r="G465" s="12">
        <v>640</v>
      </c>
      <c r="H465" s="2">
        <v>0</v>
      </c>
      <c r="I465" s="2">
        <v>0</v>
      </c>
      <c r="J465" s="2">
        <v>0</v>
      </c>
      <c r="K465" s="20">
        <v>640</v>
      </c>
      <c r="L465" t="s">
        <v>794</v>
      </c>
      <c r="M465">
        <f t="shared" si="7"/>
        <v>2025</v>
      </c>
    </row>
    <row r="466" spans="1:13" hidden="1">
      <c r="A466" t="s">
        <v>796</v>
      </c>
      <c r="B466" t="s">
        <v>181</v>
      </c>
      <c r="C466" t="s">
        <v>141</v>
      </c>
      <c r="D466" t="s">
        <v>908</v>
      </c>
      <c r="E466" s="1">
        <v>45699</v>
      </c>
      <c r="F466" s="1">
        <v>45699</v>
      </c>
      <c r="G466" s="12">
        <v>480</v>
      </c>
      <c r="H466" s="2">
        <v>0</v>
      </c>
      <c r="I466" s="2">
        <v>0</v>
      </c>
      <c r="J466" s="2">
        <v>0</v>
      </c>
      <c r="K466" s="20">
        <v>480</v>
      </c>
      <c r="L466" t="s">
        <v>794</v>
      </c>
      <c r="M466">
        <f t="shared" si="7"/>
        <v>2025</v>
      </c>
    </row>
    <row r="467" spans="1:13" hidden="1">
      <c r="A467" t="s">
        <v>987</v>
      </c>
      <c r="B467" t="s">
        <v>409</v>
      </c>
      <c r="C467" t="s">
        <v>200</v>
      </c>
      <c r="D467" t="s">
        <v>908</v>
      </c>
      <c r="E467" s="1">
        <v>45699</v>
      </c>
      <c r="F467" s="1">
        <v>45699</v>
      </c>
      <c r="G467" s="12">
        <v>400</v>
      </c>
      <c r="H467" s="2">
        <v>0</v>
      </c>
      <c r="I467" s="2">
        <v>0</v>
      </c>
      <c r="J467" s="2">
        <v>0</v>
      </c>
      <c r="K467" s="20">
        <v>400</v>
      </c>
      <c r="L467" t="s">
        <v>794</v>
      </c>
      <c r="M467">
        <f t="shared" si="7"/>
        <v>2025</v>
      </c>
    </row>
    <row r="468" spans="1:13" hidden="1">
      <c r="A468" t="s">
        <v>988</v>
      </c>
      <c r="B468" t="s">
        <v>217</v>
      </c>
      <c r="C468" t="s">
        <v>139</v>
      </c>
      <c r="D468" t="s">
        <v>908</v>
      </c>
      <c r="E468" s="1">
        <v>45700</v>
      </c>
      <c r="F468" s="1">
        <v>45700</v>
      </c>
      <c r="G468" s="12">
        <v>99.37</v>
      </c>
      <c r="H468" s="2">
        <v>0</v>
      </c>
      <c r="I468" s="2">
        <v>0</v>
      </c>
      <c r="J468" s="2">
        <v>0</v>
      </c>
      <c r="K468" s="20">
        <v>99.37</v>
      </c>
      <c r="L468" t="s">
        <v>794</v>
      </c>
      <c r="M468">
        <f t="shared" si="7"/>
        <v>2025</v>
      </c>
    </row>
    <row r="469" spans="1:13" hidden="1">
      <c r="A469" t="s">
        <v>814</v>
      </c>
      <c r="B469" t="s">
        <v>143</v>
      </c>
      <c r="C469" t="s">
        <v>139</v>
      </c>
      <c r="D469" t="s">
        <v>908</v>
      </c>
      <c r="E469" s="1">
        <v>45700</v>
      </c>
      <c r="F469" s="1">
        <v>45700</v>
      </c>
      <c r="G469" s="12">
        <v>99.37</v>
      </c>
      <c r="H469" s="2">
        <v>0</v>
      </c>
      <c r="I469" s="2">
        <v>0</v>
      </c>
      <c r="J469" s="2">
        <v>0</v>
      </c>
      <c r="K469" s="20">
        <v>99.37</v>
      </c>
      <c r="L469" t="s">
        <v>794</v>
      </c>
      <c r="M469">
        <f t="shared" si="7"/>
        <v>2025</v>
      </c>
    </row>
    <row r="470" spans="1:13" hidden="1">
      <c r="A470" t="s">
        <v>989</v>
      </c>
      <c r="B470" t="s">
        <v>285</v>
      </c>
      <c r="C470" t="s">
        <v>99</v>
      </c>
      <c r="D470" t="s">
        <v>908</v>
      </c>
      <c r="E470" s="1">
        <v>45700</v>
      </c>
      <c r="F470" s="1">
        <v>45700</v>
      </c>
      <c r="G470" s="12">
        <v>500</v>
      </c>
      <c r="H470" s="2">
        <v>0</v>
      </c>
      <c r="I470" s="2">
        <v>0</v>
      </c>
      <c r="J470" s="2">
        <v>0</v>
      </c>
      <c r="K470" s="20">
        <v>500</v>
      </c>
      <c r="L470" t="s">
        <v>794</v>
      </c>
      <c r="M470">
        <f t="shared" si="7"/>
        <v>2025</v>
      </c>
    </row>
    <row r="471" spans="1:13" hidden="1">
      <c r="A471" t="s">
        <v>878</v>
      </c>
      <c r="B471" t="s">
        <v>32</v>
      </c>
      <c r="C471" t="s">
        <v>200</v>
      </c>
      <c r="D471" t="s">
        <v>908</v>
      </c>
      <c r="E471" s="1">
        <v>45700</v>
      </c>
      <c r="F471" s="1">
        <v>45700</v>
      </c>
      <c r="G471" s="12">
        <v>500</v>
      </c>
      <c r="H471" s="2">
        <v>0</v>
      </c>
      <c r="I471" s="2">
        <v>0</v>
      </c>
      <c r="J471" s="2">
        <v>0</v>
      </c>
      <c r="K471" s="20">
        <v>500</v>
      </c>
      <c r="L471" t="s">
        <v>794</v>
      </c>
      <c r="M471">
        <f t="shared" si="7"/>
        <v>2025</v>
      </c>
    </row>
    <row r="472" spans="1:13" hidden="1">
      <c r="A472" t="s">
        <v>892</v>
      </c>
      <c r="B472" t="s">
        <v>238</v>
      </c>
      <c r="C472" t="s">
        <v>200</v>
      </c>
      <c r="D472" t="s">
        <v>908</v>
      </c>
      <c r="E472" s="1">
        <v>45700</v>
      </c>
      <c r="F472" s="1">
        <v>45700</v>
      </c>
      <c r="G472" s="12">
        <v>960</v>
      </c>
      <c r="H472" s="2">
        <v>0</v>
      </c>
      <c r="I472" s="2">
        <v>0</v>
      </c>
      <c r="J472" s="2">
        <v>0</v>
      </c>
      <c r="K472" s="20">
        <v>960</v>
      </c>
      <c r="L472" t="s">
        <v>794</v>
      </c>
      <c r="M472">
        <f t="shared" si="7"/>
        <v>2025</v>
      </c>
    </row>
    <row r="473" spans="1:13" hidden="1">
      <c r="A473" t="s">
        <v>796</v>
      </c>
      <c r="B473" t="s">
        <v>181</v>
      </c>
      <c r="C473" t="s">
        <v>141</v>
      </c>
      <c r="D473" t="s">
        <v>908</v>
      </c>
      <c r="E473" s="1">
        <v>45700</v>
      </c>
      <c r="F473" s="1">
        <v>45700</v>
      </c>
      <c r="G473" s="12">
        <v>40</v>
      </c>
      <c r="H473" s="2">
        <v>0</v>
      </c>
      <c r="I473" s="2">
        <v>0</v>
      </c>
      <c r="J473" s="2">
        <v>0</v>
      </c>
      <c r="K473" s="20">
        <v>40</v>
      </c>
      <c r="L473" t="s">
        <v>794</v>
      </c>
      <c r="M473">
        <f t="shared" si="7"/>
        <v>2025</v>
      </c>
    </row>
    <row r="474" spans="1:13" hidden="1">
      <c r="A474" t="s">
        <v>990</v>
      </c>
      <c r="B474" t="s">
        <v>467</v>
      </c>
      <c r="C474" t="s">
        <v>558</v>
      </c>
      <c r="D474" t="s">
        <v>908</v>
      </c>
      <c r="E474" s="1">
        <v>45700</v>
      </c>
      <c r="F474" s="1">
        <v>45700</v>
      </c>
      <c r="G474" s="12">
        <v>44.97</v>
      </c>
      <c r="H474" s="2">
        <v>0</v>
      </c>
      <c r="I474" s="2">
        <v>0</v>
      </c>
      <c r="J474" s="2">
        <v>0</v>
      </c>
      <c r="K474" s="20">
        <v>44.97</v>
      </c>
      <c r="L474" t="s">
        <v>794</v>
      </c>
      <c r="M474">
        <f t="shared" si="7"/>
        <v>2025</v>
      </c>
    </row>
    <row r="475" spans="1:13" hidden="1">
      <c r="A475" t="s">
        <v>945</v>
      </c>
      <c r="B475" t="s">
        <v>143</v>
      </c>
      <c r="C475" t="s">
        <v>138</v>
      </c>
      <c r="D475" t="s">
        <v>908</v>
      </c>
      <c r="E475" s="1">
        <v>45700</v>
      </c>
      <c r="F475" s="1">
        <v>45700</v>
      </c>
      <c r="G475" s="12">
        <v>38</v>
      </c>
      <c r="H475" s="2">
        <v>0</v>
      </c>
      <c r="I475" s="2">
        <v>0</v>
      </c>
      <c r="J475" s="2">
        <v>0</v>
      </c>
      <c r="K475" s="20">
        <v>38</v>
      </c>
      <c r="L475" t="s">
        <v>794</v>
      </c>
      <c r="M475">
        <f t="shared" si="7"/>
        <v>2025</v>
      </c>
    </row>
    <row r="476" spans="1:13" hidden="1">
      <c r="A476" t="s">
        <v>963</v>
      </c>
      <c r="B476" t="s">
        <v>217</v>
      </c>
      <c r="C476" t="s">
        <v>138</v>
      </c>
      <c r="D476" t="s">
        <v>908</v>
      </c>
      <c r="E476" s="1">
        <v>45700</v>
      </c>
      <c r="F476" s="1">
        <v>45700</v>
      </c>
      <c r="G476" s="12">
        <v>38</v>
      </c>
      <c r="H476" s="2">
        <v>0</v>
      </c>
      <c r="I476" s="2">
        <v>0</v>
      </c>
      <c r="J476" s="2">
        <v>0</v>
      </c>
      <c r="K476" s="20">
        <v>38</v>
      </c>
      <c r="L476" t="s">
        <v>794</v>
      </c>
      <c r="M476">
        <f t="shared" si="7"/>
        <v>2025</v>
      </c>
    </row>
    <row r="477" spans="1:13" hidden="1">
      <c r="A477" t="s">
        <v>801</v>
      </c>
      <c r="B477" t="s">
        <v>13</v>
      </c>
      <c r="C477" t="s">
        <v>726</v>
      </c>
      <c r="D477" t="s">
        <v>908</v>
      </c>
      <c r="E477" s="1">
        <v>45700</v>
      </c>
      <c r="F477" s="1">
        <v>45700</v>
      </c>
      <c r="G477" s="12">
        <v>8.16</v>
      </c>
      <c r="H477" s="2">
        <v>0</v>
      </c>
      <c r="I477" s="2">
        <v>0</v>
      </c>
      <c r="J477" s="2">
        <v>0</v>
      </c>
      <c r="K477" s="20">
        <v>8.16</v>
      </c>
      <c r="L477" t="s">
        <v>794</v>
      </c>
      <c r="M477">
        <f t="shared" si="7"/>
        <v>2025</v>
      </c>
    </row>
    <row r="478" spans="1:13" hidden="1">
      <c r="A478" t="s">
        <v>991</v>
      </c>
      <c r="B478" t="s">
        <v>259</v>
      </c>
      <c r="C478" t="s">
        <v>183</v>
      </c>
      <c r="D478" t="s">
        <v>908</v>
      </c>
      <c r="E478" s="1">
        <v>45701</v>
      </c>
      <c r="F478" s="1">
        <v>45701</v>
      </c>
      <c r="G478" s="12">
        <v>2100</v>
      </c>
      <c r="H478" s="2">
        <v>0</v>
      </c>
      <c r="I478" s="2">
        <v>0</v>
      </c>
      <c r="J478" s="2">
        <v>0</v>
      </c>
      <c r="K478" s="20">
        <v>2100</v>
      </c>
      <c r="L478" t="s">
        <v>794</v>
      </c>
      <c r="M478">
        <f t="shared" si="7"/>
        <v>2025</v>
      </c>
    </row>
    <row r="479" spans="1:13" hidden="1">
      <c r="A479" t="s">
        <v>992</v>
      </c>
      <c r="B479" t="s">
        <v>16</v>
      </c>
      <c r="C479" t="s">
        <v>713</v>
      </c>
      <c r="D479" t="s">
        <v>908</v>
      </c>
      <c r="E479" s="1">
        <v>45701</v>
      </c>
      <c r="F479" s="1">
        <v>45701</v>
      </c>
      <c r="G479" s="12">
        <v>1048.9000000000001</v>
      </c>
      <c r="H479" s="2">
        <v>0</v>
      </c>
      <c r="I479" s="2">
        <v>0</v>
      </c>
      <c r="J479" s="2">
        <v>0</v>
      </c>
      <c r="K479" s="20">
        <v>1048.9000000000001</v>
      </c>
      <c r="L479" t="s">
        <v>794</v>
      </c>
      <c r="M479">
        <f t="shared" si="7"/>
        <v>2025</v>
      </c>
    </row>
    <row r="480" spans="1:13" hidden="1">
      <c r="A480" t="s">
        <v>805</v>
      </c>
      <c r="B480" t="s">
        <v>17</v>
      </c>
      <c r="C480" t="s">
        <v>713</v>
      </c>
      <c r="D480" t="s">
        <v>908</v>
      </c>
      <c r="E480" s="1">
        <v>45701</v>
      </c>
      <c r="F480" s="1">
        <v>45701</v>
      </c>
      <c r="G480" s="12">
        <v>10489.01</v>
      </c>
      <c r="H480" s="2">
        <v>0</v>
      </c>
      <c r="I480" s="2">
        <v>0</v>
      </c>
      <c r="J480" s="2">
        <v>0</v>
      </c>
      <c r="K480" s="20">
        <v>10489.01</v>
      </c>
      <c r="L480" t="s">
        <v>794</v>
      </c>
      <c r="M480">
        <f t="shared" si="7"/>
        <v>2025</v>
      </c>
    </row>
    <row r="481" spans="1:13" hidden="1">
      <c r="A481" t="s">
        <v>993</v>
      </c>
      <c r="B481" t="s">
        <v>371</v>
      </c>
      <c r="C481" t="s">
        <v>200</v>
      </c>
      <c r="D481" t="s">
        <v>908</v>
      </c>
      <c r="E481" s="1">
        <v>45701</v>
      </c>
      <c r="F481" s="1">
        <v>45701</v>
      </c>
      <c r="G481" s="12">
        <v>640</v>
      </c>
      <c r="H481" s="2">
        <v>0</v>
      </c>
      <c r="I481" s="2">
        <v>0</v>
      </c>
      <c r="J481" s="2">
        <v>0</v>
      </c>
      <c r="K481" s="20">
        <v>640</v>
      </c>
      <c r="L481" t="s">
        <v>794</v>
      </c>
      <c r="M481">
        <f t="shared" si="7"/>
        <v>2025</v>
      </c>
    </row>
    <row r="482" spans="1:13" hidden="1">
      <c r="A482" t="s">
        <v>801</v>
      </c>
      <c r="B482" t="s">
        <v>13</v>
      </c>
      <c r="C482" t="s">
        <v>726</v>
      </c>
      <c r="D482" t="s">
        <v>908</v>
      </c>
      <c r="E482" s="1">
        <v>45701</v>
      </c>
      <c r="F482" s="1">
        <v>45701</v>
      </c>
      <c r="G482" s="12">
        <v>520.98</v>
      </c>
      <c r="H482" s="2">
        <v>0</v>
      </c>
      <c r="I482" s="2">
        <v>0</v>
      </c>
      <c r="J482" s="2">
        <v>0</v>
      </c>
      <c r="K482" s="20">
        <v>520.98</v>
      </c>
      <c r="L482" t="s">
        <v>794</v>
      </c>
      <c r="M482">
        <f t="shared" si="7"/>
        <v>2025</v>
      </c>
    </row>
    <row r="483" spans="1:13" hidden="1">
      <c r="A483" t="s">
        <v>945</v>
      </c>
      <c r="B483" t="s">
        <v>143</v>
      </c>
      <c r="C483" t="s">
        <v>142</v>
      </c>
      <c r="D483" t="s">
        <v>908</v>
      </c>
      <c r="E483" s="1">
        <v>45701</v>
      </c>
      <c r="F483" s="1">
        <v>45701</v>
      </c>
      <c r="G483" s="12">
        <v>30</v>
      </c>
      <c r="H483" s="2">
        <v>0</v>
      </c>
      <c r="I483" s="2">
        <v>0</v>
      </c>
      <c r="J483" s="2">
        <v>0</v>
      </c>
      <c r="K483" s="20">
        <v>30</v>
      </c>
      <c r="L483" t="s">
        <v>794</v>
      </c>
      <c r="M483">
        <f t="shared" si="7"/>
        <v>2025</v>
      </c>
    </row>
    <row r="484" spans="1:13" hidden="1">
      <c r="A484" t="s">
        <v>961</v>
      </c>
      <c r="B484" t="s">
        <v>41</v>
      </c>
      <c r="C484" t="s">
        <v>142</v>
      </c>
      <c r="D484" t="s">
        <v>908</v>
      </c>
      <c r="E484" s="1">
        <v>45701</v>
      </c>
      <c r="F484" s="1">
        <v>45701</v>
      </c>
      <c r="G484" s="12">
        <v>30</v>
      </c>
      <c r="H484" s="2">
        <v>0</v>
      </c>
      <c r="I484" s="2">
        <v>0</v>
      </c>
      <c r="J484" s="2">
        <v>0</v>
      </c>
      <c r="K484" s="20">
        <v>30</v>
      </c>
      <c r="L484" t="s">
        <v>794</v>
      </c>
      <c r="M484">
        <f t="shared" si="7"/>
        <v>2025</v>
      </c>
    </row>
    <row r="485" spans="1:13" hidden="1">
      <c r="A485" t="s">
        <v>796</v>
      </c>
      <c r="B485" t="s">
        <v>181</v>
      </c>
      <c r="C485" t="s">
        <v>142</v>
      </c>
      <c r="D485" t="s">
        <v>908</v>
      </c>
      <c r="E485" s="1">
        <v>45701</v>
      </c>
      <c r="F485" s="1">
        <v>45701</v>
      </c>
      <c r="G485" s="12">
        <v>30</v>
      </c>
      <c r="H485" s="2">
        <v>0</v>
      </c>
      <c r="I485" s="2">
        <v>0</v>
      </c>
      <c r="J485" s="2">
        <v>0</v>
      </c>
      <c r="K485" s="20">
        <v>30</v>
      </c>
      <c r="L485" t="s">
        <v>794</v>
      </c>
      <c r="M485">
        <f t="shared" si="7"/>
        <v>2025</v>
      </c>
    </row>
    <row r="486" spans="1:13" hidden="1">
      <c r="A486" t="s">
        <v>963</v>
      </c>
      <c r="B486" t="s">
        <v>217</v>
      </c>
      <c r="C486" t="s">
        <v>142</v>
      </c>
      <c r="D486" t="s">
        <v>908</v>
      </c>
      <c r="E486" s="1">
        <v>45701</v>
      </c>
      <c r="F486" s="1">
        <v>45701</v>
      </c>
      <c r="G486" s="12">
        <v>30</v>
      </c>
      <c r="H486" s="2">
        <v>0</v>
      </c>
      <c r="I486" s="2">
        <v>0</v>
      </c>
      <c r="J486" s="2">
        <v>0</v>
      </c>
      <c r="K486" s="20">
        <v>30</v>
      </c>
      <c r="L486" t="s">
        <v>794</v>
      </c>
      <c r="M486">
        <f t="shared" si="7"/>
        <v>2025</v>
      </c>
    </row>
    <row r="487" spans="1:13" hidden="1">
      <c r="A487" t="s">
        <v>883</v>
      </c>
      <c r="B487" t="s">
        <v>325</v>
      </c>
      <c r="C487" t="s">
        <v>99</v>
      </c>
      <c r="D487" t="s">
        <v>908</v>
      </c>
      <c r="E487" s="1">
        <v>45701</v>
      </c>
      <c r="F487" s="1">
        <v>45701</v>
      </c>
      <c r="G487" s="12">
        <v>26.78</v>
      </c>
      <c r="H487" s="2">
        <v>0</v>
      </c>
      <c r="I487" s="2">
        <v>0</v>
      </c>
      <c r="J487" s="2">
        <v>0</v>
      </c>
      <c r="K487" s="20">
        <v>26.78</v>
      </c>
      <c r="L487" t="s">
        <v>794</v>
      </c>
      <c r="M487">
        <f t="shared" si="7"/>
        <v>2025</v>
      </c>
    </row>
    <row r="488" spans="1:13" hidden="1">
      <c r="A488" t="s">
        <v>898</v>
      </c>
      <c r="B488" t="s">
        <v>353</v>
      </c>
      <c r="C488" t="s">
        <v>761</v>
      </c>
      <c r="D488" t="s">
        <v>908</v>
      </c>
      <c r="E488" s="1">
        <v>45701</v>
      </c>
      <c r="F488" s="1">
        <v>45701</v>
      </c>
      <c r="G488" s="12">
        <v>41.2</v>
      </c>
      <c r="H488" s="2">
        <v>0</v>
      </c>
      <c r="I488" s="2">
        <v>0</v>
      </c>
      <c r="J488" s="2">
        <v>0</v>
      </c>
      <c r="K488" s="20">
        <v>41.2</v>
      </c>
      <c r="L488" t="s">
        <v>794</v>
      </c>
      <c r="M488">
        <f t="shared" si="7"/>
        <v>2025</v>
      </c>
    </row>
    <row r="489" spans="1:13" hidden="1">
      <c r="A489" t="s">
        <v>994</v>
      </c>
      <c r="B489" t="s">
        <v>467</v>
      </c>
      <c r="C489" t="s">
        <v>483</v>
      </c>
      <c r="D489" t="s">
        <v>908</v>
      </c>
      <c r="E489" s="1">
        <v>45701</v>
      </c>
      <c r="F489" s="1">
        <v>45701</v>
      </c>
      <c r="G489" s="12">
        <v>47.92</v>
      </c>
      <c r="H489" s="2">
        <v>0</v>
      </c>
      <c r="I489" s="2">
        <v>0</v>
      </c>
      <c r="J489" s="2">
        <v>0</v>
      </c>
      <c r="K489" s="20">
        <v>47.92</v>
      </c>
      <c r="L489" t="s">
        <v>794</v>
      </c>
      <c r="M489">
        <f t="shared" si="7"/>
        <v>2025</v>
      </c>
    </row>
    <row r="490" spans="1:13" hidden="1">
      <c r="A490" t="s">
        <v>801</v>
      </c>
      <c r="B490" t="s">
        <v>13</v>
      </c>
      <c r="C490" t="s">
        <v>726</v>
      </c>
      <c r="D490" t="s">
        <v>908</v>
      </c>
      <c r="E490" s="1">
        <v>45701</v>
      </c>
      <c r="F490" s="1">
        <v>45701</v>
      </c>
      <c r="G490" s="12">
        <v>4.08</v>
      </c>
      <c r="H490" s="2">
        <v>0</v>
      </c>
      <c r="I490" s="2">
        <v>0</v>
      </c>
      <c r="J490" s="2">
        <v>0</v>
      </c>
      <c r="K490" s="20">
        <v>4.08</v>
      </c>
      <c r="L490" t="s">
        <v>794</v>
      </c>
      <c r="M490">
        <f t="shared" si="7"/>
        <v>2025</v>
      </c>
    </row>
    <row r="491" spans="1:13" hidden="1">
      <c r="A491" t="s">
        <v>801</v>
      </c>
      <c r="B491" t="s">
        <v>13</v>
      </c>
      <c r="C491" t="s">
        <v>717</v>
      </c>
      <c r="D491" t="s">
        <v>908</v>
      </c>
      <c r="E491" s="1">
        <v>45701</v>
      </c>
      <c r="F491" s="1">
        <v>45701</v>
      </c>
      <c r="G491" s="12">
        <v>5472</v>
      </c>
      <c r="H491" s="2">
        <v>0</v>
      </c>
      <c r="I491" s="2">
        <v>0</v>
      </c>
      <c r="J491" s="2">
        <v>0</v>
      </c>
      <c r="K491" s="20">
        <v>5472</v>
      </c>
      <c r="L491" t="s">
        <v>794</v>
      </c>
      <c r="M491">
        <f t="shared" si="7"/>
        <v>2025</v>
      </c>
    </row>
    <row r="492" spans="1:13" hidden="1">
      <c r="A492" t="s">
        <v>816</v>
      </c>
      <c r="B492" t="s">
        <v>148</v>
      </c>
      <c r="C492" t="s">
        <v>138</v>
      </c>
      <c r="D492" t="s">
        <v>908</v>
      </c>
      <c r="E492" s="1">
        <v>45701</v>
      </c>
      <c r="F492" s="1">
        <v>45701</v>
      </c>
      <c r="G492" s="12">
        <v>20.400000000000002</v>
      </c>
      <c r="H492" s="2">
        <v>0</v>
      </c>
      <c r="I492" s="2">
        <v>0</v>
      </c>
      <c r="J492" s="2">
        <v>0</v>
      </c>
      <c r="K492" s="20">
        <v>20.400000000000002</v>
      </c>
      <c r="L492" t="s">
        <v>794</v>
      </c>
      <c r="M492">
        <f t="shared" si="7"/>
        <v>2025</v>
      </c>
    </row>
    <row r="493" spans="1:13" hidden="1">
      <c r="A493" t="s">
        <v>995</v>
      </c>
      <c r="B493" t="s">
        <v>122</v>
      </c>
      <c r="C493" t="s">
        <v>735</v>
      </c>
      <c r="D493" t="s">
        <v>908</v>
      </c>
      <c r="E493" s="1">
        <v>45701</v>
      </c>
      <c r="F493" s="1">
        <v>45701</v>
      </c>
      <c r="G493" s="12">
        <v>605</v>
      </c>
      <c r="H493" s="2">
        <v>0</v>
      </c>
      <c r="I493" s="2">
        <v>0</v>
      </c>
      <c r="J493" s="2">
        <v>0</v>
      </c>
      <c r="K493" s="20">
        <v>605</v>
      </c>
      <c r="L493" t="s">
        <v>794</v>
      </c>
      <c r="M493">
        <f t="shared" si="7"/>
        <v>2025</v>
      </c>
    </row>
    <row r="494" spans="1:13" hidden="1">
      <c r="A494" t="s">
        <v>806</v>
      </c>
      <c r="B494" t="s">
        <v>435</v>
      </c>
      <c r="C494" t="s">
        <v>733</v>
      </c>
      <c r="D494" t="s">
        <v>908</v>
      </c>
      <c r="E494" s="1">
        <v>45702</v>
      </c>
      <c r="F494" s="1">
        <v>45702</v>
      </c>
      <c r="G494" s="12">
        <v>50</v>
      </c>
      <c r="H494" s="2">
        <v>0</v>
      </c>
      <c r="I494" s="2">
        <v>0</v>
      </c>
      <c r="J494" s="2">
        <v>0</v>
      </c>
      <c r="K494" s="20">
        <v>50</v>
      </c>
      <c r="L494" t="s">
        <v>794</v>
      </c>
      <c r="M494">
        <f t="shared" si="7"/>
        <v>2025</v>
      </c>
    </row>
    <row r="495" spans="1:13" hidden="1">
      <c r="A495" t="s">
        <v>957</v>
      </c>
      <c r="B495" t="s">
        <v>336</v>
      </c>
      <c r="C495" t="s">
        <v>201</v>
      </c>
      <c r="D495" t="s">
        <v>908</v>
      </c>
      <c r="E495" s="1">
        <v>45702</v>
      </c>
      <c r="F495" s="1">
        <v>45702</v>
      </c>
      <c r="G495" s="12">
        <v>240</v>
      </c>
      <c r="H495" s="2">
        <v>0</v>
      </c>
      <c r="I495" s="2">
        <v>0</v>
      </c>
      <c r="J495" s="2">
        <v>0</v>
      </c>
      <c r="K495" s="20">
        <v>240</v>
      </c>
      <c r="L495" t="s">
        <v>794</v>
      </c>
      <c r="M495">
        <f t="shared" si="7"/>
        <v>2025</v>
      </c>
    </row>
    <row r="496" spans="1:13" hidden="1">
      <c r="A496" t="s">
        <v>996</v>
      </c>
      <c r="B496" t="s">
        <v>323</v>
      </c>
      <c r="C496" t="s">
        <v>200</v>
      </c>
      <c r="D496" t="s">
        <v>908</v>
      </c>
      <c r="E496" s="1">
        <v>45702</v>
      </c>
      <c r="F496" s="1">
        <v>45702</v>
      </c>
      <c r="G496" s="12">
        <v>320</v>
      </c>
      <c r="H496" s="2">
        <v>0</v>
      </c>
      <c r="I496" s="2">
        <v>0</v>
      </c>
      <c r="J496" s="2">
        <v>0</v>
      </c>
      <c r="K496" s="20">
        <v>320</v>
      </c>
      <c r="L496" t="s">
        <v>794</v>
      </c>
      <c r="M496">
        <f t="shared" si="7"/>
        <v>2025</v>
      </c>
    </row>
    <row r="497" spans="1:13" hidden="1">
      <c r="A497" t="s">
        <v>997</v>
      </c>
      <c r="B497" t="s">
        <v>432</v>
      </c>
      <c r="C497" t="s">
        <v>201</v>
      </c>
      <c r="D497" t="s">
        <v>908</v>
      </c>
      <c r="E497" s="1">
        <v>45702</v>
      </c>
      <c r="F497" s="1">
        <v>45702</v>
      </c>
      <c r="G497" s="12">
        <v>320</v>
      </c>
      <c r="H497" s="2">
        <v>0</v>
      </c>
      <c r="I497" s="2">
        <v>0</v>
      </c>
      <c r="J497" s="2">
        <v>0</v>
      </c>
      <c r="K497" s="20">
        <v>320</v>
      </c>
      <c r="L497" t="s">
        <v>794</v>
      </c>
      <c r="M497">
        <f t="shared" si="7"/>
        <v>2025</v>
      </c>
    </row>
    <row r="498" spans="1:13" hidden="1">
      <c r="A498" t="s">
        <v>839</v>
      </c>
      <c r="B498" t="s">
        <v>26</v>
      </c>
      <c r="C498" t="s">
        <v>139</v>
      </c>
      <c r="D498" t="s">
        <v>908</v>
      </c>
      <c r="E498" s="1">
        <v>45702</v>
      </c>
      <c r="F498" s="1">
        <v>45702</v>
      </c>
      <c r="G498" s="12">
        <v>2787.75</v>
      </c>
      <c r="H498" s="2">
        <v>0</v>
      </c>
      <c r="I498" s="2">
        <v>0</v>
      </c>
      <c r="J498" s="2">
        <v>0</v>
      </c>
      <c r="K498" s="20">
        <v>2787.75</v>
      </c>
      <c r="L498" t="s">
        <v>794</v>
      </c>
      <c r="M498">
        <f t="shared" si="7"/>
        <v>2025</v>
      </c>
    </row>
    <row r="499" spans="1:13" hidden="1">
      <c r="A499" t="s">
        <v>947</v>
      </c>
      <c r="B499" t="s">
        <v>162</v>
      </c>
      <c r="C499" t="s">
        <v>757</v>
      </c>
      <c r="D499" t="s">
        <v>908</v>
      </c>
      <c r="E499" s="1">
        <v>45702</v>
      </c>
      <c r="F499" s="1">
        <v>45702</v>
      </c>
      <c r="G499" s="12">
        <v>163</v>
      </c>
      <c r="H499" s="2">
        <v>0</v>
      </c>
      <c r="I499" s="2">
        <v>0</v>
      </c>
      <c r="J499" s="2">
        <v>0</v>
      </c>
      <c r="K499" s="20">
        <v>163</v>
      </c>
      <c r="L499" t="s">
        <v>794</v>
      </c>
      <c r="M499">
        <f t="shared" si="7"/>
        <v>2025</v>
      </c>
    </row>
    <row r="500" spans="1:13" hidden="1">
      <c r="A500" t="s">
        <v>998</v>
      </c>
      <c r="B500" t="s">
        <v>368</v>
      </c>
      <c r="C500" t="s">
        <v>733</v>
      </c>
      <c r="D500" t="s">
        <v>908</v>
      </c>
      <c r="E500" s="1">
        <v>45702</v>
      </c>
      <c r="F500" s="1">
        <v>45702</v>
      </c>
      <c r="G500" s="12">
        <v>10</v>
      </c>
      <c r="H500" s="2">
        <v>0</v>
      </c>
      <c r="I500" s="2">
        <v>0</v>
      </c>
      <c r="J500" s="2">
        <v>0</v>
      </c>
      <c r="K500" s="20">
        <v>10</v>
      </c>
      <c r="L500" t="s">
        <v>794</v>
      </c>
      <c r="M500">
        <f t="shared" si="7"/>
        <v>2025</v>
      </c>
    </row>
    <row r="501" spans="1:13" hidden="1">
      <c r="A501" t="s">
        <v>890</v>
      </c>
      <c r="B501" t="s">
        <v>247</v>
      </c>
      <c r="C501" t="s">
        <v>139</v>
      </c>
      <c r="D501" t="s">
        <v>908</v>
      </c>
      <c r="E501" s="1">
        <v>45702</v>
      </c>
      <c r="F501" s="1">
        <v>45702</v>
      </c>
      <c r="G501" s="12">
        <v>235.4</v>
      </c>
      <c r="H501" s="2">
        <v>0</v>
      </c>
      <c r="I501" s="2">
        <v>0</v>
      </c>
      <c r="J501" s="2">
        <v>0</v>
      </c>
      <c r="K501" s="20">
        <v>235.4</v>
      </c>
      <c r="L501" t="s">
        <v>794</v>
      </c>
      <c r="M501">
        <f t="shared" si="7"/>
        <v>2025</v>
      </c>
    </row>
    <row r="502" spans="1:13" hidden="1">
      <c r="A502" t="s">
        <v>999</v>
      </c>
      <c r="B502" t="s">
        <v>329</v>
      </c>
      <c r="C502" t="s">
        <v>140</v>
      </c>
      <c r="D502" t="s">
        <v>908</v>
      </c>
      <c r="E502" s="1">
        <v>45702</v>
      </c>
      <c r="F502" s="1">
        <v>45702</v>
      </c>
      <c r="G502" s="12">
        <v>30</v>
      </c>
      <c r="H502" s="2">
        <v>0</v>
      </c>
      <c r="I502" s="2">
        <v>0</v>
      </c>
      <c r="J502" s="2">
        <v>0</v>
      </c>
      <c r="K502" s="20">
        <v>30</v>
      </c>
      <c r="L502" t="s">
        <v>794</v>
      </c>
      <c r="M502">
        <f t="shared" si="7"/>
        <v>2025</v>
      </c>
    </row>
    <row r="503" spans="1:13" hidden="1">
      <c r="A503" t="s">
        <v>999</v>
      </c>
      <c r="B503" t="s">
        <v>329</v>
      </c>
      <c r="C503" t="s">
        <v>139</v>
      </c>
      <c r="D503" t="s">
        <v>908</v>
      </c>
      <c r="E503" s="1">
        <v>45702</v>
      </c>
      <c r="F503" s="1">
        <v>45702</v>
      </c>
      <c r="G503" s="12">
        <v>20.400000000000002</v>
      </c>
      <c r="H503" s="2">
        <v>0</v>
      </c>
      <c r="I503" s="2">
        <v>0</v>
      </c>
      <c r="J503" s="2">
        <v>0</v>
      </c>
      <c r="K503" s="20">
        <v>20.400000000000002</v>
      </c>
      <c r="L503" t="s">
        <v>794</v>
      </c>
      <c r="M503">
        <f t="shared" si="7"/>
        <v>2025</v>
      </c>
    </row>
    <row r="504" spans="1:13" hidden="1">
      <c r="A504" t="s">
        <v>896</v>
      </c>
      <c r="B504" t="s">
        <v>293</v>
      </c>
      <c r="C504" t="s">
        <v>733</v>
      </c>
      <c r="D504" t="s">
        <v>908</v>
      </c>
      <c r="E504" s="1">
        <v>45702</v>
      </c>
      <c r="F504" s="1">
        <v>45702</v>
      </c>
      <c r="G504" s="12">
        <v>112.06</v>
      </c>
      <c r="H504" s="2">
        <v>0</v>
      </c>
      <c r="I504" s="2">
        <v>0</v>
      </c>
      <c r="J504" s="2">
        <v>0</v>
      </c>
      <c r="K504" s="20">
        <v>112.06</v>
      </c>
      <c r="L504" t="s">
        <v>794</v>
      </c>
      <c r="M504">
        <f t="shared" si="7"/>
        <v>2025</v>
      </c>
    </row>
    <row r="505" spans="1:13" hidden="1">
      <c r="A505" t="s">
        <v>883</v>
      </c>
      <c r="B505" t="s">
        <v>325</v>
      </c>
      <c r="C505" t="s">
        <v>99</v>
      </c>
      <c r="D505" t="s">
        <v>908</v>
      </c>
      <c r="E505" s="1">
        <v>45702</v>
      </c>
      <c r="F505" s="1">
        <v>45702</v>
      </c>
      <c r="G505" s="12">
        <v>23.98</v>
      </c>
      <c r="H505" s="2">
        <v>0</v>
      </c>
      <c r="I505" s="2">
        <v>0</v>
      </c>
      <c r="J505" s="2">
        <v>0</v>
      </c>
      <c r="K505" s="20">
        <v>23.98</v>
      </c>
      <c r="L505" t="s">
        <v>794</v>
      </c>
      <c r="M505">
        <f t="shared" si="7"/>
        <v>2025</v>
      </c>
    </row>
    <row r="506" spans="1:13" hidden="1">
      <c r="A506" t="s">
        <v>875</v>
      </c>
      <c r="B506" t="s">
        <v>115</v>
      </c>
      <c r="C506" t="s">
        <v>749</v>
      </c>
      <c r="D506" t="s">
        <v>908</v>
      </c>
      <c r="E506" s="1">
        <v>45702</v>
      </c>
      <c r="F506" s="1">
        <v>45702</v>
      </c>
      <c r="G506" s="12">
        <v>70</v>
      </c>
      <c r="H506" s="2">
        <v>0</v>
      </c>
      <c r="I506" s="2">
        <v>0</v>
      </c>
      <c r="J506" s="2">
        <v>0</v>
      </c>
      <c r="K506" s="20">
        <v>70</v>
      </c>
      <c r="L506" t="s">
        <v>794</v>
      </c>
      <c r="M506">
        <f t="shared" si="7"/>
        <v>2025</v>
      </c>
    </row>
    <row r="507" spans="1:13" hidden="1">
      <c r="A507" t="s">
        <v>811</v>
      </c>
      <c r="B507" t="s">
        <v>39</v>
      </c>
      <c r="C507" t="s">
        <v>491</v>
      </c>
      <c r="D507" t="s">
        <v>908</v>
      </c>
      <c r="E507" s="1">
        <v>45702</v>
      </c>
      <c r="F507" s="1">
        <v>45702</v>
      </c>
      <c r="G507" s="12">
        <v>35</v>
      </c>
      <c r="H507" s="2">
        <v>0</v>
      </c>
      <c r="I507" s="2">
        <v>0</v>
      </c>
      <c r="J507" s="2">
        <v>0</v>
      </c>
      <c r="K507" s="20">
        <v>35</v>
      </c>
      <c r="L507" t="s">
        <v>794</v>
      </c>
      <c r="M507">
        <f t="shared" si="7"/>
        <v>2025</v>
      </c>
    </row>
    <row r="508" spans="1:13" hidden="1">
      <c r="A508" t="s">
        <v>827</v>
      </c>
      <c r="B508" t="s">
        <v>265</v>
      </c>
      <c r="C508" t="s">
        <v>141</v>
      </c>
      <c r="D508" t="s">
        <v>908</v>
      </c>
      <c r="E508" s="1">
        <v>45702</v>
      </c>
      <c r="F508" s="1">
        <v>45702</v>
      </c>
      <c r="G508" s="12">
        <v>200</v>
      </c>
      <c r="H508" s="2">
        <v>0</v>
      </c>
      <c r="I508" s="2">
        <v>0</v>
      </c>
      <c r="J508" s="2">
        <v>0</v>
      </c>
      <c r="K508" s="20">
        <v>200</v>
      </c>
      <c r="L508" t="s">
        <v>794</v>
      </c>
      <c r="M508">
        <f t="shared" si="7"/>
        <v>2025</v>
      </c>
    </row>
    <row r="509" spans="1:13" hidden="1">
      <c r="A509" t="s">
        <v>811</v>
      </c>
      <c r="B509" t="s">
        <v>39</v>
      </c>
      <c r="C509" t="s">
        <v>139</v>
      </c>
      <c r="D509" t="s">
        <v>908</v>
      </c>
      <c r="E509" s="1">
        <v>45702</v>
      </c>
      <c r="F509" s="1">
        <v>45702</v>
      </c>
      <c r="G509" s="12">
        <v>35</v>
      </c>
      <c r="H509" s="2">
        <v>0</v>
      </c>
      <c r="I509" s="2">
        <v>0</v>
      </c>
      <c r="J509" s="2">
        <v>0</v>
      </c>
      <c r="K509" s="20">
        <v>35</v>
      </c>
      <c r="L509" t="s">
        <v>794</v>
      </c>
      <c r="M509">
        <f t="shared" si="7"/>
        <v>2025</v>
      </c>
    </row>
    <row r="510" spans="1:13" hidden="1">
      <c r="A510" t="s">
        <v>801</v>
      </c>
      <c r="B510" t="s">
        <v>13</v>
      </c>
      <c r="C510" t="s">
        <v>726</v>
      </c>
      <c r="D510" t="s">
        <v>908</v>
      </c>
      <c r="E510" s="1">
        <v>45702</v>
      </c>
      <c r="F510" s="1">
        <v>45702</v>
      </c>
      <c r="G510" s="12">
        <v>4.08</v>
      </c>
      <c r="H510" s="2">
        <v>0</v>
      </c>
      <c r="I510" s="2">
        <v>0</v>
      </c>
      <c r="J510" s="2">
        <v>0</v>
      </c>
      <c r="K510" s="20">
        <v>4.08</v>
      </c>
      <c r="L510" t="s">
        <v>794</v>
      </c>
      <c r="M510">
        <f t="shared" si="7"/>
        <v>2025</v>
      </c>
    </row>
    <row r="511" spans="1:13" hidden="1">
      <c r="A511" t="s">
        <v>810</v>
      </c>
      <c r="B511" t="s">
        <v>54</v>
      </c>
      <c r="C511" t="s">
        <v>139</v>
      </c>
      <c r="D511" t="s">
        <v>908</v>
      </c>
      <c r="E511" s="1">
        <v>45702</v>
      </c>
      <c r="F511" s="1">
        <v>45702</v>
      </c>
      <c r="G511" s="12">
        <v>224</v>
      </c>
      <c r="H511" s="2">
        <v>0</v>
      </c>
      <c r="I511" s="2">
        <v>0</v>
      </c>
      <c r="J511" s="2">
        <v>0</v>
      </c>
      <c r="K511" s="20">
        <v>224</v>
      </c>
      <c r="L511" t="s">
        <v>794</v>
      </c>
      <c r="M511">
        <f t="shared" si="7"/>
        <v>2025</v>
      </c>
    </row>
    <row r="512" spans="1:13" hidden="1">
      <c r="A512" t="s">
        <v>963</v>
      </c>
      <c r="B512" t="s">
        <v>217</v>
      </c>
      <c r="C512" t="s">
        <v>139</v>
      </c>
      <c r="D512" t="s">
        <v>908</v>
      </c>
      <c r="E512" s="1">
        <v>45702</v>
      </c>
      <c r="F512" s="1">
        <v>45702</v>
      </c>
      <c r="G512" s="12">
        <v>163.80000000000001</v>
      </c>
      <c r="H512" s="2">
        <v>0</v>
      </c>
      <c r="I512" s="2">
        <v>0</v>
      </c>
      <c r="J512" s="2">
        <v>0</v>
      </c>
      <c r="K512" s="20">
        <v>163.80000000000001</v>
      </c>
      <c r="L512" t="s">
        <v>794</v>
      </c>
      <c r="M512">
        <f t="shared" si="7"/>
        <v>2025</v>
      </c>
    </row>
    <row r="513" spans="1:13" hidden="1">
      <c r="A513" t="s">
        <v>803</v>
      </c>
      <c r="B513" t="s">
        <v>125</v>
      </c>
      <c r="C513" t="s">
        <v>139</v>
      </c>
      <c r="D513" t="s">
        <v>908</v>
      </c>
      <c r="E513" s="1">
        <v>45702</v>
      </c>
      <c r="F513" s="1">
        <v>45702</v>
      </c>
      <c r="G513" s="12">
        <v>214</v>
      </c>
      <c r="H513" s="2">
        <v>0</v>
      </c>
      <c r="I513" s="2">
        <v>0</v>
      </c>
      <c r="J513" s="2">
        <v>0</v>
      </c>
      <c r="K513" s="20">
        <v>214</v>
      </c>
      <c r="L513" t="s">
        <v>794</v>
      </c>
      <c r="M513">
        <f t="shared" si="7"/>
        <v>2025</v>
      </c>
    </row>
    <row r="514" spans="1:13" hidden="1">
      <c r="A514" t="s">
        <v>961</v>
      </c>
      <c r="B514" t="s">
        <v>41</v>
      </c>
      <c r="C514" t="s">
        <v>139</v>
      </c>
      <c r="D514" t="s">
        <v>908</v>
      </c>
      <c r="E514" s="1">
        <v>45702</v>
      </c>
      <c r="F514" s="1">
        <v>45702</v>
      </c>
      <c r="G514" s="12">
        <v>163.80000000000001</v>
      </c>
      <c r="H514" s="2">
        <v>0</v>
      </c>
      <c r="I514" s="2">
        <v>0</v>
      </c>
      <c r="J514" s="2">
        <v>0</v>
      </c>
      <c r="K514" s="20">
        <v>163.80000000000001</v>
      </c>
      <c r="L514" t="s">
        <v>794</v>
      </c>
      <c r="M514">
        <f t="shared" si="7"/>
        <v>2025</v>
      </c>
    </row>
    <row r="515" spans="1:13" hidden="1">
      <c r="A515" t="s">
        <v>836</v>
      </c>
      <c r="B515" t="s">
        <v>37</v>
      </c>
      <c r="C515" t="s">
        <v>139</v>
      </c>
      <c r="D515" t="s">
        <v>908</v>
      </c>
      <c r="E515" s="1">
        <v>45702</v>
      </c>
      <c r="F515" s="1">
        <v>45702</v>
      </c>
      <c r="G515" s="12">
        <v>247</v>
      </c>
      <c r="H515" s="2">
        <v>0</v>
      </c>
      <c r="I515" s="2">
        <v>0</v>
      </c>
      <c r="J515" s="2">
        <v>0</v>
      </c>
      <c r="K515" s="20">
        <v>247</v>
      </c>
      <c r="L515" t="s">
        <v>794</v>
      </c>
      <c r="M515">
        <f t="shared" ref="M515:M578" si="8">YEAR(F515)</f>
        <v>2025</v>
      </c>
    </row>
    <row r="516" spans="1:13" hidden="1">
      <c r="A516" t="s">
        <v>809</v>
      </c>
      <c r="B516" t="s">
        <v>91</v>
      </c>
      <c r="C516" t="s">
        <v>139</v>
      </c>
      <c r="D516" t="s">
        <v>908</v>
      </c>
      <c r="E516" s="1">
        <v>45702</v>
      </c>
      <c r="F516" s="1">
        <v>45702</v>
      </c>
      <c r="G516" s="12">
        <v>318</v>
      </c>
      <c r="H516" s="2">
        <v>0</v>
      </c>
      <c r="I516" s="2">
        <v>0</v>
      </c>
      <c r="J516" s="2">
        <v>0</v>
      </c>
      <c r="K516" s="20">
        <v>318</v>
      </c>
      <c r="L516" t="s">
        <v>794</v>
      </c>
      <c r="M516">
        <f t="shared" si="8"/>
        <v>2025</v>
      </c>
    </row>
    <row r="517" spans="1:13" hidden="1">
      <c r="A517" t="s">
        <v>945</v>
      </c>
      <c r="B517" t="s">
        <v>143</v>
      </c>
      <c r="C517" t="s">
        <v>139</v>
      </c>
      <c r="D517" t="s">
        <v>908</v>
      </c>
      <c r="E517" s="1">
        <v>45702</v>
      </c>
      <c r="F517" s="1">
        <v>45702</v>
      </c>
      <c r="G517" s="12">
        <v>145.6</v>
      </c>
      <c r="H517" s="2">
        <v>0</v>
      </c>
      <c r="I517" s="2">
        <v>0</v>
      </c>
      <c r="J517" s="2">
        <v>0</v>
      </c>
      <c r="K517" s="20">
        <v>145.6</v>
      </c>
      <c r="L517" t="s">
        <v>794</v>
      </c>
      <c r="M517">
        <f t="shared" si="8"/>
        <v>2025</v>
      </c>
    </row>
    <row r="518" spans="1:13" hidden="1">
      <c r="A518" t="s">
        <v>922</v>
      </c>
      <c r="B518" t="s">
        <v>149</v>
      </c>
      <c r="C518" t="s">
        <v>141</v>
      </c>
      <c r="D518" t="s">
        <v>908</v>
      </c>
      <c r="E518" s="1">
        <v>45705</v>
      </c>
      <c r="F518" s="1">
        <v>45705</v>
      </c>
      <c r="G518" s="12">
        <v>50.21</v>
      </c>
      <c r="H518" s="2">
        <v>0</v>
      </c>
      <c r="I518" s="2">
        <v>0</v>
      </c>
      <c r="J518" s="2">
        <v>0</v>
      </c>
      <c r="K518" s="20">
        <v>50.21</v>
      </c>
      <c r="L518" t="s">
        <v>794</v>
      </c>
      <c r="M518">
        <f t="shared" si="8"/>
        <v>2025</v>
      </c>
    </row>
    <row r="519" spans="1:13" hidden="1">
      <c r="A519" t="s">
        <v>1000</v>
      </c>
      <c r="B519" t="s">
        <v>31</v>
      </c>
      <c r="C519" t="s">
        <v>141</v>
      </c>
      <c r="D519" t="s">
        <v>908</v>
      </c>
      <c r="E519" s="1">
        <v>45705</v>
      </c>
      <c r="F519" s="1">
        <v>45705</v>
      </c>
      <c r="G519" s="12">
        <v>322</v>
      </c>
      <c r="H519" s="2">
        <v>0</v>
      </c>
      <c r="I519" s="2">
        <v>0</v>
      </c>
      <c r="J519" s="2">
        <v>0</v>
      </c>
      <c r="K519" s="20">
        <v>322</v>
      </c>
      <c r="L519" t="s">
        <v>794</v>
      </c>
      <c r="M519">
        <f t="shared" si="8"/>
        <v>2025</v>
      </c>
    </row>
    <row r="520" spans="1:13" hidden="1">
      <c r="A520" t="s">
        <v>894</v>
      </c>
      <c r="B520" t="s">
        <v>50</v>
      </c>
      <c r="C520" t="s">
        <v>152</v>
      </c>
      <c r="D520" t="s">
        <v>908</v>
      </c>
      <c r="E520" s="1">
        <v>45705</v>
      </c>
      <c r="F520" s="1">
        <v>45705</v>
      </c>
      <c r="G520" s="12">
        <v>1518</v>
      </c>
      <c r="H520" s="2">
        <v>0</v>
      </c>
      <c r="I520" s="2">
        <v>0</v>
      </c>
      <c r="J520" s="2">
        <v>0</v>
      </c>
      <c r="K520" s="20">
        <v>1518</v>
      </c>
      <c r="L520" t="s">
        <v>794</v>
      </c>
      <c r="M520">
        <f t="shared" si="8"/>
        <v>2025</v>
      </c>
    </row>
    <row r="521" spans="1:13" hidden="1">
      <c r="A521" t="s">
        <v>888</v>
      </c>
      <c r="B521" t="s">
        <v>16</v>
      </c>
      <c r="C521" t="s">
        <v>716</v>
      </c>
      <c r="D521" t="s">
        <v>908</v>
      </c>
      <c r="E521" s="1">
        <v>45705</v>
      </c>
      <c r="F521" s="1">
        <v>45705</v>
      </c>
      <c r="G521" s="12">
        <v>22634.010000000002</v>
      </c>
      <c r="H521" s="2">
        <v>0</v>
      </c>
      <c r="I521" s="2">
        <v>0</v>
      </c>
      <c r="J521" s="2">
        <v>0</v>
      </c>
      <c r="K521" s="20">
        <v>22634.010000000002</v>
      </c>
      <c r="L521" t="s">
        <v>794</v>
      </c>
      <c r="M521">
        <f t="shared" si="8"/>
        <v>2025</v>
      </c>
    </row>
    <row r="522" spans="1:13" hidden="1">
      <c r="A522" t="s">
        <v>965</v>
      </c>
      <c r="B522" t="s">
        <v>271</v>
      </c>
      <c r="C522" t="s">
        <v>204</v>
      </c>
      <c r="D522" t="s">
        <v>908</v>
      </c>
      <c r="E522" s="1">
        <v>45705</v>
      </c>
      <c r="F522" s="1">
        <v>45705</v>
      </c>
      <c r="G522" s="12">
        <v>408.07</v>
      </c>
      <c r="H522" s="2">
        <v>0</v>
      </c>
      <c r="I522" s="2">
        <v>0</v>
      </c>
      <c r="J522" s="2">
        <v>0</v>
      </c>
      <c r="K522" s="20">
        <v>408.07</v>
      </c>
      <c r="L522" t="s">
        <v>794</v>
      </c>
      <c r="M522">
        <f t="shared" si="8"/>
        <v>2025</v>
      </c>
    </row>
    <row r="523" spans="1:13" hidden="1">
      <c r="A523" t="s">
        <v>965</v>
      </c>
      <c r="B523" t="s">
        <v>271</v>
      </c>
      <c r="C523" t="s">
        <v>732</v>
      </c>
      <c r="D523" t="s">
        <v>908</v>
      </c>
      <c r="E523" s="1">
        <v>45705</v>
      </c>
      <c r="F523" s="1">
        <v>45705</v>
      </c>
      <c r="G523" s="12">
        <v>106.98</v>
      </c>
      <c r="H523" s="2">
        <v>0</v>
      </c>
      <c r="I523" s="2">
        <v>0</v>
      </c>
      <c r="J523" s="2">
        <v>0</v>
      </c>
      <c r="K523" s="20">
        <v>106.98</v>
      </c>
      <c r="L523" t="s">
        <v>794</v>
      </c>
      <c r="M523">
        <f t="shared" si="8"/>
        <v>2025</v>
      </c>
    </row>
    <row r="524" spans="1:13" hidden="1">
      <c r="A524" t="s">
        <v>955</v>
      </c>
      <c r="B524" t="s">
        <v>213</v>
      </c>
      <c r="C524" t="s">
        <v>732</v>
      </c>
      <c r="D524" t="s">
        <v>908</v>
      </c>
      <c r="E524" s="1">
        <v>45705</v>
      </c>
      <c r="F524" s="1">
        <v>45705</v>
      </c>
      <c r="G524" s="12">
        <v>1117.6100000000001</v>
      </c>
      <c r="H524" s="2">
        <v>0</v>
      </c>
      <c r="I524" s="2">
        <v>0</v>
      </c>
      <c r="J524" s="2">
        <v>0</v>
      </c>
      <c r="K524" s="20">
        <v>1117.6100000000001</v>
      </c>
      <c r="L524" t="s">
        <v>794</v>
      </c>
      <c r="M524">
        <f t="shared" si="8"/>
        <v>2025</v>
      </c>
    </row>
    <row r="525" spans="1:13" hidden="1">
      <c r="A525" t="s">
        <v>812</v>
      </c>
      <c r="B525" t="s">
        <v>31</v>
      </c>
      <c r="C525" t="s">
        <v>141</v>
      </c>
      <c r="D525" t="s">
        <v>908</v>
      </c>
      <c r="E525" s="1">
        <v>45703</v>
      </c>
      <c r="F525" s="1">
        <v>45705</v>
      </c>
      <c r="G525" s="12">
        <v>322</v>
      </c>
      <c r="H525" s="2">
        <v>0</v>
      </c>
      <c r="I525" s="2">
        <v>0</v>
      </c>
      <c r="J525" s="2">
        <v>0</v>
      </c>
      <c r="K525" s="20">
        <v>322</v>
      </c>
      <c r="L525" t="s">
        <v>794</v>
      </c>
      <c r="M525">
        <f t="shared" si="8"/>
        <v>2025</v>
      </c>
    </row>
    <row r="526" spans="1:13" hidden="1">
      <c r="A526" t="s">
        <v>912</v>
      </c>
      <c r="B526" t="s">
        <v>260</v>
      </c>
      <c r="C526" t="s">
        <v>142</v>
      </c>
      <c r="D526" t="s">
        <v>908</v>
      </c>
      <c r="E526" s="1">
        <v>45705</v>
      </c>
      <c r="F526" s="1">
        <v>45705</v>
      </c>
      <c r="G526" s="12">
        <v>30</v>
      </c>
      <c r="H526" s="2">
        <v>0</v>
      </c>
      <c r="I526" s="2">
        <v>0</v>
      </c>
      <c r="J526" s="2">
        <v>0</v>
      </c>
      <c r="K526" s="20">
        <v>30</v>
      </c>
      <c r="L526" t="s">
        <v>794</v>
      </c>
      <c r="M526">
        <f t="shared" si="8"/>
        <v>2025</v>
      </c>
    </row>
    <row r="527" spans="1:13" hidden="1">
      <c r="A527" t="s">
        <v>1001</v>
      </c>
      <c r="B527" t="s">
        <v>641</v>
      </c>
      <c r="C527" t="s">
        <v>723</v>
      </c>
      <c r="D527" t="s">
        <v>908</v>
      </c>
      <c r="E527" s="1">
        <v>45705</v>
      </c>
      <c r="F527" s="1">
        <v>45705</v>
      </c>
      <c r="G527" s="12">
        <v>40</v>
      </c>
      <c r="H527" s="2">
        <v>0</v>
      </c>
      <c r="I527" s="2">
        <v>0</v>
      </c>
      <c r="J527" s="2">
        <v>0</v>
      </c>
      <c r="K527" s="20">
        <v>40</v>
      </c>
      <c r="L527" t="s">
        <v>794</v>
      </c>
      <c r="M527">
        <f t="shared" si="8"/>
        <v>2025</v>
      </c>
    </row>
    <row r="528" spans="1:13" hidden="1">
      <c r="A528" t="s">
        <v>809</v>
      </c>
      <c r="B528" t="s">
        <v>91</v>
      </c>
      <c r="C528" t="s">
        <v>141</v>
      </c>
      <c r="D528" t="s">
        <v>908</v>
      </c>
      <c r="E528" s="1">
        <v>45705</v>
      </c>
      <c r="F528" s="1">
        <v>45705</v>
      </c>
      <c r="G528" s="12">
        <v>220</v>
      </c>
      <c r="H528" s="2">
        <v>0</v>
      </c>
      <c r="I528" s="2">
        <v>0</v>
      </c>
      <c r="J528" s="2">
        <v>0</v>
      </c>
      <c r="K528" s="20">
        <v>220</v>
      </c>
      <c r="L528" t="s">
        <v>794</v>
      </c>
      <c r="M528">
        <f t="shared" si="8"/>
        <v>2025</v>
      </c>
    </row>
    <row r="529" spans="1:13" hidden="1">
      <c r="A529" t="s">
        <v>810</v>
      </c>
      <c r="B529" t="s">
        <v>54</v>
      </c>
      <c r="C529" t="s">
        <v>141</v>
      </c>
      <c r="D529" t="s">
        <v>908</v>
      </c>
      <c r="E529" s="1">
        <v>45705</v>
      </c>
      <c r="F529" s="1">
        <v>45705</v>
      </c>
      <c r="G529" s="12">
        <v>29.79</v>
      </c>
      <c r="H529" s="2">
        <v>0</v>
      </c>
      <c r="I529" s="2">
        <v>0</v>
      </c>
      <c r="J529" s="2">
        <v>0</v>
      </c>
      <c r="K529" s="20">
        <v>29.79</v>
      </c>
      <c r="L529" t="s">
        <v>794</v>
      </c>
      <c r="M529">
        <f t="shared" si="8"/>
        <v>2025</v>
      </c>
    </row>
    <row r="530" spans="1:13" hidden="1">
      <c r="A530" t="s">
        <v>806</v>
      </c>
      <c r="B530" t="s">
        <v>19</v>
      </c>
      <c r="C530" t="s">
        <v>398</v>
      </c>
      <c r="D530" t="s">
        <v>908</v>
      </c>
      <c r="E530" s="1">
        <v>45705</v>
      </c>
      <c r="F530" s="1">
        <v>45705</v>
      </c>
      <c r="G530" s="12">
        <v>500</v>
      </c>
      <c r="H530" s="2">
        <v>0</v>
      </c>
      <c r="I530" s="2">
        <v>0</v>
      </c>
      <c r="J530" s="2">
        <v>0</v>
      </c>
      <c r="K530" s="20">
        <v>500</v>
      </c>
      <c r="L530" t="s">
        <v>794</v>
      </c>
      <c r="M530">
        <f t="shared" si="8"/>
        <v>2025</v>
      </c>
    </row>
    <row r="531" spans="1:13" hidden="1">
      <c r="A531" t="s">
        <v>818</v>
      </c>
      <c r="B531" t="s">
        <v>30</v>
      </c>
      <c r="C531" t="s">
        <v>141</v>
      </c>
      <c r="D531" t="s">
        <v>908</v>
      </c>
      <c r="E531" s="1">
        <v>45705</v>
      </c>
      <c r="F531" s="1">
        <v>45705</v>
      </c>
      <c r="G531" s="12">
        <v>180</v>
      </c>
      <c r="H531" s="2">
        <v>0</v>
      </c>
      <c r="I531" s="2">
        <v>0</v>
      </c>
      <c r="J531" s="2">
        <v>0</v>
      </c>
      <c r="K531" s="20">
        <v>180</v>
      </c>
      <c r="L531" t="s">
        <v>794</v>
      </c>
      <c r="M531">
        <f t="shared" si="8"/>
        <v>2025</v>
      </c>
    </row>
    <row r="532" spans="1:13" hidden="1">
      <c r="A532" t="s">
        <v>878</v>
      </c>
      <c r="B532" t="s">
        <v>32</v>
      </c>
      <c r="C532" t="s">
        <v>721</v>
      </c>
      <c r="D532" t="s">
        <v>908</v>
      </c>
      <c r="E532" s="1">
        <v>45705</v>
      </c>
      <c r="F532" s="1">
        <v>45705</v>
      </c>
      <c r="G532" s="12">
        <v>250</v>
      </c>
      <c r="H532" s="2">
        <v>0</v>
      </c>
      <c r="I532" s="2">
        <v>0</v>
      </c>
      <c r="J532" s="2">
        <v>0</v>
      </c>
      <c r="K532" s="20">
        <v>250</v>
      </c>
      <c r="L532" t="s">
        <v>794</v>
      </c>
      <c r="M532">
        <f t="shared" si="8"/>
        <v>2025</v>
      </c>
    </row>
    <row r="533" spans="1:13" hidden="1">
      <c r="A533" t="s">
        <v>999</v>
      </c>
      <c r="B533" t="s">
        <v>329</v>
      </c>
      <c r="C533" t="s">
        <v>140</v>
      </c>
      <c r="D533" t="s">
        <v>908</v>
      </c>
      <c r="E533" s="1">
        <v>45705</v>
      </c>
      <c r="F533" s="1">
        <v>45705</v>
      </c>
      <c r="G533" s="12">
        <v>30</v>
      </c>
      <c r="H533" s="2">
        <v>0</v>
      </c>
      <c r="I533" s="2">
        <v>0</v>
      </c>
      <c r="J533" s="2">
        <v>0</v>
      </c>
      <c r="K533" s="20">
        <v>30</v>
      </c>
      <c r="L533" t="s">
        <v>794</v>
      </c>
      <c r="M533">
        <f t="shared" si="8"/>
        <v>2025</v>
      </c>
    </row>
    <row r="534" spans="1:13" hidden="1">
      <c r="A534" t="s">
        <v>912</v>
      </c>
      <c r="B534" t="s">
        <v>260</v>
      </c>
      <c r="C534" t="s">
        <v>141</v>
      </c>
      <c r="D534" t="s">
        <v>793</v>
      </c>
      <c r="E534" s="1">
        <v>45674</v>
      </c>
      <c r="F534" s="1">
        <v>45705</v>
      </c>
      <c r="G534" s="12">
        <v>152</v>
      </c>
      <c r="H534" s="2">
        <v>0</v>
      </c>
      <c r="I534" s="2">
        <v>0</v>
      </c>
      <c r="J534" s="2">
        <v>0</v>
      </c>
      <c r="K534" s="20">
        <v>152</v>
      </c>
      <c r="L534" t="s">
        <v>794</v>
      </c>
      <c r="M534">
        <f t="shared" si="8"/>
        <v>2025</v>
      </c>
    </row>
    <row r="535" spans="1:13" hidden="1">
      <c r="A535" t="s">
        <v>801</v>
      </c>
      <c r="B535" t="s">
        <v>13</v>
      </c>
      <c r="C535" t="s">
        <v>751</v>
      </c>
      <c r="D535" t="s">
        <v>908</v>
      </c>
      <c r="E535" s="1">
        <v>45705</v>
      </c>
      <c r="F535" s="1">
        <v>45705</v>
      </c>
      <c r="G535" s="12">
        <v>222.02</v>
      </c>
      <c r="H535" s="2">
        <v>0</v>
      </c>
      <c r="I535" s="2">
        <v>0</v>
      </c>
      <c r="J535" s="2">
        <v>0</v>
      </c>
      <c r="K535" s="20">
        <v>222.02</v>
      </c>
      <c r="L535" t="s">
        <v>794</v>
      </c>
      <c r="M535">
        <f t="shared" si="8"/>
        <v>2025</v>
      </c>
    </row>
    <row r="536" spans="1:13" hidden="1">
      <c r="A536" t="s">
        <v>879</v>
      </c>
      <c r="B536" t="s">
        <v>23</v>
      </c>
      <c r="C536" t="s">
        <v>716</v>
      </c>
      <c r="D536" t="s">
        <v>908</v>
      </c>
      <c r="E536" s="1">
        <v>45705</v>
      </c>
      <c r="F536" s="1">
        <v>45705</v>
      </c>
      <c r="G536" s="12">
        <v>1722.03</v>
      </c>
      <c r="H536" s="2">
        <v>0</v>
      </c>
      <c r="I536" s="2">
        <v>0</v>
      </c>
      <c r="J536" s="2">
        <v>0</v>
      </c>
      <c r="K536" s="20">
        <v>1722.03</v>
      </c>
      <c r="L536" t="s">
        <v>794</v>
      </c>
      <c r="M536">
        <f t="shared" si="8"/>
        <v>2025</v>
      </c>
    </row>
    <row r="537" spans="1:13" hidden="1">
      <c r="A537" t="s">
        <v>893</v>
      </c>
      <c r="B537" t="s">
        <v>212</v>
      </c>
      <c r="C537" t="s">
        <v>723</v>
      </c>
      <c r="D537" t="s">
        <v>908</v>
      </c>
      <c r="E537" s="1">
        <v>45705</v>
      </c>
      <c r="F537" s="1">
        <v>45705</v>
      </c>
      <c r="G537" s="12">
        <v>132</v>
      </c>
      <c r="H537" s="2">
        <v>0</v>
      </c>
      <c r="I537" s="2">
        <v>0</v>
      </c>
      <c r="J537" s="2">
        <v>0</v>
      </c>
      <c r="K537" s="20">
        <v>132</v>
      </c>
      <c r="L537" t="s">
        <v>794</v>
      </c>
      <c r="M537">
        <f t="shared" si="8"/>
        <v>2025</v>
      </c>
    </row>
    <row r="538" spans="1:13" hidden="1">
      <c r="A538" t="s">
        <v>805</v>
      </c>
      <c r="B538" t="s">
        <v>17</v>
      </c>
      <c r="C538" t="s">
        <v>723</v>
      </c>
      <c r="D538" t="s">
        <v>908</v>
      </c>
      <c r="E538" s="1">
        <v>45705</v>
      </c>
      <c r="F538" s="1">
        <v>45705</v>
      </c>
      <c r="G538" s="12">
        <v>8204.7100000000009</v>
      </c>
      <c r="H538" s="2">
        <v>0</v>
      </c>
      <c r="I538" s="2">
        <v>0</v>
      </c>
      <c r="J538" s="2">
        <v>0</v>
      </c>
      <c r="K538" s="20">
        <v>8204.7100000000009</v>
      </c>
      <c r="L538" t="s">
        <v>794</v>
      </c>
      <c r="M538">
        <f t="shared" si="8"/>
        <v>2025</v>
      </c>
    </row>
    <row r="539" spans="1:13" hidden="1">
      <c r="A539" t="s">
        <v>895</v>
      </c>
      <c r="B539" t="s">
        <v>155</v>
      </c>
      <c r="C539" t="s">
        <v>722</v>
      </c>
      <c r="D539" t="s">
        <v>908</v>
      </c>
      <c r="E539" s="1">
        <v>45705</v>
      </c>
      <c r="F539" s="1">
        <v>45705</v>
      </c>
      <c r="G539" s="12">
        <v>390</v>
      </c>
      <c r="H539" s="2">
        <v>0</v>
      </c>
      <c r="I539" s="2">
        <v>0</v>
      </c>
      <c r="J539" s="2">
        <v>0</v>
      </c>
      <c r="K539" s="20">
        <v>390</v>
      </c>
      <c r="L539" t="s">
        <v>794</v>
      </c>
      <c r="M539">
        <f t="shared" si="8"/>
        <v>2025</v>
      </c>
    </row>
    <row r="540" spans="1:13" hidden="1">
      <c r="A540" t="s">
        <v>886</v>
      </c>
      <c r="B540" t="s">
        <v>194</v>
      </c>
      <c r="C540" t="s">
        <v>743</v>
      </c>
      <c r="D540" t="s">
        <v>908</v>
      </c>
      <c r="E540" s="1">
        <v>45705</v>
      </c>
      <c r="F540" s="1">
        <v>45705</v>
      </c>
      <c r="G540" s="12">
        <v>217.76</v>
      </c>
      <c r="H540" s="2">
        <v>0</v>
      </c>
      <c r="I540" s="2">
        <v>0</v>
      </c>
      <c r="J540" s="2">
        <v>0</v>
      </c>
      <c r="K540" s="20">
        <v>217.76</v>
      </c>
      <c r="L540" t="s">
        <v>794</v>
      </c>
      <c r="M540">
        <f t="shared" si="8"/>
        <v>2025</v>
      </c>
    </row>
    <row r="541" spans="1:13" hidden="1">
      <c r="A541" t="s">
        <v>1002</v>
      </c>
      <c r="B541" t="s">
        <v>39</v>
      </c>
      <c r="C541" t="s">
        <v>141</v>
      </c>
      <c r="D541" t="s">
        <v>908</v>
      </c>
      <c r="E541" s="1">
        <v>45706</v>
      </c>
      <c r="F541" s="1">
        <v>45706</v>
      </c>
      <c r="G541" s="12">
        <v>20</v>
      </c>
      <c r="H541" s="2">
        <v>0</v>
      </c>
      <c r="I541" s="2">
        <v>0</v>
      </c>
      <c r="J541" s="2">
        <v>0</v>
      </c>
      <c r="K541" s="20">
        <v>20</v>
      </c>
      <c r="L541" t="s">
        <v>794</v>
      </c>
      <c r="M541">
        <f t="shared" si="8"/>
        <v>2025</v>
      </c>
    </row>
    <row r="542" spans="1:13" hidden="1">
      <c r="A542" t="s">
        <v>952</v>
      </c>
      <c r="B542" t="s">
        <v>27</v>
      </c>
      <c r="C542" t="s">
        <v>733</v>
      </c>
      <c r="D542" t="s">
        <v>908</v>
      </c>
      <c r="E542" s="1">
        <v>45706</v>
      </c>
      <c r="F542" s="1">
        <v>45706</v>
      </c>
      <c r="G542" s="12">
        <v>100</v>
      </c>
      <c r="H542" s="2">
        <v>0</v>
      </c>
      <c r="I542" s="2">
        <v>0</v>
      </c>
      <c r="J542" s="2">
        <v>0</v>
      </c>
      <c r="K542" s="20">
        <v>100</v>
      </c>
      <c r="L542" t="s">
        <v>794</v>
      </c>
      <c r="M542">
        <f t="shared" si="8"/>
        <v>2025</v>
      </c>
    </row>
    <row r="543" spans="1:13" hidden="1">
      <c r="A543" t="s">
        <v>905</v>
      </c>
      <c r="B543" t="s">
        <v>407</v>
      </c>
      <c r="C543" t="s">
        <v>452</v>
      </c>
      <c r="D543" t="s">
        <v>908</v>
      </c>
      <c r="E543" s="1">
        <v>45706</v>
      </c>
      <c r="F543" s="1">
        <v>45706</v>
      </c>
      <c r="G543" s="12">
        <v>99</v>
      </c>
      <c r="H543" s="2">
        <v>0</v>
      </c>
      <c r="I543" s="2">
        <v>0</v>
      </c>
      <c r="J543" s="2">
        <v>0</v>
      </c>
      <c r="K543" s="20">
        <v>99</v>
      </c>
      <c r="L543" t="s">
        <v>794</v>
      </c>
      <c r="M543">
        <f t="shared" si="8"/>
        <v>2025</v>
      </c>
    </row>
    <row r="544" spans="1:13" hidden="1">
      <c r="A544" t="s">
        <v>1003</v>
      </c>
      <c r="B544" t="s">
        <v>461</v>
      </c>
      <c r="C544" t="s">
        <v>438</v>
      </c>
      <c r="D544" t="s">
        <v>908</v>
      </c>
      <c r="E544" s="1">
        <v>45706</v>
      </c>
      <c r="F544" s="1">
        <v>45706</v>
      </c>
      <c r="G544" s="12">
        <v>200</v>
      </c>
      <c r="H544" s="2">
        <v>0</v>
      </c>
      <c r="I544" s="2">
        <v>0</v>
      </c>
      <c r="J544" s="2">
        <v>0</v>
      </c>
      <c r="K544" s="20">
        <v>200</v>
      </c>
      <c r="L544" t="s">
        <v>794</v>
      </c>
      <c r="M544">
        <f t="shared" si="8"/>
        <v>2025</v>
      </c>
    </row>
    <row r="545" spans="1:13" hidden="1">
      <c r="A545" t="s">
        <v>955</v>
      </c>
      <c r="B545" t="s">
        <v>213</v>
      </c>
      <c r="C545" t="s">
        <v>204</v>
      </c>
      <c r="D545" t="s">
        <v>908</v>
      </c>
      <c r="E545" s="1">
        <v>45706</v>
      </c>
      <c r="F545" s="1">
        <v>45706</v>
      </c>
      <c r="G545" s="12">
        <v>2328.0500000000002</v>
      </c>
      <c r="H545" s="2">
        <v>0</v>
      </c>
      <c r="I545" s="2">
        <v>0</v>
      </c>
      <c r="J545" s="2">
        <v>0</v>
      </c>
      <c r="K545" s="20">
        <v>2328.0500000000002</v>
      </c>
      <c r="L545" t="s">
        <v>794</v>
      </c>
      <c r="M545">
        <f t="shared" si="8"/>
        <v>2025</v>
      </c>
    </row>
    <row r="546" spans="1:13" hidden="1">
      <c r="A546" t="s">
        <v>811</v>
      </c>
      <c r="B546" t="s">
        <v>39</v>
      </c>
      <c r="C546" t="s">
        <v>141</v>
      </c>
      <c r="D546" t="s">
        <v>908</v>
      </c>
      <c r="E546" s="1">
        <v>45706</v>
      </c>
      <c r="F546" s="1">
        <v>45706</v>
      </c>
      <c r="G546" s="12">
        <v>50</v>
      </c>
      <c r="H546" s="2">
        <v>0</v>
      </c>
      <c r="I546" s="2">
        <v>0</v>
      </c>
      <c r="J546" s="2">
        <v>0</v>
      </c>
      <c r="K546" s="20">
        <v>50</v>
      </c>
      <c r="L546" t="s">
        <v>794</v>
      </c>
      <c r="M546">
        <f t="shared" si="8"/>
        <v>2025</v>
      </c>
    </row>
    <row r="547" spans="1:13" hidden="1">
      <c r="A547" t="s">
        <v>825</v>
      </c>
      <c r="B547" t="s">
        <v>46</v>
      </c>
      <c r="C547" t="s">
        <v>139</v>
      </c>
      <c r="D547" t="s">
        <v>908</v>
      </c>
      <c r="E547" s="1">
        <v>45706</v>
      </c>
      <c r="F547" s="1">
        <v>45706</v>
      </c>
      <c r="G547" s="12">
        <v>25</v>
      </c>
      <c r="H547" s="2">
        <v>0</v>
      </c>
      <c r="I547" s="2">
        <v>0</v>
      </c>
      <c r="J547" s="2">
        <v>0</v>
      </c>
      <c r="K547" s="20">
        <v>25</v>
      </c>
      <c r="L547" t="s">
        <v>794</v>
      </c>
      <c r="M547">
        <f t="shared" si="8"/>
        <v>2025</v>
      </c>
    </row>
    <row r="548" spans="1:13" hidden="1">
      <c r="A548" t="s">
        <v>801</v>
      </c>
      <c r="B548" t="s">
        <v>13</v>
      </c>
      <c r="C548" t="s">
        <v>726</v>
      </c>
      <c r="D548" t="s">
        <v>908</v>
      </c>
      <c r="E548" s="1">
        <v>45706</v>
      </c>
      <c r="F548" s="1">
        <v>45706</v>
      </c>
      <c r="G548" s="12">
        <v>4.08</v>
      </c>
      <c r="H548" s="2">
        <v>0</v>
      </c>
      <c r="I548" s="2">
        <v>0</v>
      </c>
      <c r="J548" s="2">
        <v>0</v>
      </c>
      <c r="K548" s="20">
        <v>4.08</v>
      </c>
      <c r="L548" t="s">
        <v>794</v>
      </c>
      <c r="M548">
        <f t="shared" si="8"/>
        <v>2025</v>
      </c>
    </row>
    <row r="549" spans="1:13" hidden="1">
      <c r="A549" t="s">
        <v>797</v>
      </c>
      <c r="B549" t="s">
        <v>25</v>
      </c>
      <c r="C549" t="s">
        <v>206</v>
      </c>
      <c r="D549" t="s">
        <v>908</v>
      </c>
      <c r="E549" s="1">
        <v>45708</v>
      </c>
      <c r="F549" s="1">
        <v>45708</v>
      </c>
      <c r="G549" s="12">
        <v>1203.4000000000001</v>
      </c>
      <c r="H549" s="2">
        <v>0</v>
      </c>
      <c r="I549" s="2">
        <v>0</v>
      </c>
      <c r="J549" s="2">
        <v>0</v>
      </c>
      <c r="K549" s="20">
        <v>1203.4000000000001</v>
      </c>
      <c r="L549" t="s">
        <v>794</v>
      </c>
      <c r="M549">
        <f t="shared" si="8"/>
        <v>2025</v>
      </c>
    </row>
    <row r="550" spans="1:13" hidden="1">
      <c r="A550" t="s">
        <v>797</v>
      </c>
      <c r="B550" t="s">
        <v>25</v>
      </c>
      <c r="C550" t="s">
        <v>206</v>
      </c>
      <c r="D550" t="s">
        <v>908</v>
      </c>
      <c r="E550" s="1">
        <v>45708</v>
      </c>
      <c r="F550" s="1">
        <v>45708</v>
      </c>
      <c r="G550" s="12">
        <v>1580.4</v>
      </c>
      <c r="H550" s="2">
        <v>0</v>
      </c>
      <c r="I550" s="2">
        <v>0</v>
      </c>
      <c r="J550" s="2">
        <v>0</v>
      </c>
      <c r="K550" s="20">
        <v>1580.4</v>
      </c>
      <c r="L550" t="s">
        <v>794</v>
      </c>
      <c r="M550">
        <f t="shared" si="8"/>
        <v>2025</v>
      </c>
    </row>
    <row r="551" spans="1:13" hidden="1">
      <c r="A551" t="s">
        <v>902</v>
      </c>
      <c r="B551" t="s">
        <v>15</v>
      </c>
      <c r="C551" t="s">
        <v>715</v>
      </c>
      <c r="D551" t="s">
        <v>908</v>
      </c>
      <c r="E551" s="1">
        <v>45708</v>
      </c>
      <c r="F551" s="1">
        <v>45708</v>
      </c>
      <c r="G551" s="12">
        <v>18069.54</v>
      </c>
      <c r="H551" s="2">
        <v>0</v>
      </c>
      <c r="I551" s="2">
        <v>0</v>
      </c>
      <c r="J551" s="2">
        <v>0</v>
      </c>
      <c r="K551" s="20">
        <v>18069.54</v>
      </c>
      <c r="L551" t="s">
        <v>794</v>
      </c>
      <c r="M551">
        <f t="shared" si="8"/>
        <v>2025</v>
      </c>
    </row>
    <row r="552" spans="1:13" hidden="1">
      <c r="A552" t="s">
        <v>888</v>
      </c>
      <c r="B552" t="s">
        <v>16</v>
      </c>
      <c r="C552" t="s">
        <v>716</v>
      </c>
      <c r="D552" t="s">
        <v>908</v>
      </c>
      <c r="E552" s="1">
        <v>45708</v>
      </c>
      <c r="F552" s="1">
        <v>45708</v>
      </c>
      <c r="G552" s="12">
        <v>7068.92</v>
      </c>
      <c r="H552" s="2">
        <v>0</v>
      </c>
      <c r="I552" s="2">
        <v>0</v>
      </c>
      <c r="J552" s="2">
        <v>0</v>
      </c>
      <c r="K552" s="20">
        <v>7068.92</v>
      </c>
      <c r="L552" t="s">
        <v>794</v>
      </c>
      <c r="M552">
        <f t="shared" si="8"/>
        <v>2025</v>
      </c>
    </row>
    <row r="553" spans="1:13" hidden="1">
      <c r="A553" t="s">
        <v>896</v>
      </c>
      <c r="B553" t="s">
        <v>897</v>
      </c>
      <c r="C553" t="s">
        <v>206</v>
      </c>
      <c r="D553" t="s">
        <v>908</v>
      </c>
      <c r="E553" s="1">
        <v>45708</v>
      </c>
      <c r="F553" s="1">
        <v>45708</v>
      </c>
      <c r="G553" s="12">
        <v>996.6</v>
      </c>
      <c r="H553" s="2">
        <v>0</v>
      </c>
      <c r="I553" s="2">
        <v>0</v>
      </c>
      <c r="J553" s="2">
        <v>0</v>
      </c>
      <c r="K553" s="20">
        <v>996.6</v>
      </c>
      <c r="L553" t="s">
        <v>794</v>
      </c>
      <c r="M553">
        <f t="shared" si="8"/>
        <v>2025</v>
      </c>
    </row>
    <row r="554" spans="1:13" hidden="1">
      <c r="A554" t="s">
        <v>896</v>
      </c>
      <c r="B554" t="s">
        <v>897</v>
      </c>
      <c r="C554" t="s">
        <v>206</v>
      </c>
      <c r="D554" t="s">
        <v>908</v>
      </c>
      <c r="E554" s="1">
        <v>45708</v>
      </c>
      <c r="F554" s="1">
        <v>45708</v>
      </c>
      <c r="G554" s="12">
        <v>1419.6000000000001</v>
      </c>
      <c r="H554" s="2">
        <v>0</v>
      </c>
      <c r="I554" s="2">
        <v>0</v>
      </c>
      <c r="J554" s="2">
        <v>0</v>
      </c>
      <c r="K554" s="20">
        <v>1419.6000000000001</v>
      </c>
      <c r="L554" t="s">
        <v>794</v>
      </c>
      <c r="M554">
        <f t="shared" si="8"/>
        <v>2025</v>
      </c>
    </row>
    <row r="555" spans="1:13" hidden="1">
      <c r="A555" t="s">
        <v>846</v>
      </c>
      <c r="B555" t="s">
        <v>253</v>
      </c>
      <c r="C555" t="s">
        <v>398</v>
      </c>
      <c r="D555" t="s">
        <v>908</v>
      </c>
      <c r="E555" s="1">
        <v>45708</v>
      </c>
      <c r="F555" s="1">
        <v>45708</v>
      </c>
      <c r="G555" s="12">
        <v>638.9</v>
      </c>
      <c r="H555" s="2">
        <v>0</v>
      </c>
      <c r="I555" s="2">
        <v>0</v>
      </c>
      <c r="J555" s="2">
        <v>0</v>
      </c>
      <c r="K555" s="20">
        <v>638.9</v>
      </c>
      <c r="L555" t="s">
        <v>794</v>
      </c>
      <c r="M555">
        <f t="shared" si="8"/>
        <v>2025</v>
      </c>
    </row>
    <row r="556" spans="1:13" hidden="1">
      <c r="A556" t="s">
        <v>914</v>
      </c>
      <c r="B556" t="s">
        <v>15</v>
      </c>
      <c r="C556" t="s">
        <v>723</v>
      </c>
      <c r="D556" t="s">
        <v>908</v>
      </c>
      <c r="E556" s="1">
        <v>45708</v>
      </c>
      <c r="F556" s="1">
        <v>45708</v>
      </c>
      <c r="G556" s="12">
        <v>3097.2000000000003</v>
      </c>
      <c r="H556" s="2">
        <v>0</v>
      </c>
      <c r="I556" s="2">
        <v>0</v>
      </c>
      <c r="J556" s="2">
        <v>0</v>
      </c>
      <c r="K556" s="20">
        <v>3097.2000000000003</v>
      </c>
      <c r="L556" t="s">
        <v>794</v>
      </c>
      <c r="M556">
        <f t="shared" si="8"/>
        <v>2025</v>
      </c>
    </row>
    <row r="557" spans="1:13" hidden="1">
      <c r="A557" t="s">
        <v>941</v>
      </c>
      <c r="B557" t="s">
        <v>52</v>
      </c>
      <c r="C557" t="s">
        <v>672</v>
      </c>
      <c r="D557" t="s">
        <v>908</v>
      </c>
      <c r="E557" s="1">
        <v>45708</v>
      </c>
      <c r="F557" s="1">
        <v>45708</v>
      </c>
      <c r="G557" s="12">
        <v>1528.05</v>
      </c>
      <c r="H557" s="2">
        <v>0</v>
      </c>
      <c r="I557" s="2">
        <v>0</v>
      </c>
      <c r="J557" s="2">
        <v>0</v>
      </c>
      <c r="K557" s="20">
        <v>1528.05</v>
      </c>
      <c r="L557" t="s">
        <v>794</v>
      </c>
      <c r="M557">
        <f t="shared" si="8"/>
        <v>2025</v>
      </c>
    </row>
    <row r="558" spans="1:13" hidden="1">
      <c r="A558" t="s">
        <v>839</v>
      </c>
      <c r="B558" t="s">
        <v>44</v>
      </c>
      <c r="C558" t="s">
        <v>722</v>
      </c>
      <c r="D558" t="s">
        <v>908</v>
      </c>
      <c r="E558" s="1">
        <v>45708</v>
      </c>
      <c r="F558" s="1">
        <v>45708</v>
      </c>
      <c r="G558" s="12">
        <v>941.56000000000006</v>
      </c>
      <c r="H558" s="2">
        <v>0</v>
      </c>
      <c r="I558" s="2">
        <v>0</v>
      </c>
      <c r="J558" s="2">
        <v>0</v>
      </c>
      <c r="K558" s="20">
        <v>941.56000000000006</v>
      </c>
      <c r="L558" t="s">
        <v>794</v>
      </c>
      <c r="M558">
        <f t="shared" si="8"/>
        <v>2025</v>
      </c>
    </row>
    <row r="559" spans="1:13" hidden="1">
      <c r="A559" t="s">
        <v>839</v>
      </c>
      <c r="B559" t="s">
        <v>44</v>
      </c>
      <c r="C559" t="s">
        <v>722</v>
      </c>
      <c r="D559" t="s">
        <v>908</v>
      </c>
      <c r="E559" s="1">
        <v>45708</v>
      </c>
      <c r="F559" s="1">
        <v>45708</v>
      </c>
      <c r="G559" s="12">
        <v>791.23</v>
      </c>
      <c r="H559" s="2">
        <v>0</v>
      </c>
      <c r="I559" s="2">
        <v>0</v>
      </c>
      <c r="J559" s="2">
        <v>0</v>
      </c>
      <c r="K559" s="20">
        <v>791.23</v>
      </c>
      <c r="L559" t="s">
        <v>794</v>
      </c>
      <c r="M559">
        <f t="shared" si="8"/>
        <v>2025</v>
      </c>
    </row>
    <row r="560" spans="1:13" hidden="1">
      <c r="A560" t="s">
        <v>946</v>
      </c>
      <c r="B560" t="s">
        <v>130</v>
      </c>
      <c r="C560" t="s">
        <v>716</v>
      </c>
      <c r="D560" t="s">
        <v>908</v>
      </c>
      <c r="E560" s="1">
        <v>45708</v>
      </c>
      <c r="F560" s="1">
        <v>45708</v>
      </c>
      <c r="G560" s="12">
        <v>886.12</v>
      </c>
      <c r="H560" s="2">
        <v>0</v>
      </c>
      <c r="I560" s="2">
        <v>0</v>
      </c>
      <c r="J560" s="2">
        <v>0</v>
      </c>
      <c r="K560" s="20">
        <v>886.12</v>
      </c>
      <c r="L560" t="s">
        <v>794</v>
      </c>
      <c r="M560">
        <f t="shared" si="8"/>
        <v>2025</v>
      </c>
    </row>
    <row r="561" spans="1:13" hidden="1">
      <c r="A561" t="s">
        <v>946</v>
      </c>
      <c r="B561" t="s">
        <v>130</v>
      </c>
      <c r="C561" t="s">
        <v>716</v>
      </c>
      <c r="D561" t="s">
        <v>908</v>
      </c>
      <c r="E561" s="1">
        <v>45708</v>
      </c>
      <c r="F561" s="1">
        <v>45708</v>
      </c>
      <c r="G561" s="12">
        <v>714.15</v>
      </c>
      <c r="H561" s="2">
        <v>0</v>
      </c>
      <c r="I561" s="2">
        <v>0</v>
      </c>
      <c r="J561" s="2">
        <v>0</v>
      </c>
      <c r="K561" s="20">
        <v>714.15</v>
      </c>
      <c r="L561" t="s">
        <v>794</v>
      </c>
      <c r="M561">
        <f t="shared" si="8"/>
        <v>2025</v>
      </c>
    </row>
    <row r="562" spans="1:13" hidden="1">
      <c r="A562" t="s">
        <v>891</v>
      </c>
      <c r="B562" t="s">
        <v>102</v>
      </c>
      <c r="C562" t="s">
        <v>710</v>
      </c>
      <c r="D562" t="s">
        <v>908</v>
      </c>
      <c r="E562" s="1">
        <v>45708</v>
      </c>
      <c r="F562" s="1">
        <v>45708</v>
      </c>
      <c r="G562" s="12">
        <v>757</v>
      </c>
      <c r="H562" s="2">
        <v>0</v>
      </c>
      <c r="I562" s="2">
        <v>0</v>
      </c>
      <c r="J562" s="2">
        <v>0</v>
      </c>
      <c r="K562" s="20">
        <v>757</v>
      </c>
      <c r="L562" t="s">
        <v>794</v>
      </c>
      <c r="M562">
        <f t="shared" si="8"/>
        <v>2025</v>
      </c>
    </row>
    <row r="563" spans="1:13" hidden="1">
      <c r="A563" t="s">
        <v>825</v>
      </c>
      <c r="B563" t="s">
        <v>46</v>
      </c>
      <c r="C563" t="s">
        <v>723</v>
      </c>
      <c r="D563" t="s">
        <v>908</v>
      </c>
      <c r="E563" s="1">
        <v>45708</v>
      </c>
      <c r="F563" s="1">
        <v>45708</v>
      </c>
      <c r="G563" s="12">
        <v>120</v>
      </c>
      <c r="H563" s="2">
        <v>0</v>
      </c>
      <c r="I563" s="2">
        <v>0</v>
      </c>
      <c r="J563" s="2">
        <v>0</v>
      </c>
      <c r="K563" s="20">
        <v>120</v>
      </c>
      <c r="L563" t="s">
        <v>794</v>
      </c>
      <c r="M563">
        <f t="shared" si="8"/>
        <v>2025</v>
      </c>
    </row>
    <row r="564" spans="1:13" hidden="1">
      <c r="A564" t="s">
        <v>840</v>
      </c>
      <c r="B564" t="s">
        <v>309</v>
      </c>
      <c r="C564" t="s">
        <v>452</v>
      </c>
      <c r="D564" t="s">
        <v>908</v>
      </c>
      <c r="E564" s="1">
        <v>45708</v>
      </c>
      <c r="F564" s="1">
        <v>45708</v>
      </c>
      <c r="G564" s="12">
        <v>100</v>
      </c>
      <c r="H564" s="2">
        <v>0</v>
      </c>
      <c r="I564" s="2">
        <v>0</v>
      </c>
      <c r="J564" s="2">
        <v>0</v>
      </c>
      <c r="K564" s="20">
        <v>100</v>
      </c>
      <c r="L564" t="s">
        <v>794</v>
      </c>
      <c r="M564">
        <f t="shared" si="8"/>
        <v>2025</v>
      </c>
    </row>
    <row r="565" spans="1:13" hidden="1">
      <c r="A565" t="s">
        <v>945</v>
      </c>
      <c r="B565" t="s">
        <v>143</v>
      </c>
      <c r="C565" t="s">
        <v>138</v>
      </c>
      <c r="D565" t="s">
        <v>908</v>
      </c>
      <c r="E565" s="1">
        <v>45709</v>
      </c>
      <c r="F565" s="1">
        <v>45709</v>
      </c>
      <c r="G565" s="12">
        <v>95</v>
      </c>
      <c r="H565" s="2">
        <v>0</v>
      </c>
      <c r="I565" s="2">
        <v>0</v>
      </c>
      <c r="J565" s="2">
        <v>0</v>
      </c>
      <c r="K565" s="20">
        <v>95</v>
      </c>
      <c r="L565" t="s">
        <v>794</v>
      </c>
      <c r="M565">
        <f t="shared" si="8"/>
        <v>2025</v>
      </c>
    </row>
    <row r="566" spans="1:13" hidden="1">
      <c r="A566" t="s">
        <v>963</v>
      </c>
      <c r="B566" t="s">
        <v>217</v>
      </c>
      <c r="C566" t="s">
        <v>138</v>
      </c>
      <c r="D566" t="s">
        <v>908</v>
      </c>
      <c r="E566" s="1">
        <v>45709</v>
      </c>
      <c r="F566" s="1">
        <v>45709</v>
      </c>
      <c r="G566" s="12">
        <v>95</v>
      </c>
      <c r="H566" s="2">
        <v>0</v>
      </c>
      <c r="I566" s="2">
        <v>0</v>
      </c>
      <c r="J566" s="2">
        <v>0</v>
      </c>
      <c r="K566" s="20">
        <v>95</v>
      </c>
      <c r="L566" t="s">
        <v>794</v>
      </c>
      <c r="M566">
        <f t="shared" si="8"/>
        <v>2025</v>
      </c>
    </row>
    <row r="567" spans="1:13" hidden="1">
      <c r="A567" t="s">
        <v>1004</v>
      </c>
      <c r="B567" t="s">
        <v>57</v>
      </c>
      <c r="C567" t="s">
        <v>140</v>
      </c>
      <c r="D567" t="s">
        <v>908</v>
      </c>
      <c r="E567" s="1">
        <v>45709</v>
      </c>
      <c r="F567" s="1">
        <v>45709</v>
      </c>
      <c r="G567" s="12">
        <v>20.400000000000002</v>
      </c>
      <c r="H567" s="2">
        <v>0</v>
      </c>
      <c r="I567" s="2">
        <v>0</v>
      </c>
      <c r="J567" s="2">
        <v>0</v>
      </c>
      <c r="K567" s="20">
        <v>20.400000000000002</v>
      </c>
      <c r="L567" t="s">
        <v>794</v>
      </c>
      <c r="M567">
        <f t="shared" si="8"/>
        <v>2025</v>
      </c>
    </row>
    <row r="568" spans="1:13" hidden="1">
      <c r="A568" t="s">
        <v>1004</v>
      </c>
      <c r="B568" t="s">
        <v>57</v>
      </c>
      <c r="C568" t="s">
        <v>140</v>
      </c>
      <c r="D568" t="s">
        <v>908</v>
      </c>
      <c r="E568" s="1">
        <v>45709</v>
      </c>
      <c r="F568" s="1">
        <v>45709</v>
      </c>
      <c r="G568" s="12">
        <v>21</v>
      </c>
      <c r="H568" s="2">
        <v>0</v>
      </c>
      <c r="I568" s="2">
        <v>0</v>
      </c>
      <c r="J568" s="2">
        <v>0</v>
      </c>
      <c r="K568" s="20">
        <v>21</v>
      </c>
      <c r="L568" t="s">
        <v>794</v>
      </c>
      <c r="M568">
        <f t="shared" si="8"/>
        <v>2025</v>
      </c>
    </row>
    <row r="569" spans="1:13" hidden="1">
      <c r="A569" t="s">
        <v>1005</v>
      </c>
      <c r="B569" t="s">
        <v>499</v>
      </c>
      <c r="C569" t="s">
        <v>483</v>
      </c>
      <c r="D569" t="s">
        <v>908</v>
      </c>
      <c r="E569" s="1">
        <v>45709</v>
      </c>
      <c r="F569" s="1">
        <v>45709</v>
      </c>
      <c r="G569" s="12">
        <v>79.8</v>
      </c>
      <c r="H569" s="2">
        <v>0</v>
      </c>
      <c r="I569" s="2">
        <v>0</v>
      </c>
      <c r="J569" s="2">
        <v>0</v>
      </c>
      <c r="K569" s="20">
        <v>79.8</v>
      </c>
      <c r="L569" t="s">
        <v>794</v>
      </c>
      <c r="M569">
        <f t="shared" si="8"/>
        <v>2025</v>
      </c>
    </row>
    <row r="570" spans="1:13" hidden="1">
      <c r="A570" t="s">
        <v>852</v>
      </c>
      <c r="B570" t="s">
        <v>342</v>
      </c>
      <c r="C570" t="s">
        <v>483</v>
      </c>
      <c r="D570" t="s">
        <v>908</v>
      </c>
      <c r="E570" s="1">
        <v>45709</v>
      </c>
      <c r="F570" s="1">
        <v>45709</v>
      </c>
      <c r="G570" s="12">
        <v>30.27</v>
      </c>
      <c r="H570" s="2">
        <v>0</v>
      </c>
      <c r="I570" s="2">
        <v>0</v>
      </c>
      <c r="J570" s="2">
        <v>0</v>
      </c>
      <c r="K570" s="20">
        <v>30.27</v>
      </c>
      <c r="L570" t="s">
        <v>794</v>
      </c>
      <c r="M570">
        <f t="shared" si="8"/>
        <v>2025</v>
      </c>
    </row>
    <row r="571" spans="1:13" hidden="1">
      <c r="A571" t="s">
        <v>801</v>
      </c>
      <c r="B571" t="s">
        <v>13</v>
      </c>
      <c r="C571" t="s">
        <v>726</v>
      </c>
      <c r="D571" t="s">
        <v>908</v>
      </c>
      <c r="E571" s="1">
        <v>45709</v>
      </c>
      <c r="F571" s="1">
        <v>45709</v>
      </c>
      <c r="G571" s="12">
        <v>2.04</v>
      </c>
      <c r="H571" s="2">
        <v>0</v>
      </c>
      <c r="I571" s="2">
        <v>0</v>
      </c>
      <c r="J571" s="2">
        <v>0</v>
      </c>
      <c r="K571" s="20">
        <v>2.04</v>
      </c>
      <c r="L571" t="s">
        <v>794</v>
      </c>
      <c r="M571">
        <f t="shared" si="8"/>
        <v>2025</v>
      </c>
    </row>
    <row r="572" spans="1:13" hidden="1">
      <c r="A572" t="s">
        <v>925</v>
      </c>
      <c r="B572" t="s">
        <v>189</v>
      </c>
      <c r="C572" t="s">
        <v>139</v>
      </c>
      <c r="D572" t="s">
        <v>908</v>
      </c>
      <c r="E572" s="1">
        <v>45710</v>
      </c>
      <c r="F572" s="1">
        <v>45710</v>
      </c>
      <c r="G572" s="12">
        <v>20.400000000000002</v>
      </c>
      <c r="H572" s="2">
        <v>0</v>
      </c>
      <c r="I572" s="2">
        <v>0</v>
      </c>
      <c r="J572" s="2">
        <v>0</v>
      </c>
      <c r="K572" s="20">
        <v>20.400000000000002</v>
      </c>
      <c r="L572" t="s">
        <v>794</v>
      </c>
      <c r="M572">
        <f t="shared" si="8"/>
        <v>2025</v>
      </c>
    </row>
    <row r="573" spans="1:13" hidden="1">
      <c r="A573" t="s">
        <v>924</v>
      </c>
      <c r="B573" t="s">
        <v>87</v>
      </c>
      <c r="C573" t="s">
        <v>139</v>
      </c>
      <c r="D573" t="s">
        <v>908</v>
      </c>
      <c r="E573" s="1">
        <v>45710</v>
      </c>
      <c r="F573" s="1">
        <v>45710</v>
      </c>
      <c r="G573" s="12">
        <v>20.400000000000002</v>
      </c>
      <c r="H573" s="2">
        <v>0</v>
      </c>
      <c r="I573" s="2">
        <v>0</v>
      </c>
      <c r="J573" s="2">
        <v>0</v>
      </c>
      <c r="K573" s="20">
        <v>20.400000000000002</v>
      </c>
      <c r="L573" t="s">
        <v>794</v>
      </c>
      <c r="M573">
        <f t="shared" si="8"/>
        <v>2025</v>
      </c>
    </row>
    <row r="574" spans="1:13" hidden="1">
      <c r="A574" t="s">
        <v>1006</v>
      </c>
      <c r="B574" t="s">
        <v>674</v>
      </c>
      <c r="C574" t="s">
        <v>139</v>
      </c>
      <c r="D574" t="s">
        <v>908</v>
      </c>
      <c r="E574" s="1">
        <v>45710</v>
      </c>
      <c r="F574" s="1">
        <v>45710</v>
      </c>
      <c r="G574" s="12">
        <v>20.400000000000002</v>
      </c>
      <c r="H574" s="2">
        <v>0</v>
      </c>
      <c r="I574" s="2">
        <v>0</v>
      </c>
      <c r="J574" s="2">
        <v>0</v>
      </c>
      <c r="K574" s="20">
        <v>20.400000000000002</v>
      </c>
      <c r="L574" t="s">
        <v>794</v>
      </c>
      <c r="M574">
        <f t="shared" si="8"/>
        <v>2025</v>
      </c>
    </row>
    <row r="575" spans="1:13" hidden="1">
      <c r="A575" t="s">
        <v>1007</v>
      </c>
      <c r="B575" t="s">
        <v>355</v>
      </c>
      <c r="C575" t="s">
        <v>139</v>
      </c>
      <c r="D575" t="s">
        <v>908</v>
      </c>
      <c r="E575" s="1">
        <v>45710</v>
      </c>
      <c r="F575" s="1">
        <v>45710</v>
      </c>
      <c r="G575" s="12">
        <v>20.400000000000002</v>
      </c>
      <c r="H575" s="2">
        <v>0</v>
      </c>
      <c r="I575" s="2">
        <v>0</v>
      </c>
      <c r="J575" s="2">
        <v>0</v>
      </c>
      <c r="K575" s="20">
        <v>20.400000000000002</v>
      </c>
      <c r="L575" t="s">
        <v>794</v>
      </c>
      <c r="M575">
        <f t="shared" si="8"/>
        <v>2025</v>
      </c>
    </row>
    <row r="576" spans="1:13" hidden="1">
      <c r="A576" t="s">
        <v>922</v>
      </c>
      <c r="B576" t="s">
        <v>149</v>
      </c>
      <c r="C576" t="s">
        <v>141</v>
      </c>
      <c r="D576" t="s">
        <v>908</v>
      </c>
      <c r="E576" s="1">
        <v>45712</v>
      </c>
      <c r="F576" s="1">
        <v>45712</v>
      </c>
      <c r="G576" s="12">
        <v>290</v>
      </c>
      <c r="H576" s="2">
        <v>0</v>
      </c>
      <c r="I576" s="2">
        <v>0</v>
      </c>
      <c r="J576" s="2">
        <v>0</v>
      </c>
      <c r="K576" s="20">
        <v>290</v>
      </c>
      <c r="L576" t="s">
        <v>794</v>
      </c>
      <c r="M576">
        <f t="shared" si="8"/>
        <v>2025</v>
      </c>
    </row>
    <row r="577" spans="1:13" hidden="1">
      <c r="A577" t="s">
        <v>919</v>
      </c>
      <c r="B577" t="s">
        <v>920</v>
      </c>
      <c r="C577" t="s">
        <v>141</v>
      </c>
      <c r="D577" t="s">
        <v>908</v>
      </c>
      <c r="E577" s="1">
        <v>45712</v>
      </c>
      <c r="F577" s="1">
        <v>45712</v>
      </c>
      <c r="G577" s="12">
        <v>285</v>
      </c>
      <c r="H577" s="2">
        <v>0</v>
      </c>
      <c r="I577" s="2">
        <v>0</v>
      </c>
      <c r="J577" s="2">
        <v>0</v>
      </c>
      <c r="K577" s="20">
        <v>285</v>
      </c>
      <c r="L577" t="s">
        <v>794</v>
      </c>
      <c r="M577">
        <f t="shared" si="8"/>
        <v>2025</v>
      </c>
    </row>
    <row r="578" spans="1:13" hidden="1">
      <c r="A578" t="s">
        <v>1000</v>
      </c>
      <c r="B578" t="s">
        <v>31</v>
      </c>
      <c r="C578" t="s">
        <v>141</v>
      </c>
      <c r="D578" t="s">
        <v>908</v>
      </c>
      <c r="E578" s="1">
        <v>45712</v>
      </c>
      <c r="F578" s="1">
        <v>45712</v>
      </c>
      <c r="G578" s="12">
        <v>244</v>
      </c>
      <c r="H578" s="2">
        <v>0</v>
      </c>
      <c r="I578" s="2">
        <v>0</v>
      </c>
      <c r="J578" s="2">
        <v>0</v>
      </c>
      <c r="K578" s="20">
        <v>244</v>
      </c>
      <c r="L578" t="s">
        <v>794</v>
      </c>
      <c r="M578">
        <f t="shared" si="8"/>
        <v>2025</v>
      </c>
    </row>
    <row r="579" spans="1:13" hidden="1">
      <c r="A579" t="s">
        <v>867</v>
      </c>
      <c r="B579" t="s">
        <v>171</v>
      </c>
      <c r="C579" t="s">
        <v>141</v>
      </c>
      <c r="D579" t="s">
        <v>908</v>
      </c>
      <c r="E579" s="1">
        <v>45712</v>
      </c>
      <c r="F579" s="1">
        <v>45712</v>
      </c>
      <c r="G579" s="12">
        <v>6</v>
      </c>
      <c r="H579" s="2">
        <v>0</v>
      </c>
      <c r="I579" s="2">
        <v>0</v>
      </c>
      <c r="J579" s="2">
        <v>0</v>
      </c>
      <c r="K579" s="20">
        <v>6</v>
      </c>
      <c r="L579" t="s">
        <v>794</v>
      </c>
      <c r="M579">
        <f t="shared" ref="M579:M642" si="9">YEAR(F579)</f>
        <v>2025</v>
      </c>
    </row>
    <row r="580" spans="1:13" hidden="1">
      <c r="A580" t="s">
        <v>1008</v>
      </c>
      <c r="B580" t="s">
        <v>82</v>
      </c>
      <c r="C580" t="s">
        <v>723</v>
      </c>
      <c r="D580" t="s">
        <v>908</v>
      </c>
      <c r="E580" s="1">
        <v>45712</v>
      </c>
      <c r="F580" s="1">
        <v>45712</v>
      </c>
      <c r="G580" s="12">
        <v>3187.92</v>
      </c>
      <c r="H580" s="2">
        <v>0</v>
      </c>
      <c r="I580" s="2">
        <v>0</v>
      </c>
      <c r="J580" s="2">
        <v>0</v>
      </c>
      <c r="K580" s="20">
        <v>3187.92</v>
      </c>
      <c r="L580" t="s">
        <v>794</v>
      </c>
      <c r="M580">
        <f t="shared" si="9"/>
        <v>2025</v>
      </c>
    </row>
    <row r="581" spans="1:13" hidden="1">
      <c r="A581" t="s">
        <v>909</v>
      </c>
      <c r="B581" t="s">
        <v>97</v>
      </c>
      <c r="C581" t="s">
        <v>717</v>
      </c>
      <c r="D581" t="s">
        <v>908</v>
      </c>
      <c r="E581" s="1">
        <v>45712</v>
      </c>
      <c r="F581" s="1">
        <v>45712</v>
      </c>
      <c r="G581" s="12">
        <v>2000</v>
      </c>
      <c r="H581" s="2">
        <v>0</v>
      </c>
      <c r="I581" s="2">
        <v>0</v>
      </c>
      <c r="J581" s="2">
        <v>0</v>
      </c>
      <c r="K581" s="20">
        <v>2000</v>
      </c>
      <c r="L581" t="s">
        <v>794</v>
      </c>
      <c r="M581">
        <f t="shared" si="9"/>
        <v>2025</v>
      </c>
    </row>
    <row r="582" spans="1:13" hidden="1">
      <c r="A582" t="s">
        <v>935</v>
      </c>
      <c r="B582" t="s">
        <v>158</v>
      </c>
      <c r="C582" t="s">
        <v>741</v>
      </c>
      <c r="D582" t="s">
        <v>908</v>
      </c>
      <c r="E582" s="1">
        <v>45712</v>
      </c>
      <c r="F582" s="1">
        <v>45712</v>
      </c>
      <c r="G582" s="12">
        <v>370</v>
      </c>
      <c r="H582" s="2">
        <v>0</v>
      </c>
      <c r="I582" s="2">
        <v>0</v>
      </c>
      <c r="J582" s="2">
        <v>0</v>
      </c>
      <c r="K582" s="20">
        <v>370</v>
      </c>
      <c r="L582" t="s">
        <v>794</v>
      </c>
      <c r="M582">
        <f t="shared" si="9"/>
        <v>2025</v>
      </c>
    </row>
    <row r="583" spans="1:13" hidden="1">
      <c r="A583" t="s">
        <v>801</v>
      </c>
      <c r="B583" t="s">
        <v>13</v>
      </c>
      <c r="C583" t="s">
        <v>726</v>
      </c>
      <c r="D583" t="s">
        <v>908</v>
      </c>
      <c r="E583" s="1">
        <v>45712</v>
      </c>
      <c r="F583" s="1">
        <v>45712</v>
      </c>
      <c r="G583" s="12">
        <v>2.04</v>
      </c>
      <c r="H583" s="2">
        <v>0</v>
      </c>
      <c r="I583" s="2">
        <v>0</v>
      </c>
      <c r="J583" s="2">
        <v>0</v>
      </c>
      <c r="K583" s="20">
        <v>2.04</v>
      </c>
      <c r="L583" t="s">
        <v>794</v>
      </c>
      <c r="M583">
        <f t="shared" si="9"/>
        <v>2025</v>
      </c>
    </row>
    <row r="584" spans="1:13" hidden="1">
      <c r="A584" t="s">
        <v>1009</v>
      </c>
      <c r="B584" t="s">
        <v>62</v>
      </c>
      <c r="C584" t="s">
        <v>140</v>
      </c>
      <c r="D584" t="s">
        <v>908</v>
      </c>
      <c r="E584" s="1">
        <v>45712</v>
      </c>
      <c r="F584" s="1">
        <v>45712</v>
      </c>
      <c r="G584" s="12">
        <v>30</v>
      </c>
      <c r="H584" s="2">
        <v>0</v>
      </c>
      <c r="I584" s="2">
        <v>0</v>
      </c>
      <c r="J584" s="2">
        <v>0</v>
      </c>
      <c r="K584" s="20">
        <v>30</v>
      </c>
      <c r="L584" t="s">
        <v>794</v>
      </c>
      <c r="M584">
        <f t="shared" si="9"/>
        <v>2025</v>
      </c>
    </row>
    <row r="585" spans="1:13" hidden="1">
      <c r="A585" t="s">
        <v>803</v>
      </c>
      <c r="B585" t="s">
        <v>125</v>
      </c>
      <c r="C585" t="s">
        <v>141</v>
      </c>
      <c r="D585" t="s">
        <v>908</v>
      </c>
      <c r="E585" s="1">
        <v>45712</v>
      </c>
      <c r="F585" s="1">
        <v>45712</v>
      </c>
      <c r="G585" s="12">
        <v>34</v>
      </c>
      <c r="H585" s="2">
        <v>0</v>
      </c>
      <c r="I585" s="2">
        <v>0</v>
      </c>
      <c r="J585" s="2">
        <v>0</v>
      </c>
      <c r="K585" s="20">
        <v>34</v>
      </c>
      <c r="L585" t="s">
        <v>794</v>
      </c>
      <c r="M585">
        <f t="shared" si="9"/>
        <v>2025</v>
      </c>
    </row>
    <row r="586" spans="1:13" hidden="1">
      <c r="A586" t="s">
        <v>818</v>
      </c>
      <c r="B586" t="s">
        <v>30</v>
      </c>
      <c r="C586" t="s">
        <v>141</v>
      </c>
      <c r="D586" t="s">
        <v>908</v>
      </c>
      <c r="E586" s="1">
        <v>45712</v>
      </c>
      <c r="F586" s="1">
        <v>45712</v>
      </c>
      <c r="G586" s="12">
        <v>115</v>
      </c>
      <c r="H586" s="2">
        <v>0</v>
      </c>
      <c r="I586" s="2">
        <v>0</v>
      </c>
      <c r="J586" s="2">
        <v>0</v>
      </c>
      <c r="K586" s="20">
        <v>115</v>
      </c>
      <c r="L586" t="s">
        <v>794</v>
      </c>
      <c r="M586">
        <f t="shared" si="9"/>
        <v>2025</v>
      </c>
    </row>
    <row r="587" spans="1:13" hidden="1">
      <c r="A587" t="s">
        <v>883</v>
      </c>
      <c r="B587" t="s">
        <v>325</v>
      </c>
      <c r="C587" t="s">
        <v>99</v>
      </c>
      <c r="D587" t="s">
        <v>908</v>
      </c>
      <c r="E587" s="1">
        <v>45712</v>
      </c>
      <c r="F587" s="1">
        <v>45712</v>
      </c>
      <c r="G587" s="12">
        <v>72.44</v>
      </c>
      <c r="H587" s="2">
        <v>0</v>
      </c>
      <c r="I587" s="2">
        <v>0</v>
      </c>
      <c r="J587" s="2">
        <v>0</v>
      </c>
      <c r="K587" s="20">
        <v>72.44</v>
      </c>
      <c r="L587" t="s">
        <v>794</v>
      </c>
      <c r="M587">
        <f t="shared" si="9"/>
        <v>2025</v>
      </c>
    </row>
    <row r="588" spans="1:13" hidden="1">
      <c r="A588" t="s">
        <v>861</v>
      </c>
      <c r="B588" t="s">
        <v>218</v>
      </c>
      <c r="C588" t="s">
        <v>140</v>
      </c>
      <c r="D588" t="s">
        <v>908</v>
      </c>
      <c r="E588" s="1">
        <v>45712</v>
      </c>
      <c r="F588" s="1">
        <v>45712</v>
      </c>
      <c r="G588" s="12">
        <v>21</v>
      </c>
      <c r="H588" s="2">
        <v>0</v>
      </c>
      <c r="I588" s="2">
        <v>0</v>
      </c>
      <c r="J588" s="2">
        <v>0</v>
      </c>
      <c r="K588" s="20">
        <v>21</v>
      </c>
      <c r="L588" t="s">
        <v>794</v>
      </c>
      <c r="M588">
        <f t="shared" si="9"/>
        <v>2025</v>
      </c>
    </row>
    <row r="589" spans="1:13" hidden="1">
      <c r="A589" t="s">
        <v>1010</v>
      </c>
      <c r="B589" t="s">
        <v>466</v>
      </c>
      <c r="C589" t="s">
        <v>491</v>
      </c>
      <c r="D589" t="s">
        <v>908</v>
      </c>
      <c r="E589" s="1">
        <v>45712</v>
      </c>
      <c r="F589" s="1">
        <v>45712</v>
      </c>
      <c r="G589" s="12">
        <v>40.9</v>
      </c>
      <c r="H589" s="2">
        <v>0</v>
      </c>
      <c r="I589" s="2">
        <v>0</v>
      </c>
      <c r="J589" s="2">
        <v>0</v>
      </c>
      <c r="K589" s="20">
        <v>40.9</v>
      </c>
      <c r="L589" t="s">
        <v>794</v>
      </c>
      <c r="M589">
        <f t="shared" si="9"/>
        <v>2025</v>
      </c>
    </row>
    <row r="590" spans="1:13" hidden="1">
      <c r="A590" t="s">
        <v>859</v>
      </c>
      <c r="B590" t="s">
        <v>375</v>
      </c>
      <c r="C590" t="s">
        <v>204</v>
      </c>
      <c r="D590" t="s">
        <v>908</v>
      </c>
      <c r="E590" s="1">
        <v>45713</v>
      </c>
      <c r="F590" s="1">
        <v>45713</v>
      </c>
      <c r="G590" s="12">
        <v>637.5</v>
      </c>
      <c r="H590" s="2">
        <v>0</v>
      </c>
      <c r="I590" s="2">
        <v>0</v>
      </c>
      <c r="J590" s="2">
        <v>0</v>
      </c>
      <c r="K590" s="20">
        <v>637.5</v>
      </c>
      <c r="L590" t="s">
        <v>794</v>
      </c>
      <c r="M590">
        <f t="shared" si="9"/>
        <v>2025</v>
      </c>
    </row>
    <row r="591" spans="1:13" hidden="1">
      <c r="A591" t="s">
        <v>1010</v>
      </c>
      <c r="B591" t="s">
        <v>42</v>
      </c>
      <c r="C591" t="s">
        <v>728</v>
      </c>
      <c r="D591" t="s">
        <v>908</v>
      </c>
      <c r="E591" s="1">
        <v>45713</v>
      </c>
      <c r="F591" s="1">
        <v>45713</v>
      </c>
      <c r="G591" s="12">
        <v>33.47</v>
      </c>
      <c r="H591" s="2">
        <v>0</v>
      </c>
      <c r="I591" s="2">
        <v>0</v>
      </c>
      <c r="J591" s="2">
        <v>0</v>
      </c>
      <c r="K591" s="20">
        <v>33.47</v>
      </c>
      <c r="L591" t="s">
        <v>794</v>
      </c>
      <c r="M591">
        <f t="shared" si="9"/>
        <v>2025</v>
      </c>
    </row>
    <row r="592" spans="1:13" hidden="1">
      <c r="A592" t="s">
        <v>1004</v>
      </c>
      <c r="B592" t="s">
        <v>57</v>
      </c>
      <c r="C592" t="s">
        <v>138</v>
      </c>
      <c r="D592" t="s">
        <v>908</v>
      </c>
      <c r="E592" s="1">
        <v>45713</v>
      </c>
      <c r="F592" s="1">
        <v>45713</v>
      </c>
      <c r="G592" s="12">
        <v>18</v>
      </c>
      <c r="H592" s="2">
        <v>0</v>
      </c>
      <c r="I592" s="2">
        <v>0</v>
      </c>
      <c r="J592" s="2">
        <v>0</v>
      </c>
      <c r="K592" s="20">
        <v>18</v>
      </c>
      <c r="L592" t="s">
        <v>794</v>
      </c>
      <c r="M592">
        <f t="shared" si="9"/>
        <v>2025</v>
      </c>
    </row>
    <row r="593" spans="1:13" hidden="1">
      <c r="A593" t="s">
        <v>1009</v>
      </c>
      <c r="B593" t="s">
        <v>62</v>
      </c>
      <c r="C593" t="s">
        <v>140</v>
      </c>
      <c r="D593" t="s">
        <v>908</v>
      </c>
      <c r="E593" s="1">
        <v>45713</v>
      </c>
      <c r="F593" s="1">
        <v>45713</v>
      </c>
      <c r="G593" s="12">
        <v>30</v>
      </c>
      <c r="H593" s="2">
        <v>0</v>
      </c>
      <c r="I593" s="2">
        <v>0</v>
      </c>
      <c r="J593" s="2">
        <v>0</v>
      </c>
      <c r="K593" s="20">
        <v>30</v>
      </c>
      <c r="L593" t="s">
        <v>794</v>
      </c>
      <c r="M593">
        <f t="shared" si="9"/>
        <v>2025</v>
      </c>
    </row>
    <row r="594" spans="1:13" hidden="1">
      <c r="A594" t="s">
        <v>898</v>
      </c>
      <c r="B594" t="s">
        <v>353</v>
      </c>
      <c r="C594" t="s">
        <v>761</v>
      </c>
      <c r="D594" t="s">
        <v>908</v>
      </c>
      <c r="E594" s="1">
        <v>45713</v>
      </c>
      <c r="F594" s="1">
        <v>45713</v>
      </c>
      <c r="G594" s="12">
        <v>18.05</v>
      </c>
      <c r="H594" s="2">
        <v>0</v>
      </c>
      <c r="I594" s="2">
        <v>0</v>
      </c>
      <c r="J594" s="2">
        <v>0</v>
      </c>
      <c r="K594" s="20">
        <v>18.05</v>
      </c>
      <c r="L594" t="s">
        <v>794</v>
      </c>
      <c r="M594">
        <f t="shared" si="9"/>
        <v>2025</v>
      </c>
    </row>
    <row r="595" spans="1:13" hidden="1">
      <c r="A595" t="s">
        <v>1004</v>
      </c>
      <c r="B595" t="s">
        <v>57</v>
      </c>
      <c r="C595" t="s">
        <v>139</v>
      </c>
      <c r="D595" t="s">
        <v>908</v>
      </c>
      <c r="E595" s="1">
        <v>45713</v>
      </c>
      <c r="F595" s="1">
        <v>45713</v>
      </c>
      <c r="G595" s="12">
        <v>24</v>
      </c>
      <c r="H595" s="2">
        <v>0</v>
      </c>
      <c r="I595" s="2">
        <v>0</v>
      </c>
      <c r="J595" s="2">
        <v>0</v>
      </c>
      <c r="K595" s="20">
        <v>24</v>
      </c>
      <c r="L595" t="s">
        <v>794</v>
      </c>
      <c r="M595">
        <f t="shared" si="9"/>
        <v>2025</v>
      </c>
    </row>
    <row r="596" spans="1:13" hidden="1">
      <c r="A596" t="s">
        <v>801</v>
      </c>
      <c r="B596" t="s">
        <v>13</v>
      </c>
      <c r="C596" t="s">
        <v>726</v>
      </c>
      <c r="D596" t="s">
        <v>908</v>
      </c>
      <c r="E596" s="1">
        <v>45713</v>
      </c>
      <c r="F596" s="1">
        <v>45713</v>
      </c>
      <c r="G596" s="12">
        <v>6.12</v>
      </c>
      <c r="H596" s="2">
        <v>0</v>
      </c>
      <c r="I596" s="2">
        <v>0</v>
      </c>
      <c r="J596" s="2">
        <v>0</v>
      </c>
      <c r="K596" s="20">
        <v>6.12</v>
      </c>
      <c r="L596" t="s">
        <v>794</v>
      </c>
      <c r="M596">
        <f t="shared" si="9"/>
        <v>2025</v>
      </c>
    </row>
    <row r="597" spans="1:13" hidden="1">
      <c r="A597" t="s">
        <v>801</v>
      </c>
      <c r="B597" t="s">
        <v>13</v>
      </c>
      <c r="C597" t="s">
        <v>717</v>
      </c>
      <c r="D597" t="s">
        <v>908</v>
      </c>
      <c r="E597" s="1">
        <v>45714</v>
      </c>
      <c r="F597" s="1">
        <v>45714</v>
      </c>
      <c r="G597" s="12">
        <v>1313.4</v>
      </c>
      <c r="H597" s="2">
        <v>0</v>
      </c>
      <c r="I597" s="2">
        <v>0</v>
      </c>
      <c r="J597" s="2">
        <v>0</v>
      </c>
      <c r="K597" s="20">
        <v>1313.4</v>
      </c>
      <c r="L597" t="s">
        <v>794</v>
      </c>
      <c r="M597">
        <f t="shared" si="9"/>
        <v>2025</v>
      </c>
    </row>
    <row r="598" spans="1:13" hidden="1">
      <c r="A598" t="s">
        <v>801</v>
      </c>
      <c r="B598" t="s">
        <v>13</v>
      </c>
      <c r="C598" t="s">
        <v>718</v>
      </c>
      <c r="D598" t="s">
        <v>908</v>
      </c>
      <c r="E598" s="1">
        <v>45714</v>
      </c>
      <c r="F598" s="1">
        <v>45714</v>
      </c>
      <c r="G598" s="12">
        <v>7803.3</v>
      </c>
      <c r="H598" s="2">
        <v>0</v>
      </c>
      <c r="I598" s="2">
        <v>0</v>
      </c>
      <c r="J598" s="2">
        <v>0</v>
      </c>
      <c r="K598" s="20">
        <v>7803.3</v>
      </c>
      <c r="L598" t="s">
        <v>794</v>
      </c>
      <c r="M598">
        <f t="shared" si="9"/>
        <v>2025</v>
      </c>
    </row>
    <row r="599" spans="1:13" hidden="1">
      <c r="A599" t="s">
        <v>801</v>
      </c>
      <c r="B599" t="s">
        <v>13</v>
      </c>
      <c r="C599" t="s">
        <v>718</v>
      </c>
      <c r="D599" t="s">
        <v>908</v>
      </c>
      <c r="E599" s="1">
        <v>45714</v>
      </c>
      <c r="F599" s="1">
        <v>45714</v>
      </c>
      <c r="G599" s="12">
        <v>13296.5</v>
      </c>
      <c r="H599" s="2">
        <v>0</v>
      </c>
      <c r="I599" s="2">
        <v>0</v>
      </c>
      <c r="J599" s="2">
        <v>0</v>
      </c>
      <c r="K599" s="20">
        <v>13296.5</v>
      </c>
      <c r="L599" t="s">
        <v>843</v>
      </c>
      <c r="M599">
        <f t="shared" si="9"/>
        <v>2025</v>
      </c>
    </row>
    <row r="600" spans="1:13" hidden="1">
      <c r="A600" t="s">
        <v>1011</v>
      </c>
      <c r="B600" t="s">
        <v>594</v>
      </c>
      <c r="C600" t="s">
        <v>204</v>
      </c>
      <c r="D600" t="s">
        <v>908</v>
      </c>
      <c r="E600" s="1">
        <v>45714</v>
      </c>
      <c r="F600" s="1">
        <v>45714</v>
      </c>
      <c r="G600" s="12">
        <v>52</v>
      </c>
      <c r="H600" s="2">
        <v>0</v>
      </c>
      <c r="I600" s="2">
        <v>0</v>
      </c>
      <c r="J600" s="2">
        <v>0</v>
      </c>
      <c r="K600" s="20">
        <v>52</v>
      </c>
      <c r="L600" t="s">
        <v>794</v>
      </c>
      <c r="M600">
        <f t="shared" si="9"/>
        <v>2025</v>
      </c>
    </row>
    <row r="601" spans="1:13" hidden="1">
      <c r="A601" t="s">
        <v>1012</v>
      </c>
      <c r="B601" t="s">
        <v>614</v>
      </c>
      <c r="C601" t="s">
        <v>723</v>
      </c>
      <c r="D601" t="s">
        <v>908</v>
      </c>
      <c r="E601" s="1">
        <v>45714</v>
      </c>
      <c r="F601" s="1">
        <v>45714</v>
      </c>
      <c r="G601" s="12">
        <v>50</v>
      </c>
      <c r="H601" s="2">
        <v>0</v>
      </c>
      <c r="I601" s="2">
        <v>0</v>
      </c>
      <c r="J601" s="2">
        <v>0</v>
      </c>
      <c r="K601" s="20">
        <v>50</v>
      </c>
      <c r="L601" t="s">
        <v>794</v>
      </c>
      <c r="M601">
        <f t="shared" si="9"/>
        <v>2025</v>
      </c>
    </row>
    <row r="602" spans="1:13" hidden="1">
      <c r="A602" t="s">
        <v>1013</v>
      </c>
      <c r="B602" t="s">
        <v>608</v>
      </c>
      <c r="C602" t="s">
        <v>723</v>
      </c>
      <c r="D602" t="s">
        <v>908</v>
      </c>
      <c r="E602" s="1">
        <v>45714</v>
      </c>
      <c r="F602" s="1">
        <v>45714</v>
      </c>
      <c r="G602" s="12">
        <v>50</v>
      </c>
      <c r="H602" s="2">
        <v>0</v>
      </c>
      <c r="I602" s="2">
        <v>0</v>
      </c>
      <c r="J602" s="2">
        <v>0</v>
      </c>
      <c r="K602" s="20">
        <v>50</v>
      </c>
      <c r="L602" t="s">
        <v>794</v>
      </c>
      <c r="M602">
        <f t="shared" si="9"/>
        <v>2025</v>
      </c>
    </row>
    <row r="603" spans="1:13" hidden="1">
      <c r="A603" t="s">
        <v>1009</v>
      </c>
      <c r="B603" t="s">
        <v>62</v>
      </c>
      <c r="C603" t="s">
        <v>140</v>
      </c>
      <c r="D603" t="s">
        <v>908</v>
      </c>
      <c r="E603" s="1">
        <v>45714</v>
      </c>
      <c r="F603" s="1">
        <v>45714</v>
      </c>
      <c r="G603" s="12">
        <v>30</v>
      </c>
      <c r="H603" s="2">
        <v>0</v>
      </c>
      <c r="I603" s="2">
        <v>0</v>
      </c>
      <c r="J603" s="2">
        <v>0</v>
      </c>
      <c r="K603" s="20">
        <v>30</v>
      </c>
      <c r="L603" t="s">
        <v>794</v>
      </c>
      <c r="M603">
        <f t="shared" si="9"/>
        <v>2025</v>
      </c>
    </row>
    <row r="604" spans="1:13" hidden="1">
      <c r="A604" t="s">
        <v>1014</v>
      </c>
      <c r="B604" t="s">
        <v>520</v>
      </c>
      <c r="C604" t="s">
        <v>452</v>
      </c>
      <c r="D604" t="s">
        <v>908</v>
      </c>
      <c r="E604" s="1">
        <v>45714</v>
      </c>
      <c r="F604" s="1">
        <v>45714</v>
      </c>
      <c r="G604" s="12">
        <v>100</v>
      </c>
      <c r="H604" s="2">
        <v>0</v>
      </c>
      <c r="I604" s="2">
        <v>0</v>
      </c>
      <c r="J604" s="2">
        <v>0</v>
      </c>
      <c r="K604" s="20">
        <v>100</v>
      </c>
      <c r="L604" t="s">
        <v>794</v>
      </c>
      <c r="M604">
        <f t="shared" si="9"/>
        <v>2025</v>
      </c>
    </row>
    <row r="605" spans="1:13" hidden="1">
      <c r="A605" t="s">
        <v>1015</v>
      </c>
      <c r="B605" t="s">
        <v>524</v>
      </c>
      <c r="C605" t="s">
        <v>452</v>
      </c>
      <c r="D605" t="s">
        <v>908</v>
      </c>
      <c r="E605" s="1">
        <v>45714</v>
      </c>
      <c r="F605" s="1">
        <v>45714</v>
      </c>
      <c r="G605" s="12">
        <v>100</v>
      </c>
      <c r="H605" s="2">
        <v>0</v>
      </c>
      <c r="I605" s="2">
        <v>0</v>
      </c>
      <c r="J605" s="2">
        <v>0</v>
      </c>
      <c r="K605" s="20">
        <v>100</v>
      </c>
      <c r="L605" t="s">
        <v>794</v>
      </c>
      <c r="M605">
        <f t="shared" si="9"/>
        <v>2025</v>
      </c>
    </row>
    <row r="606" spans="1:13" hidden="1">
      <c r="A606" t="s">
        <v>801</v>
      </c>
      <c r="B606" t="s">
        <v>13</v>
      </c>
      <c r="C606" t="s">
        <v>717</v>
      </c>
      <c r="D606" t="s">
        <v>908</v>
      </c>
      <c r="E606" s="1">
        <v>45714</v>
      </c>
      <c r="F606" s="1">
        <v>45714</v>
      </c>
      <c r="G606" s="12">
        <v>1738.99</v>
      </c>
      <c r="H606" s="2">
        <v>0</v>
      </c>
      <c r="I606" s="2">
        <v>0</v>
      </c>
      <c r="J606" s="2">
        <v>0</v>
      </c>
      <c r="K606" s="20">
        <v>1738.99</v>
      </c>
      <c r="L606" t="s">
        <v>794</v>
      </c>
      <c r="M606">
        <f t="shared" si="9"/>
        <v>2025</v>
      </c>
    </row>
    <row r="607" spans="1:13" hidden="1">
      <c r="A607" t="s">
        <v>905</v>
      </c>
      <c r="B607" t="s">
        <v>15</v>
      </c>
      <c r="C607" t="s">
        <v>715</v>
      </c>
      <c r="D607" t="s">
        <v>908</v>
      </c>
      <c r="E607" s="1">
        <v>45715</v>
      </c>
      <c r="F607" s="1">
        <v>45715</v>
      </c>
      <c r="G607" s="12">
        <v>652.34</v>
      </c>
      <c r="H607" s="2">
        <v>0</v>
      </c>
      <c r="I607" s="2">
        <v>0</v>
      </c>
      <c r="J607" s="2">
        <v>0</v>
      </c>
      <c r="K607" s="20">
        <v>652.34</v>
      </c>
      <c r="L607" t="s">
        <v>794</v>
      </c>
      <c r="M607">
        <f t="shared" si="9"/>
        <v>2025</v>
      </c>
    </row>
    <row r="608" spans="1:13" hidden="1">
      <c r="A608" t="s">
        <v>1009</v>
      </c>
      <c r="B608" t="s">
        <v>62</v>
      </c>
      <c r="C608" t="s">
        <v>140</v>
      </c>
      <c r="D608" t="s">
        <v>908</v>
      </c>
      <c r="E608" s="1">
        <v>45715</v>
      </c>
      <c r="F608" s="1">
        <v>45715</v>
      </c>
      <c r="G608" s="12">
        <v>30</v>
      </c>
      <c r="H608" s="2">
        <v>0</v>
      </c>
      <c r="I608" s="2">
        <v>0</v>
      </c>
      <c r="J608" s="2">
        <v>0</v>
      </c>
      <c r="K608" s="20">
        <v>30</v>
      </c>
      <c r="L608" t="s">
        <v>794</v>
      </c>
      <c r="M608">
        <f t="shared" si="9"/>
        <v>2025</v>
      </c>
    </row>
    <row r="609" spans="1:13" hidden="1">
      <c r="A609" t="s">
        <v>1016</v>
      </c>
      <c r="B609" t="s">
        <v>528</v>
      </c>
      <c r="C609" t="s">
        <v>723</v>
      </c>
      <c r="D609" t="s">
        <v>908</v>
      </c>
      <c r="E609" s="1">
        <v>45715</v>
      </c>
      <c r="F609" s="1">
        <v>45715</v>
      </c>
      <c r="G609" s="12">
        <v>50</v>
      </c>
      <c r="H609" s="2">
        <v>0</v>
      </c>
      <c r="I609" s="2">
        <v>0</v>
      </c>
      <c r="J609" s="2">
        <v>0</v>
      </c>
      <c r="K609" s="20">
        <v>50</v>
      </c>
      <c r="L609" t="s">
        <v>794</v>
      </c>
      <c r="M609">
        <f t="shared" si="9"/>
        <v>2025</v>
      </c>
    </row>
    <row r="610" spans="1:13" hidden="1">
      <c r="A610" t="s">
        <v>945</v>
      </c>
      <c r="B610" t="s">
        <v>143</v>
      </c>
      <c r="C610" t="s">
        <v>140</v>
      </c>
      <c r="D610" t="s">
        <v>908</v>
      </c>
      <c r="E610" s="1">
        <v>45715</v>
      </c>
      <c r="F610" s="1">
        <v>45715</v>
      </c>
      <c r="G610" s="12">
        <v>30</v>
      </c>
      <c r="H610" s="2">
        <v>0</v>
      </c>
      <c r="I610" s="2">
        <v>0</v>
      </c>
      <c r="J610" s="2">
        <v>0</v>
      </c>
      <c r="K610" s="20">
        <v>30</v>
      </c>
      <c r="L610" t="s">
        <v>794</v>
      </c>
      <c r="M610">
        <f t="shared" si="9"/>
        <v>2025</v>
      </c>
    </row>
    <row r="611" spans="1:13" hidden="1">
      <c r="A611" t="s">
        <v>801</v>
      </c>
      <c r="B611" t="s">
        <v>13</v>
      </c>
      <c r="C611" t="s">
        <v>726</v>
      </c>
      <c r="D611" t="s">
        <v>908</v>
      </c>
      <c r="E611" s="1">
        <v>45715</v>
      </c>
      <c r="F611" s="1">
        <v>45715</v>
      </c>
      <c r="G611" s="12">
        <v>2.04</v>
      </c>
      <c r="H611" s="2">
        <v>0</v>
      </c>
      <c r="I611" s="2">
        <v>0</v>
      </c>
      <c r="J611" s="2">
        <v>0</v>
      </c>
      <c r="K611" s="20">
        <v>2.04</v>
      </c>
      <c r="L611" t="s">
        <v>794</v>
      </c>
      <c r="M611">
        <f t="shared" si="9"/>
        <v>2025</v>
      </c>
    </row>
    <row r="612" spans="1:13" hidden="1">
      <c r="A612" t="s">
        <v>839</v>
      </c>
      <c r="B612" t="s">
        <v>26</v>
      </c>
      <c r="C612" t="s">
        <v>139</v>
      </c>
      <c r="D612" t="s">
        <v>1017</v>
      </c>
      <c r="E612" s="1">
        <v>45716</v>
      </c>
      <c r="F612" s="1">
        <v>45716</v>
      </c>
      <c r="G612" s="12">
        <v>7243.72</v>
      </c>
      <c r="H612" s="2">
        <v>0</v>
      </c>
      <c r="I612" s="2">
        <v>0</v>
      </c>
      <c r="J612" s="2">
        <v>0</v>
      </c>
      <c r="K612" s="20">
        <v>7243.72</v>
      </c>
      <c r="L612" t="s">
        <v>794</v>
      </c>
      <c r="M612">
        <f t="shared" si="9"/>
        <v>2025</v>
      </c>
    </row>
    <row r="613" spans="1:13" hidden="1">
      <c r="A613" t="s">
        <v>952</v>
      </c>
      <c r="B613" t="s">
        <v>27</v>
      </c>
      <c r="C613" t="s">
        <v>139</v>
      </c>
      <c r="D613" t="s">
        <v>908</v>
      </c>
      <c r="E613" s="1">
        <v>45716</v>
      </c>
      <c r="F613" s="1">
        <v>45716</v>
      </c>
      <c r="G613" s="12">
        <v>385.2</v>
      </c>
      <c r="H613" s="2">
        <v>0</v>
      </c>
      <c r="I613" s="2">
        <v>0</v>
      </c>
      <c r="J613" s="2">
        <v>0</v>
      </c>
      <c r="K613" s="20">
        <v>385.2</v>
      </c>
      <c r="L613" t="s">
        <v>794</v>
      </c>
      <c r="M613">
        <f t="shared" si="9"/>
        <v>2025</v>
      </c>
    </row>
    <row r="614" spans="1:13" hidden="1">
      <c r="A614" t="s">
        <v>950</v>
      </c>
      <c r="B614" t="s">
        <v>951</v>
      </c>
      <c r="C614" t="s">
        <v>139</v>
      </c>
      <c r="D614" t="s">
        <v>908</v>
      </c>
      <c r="E614" s="1">
        <v>45716</v>
      </c>
      <c r="F614" s="1">
        <v>45716</v>
      </c>
      <c r="G614" s="12">
        <v>469.3</v>
      </c>
      <c r="H614" s="2">
        <v>0</v>
      </c>
      <c r="I614" s="2">
        <v>0</v>
      </c>
      <c r="J614" s="2">
        <v>0</v>
      </c>
      <c r="K614" s="20">
        <v>469.3</v>
      </c>
      <c r="L614" t="s">
        <v>794</v>
      </c>
      <c r="M614">
        <f t="shared" si="9"/>
        <v>2025</v>
      </c>
    </row>
    <row r="615" spans="1:13" hidden="1">
      <c r="A615" t="s">
        <v>839</v>
      </c>
      <c r="B615" t="s">
        <v>26</v>
      </c>
      <c r="C615" t="s">
        <v>139</v>
      </c>
      <c r="D615" t="s">
        <v>908</v>
      </c>
      <c r="E615" s="1">
        <v>45716</v>
      </c>
      <c r="F615" s="1">
        <v>45716</v>
      </c>
      <c r="G615" s="12">
        <v>1514.3</v>
      </c>
      <c r="H615" s="2">
        <v>0</v>
      </c>
      <c r="I615" s="2">
        <v>0</v>
      </c>
      <c r="J615" s="2">
        <v>0</v>
      </c>
      <c r="K615" s="20">
        <v>1514.3</v>
      </c>
      <c r="L615" t="s">
        <v>794</v>
      </c>
      <c r="M615">
        <f t="shared" si="9"/>
        <v>2025</v>
      </c>
    </row>
    <row r="616" spans="1:13" hidden="1">
      <c r="A616" t="s">
        <v>1009</v>
      </c>
      <c r="B616" t="s">
        <v>62</v>
      </c>
      <c r="C616" t="s">
        <v>140</v>
      </c>
      <c r="D616" t="s">
        <v>908</v>
      </c>
      <c r="E616" s="1">
        <v>45716</v>
      </c>
      <c r="F616" s="1">
        <v>45716</v>
      </c>
      <c r="G616" s="12">
        <v>30</v>
      </c>
      <c r="H616" s="2">
        <v>0</v>
      </c>
      <c r="I616" s="2">
        <v>0</v>
      </c>
      <c r="J616" s="2">
        <v>0</v>
      </c>
      <c r="K616" s="20">
        <v>30</v>
      </c>
      <c r="L616" t="s">
        <v>794</v>
      </c>
      <c r="M616">
        <f t="shared" si="9"/>
        <v>2025</v>
      </c>
    </row>
    <row r="617" spans="1:13" hidden="1">
      <c r="A617" t="s">
        <v>1018</v>
      </c>
      <c r="B617" t="s">
        <v>581</v>
      </c>
      <c r="C617" t="s">
        <v>452</v>
      </c>
      <c r="D617" t="s">
        <v>908</v>
      </c>
      <c r="E617" s="1">
        <v>45716</v>
      </c>
      <c r="F617" s="1">
        <v>45716</v>
      </c>
      <c r="G617" s="12">
        <v>69</v>
      </c>
      <c r="H617" s="2">
        <v>0</v>
      </c>
      <c r="I617" s="2">
        <v>0</v>
      </c>
      <c r="J617" s="2">
        <v>0</v>
      </c>
      <c r="K617" s="20">
        <v>69</v>
      </c>
      <c r="L617" t="s">
        <v>794</v>
      </c>
      <c r="M617">
        <f t="shared" si="9"/>
        <v>2025</v>
      </c>
    </row>
    <row r="618" spans="1:13" hidden="1">
      <c r="A618" t="s">
        <v>944</v>
      </c>
      <c r="B618" t="s">
        <v>439</v>
      </c>
      <c r="C618" t="s">
        <v>491</v>
      </c>
      <c r="D618" t="s">
        <v>908</v>
      </c>
      <c r="E618" s="1">
        <v>45716</v>
      </c>
      <c r="F618" s="1">
        <v>45716</v>
      </c>
      <c r="G618" s="12">
        <v>30</v>
      </c>
      <c r="H618" s="2">
        <v>0</v>
      </c>
      <c r="I618" s="2">
        <v>0</v>
      </c>
      <c r="J618" s="2">
        <v>0</v>
      </c>
      <c r="K618" s="20">
        <v>30</v>
      </c>
      <c r="L618" t="s">
        <v>794</v>
      </c>
      <c r="M618">
        <f t="shared" si="9"/>
        <v>2025</v>
      </c>
    </row>
    <row r="619" spans="1:13" hidden="1">
      <c r="A619" t="s">
        <v>883</v>
      </c>
      <c r="B619" t="s">
        <v>325</v>
      </c>
      <c r="C619" t="s">
        <v>99</v>
      </c>
      <c r="D619" t="s">
        <v>908</v>
      </c>
      <c r="E619" s="1">
        <v>45716</v>
      </c>
      <c r="F619" s="1">
        <v>45716</v>
      </c>
      <c r="G619" s="12">
        <v>4.99</v>
      </c>
      <c r="H619" s="2">
        <v>0</v>
      </c>
      <c r="I619" s="2">
        <v>0</v>
      </c>
      <c r="J619" s="2">
        <v>0</v>
      </c>
      <c r="K619" s="20">
        <v>4.99</v>
      </c>
      <c r="L619" t="s">
        <v>794</v>
      </c>
      <c r="M619">
        <f t="shared" si="9"/>
        <v>2025</v>
      </c>
    </row>
    <row r="620" spans="1:13" hidden="1">
      <c r="A620" t="s">
        <v>944</v>
      </c>
      <c r="B620" t="s">
        <v>439</v>
      </c>
      <c r="C620" t="s">
        <v>777</v>
      </c>
      <c r="D620" t="s">
        <v>908</v>
      </c>
      <c r="E620" s="1">
        <v>45716</v>
      </c>
      <c r="F620" s="1">
        <v>45716</v>
      </c>
      <c r="G620" s="12">
        <v>35</v>
      </c>
      <c r="H620" s="2">
        <v>0</v>
      </c>
      <c r="I620" s="2">
        <v>0</v>
      </c>
      <c r="J620" s="2">
        <v>0</v>
      </c>
      <c r="K620" s="20">
        <v>35</v>
      </c>
      <c r="L620" t="s">
        <v>794</v>
      </c>
      <c r="M620">
        <f t="shared" si="9"/>
        <v>2025</v>
      </c>
    </row>
    <row r="621" spans="1:13" hidden="1">
      <c r="A621" t="s">
        <v>906</v>
      </c>
      <c r="B621" t="s">
        <v>289</v>
      </c>
      <c r="C621" t="s">
        <v>483</v>
      </c>
      <c r="D621" t="s">
        <v>908</v>
      </c>
      <c r="E621" s="1">
        <v>45716</v>
      </c>
      <c r="F621" s="1">
        <v>45716</v>
      </c>
      <c r="G621" s="12">
        <v>51</v>
      </c>
      <c r="H621" s="2">
        <v>0</v>
      </c>
      <c r="I621" s="2">
        <v>0</v>
      </c>
      <c r="J621" s="2">
        <v>0</v>
      </c>
      <c r="K621" s="20">
        <v>51</v>
      </c>
      <c r="L621" t="s">
        <v>794</v>
      </c>
      <c r="M621">
        <f t="shared" si="9"/>
        <v>2025</v>
      </c>
    </row>
    <row r="622" spans="1:13" hidden="1">
      <c r="A622" t="s">
        <v>1019</v>
      </c>
      <c r="B622" t="s">
        <v>688</v>
      </c>
      <c r="C622" t="s">
        <v>483</v>
      </c>
      <c r="D622" t="s">
        <v>908</v>
      </c>
      <c r="E622" s="1">
        <v>45716</v>
      </c>
      <c r="F622" s="1">
        <v>45716</v>
      </c>
      <c r="G622" s="12">
        <v>15.99</v>
      </c>
      <c r="H622" s="2">
        <v>0</v>
      </c>
      <c r="I622" s="2">
        <v>0</v>
      </c>
      <c r="J622" s="2">
        <v>0</v>
      </c>
      <c r="K622" s="20">
        <v>15.99</v>
      </c>
      <c r="L622" t="s">
        <v>794</v>
      </c>
      <c r="M622">
        <f t="shared" si="9"/>
        <v>2025</v>
      </c>
    </row>
    <row r="623" spans="1:13" hidden="1">
      <c r="A623" t="s">
        <v>1004</v>
      </c>
      <c r="B623" t="s">
        <v>57</v>
      </c>
      <c r="C623" t="s">
        <v>139</v>
      </c>
      <c r="D623" t="s">
        <v>908</v>
      </c>
      <c r="E623" s="1">
        <v>45716</v>
      </c>
      <c r="F623" s="1">
        <v>45716</v>
      </c>
      <c r="G623" s="12">
        <v>50</v>
      </c>
      <c r="H623" s="2">
        <v>0</v>
      </c>
      <c r="I623" s="2">
        <v>0</v>
      </c>
      <c r="J623" s="2">
        <v>0</v>
      </c>
      <c r="K623" s="20">
        <v>50</v>
      </c>
      <c r="L623" t="s">
        <v>794</v>
      </c>
      <c r="M623">
        <f t="shared" si="9"/>
        <v>2025</v>
      </c>
    </row>
    <row r="624" spans="1:13" hidden="1">
      <c r="A624" t="s">
        <v>999</v>
      </c>
      <c r="B624" t="s">
        <v>329</v>
      </c>
      <c r="C624" t="s">
        <v>137</v>
      </c>
      <c r="D624" t="s">
        <v>908</v>
      </c>
      <c r="E624" s="1">
        <v>45716</v>
      </c>
      <c r="F624" s="1">
        <v>45716</v>
      </c>
      <c r="G624" s="12">
        <v>125</v>
      </c>
      <c r="H624" s="2">
        <v>0</v>
      </c>
      <c r="I624" s="2">
        <v>0</v>
      </c>
      <c r="J624" s="2">
        <v>0</v>
      </c>
      <c r="K624" s="20">
        <v>125</v>
      </c>
      <c r="L624" t="s">
        <v>794</v>
      </c>
      <c r="M624">
        <f t="shared" si="9"/>
        <v>2025</v>
      </c>
    </row>
    <row r="625" spans="1:13" hidden="1">
      <c r="A625" t="s">
        <v>801</v>
      </c>
      <c r="B625" t="s">
        <v>13</v>
      </c>
      <c r="C625" t="s">
        <v>726</v>
      </c>
      <c r="D625" t="s">
        <v>908</v>
      </c>
      <c r="E625" s="1">
        <v>45716</v>
      </c>
      <c r="F625" s="1">
        <v>45716</v>
      </c>
      <c r="G625" s="12">
        <v>4.08</v>
      </c>
      <c r="H625" s="2">
        <v>0</v>
      </c>
      <c r="I625" s="2">
        <v>0</v>
      </c>
      <c r="J625" s="2">
        <v>0</v>
      </c>
      <c r="K625" s="20">
        <v>4.08</v>
      </c>
      <c r="L625" t="s">
        <v>794</v>
      </c>
      <c r="M625">
        <f t="shared" si="9"/>
        <v>2025</v>
      </c>
    </row>
    <row r="626" spans="1:13" hidden="1">
      <c r="A626" t="s">
        <v>801</v>
      </c>
      <c r="B626" t="s">
        <v>13</v>
      </c>
      <c r="C626" t="s">
        <v>751</v>
      </c>
      <c r="D626" t="s">
        <v>1017</v>
      </c>
      <c r="E626" s="1">
        <v>45721</v>
      </c>
      <c r="F626" s="1">
        <v>45721</v>
      </c>
      <c r="G626" s="12">
        <v>135.52000000000001</v>
      </c>
      <c r="H626" s="2">
        <v>0</v>
      </c>
      <c r="I626" s="2">
        <v>0</v>
      </c>
      <c r="J626" s="2">
        <v>0</v>
      </c>
      <c r="K626" s="20">
        <v>135.52000000000001</v>
      </c>
      <c r="L626" t="s">
        <v>794</v>
      </c>
      <c r="M626">
        <f t="shared" si="9"/>
        <v>2025</v>
      </c>
    </row>
    <row r="627" spans="1:13" hidden="1">
      <c r="A627" t="s">
        <v>1020</v>
      </c>
      <c r="B627" t="s">
        <v>358</v>
      </c>
      <c r="C627" t="s">
        <v>723</v>
      </c>
      <c r="D627" t="s">
        <v>1017</v>
      </c>
      <c r="E627" s="1">
        <v>45721</v>
      </c>
      <c r="F627" s="1">
        <v>45721</v>
      </c>
      <c r="G627" s="12">
        <v>714.80000000000007</v>
      </c>
      <c r="H627" s="2">
        <v>0</v>
      </c>
      <c r="I627" s="2">
        <v>0</v>
      </c>
      <c r="J627" s="2">
        <v>0</v>
      </c>
      <c r="K627" s="20">
        <v>714.80000000000007</v>
      </c>
      <c r="L627" t="s">
        <v>794</v>
      </c>
      <c r="M627">
        <f t="shared" si="9"/>
        <v>2025</v>
      </c>
    </row>
    <row r="628" spans="1:13" hidden="1">
      <c r="A628" t="s">
        <v>1021</v>
      </c>
      <c r="B628" t="s">
        <v>40</v>
      </c>
      <c r="C628" t="s">
        <v>725</v>
      </c>
      <c r="D628" t="s">
        <v>1017</v>
      </c>
      <c r="E628" s="1">
        <v>45721</v>
      </c>
      <c r="F628" s="1">
        <v>45721</v>
      </c>
      <c r="G628" s="12">
        <v>3240.83</v>
      </c>
      <c r="H628" s="2">
        <v>0</v>
      </c>
      <c r="I628" s="2">
        <v>0</v>
      </c>
      <c r="J628" s="2">
        <v>0</v>
      </c>
      <c r="K628" s="20">
        <v>3240.83</v>
      </c>
      <c r="L628" t="s">
        <v>794</v>
      </c>
      <c r="M628">
        <f t="shared" si="9"/>
        <v>2025</v>
      </c>
    </row>
    <row r="629" spans="1:13" hidden="1">
      <c r="A629" t="s">
        <v>850</v>
      </c>
      <c r="B629" t="s">
        <v>105</v>
      </c>
      <c r="C629" t="s">
        <v>384</v>
      </c>
      <c r="D629" t="s">
        <v>1017</v>
      </c>
      <c r="E629" s="1">
        <v>45721</v>
      </c>
      <c r="F629" s="1">
        <v>45721</v>
      </c>
      <c r="G629" s="12">
        <v>1292.3700000000001</v>
      </c>
      <c r="H629" s="2">
        <v>0</v>
      </c>
      <c r="I629" s="2">
        <v>0</v>
      </c>
      <c r="J629" s="2">
        <v>0</v>
      </c>
      <c r="K629" s="20">
        <v>1292.3700000000001</v>
      </c>
      <c r="L629" t="s">
        <v>794</v>
      </c>
      <c r="M629">
        <f t="shared" si="9"/>
        <v>2025</v>
      </c>
    </row>
    <row r="630" spans="1:13" hidden="1">
      <c r="A630" t="s">
        <v>839</v>
      </c>
      <c r="B630" t="s">
        <v>26</v>
      </c>
      <c r="C630" t="s">
        <v>138</v>
      </c>
      <c r="D630" t="s">
        <v>1017</v>
      </c>
      <c r="E630" s="1">
        <v>45721</v>
      </c>
      <c r="F630" s="1">
        <v>45721</v>
      </c>
      <c r="G630" s="12">
        <v>5825.42</v>
      </c>
      <c r="H630" s="2">
        <v>0</v>
      </c>
      <c r="I630" s="2">
        <v>0</v>
      </c>
      <c r="J630" s="2">
        <v>0</v>
      </c>
      <c r="K630" s="20">
        <v>5825.42</v>
      </c>
      <c r="L630" t="s">
        <v>794</v>
      </c>
      <c r="M630">
        <f t="shared" si="9"/>
        <v>2025</v>
      </c>
    </row>
    <row r="631" spans="1:13" hidden="1">
      <c r="A631" t="s">
        <v>841</v>
      </c>
      <c r="B631" t="s">
        <v>164</v>
      </c>
      <c r="C631" t="s">
        <v>722</v>
      </c>
      <c r="D631" t="s">
        <v>1017</v>
      </c>
      <c r="E631" s="1">
        <v>45721</v>
      </c>
      <c r="F631" s="1">
        <v>45721</v>
      </c>
      <c r="G631" s="12">
        <v>351.25</v>
      </c>
      <c r="H631" s="2">
        <v>0</v>
      </c>
      <c r="I631" s="2">
        <v>0</v>
      </c>
      <c r="J631" s="2">
        <v>0</v>
      </c>
      <c r="K631" s="20">
        <v>351.25</v>
      </c>
      <c r="L631" t="s">
        <v>794</v>
      </c>
      <c r="M631">
        <f t="shared" si="9"/>
        <v>2025</v>
      </c>
    </row>
    <row r="632" spans="1:13" hidden="1">
      <c r="A632" t="s">
        <v>1022</v>
      </c>
      <c r="B632" t="s">
        <v>448</v>
      </c>
      <c r="C632" t="s">
        <v>139</v>
      </c>
      <c r="D632" t="s">
        <v>1017</v>
      </c>
      <c r="E632" s="1">
        <v>45721</v>
      </c>
      <c r="F632" s="1">
        <v>45721</v>
      </c>
      <c r="G632" s="12">
        <v>240.70000000000002</v>
      </c>
      <c r="H632" s="2">
        <v>0</v>
      </c>
      <c r="I632" s="2">
        <v>0</v>
      </c>
      <c r="J632" s="2">
        <v>0</v>
      </c>
      <c r="K632" s="20">
        <v>240.70000000000002</v>
      </c>
      <c r="L632" t="s">
        <v>794</v>
      </c>
      <c r="M632">
        <f t="shared" si="9"/>
        <v>2025</v>
      </c>
    </row>
    <row r="633" spans="1:13" hidden="1">
      <c r="A633" t="s">
        <v>963</v>
      </c>
      <c r="B633" t="s">
        <v>217</v>
      </c>
      <c r="C633" t="s">
        <v>138</v>
      </c>
      <c r="D633" t="s">
        <v>1017</v>
      </c>
      <c r="E633" s="1">
        <v>45721</v>
      </c>
      <c r="F633" s="1">
        <v>45721</v>
      </c>
      <c r="G633" s="12">
        <v>242.5</v>
      </c>
      <c r="H633" s="2">
        <v>0</v>
      </c>
      <c r="I633" s="2">
        <v>0</v>
      </c>
      <c r="J633" s="2">
        <v>0</v>
      </c>
      <c r="K633" s="20">
        <v>242.5</v>
      </c>
      <c r="L633" t="s">
        <v>794</v>
      </c>
      <c r="M633">
        <f t="shared" si="9"/>
        <v>2025</v>
      </c>
    </row>
    <row r="634" spans="1:13" hidden="1">
      <c r="A634" t="s">
        <v>818</v>
      </c>
      <c r="B634" t="s">
        <v>30</v>
      </c>
      <c r="C634" t="s">
        <v>138</v>
      </c>
      <c r="D634" t="s">
        <v>1017</v>
      </c>
      <c r="E634" s="1">
        <v>45721</v>
      </c>
      <c r="F634" s="1">
        <v>45721</v>
      </c>
      <c r="G634" s="12">
        <v>242.5</v>
      </c>
      <c r="H634" s="2">
        <v>0</v>
      </c>
      <c r="I634" s="2">
        <v>0</v>
      </c>
      <c r="J634" s="2">
        <v>0</v>
      </c>
      <c r="K634" s="20">
        <v>242.5</v>
      </c>
      <c r="L634" t="s">
        <v>794</v>
      </c>
      <c r="M634">
        <f t="shared" si="9"/>
        <v>2025</v>
      </c>
    </row>
    <row r="635" spans="1:13" hidden="1">
      <c r="A635" t="s">
        <v>818</v>
      </c>
      <c r="B635" t="s">
        <v>30</v>
      </c>
      <c r="C635" t="s">
        <v>139</v>
      </c>
      <c r="D635" t="s">
        <v>1017</v>
      </c>
      <c r="E635" s="1">
        <v>45721</v>
      </c>
      <c r="F635" s="1">
        <v>45721</v>
      </c>
      <c r="G635" s="12">
        <v>228</v>
      </c>
      <c r="H635" s="2">
        <v>0</v>
      </c>
      <c r="I635" s="2">
        <v>0</v>
      </c>
      <c r="J635" s="2">
        <v>0</v>
      </c>
      <c r="K635" s="20">
        <v>228</v>
      </c>
      <c r="L635" t="s">
        <v>794</v>
      </c>
      <c r="M635">
        <f t="shared" si="9"/>
        <v>2025</v>
      </c>
    </row>
    <row r="636" spans="1:13" hidden="1">
      <c r="A636" t="s">
        <v>816</v>
      </c>
      <c r="B636" t="s">
        <v>148</v>
      </c>
      <c r="C636" t="s">
        <v>137</v>
      </c>
      <c r="D636" t="s">
        <v>1017</v>
      </c>
      <c r="E636" s="1">
        <v>45721</v>
      </c>
      <c r="F636" s="1">
        <v>45721</v>
      </c>
      <c r="G636" s="12">
        <v>1492</v>
      </c>
      <c r="H636" s="2">
        <v>0</v>
      </c>
      <c r="I636" s="2">
        <v>0</v>
      </c>
      <c r="J636" s="2">
        <v>0</v>
      </c>
      <c r="K636" s="20">
        <v>1492</v>
      </c>
      <c r="L636" t="s">
        <v>794</v>
      </c>
      <c r="M636">
        <f t="shared" si="9"/>
        <v>2025</v>
      </c>
    </row>
    <row r="637" spans="1:13" hidden="1">
      <c r="A637" t="s">
        <v>940</v>
      </c>
      <c r="B637" t="s">
        <v>29</v>
      </c>
      <c r="C637" t="s">
        <v>206</v>
      </c>
      <c r="D637" t="s">
        <v>1017</v>
      </c>
      <c r="E637" s="1">
        <v>45721</v>
      </c>
      <c r="F637" s="1">
        <v>45721</v>
      </c>
      <c r="G637" s="12">
        <v>1905.75</v>
      </c>
      <c r="H637" s="2">
        <v>0</v>
      </c>
      <c r="I637" s="2">
        <v>0</v>
      </c>
      <c r="J637" s="2">
        <v>0</v>
      </c>
      <c r="K637" s="20">
        <v>1905.75</v>
      </c>
      <c r="L637" t="s">
        <v>794</v>
      </c>
      <c r="M637">
        <f t="shared" si="9"/>
        <v>2025</v>
      </c>
    </row>
    <row r="638" spans="1:13" hidden="1">
      <c r="A638" t="s">
        <v>821</v>
      </c>
      <c r="B638" t="s">
        <v>72</v>
      </c>
      <c r="C638" t="s">
        <v>722</v>
      </c>
      <c r="D638" t="s">
        <v>1017</v>
      </c>
      <c r="E638" s="1">
        <v>45721</v>
      </c>
      <c r="F638" s="1">
        <v>45721</v>
      </c>
      <c r="G638" s="12">
        <v>1381.38</v>
      </c>
      <c r="H638" s="2">
        <v>0</v>
      </c>
      <c r="I638" s="2">
        <v>0</v>
      </c>
      <c r="J638" s="2">
        <v>0</v>
      </c>
      <c r="K638" s="20">
        <v>1381.38</v>
      </c>
      <c r="L638" t="s">
        <v>794</v>
      </c>
      <c r="M638">
        <f t="shared" si="9"/>
        <v>2025</v>
      </c>
    </row>
    <row r="639" spans="1:13" hidden="1">
      <c r="A639" t="s">
        <v>1023</v>
      </c>
      <c r="B639" t="s">
        <v>288</v>
      </c>
      <c r="C639" t="s">
        <v>734</v>
      </c>
      <c r="D639" t="s">
        <v>1017</v>
      </c>
      <c r="E639" s="1">
        <v>45721</v>
      </c>
      <c r="F639" s="1">
        <v>45721</v>
      </c>
      <c r="G639" s="12">
        <v>540</v>
      </c>
      <c r="H639" s="2">
        <v>0</v>
      </c>
      <c r="I639" s="2">
        <v>0</v>
      </c>
      <c r="J639" s="2">
        <v>0</v>
      </c>
      <c r="K639" s="20">
        <v>540</v>
      </c>
      <c r="L639" t="s">
        <v>794</v>
      </c>
      <c r="M639">
        <f t="shared" si="9"/>
        <v>2025</v>
      </c>
    </row>
    <row r="640" spans="1:13" hidden="1">
      <c r="A640" t="s">
        <v>823</v>
      </c>
      <c r="B640" t="s">
        <v>245</v>
      </c>
      <c r="C640" t="s">
        <v>736</v>
      </c>
      <c r="D640" t="s">
        <v>1017</v>
      </c>
      <c r="E640" s="1">
        <v>45721</v>
      </c>
      <c r="F640" s="1">
        <v>45721</v>
      </c>
      <c r="G640" s="12">
        <v>252.28</v>
      </c>
      <c r="H640" s="2">
        <v>0</v>
      </c>
      <c r="I640" s="2">
        <v>0</v>
      </c>
      <c r="J640" s="2">
        <v>0</v>
      </c>
      <c r="K640" s="20">
        <v>252.28</v>
      </c>
      <c r="L640" t="s">
        <v>794</v>
      </c>
      <c r="M640">
        <f t="shared" si="9"/>
        <v>2025</v>
      </c>
    </row>
    <row r="641" spans="1:13" hidden="1">
      <c r="A641" t="s">
        <v>806</v>
      </c>
      <c r="B641" t="s">
        <v>19</v>
      </c>
      <c r="C641" t="s">
        <v>720</v>
      </c>
      <c r="D641" t="s">
        <v>1017</v>
      </c>
      <c r="E641" s="1">
        <v>45721</v>
      </c>
      <c r="F641" s="1">
        <v>45721</v>
      </c>
      <c r="G641" s="12">
        <v>12000</v>
      </c>
      <c r="H641" s="2">
        <v>0</v>
      </c>
      <c r="I641" s="2">
        <v>0</v>
      </c>
      <c r="J641" s="2">
        <v>0</v>
      </c>
      <c r="K641" s="20">
        <v>12000</v>
      </c>
      <c r="L641" t="s">
        <v>794</v>
      </c>
      <c r="M641">
        <f t="shared" si="9"/>
        <v>2025</v>
      </c>
    </row>
    <row r="642" spans="1:13" hidden="1">
      <c r="A642" t="s">
        <v>817</v>
      </c>
      <c r="B642" t="s">
        <v>51</v>
      </c>
      <c r="C642" t="s">
        <v>138</v>
      </c>
      <c r="D642" t="s">
        <v>1017</v>
      </c>
      <c r="E642" s="1">
        <v>45721</v>
      </c>
      <c r="F642" s="1">
        <v>45721</v>
      </c>
      <c r="G642" s="12">
        <v>242.4</v>
      </c>
      <c r="H642" s="2">
        <v>0</v>
      </c>
      <c r="I642" s="2">
        <v>0</v>
      </c>
      <c r="J642" s="2">
        <v>0</v>
      </c>
      <c r="K642" s="20">
        <v>242.4</v>
      </c>
      <c r="L642" t="s">
        <v>794</v>
      </c>
      <c r="M642">
        <f t="shared" si="9"/>
        <v>2025</v>
      </c>
    </row>
    <row r="643" spans="1:13" hidden="1">
      <c r="A643" t="s">
        <v>815</v>
      </c>
      <c r="B643" t="s">
        <v>134</v>
      </c>
      <c r="C643" t="s">
        <v>138</v>
      </c>
      <c r="D643" t="s">
        <v>1017</v>
      </c>
      <c r="E643" s="1">
        <v>45721</v>
      </c>
      <c r="F643" s="1">
        <v>45721</v>
      </c>
      <c r="G643" s="12">
        <v>242.4</v>
      </c>
      <c r="H643" s="2">
        <v>0</v>
      </c>
      <c r="I643" s="2">
        <v>0</v>
      </c>
      <c r="J643" s="2">
        <v>0</v>
      </c>
      <c r="K643" s="20">
        <v>242.4</v>
      </c>
      <c r="L643" t="s">
        <v>794</v>
      </c>
      <c r="M643">
        <f t="shared" ref="M643:M706" si="10">YEAR(F643)</f>
        <v>2025</v>
      </c>
    </row>
    <row r="644" spans="1:13" ht="12.75" hidden="1" customHeight="1">
      <c r="A644" t="s">
        <v>803</v>
      </c>
      <c r="B644" t="s">
        <v>125</v>
      </c>
      <c r="C644" t="s">
        <v>138</v>
      </c>
      <c r="D644" t="s">
        <v>1017</v>
      </c>
      <c r="E644" s="1">
        <v>45721</v>
      </c>
      <c r="F644" s="1">
        <v>45721</v>
      </c>
      <c r="G644" s="12">
        <v>242.4</v>
      </c>
      <c r="H644" s="2">
        <v>0</v>
      </c>
      <c r="I644" s="2">
        <v>0</v>
      </c>
      <c r="J644" s="2">
        <v>0</v>
      </c>
      <c r="K644" s="20">
        <v>242.4</v>
      </c>
      <c r="L644" t="s">
        <v>794</v>
      </c>
      <c r="M644">
        <f t="shared" si="10"/>
        <v>2025</v>
      </c>
    </row>
    <row r="645" spans="1:13" hidden="1">
      <c r="A645" t="s">
        <v>814</v>
      </c>
      <c r="B645" t="s">
        <v>56</v>
      </c>
      <c r="C645" t="s">
        <v>137</v>
      </c>
      <c r="D645" t="s">
        <v>1024</v>
      </c>
      <c r="E645" s="1">
        <v>45721</v>
      </c>
      <c r="F645" s="1">
        <v>45721</v>
      </c>
      <c r="G645" s="12">
        <v>1622</v>
      </c>
      <c r="H645" s="2">
        <v>0</v>
      </c>
      <c r="I645" s="2">
        <v>0</v>
      </c>
      <c r="J645" s="2">
        <v>0</v>
      </c>
      <c r="K645" s="20">
        <v>1622</v>
      </c>
      <c r="L645" t="s">
        <v>794</v>
      </c>
      <c r="M645">
        <f t="shared" si="10"/>
        <v>2025</v>
      </c>
    </row>
    <row r="646" spans="1:13" hidden="1">
      <c r="A646" t="s">
        <v>831</v>
      </c>
      <c r="B646" t="s">
        <v>90</v>
      </c>
      <c r="C646" t="s">
        <v>137</v>
      </c>
      <c r="D646" t="s">
        <v>1017</v>
      </c>
      <c r="E646" s="1">
        <v>45721</v>
      </c>
      <c r="F646" s="1">
        <v>45721</v>
      </c>
      <c r="G646" s="12">
        <v>231</v>
      </c>
      <c r="H646" s="2">
        <v>0</v>
      </c>
      <c r="I646" s="2">
        <v>0</v>
      </c>
      <c r="J646" s="2">
        <v>0</v>
      </c>
      <c r="K646" s="20">
        <v>231</v>
      </c>
      <c r="L646" t="s">
        <v>794</v>
      </c>
      <c r="M646">
        <f t="shared" si="10"/>
        <v>2025</v>
      </c>
    </row>
    <row r="647" spans="1:13" hidden="1">
      <c r="A647" t="s">
        <v>866</v>
      </c>
      <c r="B647" t="s">
        <v>78</v>
      </c>
      <c r="C647" t="s">
        <v>200</v>
      </c>
      <c r="D647" t="s">
        <v>1017</v>
      </c>
      <c r="E647" s="1">
        <v>45721</v>
      </c>
      <c r="F647" s="1">
        <v>45721</v>
      </c>
      <c r="G647" s="12">
        <v>2043</v>
      </c>
      <c r="H647" s="2">
        <v>0</v>
      </c>
      <c r="I647" s="2">
        <v>0</v>
      </c>
      <c r="J647" s="2">
        <v>0</v>
      </c>
      <c r="K647" s="20">
        <v>2043</v>
      </c>
      <c r="L647" t="s">
        <v>794</v>
      </c>
      <c r="M647">
        <f t="shared" si="10"/>
        <v>2025</v>
      </c>
    </row>
    <row r="648" spans="1:13" hidden="1">
      <c r="A648" t="s">
        <v>831</v>
      </c>
      <c r="B648" t="s">
        <v>90</v>
      </c>
      <c r="C648" t="s">
        <v>138</v>
      </c>
      <c r="D648" t="s">
        <v>1017</v>
      </c>
      <c r="E648" s="1">
        <v>45721</v>
      </c>
      <c r="F648" s="1">
        <v>45721</v>
      </c>
      <c r="G648" s="12">
        <v>242.4</v>
      </c>
      <c r="H648" s="2">
        <v>0</v>
      </c>
      <c r="I648" s="2">
        <v>0</v>
      </c>
      <c r="J648" s="2">
        <v>0</v>
      </c>
      <c r="K648" s="20">
        <v>242.4</v>
      </c>
      <c r="L648" t="s">
        <v>794</v>
      </c>
      <c r="M648">
        <f t="shared" si="10"/>
        <v>2025</v>
      </c>
    </row>
    <row r="649" spans="1:13" hidden="1">
      <c r="A649" t="s">
        <v>812</v>
      </c>
      <c r="B649" t="s">
        <v>31</v>
      </c>
      <c r="C649" t="s">
        <v>138</v>
      </c>
      <c r="D649" t="s">
        <v>1025</v>
      </c>
      <c r="E649" s="1">
        <v>45721</v>
      </c>
      <c r="F649" s="1">
        <v>45721</v>
      </c>
      <c r="G649" s="12">
        <v>242.4</v>
      </c>
      <c r="H649" s="2">
        <v>0</v>
      </c>
      <c r="I649" s="2">
        <v>0</v>
      </c>
      <c r="J649" s="2">
        <v>0</v>
      </c>
      <c r="K649" s="20">
        <v>242.4</v>
      </c>
      <c r="L649" t="s">
        <v>794</v>
      </c>
      <c r="M649">
        <f t="shared" si="10"/>
        <v>2025</v>
      </c>
    </row>
    <row r="650" spans="1:13" ht="12.75" hidden="1" customHeight="1">
      <c r="A650" t="s">
        <v>824</v>
      </c>
      <c r="B650" t="s">
        <v>157</v>
      </c>
      <c r="C650" t="s">
        <v>138</v>
      </c>
      <c r="D650" t="s">
        <v>1017</v>
      </c>
      <c r="E650" s="1">
        <v>45721</v>
      </c>
      <c r="F650" s="1">
        <v>45721</v>
      </c>
      <c r="G650" s="12">
        <v>242.4</v>
      </c>
      <c r="H650" s="2">
        <v>0</v>
      </c>
      <c r="I650" s="2">
        <v>0</v>
      </c>
      <c r="J650" s="2">
        <v>0</v>
      </c>
      <c r="K650" s="20">
        <v>242.4</v>
      </c>
      <c r="L650" t="s">
        <v>794</v>
      </c>
      <c r="M650">
        <f t="shared" si="10"/>
        <v>2025</v>
      </c>
    </row>
    <row r="651" spans="1:13" hidden="1">
      <c r="A651" t="s">
        <v>813</v>
      </c>
      <c r="B651" t="s">
        <v>173</v>
      </c>
      <c r="C651" t="s">
        <v>138</v>
      </c>
      <c r="D651" t="s">
        <v>1017</v>
      </c>
      <c r="E651" s="1">
        <v>45721</v>
      </c>
      <c r="F651" s="1">
        <v>45721</v>
      </c>
      <c r="G651" s="12">
        <v>242.4</v>
      </c>
      <c r="H651" s="2">
        <v>0</v>
      </c>
      <c r="I651" s="2">
        <v>0</v>
      </c>
      <c r="J651" s="2">
        <v>0</v>
      </c>
      <c r="K651" s="20">
        <v>242.4</v>
      </c>
      <c r="L651" t="s">
        <v>794</v>
      </c>
      <c r="M651">
        <f t="shared" si="10"/>
        <v>2025</v>
      </c>
    </row>
    <row r="652" spans="1:13" ht="12.75" hidden="1" customHeight="1">
      <c r="A652" t="s">
        <v>945</v>
      </c>
      <c r="B652" t="s">
        <v>143</v>
      </c>
      <c r="C652" t="s">
        <v>138</v>
      </c>
      <c r="D652" t="s">
        <v>1017</v>
      </c>
      <c r="E652" s="1">
        <v>45721</v>
      </c>
      <c r="F652" s="1">
        <v>45721</v>
      </c>
      <c r="G652" s="12">
        <v>242.4</v>
      </c>
      <c r="H652" s="2">
        <v>0</v>
      </c>
      <c r="I652" s="2">
        <v>0</v>
      </c>
      <c r="J652" s="2">
        <v>0</v>
      </c>
      <c r="K652" s="20">
        <v>242.4</v>
      </c>
      <c r="L652" t="s">
        <v>794</v>
      </c>
      <c r="M652">
        <f t="shared" si="10"/>
        <v>2025</v>
      </c>
    </row>
    <row r="653" spans="1:13" ht="12.75" hidden="1" customHeight="1">
      <c r="A653" t="s">
        <v>816</v>
      </c>
      <c r="B653" t="s">
        <v>148</v>
      </c>
      <c r="C653" t="s">
        <v>138</v>
      </c>
      <c r="D653" t="s">
        <v>1017</v>
      </c>
      <c r="E653" s="1">
        <v>45721</v>
      </c>
      <c r="F653" s="1">
        <v>45721</v>
      </c>
      <c r="G653" s="12">
        <v>242.4</v>
      </c>
      <c r="H653" s="2">
        <v>0</v>
      </c>
      <c r="I653" s="2">
        <v>0</v>
      </c>
      <c r="J653" s="2">
        <v>0</v>
      </c>
      <c r="K653" s="20">
        <v>242.4</v>
      </c>
      <c r="L653" t="s">
        <v>794</v>
      </c>
      <c r="M653">
        <f t="shared" si="10"/>
        <v>2025</v>
      </c>
    </row>
    <row r="654" spans="1:13" ht="12.75" hidden="1" customHeight="1">
      <c r="A654" t="s">
        <v>834</v>
      </c>
      <c r="B654" t="s">
        <v>135</v>
      </c>
      <c r="C654" t="s">
        <v>138</v>
      </c>
      <c r="D654" t="s">
        <v>1017</v>
      </c>
      <c r="E654" s="1">
        <v>45721</v>
      </c>
      <c r="F654" s="1">
        <v>45721</v>
      </c>
      <c r="G654" s="12">
        <v>242.4</v>
      </c>
      <c r="H654" s="2">
        <v>0</v>
      </c>
      <c r="I654" s="2">
        <v>0</v>
      </c>
      <c r="J654" s="2">
        <v>0</v>
      </c>
      <c r="K654" s="20">
        <v>242.4</v>
      </c>
      <c r="L654" t="s">
        <v>794</v>
      </c>
      <c r="M654">
        <f t="shared" si="10"/>
        <v>2025</v>
      </c>
    </row>
    <row r="655" spans="1:13" ht="12.75" hidden="1" customHeight="1">
      <c r="A655" t="s">
        <v>820</v>
      </c>
      <c r="B655" t="s">
        <v>196</v>
      </c>
      <c r="C655" t="s">
        <v>138</v>
      </c>
      <c r="D655" t="s">
        <v>1017</v>
      </c>
      <c r="E655" s="1">
        <v>45721</v>
      </c>
      <c r="F655" s="1">
        <v>45721</v>
      </c>
      <c r="G655" s="12">
        <v>242.4</v>
      </c>
      <c r="H655" s="2">
        <v>0</v>
      </c>
      <c r="I655" s="2">
        <v>0</v>
      </c>
      <c r="J655" s="2">
        <v>0</v>
      </c>
      <c r="K655" s="20">
        <v>242.4</v>
      </c>
      <c r="L655" t="s">
        <v>794</v>
      </c>
      <c r="M655">
        <f t="shared" si="10"/>
        <v>2025</v>
      </c>
    </row>
    <row r="656" spans="1:13" ht="12.75" hidden="1" customHeight="1">
      <c r="A656" t="s">
        <v>912</v>
      </c>
      <c r="B656" t="s">
        <v>260</v>
      </c>
      <c r="C656" t="s">
        <v>138</v>
      </c>
      <c r="D656" t="s">
        <v>1017</v>
      </c>
      <c r="E656" s="1">
        <v>45721</v>
      </c>
      <c r="F656" s="1">
        <v>45721</v>
      </c>
      <c r="G656" s="12">
        <v>242.4</v>
      </c>
      <c r="H656" s="2">
        <v>0</v>
      </c>
      <c r="I656" s="2">
        <v>0</v>
      </c>
      <c r="J656" s="2">
        <v>0</v>
      </c>
      <c r="K656" s="20">
        <v>242.4</v>
      </c>
      <c r="L656" t="s">
        <v>794</v>
      </c>
      <c r="M656">
        <f t="shared" si="10"/>
        <v>2025</v>
      </c>
    </row>
    <row r="657" spans="1:13" ht="12.75" hidden="1" customHeight="1">
      <c r="A657" t="s">
        <v>810</v>
      </c>
      <c r="B657" t="s">
        <v>54</v>
      </c>
      <c r="C657" t="s">
        <v>138</v>
      </c>
      <c r="D657" t="s">
        <v>1017</v>
      </c>
      <c r="E657" s="1">
        <v>45721</v>
      </c>
      <c r="F657" s="1">
        <v>45721</v>
      </c>
      <c r="G657" s="12">
        <v>242.4</v>
      </c>
      <c r="H657" s="2">
        <v>0</v>
      </c>
      <c r="I657" s="2">
        <v>0</v>
      </c>
      <c r="J657" s="2">
        <v>0</v>
      </c>
      <c r="K657" s="20">
        <v>242.4</v>
      </c>
      <c r="L657" t="s">
        <v>794</v>
      </c>
      <c r="M657">
        <f t="shared" si="10"/>
        <v>2025</v>
      </c>
    </row>
    <row r="658" spans="1:13" ht="12.75" hidden="1" customHeight="1">
      <c r="A658" t="s">
        <v>890</v>
      </c>
      <c r="B658" t="s">
        <v>247</v>
      </c>
      <c r="C658" t="s">
        <v>138</v>
      </c>
      <c r="D658" t="s">
        <v>1017</v>
      </c>
      <c r="E658" s="1">
        <v>45721</v>
      </c>
      <c r="F658" s="1">
        <v>45721</v>
      </c>
      <c r="G658" s="12">
        <v>242.4</v>
      </c>
      <c r="H658" s="2">
        <v>0</v>
      </c>
      <c r="I658" s="2">
        <v>0</v>
      </c>
      <c r="J658" s="2">
        <v>0</v>
      </c>
      <c r="K658" s="20">
        <v>242.4</v>
      </c>
      <c r="L658" t="s">
        <v>794</v>
      </c>
      <c r="M658">
        <f t="shared" si="10"/>
        <v>2025</v>
      </c>
    </row>
    <row r="659" spans="1:13" ht="12.75" hidden="1" customHeight="1">
      <c r="A659" t="s">
        <v>819</v>
      </c>
      <c r="B659" t="s">
        <v>38</v>
      </c>
      <c r="C659" t="s">
        <v>138</v>
      </c>
      <c r="D659" t="s">
        <v>1017</v>
      </c>
      <c r="E659" s="1">
        <v>45721</v>
      </c>
      <c r="F659" s="1">
        <v>45721</v>
      </c>
      <c r="G659" s="12">
        <v>242.4</v>
      </c>
      <c r="H659" s="2">
        <v>0</v>
      </c>
      <c r="I659" s="2">
        <v>0</v>
      </c>
      <c r="J659" s="2">
        <v>0</v>
      </c>
      <c r="K659" s="20">
        <v>242.4</v>
      </c>
      <c r="L659" t="s">
        <v>794</v>
      </c>
      <c r="M659">
        <f t="shared" si="10"/>
        <v>2025</v>
      </c>
    </row>
    <row r="660" spans="1:13" ht="12.75" hidden="1" customHeight="1">
      <c r="A660" t="s">
        <v>961</v>
      </c>
      <c r="B660" t="s">
        <v>41</v>
      </c>
      <c r="C660" t="s">
        <v>138</v>
      </c>
      <c r="D660" t="s">
        <v>1017</v>
      </c>
      <c r="E660" s="1">
        <v>45721</v>
      </c>
      <c r="F660" s="1">
        <v>45721</v>
      </c>
      <c r="G660" s="12">
        <v>242.4</v>
      </c>
      <c r="H660" s="2">
        <v>0</v>
      </c>
      <c r="I660" s="2">
        <v>0</v>
      </c>
      <c r="J660" s="2">
        <v>0</v>
      </c>
      <c r="K660" s="20">
        <v>242.4</v>
      </c>
      <c r="L660" t="s">
        <v>794</v>
      </c>
      <c r="M660">
        <f t="shared" si="10"/>
        <v>2025</v>
      </c>
    </row>
    <row r="661" spans="1:13" ht="12.75" hidden="1" customHeight="1">
      <c r="A661" t="s">
        <v>836</v>
      </c>
      <c r="B661" t="s">
        <v>37</v>
      </c>
      <c r="C661" t="s">
        <v>138</v>
      </c>
      <c r="D661" t="s">
        <v>1017</v>
      </c>
      <c r="E661" s="1">
        <v>45721</v>
      </c>
      <c r="F661" s="1">
        <v>45721</v>
      </c>
      <c r="G661" s="12">
        <v>242.4</v>
      </c>
      <c r="H661" s="2">
        <v>0</v>
      </c>
      <c r="I661" s="2">
        <v>0</v>
      </c>
      <c r="J661" s="2">
        <v>0</v>
      </c>
      <c r="K661" s="20">
        <v>242.4</v>
      </c>
      <c r="L661" t="s">
        <v>794</v>
      </c>
      <c r="M661">
        <f t="shared" si="10"/>
        <v>2025</v>
      </c>
    </row>
    <row r="662" spans="1:13" ht="12.75" hidden="1" customHeight="1">
      <c r="A662" t="s">
        <v>826</v>
      </c>
      <c r="B662" t="s">
        <v>21</v>
      </c>
      <c r="C662" t="s">
        <v>138</v>
      </c>
      <c r="D662" t="s">
        <v>1017</v>
      </c>
      <c r="E662" s="1">
        <v>45721</v>
      </c>
      <c r="F662" s="1">
        <v>45721</v>
      </c>
      <c r="G662" s="12">
        <v>242.4</v>
      </c>
      <c r="H662" s="2">
        <v>0</v>
      </c>
      <c r="I662" s="2">
        <v>0</v>
      </c>
      <c r="J662" s="2">
        <v>0</v>
      </c>
      <c r="K662" s="20">
        <v>242.4</v>
      </c>
      <c r="L662" t="s">
        <v>794</v>
      </c>
      <c r="M662">
        <f t="shared" si="10"/>
        <v>2025</v>
      </c>
    </row>
    <row r="663" spans="1:13" ht="12.75" hidden="1" customHeight="1">
      <c r="A663" t="s">
        <v>814</v>
      </c>
      <c r="B663" t="s">
        <v>56</v>
      </c>
      <c r="C663" t="s">
        <v>138</v>
      </c>
      <c r="D663" t="s">
        <v>1017</v>
      </c>
      <c r="E663" s="1">
        <v>45721</v>
      </c>
      <c r="F663" s="1">
        <v>45721</v>
      </c>
      <c r="G663" s="12">
        <v>242.4</v>
      </c>
      <c r="H663" s="2">
        <v>0</v>
      </c>
      <c r="I663" s="2">
        <v>0</v>
      </c>
      <c r="J663" s="2">
        <v>0</v>
      </c>
      <c r="K663" s="20">
        <v>242.4</v>
      </c>
      <c r="L663" t="s">
        <v>794</v>
      </c>
      <c r="M663">
        <f t="shared" si="10"/>
        <v>2025</v>
      </c>
    </row>
    <row r="664" spans="1:13" ht="12.75" hidden="1" customHeight="1">
      <c r="A664" t="s">
        <v>809</v>
      </c>
      <c r="B664" t="s">
        <v>91</v>
      </c>
      <c r="C664" t="s">
        <v>138</v>
      </c>
      <c r="D664" t="s">
        <v>1017</v>
      </c>
      <c r="E664" s="1">
        <v>45721</v>
      </c>
      <c r="F664" s="1">
        <v>45721</v>
      </c>
      <c r="G664" s="12">
        <v>242.4</v>
      </c>
      <c r="H664" s="2">
        <v>0</v>
      </c>
      <c r="I664" s="2">
        <v>0</v>
      </c>
      <c r="J664" s="2">
        <v>0</v>
      </c>
      <c r="K664" s="20">
        <v>242.4</v>
      </c>
      <c r="L664" t="s">
        <v>794</v>
      </c>
      <c r="M664">
        <f t="shared" si="10"/>
        <v>2025</v>
      </c>
    </row>
    <row r="665" spans="1:13" ht="12.75" hidden="1" customHeight="1">
      <c r="A665" t="s">
        <v>811</v>
      </c>
      <c r="B665" t="s">
        <v>39</v>
      </c>
      <c r="C665" t="s">
        <v>138</v>
      </c>
      <c r="D665" t="s">
        <v>1017</v>
      </c>
      <c r="E665" s="1">
        <v>45721</v>
      </c>
      <c r="F665" s="1">
        <v>45721</v>
      </c>
      <c r="G665" s="12">
        <v>242.4</v>
      </c>
      <c r="H665" s="2">
        <v>0</v>
      </c>
      <c r="I665" s="2">
        <v>0</v>
      </c>
      <c r="J665" s="2">
        <v>0</v>
      </c>
      <c r="K665" s="20">
        <v>242.4</v>
      </c>
      <c r="L665" t="s">
        <v>794</v>
      </c>
      <c r="M665">
        <f t="shared" si="10"/>
        <v>2025</v>
      </c>
    </row>
    <row r="666" spans="1:13" ht="12.75" hidden="1" customHeight="1">
      <c r="A666" t="s">
        <v>919</v>
      </c>
      <c r="B666" t="s">
        <v>920</v>
      </c>
      <c r="C666" t="s">
        <v>141</v>
      </c>
      <c r="D666" t="s">
        <v>1017</v>
      </c>
      <c r="E666" s="1">
        <v>45722</v>
      </c>
      <c r="F666" s="1">
        <v>45722</v>
      </c>
      <c r="G666" s="12">
        <v>44</v>
      </c>
      <c r="H666" s="2">
        <v>0</v>
      </c>
      <c r="I666" s="2">
        <v>0</v>
      </c>
      <c r="J666" s="2">
        <v>0</v>
      </c>
      <c r="K666" s="20">
        <v>44</v>
      </c>
      <c r="L666" t="s">
        <v>794</v>
      </c>
      <c r="M666">
        <f t="shared" si="10"/>
        <v>2025</v>
      </c>
    </row>
    <row r="667" spans="1:13" ht="12.75" hidden="1" customHeight="1">
      <c r="A667" t="s">
        <v>856</v>
      </c>
      <c r="B667" t="s">
        <v>379</v>
      </c>
      <c r="C667" t="s">
        <v>140</v>
      </c>
      <c r="D667" t="s">
        <v>1017</v>
      </c>
      <c r="E667" s="1">
        <v>45722</v>
      </c>
      <c r="F667" s="1">
        <v>45722</v>
      </c>
      <c r="G667" s="12">
        <v>50</v>
      </c>
      <c r="H667" s="2">
        <v>0</v>
      </c>
      <c r="I667" s="2">
        <v>0</v>
      </c>
      <c r="J667" s="2">
        <v>0</v>
      </c>
      <c r="K667" s="20">
        <v>50</v>
      </c>
      <c r="L667" t="s">
        <v>794</v>
      </c>
      <c r="M667">
        <f t="shared" si="10"/>
        <v>2025</v>
      </c>
    </row>
    <row r="668" spans="1:13" ht="12.75" hidden="1" customHeight="1">
      <c r="A668" t="s">
        <v>1000</v>
      </c>
      <c r="B668" t="s">
        <v>31</v>
      </c>
      <c r="C668" t="s">
        <v>141</v>
      </c>
      <c r="D668" t="s">
        <v>1017</v>
      </c>
      <c r="E668" s="1">
        <v>45722</v>
      </c>
      <c r="F668" s="1">
        <v>45722</v>
      </c>
      <c r="G668" s="12">
        <v>200</v>
      </c>
      <c r="H668" s="2">
        <v>0</v>
      </c>
      <c r="I668" s="2">
        <v>0</v>
      </c>
      <c r="J668" s="2">
        <v>0</v>
      </c>
      <c r="K668" s="20">
        <v>200</v>
      </c>
      <c r="L668" t="s">
        <v>794</v>
      </c>
      <c r="M668">
        <f t="shared" si="10"/>
        <v>2025</v>
      </c>
    </row>
    <row r="669" spans="1:13" ht="12.75" hidden="1" customHeight="1">
      <c r="A669" t="s">
        <v>950</v>
      </c>
      <c r="B669" t="s">
        <v>951</v>
      </c>
      <c r="C669" t="s">
        <v>137</v>
      </c>
      <c r="D669" t="s">
        <v>1017</v>
      </c>
      <c r="E669" s="1">
        <v>45722</v>
      </c>
      <c r="F669" s="1">
        <v>45722</v>
      </c>
      <c r="G669" s="12">
        <v>1728</v>
      </c>
      <c r="H669" s="2">
        <v>0</v>
      </c>
      <c r="I669" s="2">
        <v>0</v>
      </c>
      <c r="J669" s="2">
        <v>0</v>
      </c>
      <c r="K669" s="20">
        <v>1728</v>
      </c>
      <c r="L669" t="s">
        <v>794</v>
      </c>
      <c r="M669">
        <f t="shared" si="10"/>
        <v>2025</v>
      </c>
    </row>
    <row r="670" spans="1:13" ht="12.75" hidden="1" customHeight="1">
      <c r="A670" t="s">
        <v>1026</v>
      </c>
      <c r="B670" t="s">
        <v>166</v>
      </c>
      <c r="C670" t="s">
        <v>137</v>
      </c>
      <c r="D670" t="s">
        <v>1017</v>
      </c>
      <c r="E670" s="1">
        <v>45722</v>
      </c>
      <c r="F670" s="1">
        <v>45722</v>
      </c>
      <c r="G670" s="12">
        <v>1728</v>
      </c>
      <c r="H670" s="2">
        <v>0</v>
      </c>
      <c r="I670" s="2">
        <v>0</v>
      </c>
      <c r="J670" s="2">
        <v>0</v>
      </c>
      <c r="K670" s="20">
        <v>1728</v>
      </c>
      <c r="L670" t="s">
        <v>794</v>
      </c>
      <c r="M670">
        <f t="shared" si="10"/>
        <v>2025</v>
      </c>
    </row>
    <row r="671" spans="1:13" ht="12.75" hidden="1" customHeight="1">
      <c r="A671" t="s">
        <v>952</v>
      </c>
      <c r="B671" t="s">
        <v>27</v>
      </c>
      <c r="C671" t="s">
        <v>137</v>
      </c>
      <c r="D671" t="s">
        <v>1017</v>
      </c>
      <c r="E671" s="1">
        <v>45722</v>
      </c>
      <c r="F671" s="1">
        <v>45722</v>
      </c>
      <c r="G671" s="12">
        <v>1723</v>
      </c>
      <c r="H671" s="2">
        <v>0</v>
      </c>
      <c r="I671" s="2">
        <v>0</v>
      </c>
      <c r="J671" s="2">
        <v>0</v>
      </c>
      <c r="K671" s="20">
        <v>1723</v>
      </c>
      <c r="L671" t="s">
        <v>794</v>
      </c>
      <c r="M671">
        <f t="shared" si="10"/>
        <v>2025</v>
      </c>
    </row>
    <row r="672" spans="1:13" ht="12.75" hidden="1" customHeight="1">
      <c r="A672" t="s">
        <v>947</v>
      </c>
      <c r="B672" t="s">
        <v>162</v>
      </c>
      <c r="C672" t="s">
        <v>137</v>
      </c>
      <c r="D672" t="s">
        <v>1017</v>
      </c>
      <c r="E672" s="1">
        <v>45722</v>
      </c>
      <c r="F672" s="1">
        <v>45722</v>
      </c>
      <c r="G672" s="12">
        <v>1542.75</v>
      </c>
      <c r="H672" s="2">
        <v>0</v>
      </c>
      <c r="I672" s="2">
        <v>0</v>
      </c>
      <c r="J672" s="2">
        <v>0</v>
      </c>
      <c r="K672" s="20">
        <v>1542.75</v>
      </c>
      <c r="L672" t="s">
        <v>794</v>
      </c>
      <c r="M672">
        <f t="shared" si="10"/>
        <v>2025</v>
      </c>
    </row>
    <row r="673" spans="1:13" ht="12.75" hidden="1" customHeight="1">
      <c r="A673" t="s">
        <v>922</v>
      </c>
      <c r="B673" t="s">
        <v>149</v>
      </c>
      <c r="C673" t="s">
        <v>137</v>
      </c>
      <c r="D673" t="s">
        <v>1017</v>
      </c>
      <c r="E673" s="1">
        <v>45722</v>
      </c>
      <c r="F673" s="1">
        <v>45722</v>
      </c>
      <c r="G673" s="12">
        <v>1542.75</v>
      </c>
      <c r="H673" s="2">
        <v>0</v>
      </c>
      <c r="I673" s="2">
        <v>0</v>
      </c>
      <c r="J673" s="2">
        <v>0</v>
      </c>
      <c r="K673" s="20">
        <v>1542.75</v>
      </c>
      <c r="L673" t="s">
        <v>1027</v>
      </c>
      <c r="M673">
        <f t="shared" si="10"/>
        <v>2025</v>
      </c>
    </row>
    <row r="674" spans="1:13" ht="12.75" hidden="1" customHeight="1">
      <c r="A674" t="s">
        <v>1028</v>
      </c>
      <c r="B674" t="s">
        <v>173</v>
      </c>
      <c r="C674" t="s">
        <v>137</v>
      </c>
      <c r="D674" t="s">
        <v>1017</v>
      </c>
      <c r="E674" s="1">
        <v>45722</v>
      </c>
      <c r="F674" s="1">
        <v>45722</v>
      </c>
      <c r="G674" s="12">
        <v>1492</v>
      </c>
      <c r="H674" s="2">
        <v>0</v>
      </c>
      <c r="I674" s="2">
        <v>0</v>
      </c>
      <c r="J674" s="2">
        <v>0</v>
      </c>
      <c r="K674" s="20">
        <v>1492</v>
      </c>
      <c r="L674" t="s">
        <v>794</v>
      </c>
      <c r="M674">
        <f t="shared" si="10"/>
        <v>2025</v>
      </c>
    </row>
    <row r="675" spans="1:13" ht="12.75" hidden="1" customHeight="1">
      <c r="A675" t="s">
        <v>867</v>
      </c>
      <c r="B675" t="s">
        <v>171</v>
      </c>
      <c r="C675" t="s">
        <v>137</v>
      </c>
      <c r="D675" t="s">
        <v>1017</v>
      </c>
      <c r="E675" s="1">
        <v>45722</v>
      </c>
      <c r="F675" s="1">
        <v>45722</v>
      </c>
      <c r="G675" s="12">
        <v>1437</v>
      </c>
      <c r="H675" s="2">
        <v>0</v>
      </c>
      <c r="I675" s="2">
        <v>0</v>
      </c>
      <c r="J675" s="2">
        <v>0</v>
      </c>
      <c r="K675" s="20">
        <v>1437</v>
      </c>
      <c r="L675" t="s">
        <v>794</v>
      </c>
      <c r="M675">
        <f t="shared" si="10"/>
        <v>2025</v>
      </c>
    </row>
    <row r="676" spans="1:13" ht="12.75" hidden="1" customHeight="1">
      <c r="A676" t="s">
        <v>1029</v>
      </c>
      <c r="B676" t="s">
        <v>114</v>
      </c>
      <c r="C676" t="s">
        <v>137</v>
      </c>
      <c r="D676" t="s">
        <v>1017</v>
      </c>
      <c r="E676" s="1">
        <v>45722</v>
      </c>
      <c r="F676" s="1">
        <v>45722</v>
      </c>
      <c r="G676" s="12">
        <v>1110.78</v>
      </c>
      <c r="H676" s="2">
        <v>0</v>
      </c>
      <c r="I676" s="2">
        <v>0</v>
      </c>
      <c r="J676" s="2">
        <v>0</v>
      </c>
      <c r="K676" s="20">
        <v>1110.78</v>
      </c>
      <c r="L676" t="s">
        <v>794</v>
      </c>
      <c r="M676">
        <f t="shared" si="10"/>
        <v>2025</v>
      </c>
    </row>
    <row r="677" spans="1:13" ht="12.75" hidden="1" customHeight="1">
      <c r="A677" t="s">
        <v>814</v>
      </c>
      <c r="B677" t="s">
        <v>143</v>
      </c>
      <c r="C677" t="s">
        <v>137</v>
      </c>
      <c r="D677" t="s">
        <v>1017</v>
      </c>
      <c r="E677" s="1">
        <v>45722</v>
      </c>
      <c r="F677" s="1">
        <v>45722</v>
      </c>
      <c r="G677" s="12">
        <v>628.5</v>
      </c>
      <c r="H677" s="2">
        <v>0</v>
      </c>
      <c r="I677" s="2">
        <v>0</v>
      </c>
      <c r="J677" s="2">
        <v>0</v>
      </c>
      <c r="K677" s="20">
        <v>628.5</v>
      </c>
      <c r="L677" t="s">
        <v>794</v>
      </c>
      <c r="M677">
        <f t="shared" si="10"/>
        <v>2025</v>
      </c>
    </row>
    <row r="678" spans="1:13" ht="12.75" hidden="1" customHeight="1">
      <c r="A678" t="s">
        <v>1029</v>
      </c>
      <c r="B678" t="s">
        <v>114</v>
      </c>
      <c r="C678" t="s">
        <v>137</v>
      </c>
      <c r="D678" t="s">
        <v>1017</v>
      </c>
      <c r="E678" s="1">
        <v>45722</v>
      </c>
      <c r="F678" s="1">
        <v>45722</v>
      </c>
      <c r="G678" s="12">
        <v>628</v>
      </c>
      <c r="H678" s="2">
        <v>0</v>
      </c>
      <c r="I678" s="2">
        <v>0</v>
      </c>
      <c r="J678" s="2">
        <v>0</v>
      </c>
      <c r="K678" s="20">
        <v>628</v>
      </c>
      <c r="L678" t="s">
        <v>794</v>
      </c>
      <c r="M678">
        <f t="shared" si="10"/>
        <v>2025</v>
      </c>
    </row>
    <row r="679" spans="1:13" ht="12.75" hidden="1" customHeight="1">
      <c r="A679" t="s">
        <v>814</v>
      </c>
      <c r="B679" t="s">
        <v>143</v>
      </c>
      <c r="C679" t="s">
        <v>137</v>
      </c>
      <c r="D679" t="s">
        <v>1017</v>
      </c>
      <c r="E679" s="1">
        <v>45722</v>
      </c>
      <c r="F679" s="1">
        <v>45722</v>
      </c>
      <c r="G679" s="12">
        <v>588</v>
      </c>
      <c r="H679" s="2">
        <v>0</v>
      </c>
      <c r="I679" s="2">
        <v>0</v>
      </c>
      <c r="J679" s="2">
        <v>0</v>
      </c>
      <c r="K679" s="20">
        <v>588</v>
      </c>
      <c r="L679" t="s">
        <v>794</v>
      </c>
      <c r="M679">
        <f t="shared" si="10"/>
        <v>2025</v>
      </c>
    </row>
    <row r="680" spans="1:13" ht="12.75" hidden="1" customHeight="1">
      <c r="A680" t="s">
        <v>988</v>
      </c>
      <c r="B680" t="s">
        <v>217</v>
      </c>
      <c r="C680" t="s">
        <v>137</v>
      </c>
      <c r="D680" t="s">
        <v>1017</v>
      </c>
      <c r="E680" s="1">
        <v>45722</v>
      </c>
      <c r="F680" s="1">
        <v>45722</v>
      </c>
      <c r="G680" s="12">
        <v>581</v>
      </c>
      <c r="H680" s="2">
        <v>0</v>
      </c>
      <c r="I680" s="2">
        <v>0</v>
      </c>
      <c r="J680" s="2">
        <v>0</v>
      </c>
      <c r="K680" s="20">
        <v>581</v>
      </c>
      <c r="L680" t="s">
        <v>794</v>
      </c>
      <c r="M680">
        <f t="shared" si="10"/>
        <v>2025</v>
      </c>
    </row>
    <row r="681" spans="1:13" ht="12.75" hidden="1" customHeight="1">
      <c r="A681" t="s">
        <v>947</v>
      </c>
      <c r="B681" t="s">
        <v>162</v>
      </c>
      <c r="C681" t="s">
        <v>137</v>
      </c>
      <c r="D681" t="s">
        <v>1017</v>
      </c>
      <c r="E681" s="1">
        <v>45722</v>
      </c>
      <c r="F681" s="1">
        <v>45722</v>
      </c>
      <c r="G681" s="12">
        <v>112</v>
      </c>
      <c r="H681" s="2">
        <v>0</v>
      </c>
      <c r="I681" s="2">
        <v>0</v>
      </c>
      <c r="J681" s="2">
        <v>0</v>
      </c>
      <c r="K681" s="20">
        <v>112</v>
      </c>
      <c r="L681" t="s">
        <v>794</v>
      </c>
      <c r="M681">
        <f t="shared" si="10"/>
        <v>2025</v>
      </c>
    </row>
    <row r="682" spans="1:13" ht="12.75" hidden="1" customHeight="1">
      <c r="A682" t="s">
        <v>922</v>
      </c>
      <c r="B682" t="s">
        <v>149</v>
      </c>
      <c r="C682" t="s">
        <v>137</v>
      </c>
      <c r="D682" t="s">
        <v>1017</v>
      </c>
      <c r="E682" s="1">
        <v>45722</v>
      </c>
      <c r="F682" s="1">
        <v>45722</v>
      </c>
      <c r="G682" s="12">
        <v>112</v>
      </c>
      <c r="H682" s="2">
        <v>0</v>
      </c>
      <c r="I682" s="2">
        <v>0</v>
      </c>
      <c r="J682" s="2">
        <v>0</v>
      </c>
      <c r="K682" s="20">
        <v>112</v>
      </c>
      <c r="L682" t="s">
        <v>794</v>
      </c>
      <c r="M682">
        <f t="shared" si="10"/>
        <v>2025</v>
      </c>
    </row>
    <row r="683" spans="1:13" ht="12.75" hidden="1" customHeight="1">
      <c r="A683" t="s">
        <v>801</v>
      </c>
      <c r="B683" t="s">
        <v>13</v>
      </c>
      <c r="C683" t="s">
        <v>740</v>
      </c>
      <c r="D683" t="s">
        <v>1017</v>
      </c>
      <c r="E683" s="1">
        <v>45722</v>
      </c>
      <c r="F683" s="1">
        <v>45722</v>
      </c>
      <c r="G683" s="12">
        <v>120.92</v>
      </c>
      <c r="H683" s="2">
        <v>0</v>
      </c>
      <c r="I683" s="2">
        <v>0</v>
      </c>
      <c r="J683" s="2">
        <v>0</v>
      </c>
      <c r="K683" s="20">
        <v>120.92</v>
      </c>
      <c r="L683" t="s">
        <v>794</v>
      </c>
      <c r="M683">
        <f t="shared" si="10"/>
        <v>2025</v>
      </c>
    </row>
    <row r="684" spans="1:13" ht="12.75" hidden="1" customHeight="1">
      <c r="A684" t="s">
        <v>801</v>
      </c>
      <c r="B684" t="s">
        <v>13</v>
      </c>
      <c r="C684" t="s">
        <v>726</v>
      </c>
      <c r="D684" t="s">
        <v>1017</v>
      </c>
      <c r="E684" s="1">
        <v>45722</v>
      </c>
      <c r="F684" s="1">
        <v>45722</v>
      </c>
      <c r="G684" s="12">
        <v>8.16</v>
      </c>
      <c r="H684" s="2">
        <v>0</v>
      </c>
      <c r="I684" s="2">
        <v>0</v>
      </c>
      <c r="J684" s="2">
        <v>0</v>
      </c>
      <c r="K684" s="20">
        <v>8.16</v>
      </c>
      <c r="L684" t="s">
        <v>794</v>
      </c>
      <c r="M684">
        <f t="shared" si="10"/>
        <v>2025</v>
      </c>
    </row>
    <row r="685" spans="1:13" ht="12.75" hidden="1" customHeight="1">
      <c r="A685" t="s">
        <v>801</v>
      </c>
      <c r="B685" t="s">
        <v>13</v>
      </c>
      <c r="C685" t="s">
        <v>739</v>
      </c>
      <c r="D685" t="s">
        <v>1017</v>
      </c>
      <c r="E685" s="1">
        <v>45722</v>
      </c>
      <c r="F685" s="1">
        <v>45722</v>
      </c>
      <c r="G685" s="12">
        <v>4.7700000000000005</v>
      </c>
      <c r="H685" s="2">
        <v>0</v>
      </c>
      <c r="I685" s="2">
        <v>0</v>
      </c>
      <c r="J685" s="2">
        <v>0</v>
      </c>
      <c r="K685" s="20">
        <v>4.7700000000000005</v>
      </c>
      <c r="L685" t="s">
        <v>794</v>
      </c>
      <c r="M685">
        <f t="shared" si="10"/>
        <v>2025</v>
      </c>
    </row>
    <row r="686" spans="1:13" ht="12.75" hidden="1" customHeight="1">
      <c r="A686" t="s">
        <v>801</v>
      </c>
      <c r="B686" t="s">
        <v>13</v>
      </c>
      <c r="C686" t="s">
        <v>739</v>
      </c>
      <c r="D686" t="s">
        <v>1017</v>
      </c>
      <c r="E686" s="1">
        <v>45722</v>
      </c>
      <c r="F686" s="1">
        <v>45722</v>
      </c>
      <c r="G686" s="12">
        <v>200.34</v>
      </c>
      <c r="H686" s="2">
        <v>0</v>
      </c>
      <c r="I686" s="2">
        <v>0</v>
      </c>
      <c r="J686" s="2">
        <v>0</v>
      </c>
      <c r="K686" s="20">
        <v>200.34</v>
      </c>
      <c r="L686" t="s">
        <v>794</v>
      </c>
      <c r="M686">
        <f t="shared" si="10"/>
        <v>2025</v>
      </c>
    </row>
    <row r="687" spans="1:13" ht="12.75" hidden="1" customHeight="1">
      <c r="A687" t="s">
        <v>948</v>
      </c>
      <c r="B687" t="s">
        <v>51</v>
      </c>
      <c r="C687" t="s">
        <v>137</v>
      </c>
      <c r="D687" t="s">
        <v>1017</v>
      </c>
      <c r="E687" s="1">
        <v>45722</v>
      </c>
      <c r="F687" s="1">
        <v>45722</v>
      </c>
      <c r="G687" s="12">
        <v>2747</v>
      </c>
      <c r="H687" s="2">
        <v>0</v>
      </c>
      <c r="I687" s="2">
        <v>0</v>
      </c>
      <c r="J687" s="2">
        <v>0</v>
      </c>
      <c r="K687" s="20">
        <v>2747</v>
      </c>
      <c r="L687" t="s">
        <v>794</v>
      </c>
      <c r="M687">
        <f t="shared" si="10"/>
        <v>2025</v>
      </c>
    </row>
    <row r="688" spans="1:13" ht="12.75" hidden="1" customHeight="1">
      <c r="A688" t="s">
        <v>949</v>
      </c>
      <c r="B688" t="s">
        <v>186</v>
      </c>
      <c r="C688" t="s">
        <v>137</v>
      </c>
      <c r="D688" t="s">
        <v>1017</v>
      </c>
      <c r="E688" s="1">
        <v>45722</v>
      </c>
      <c r="F688" s="1">
        <v>45722</v>
      </c>
      <c r="G688" s="12">
        <v>2000</v>
      </c>
      <c r="H688" s="2">
        <v>0</v>
      </c>
      <c r="I688" s="2">
        <v>0</v>
      </c>
      <c r="J688" s="2">
        <v>0</v>
      </c>
      <c r="K688" s="20">
        <v>2000</v>
      </c>
      <c r="L688" t="s">
        <v>794</v>
      </c>
      <c r="M688">
        <f t="shared" si="10"/>
        <v>2025</v>
      </c>
    </row>
    <row r="689" spans="1:13" ht="12.75" hidden="1" customHeight="1">
      <c r="A689" t="s">
        <v>1030</v>
      </c>
      <c r="B689" t="s">
        <v>1031</v>
      </c>
      <c r="C689" t="s">
        <v>137</v>
      </c>
      <c r="D689" t="s">
        <v>1017</v>
      </c>
      <c r="E689" s="1">
        <v>45722</v>
      </c>
      <c r="F689" s="1">
        <v>45722</v>
      </c>
      <c r="G689" s="12">
        <v>1760</v>
      </c>
      <c r="H689" s="2">
        <v>0</v>
      </c>
      <c r="I689" s="2">
        <v>0</v>
      </c>
      <c r="J689" s="2">
        <v>0</v>
      </c>
      <c r="K689" s="20">
        <v>1760</v>
      </c>
      <c r="L689" t="s">
        <v>794</v>
      </c>
      <c r="M689">
        <f t="shared" si="10"/>
        <v>2025</v>
      </c>
    </row>
    <row r="690" spans="1:13" ht="12.75" hidden="1" customHeight="1">
      <c r="A690" t="s">
        <v>812</v>
      </c>
      <c r="B690" t="s">
        <v>31</v>
      </c>
      <c r="C690" t="s">
        <v>141</v>
      </c>
      <c r="D690" t="s">
        <v>1017</v>
      </c>
      <c r="E690" s="1">
        <v>45722</v>
      </c>
      <c r="F690" s="1">
        <v>45722</v>
      </c>
      <c r="G690" s="12">
        <v>50</v>
      </c>
      <c r="H690" s="2">
        <v>0</v>
      </c>
      <c r="I690" s="2">
        <v>0</v>
      </c>
      <c r="J690" s="2">
        <v>0</v>
      </c>
      <c r="K690" s="20">
        <v>50</v>
      </c>
      <c r="L690" t="s">
        <v>794</v>
      </c>
      <c r="M690">
        <f t="shared" si="10"/>
        <v>2025</v>
      </c>
    </row>
    <row r="691" spans="1:13" ht="12.75" hidden="1" customHeight="1">
      <c r="A691" t="s">
        <v>912</v>
      </c>
      <c r="B691" t="s">
        <v>260</v>
      </c>
      <c r="C691" t="s">
        <v>141</v>
      </c>
      <c r="D691" t="s">
        <v>1017</v>
      </c>
      <c r="E691" s="1">
        <v>45722</v>
      </c>
      <c r="F691" s="1">
        <v>45722</v>
      </c>
      <c r="G691" s="12">
        <v>246</v>
      </c>
      <c r="H691" s="2">
        <v>0</v>
      </c>
      <c r="I691" s="2">
        <v>0</v>
      </c>
      <c r="J691" s="2">
        <v>0</v>
      </c>
      <c r="K691" s="20">
        <v>246</v>
      </c>
      <c r="L691" t="s">
        <v>794</v>
      </c>
      <c r="M691">
        <f t="shared" si="10"/>
        <v>2025</v>
      </c>
    </row>
    <row r="692" spans="1:13" ht="12.75" hidden="1" customHeight="1">
      <c r="A692" t="s">
        <v>883</v>
      </c>
      <c r="B692" t="s">
        <v>325</v>
      </c>
      <c r="C692" t="s">
        <v>99</v>
      </c>
      <c r="D692" t="s">
        <v>1017</v>
      </c>
      <c r="E692" s="1">
        <v>45722</v>
      </c>
      <c r="F692" s="1">
        <v>45722</v>
      </c>
      <c r="G692" s="12">
        <v>1.71</v>
      </c>
      <c r="H692" s="2">
        <v>0</v>
      </c>
      <c r="I692" s="2">
        <v>0</v>
      </c>
      <c r="J692" s="2">
        <v>0</v>
      </c>
      <c r="K692" s="20">
        <v>1.71</v>
      </c>
      <c r="L692" t="s">
        <v>794</v>
      </c>
      <c r="M692">
        <f t="shared" si="10"/>
        <v>2025</v>
      </c>
    </row>
    <row r="693" spans="1:13" ht="12.75" hidden="1" customHeight="1">
      <c r="A693" t="s">
        <v>1032</v>
      </c>
      <c r="B693" t="s">
        <v>691</v>
      </c>
      <c r="C693" t="s">
        <v>99</v>
      </c>
      <c r="D693" t="s">
        <v>1017</v>
      </c>
      <c r="E693" s="1">
        <v>45722</v>
      </c>
      <c r="F693" s="1">
        <v>45722</v>
      </c>
      <c r="G693" s="12">
        <v>15</v>
      </c>
      <c r="H693" s="2">
        <v>0</v>
      </c>
      <c r="I693" s="2">
        <v>0</v>
      </c>
      <c r="J693" s="2">
        <v>0</v>
      </c>
      <c r="K693" s="20">
        <v>15</v>
      </c>
      <c r="L693" t="s">
        <v>794</v>
      </c>
      <c r="M693">
        <f t="shared" si="10"/>
        <v>2025</v>
      </c>
    </row>
    <row r="694" spans="1:13" ht="12.75" hidden="1" customHeight="1">
      <c r="A694" t="s">
        <v>832</v>
      </c>
      <c r="B694" t="s">
        <v>120</v>
      </c>
      <c r="C694" t="s">
        <v>142</v>
      </c>
      <c r="D694" t="s">
        <v>1017</v>
      </c>
      <c r="E694" s="1">
        <v>45722</v>
      </c>
      <c r="F694" s="1">
        <v>45722</v>
      </c>
      <c r="G694" s="12">
        <v>30</v>
      </c>
      <c r="H694" s="2">
        <v>0</v>
      </c>
      <c r="I694" s="2">
        <v>0</v>
      </c>
      <c r="J694" s="2">
        <v>0</v>
      </c>
      <c r="K694" s="20">
        <v>30</v>
      </c>
      <c r="L694" t="s">
        <v>794</v>
      </c>
      <c r="M694">
        <f t="shared" si="10"/>
        <v>2025</v>
      </c>
    </row>
    <row r="695" spans="1:13" ht="12.75" hidden="1" customHeight="1">
      <c r="A695" t="s">
        <v>1033</v>
      </c>
      <c r="B695" t="s">
        <v>555</v>
      </c>
      <c r="C695" t="s">
        <v>647</v>
      </c>
      <c r="D695" t="s">
        <v>1017</v>
      </c>
      <c r="E695" s="1">
        <v>45722</v>
      </c>
      <c r="F695" s="1">
        <v>45722</v>
      </c>
      <c r="G695" s="12">
        <v>25</v>
      </c>
      <c r="H695" s="2">
        <v>0</v>
      </c>
      <c r="I695" s="2">
        <v>0</v>
      </c>
      <c r="J695" s="2">
        <v>0</v>
      </c>
      <c r="K695" s="20">
        <v>25</v>
      </c>
      <c r="L695" t="s">
        <v>794</v>
      </c>
      <c r="M695">
        <f t="shared" si="10"/>
        <v>2025</v>
      </c>
    </row>
    <row r="696" spans="1:13" ht="12.75" hidden="1" customHeight="1">
      <c r="A696" t="s">
        <v>802</v>
      </c>
      <c r="B696" t="s">
        <v>121</v>
      </c>
      <c r="C696" t="s">
        <v>721</v>
      </c>
      <c r="D696" t="s">
        <v>1017</v>
      </c>
      <c r="E696" s="1">
        <v>45722</v>
      </c>
      <c r="F696" s="1">
        <v>45722</v>
      </c>
      <c r="G696" s="12">
        <v>1000</v>
      </c>
      <c r="H696" s="2">
        <v>0</v>
      </c>
      <c r="I696" s="2">
        <v>0</v>
      </c>
      <c r="J696" s="2">
        <v>0</v>
      </c>
      <c r="K696" s="20">
        <v>1000</v>
      </c>
      <c r="L696" t="s">
        <v>794</v>
      </c>
      <c r="M696">
        <f t="shared" si="10"/>
        <v>2025</v>
      </c>
    </row>
    <row r="697" spans="1:13" ht="12.75" hidden="1" customHeight="1">
      <c r="A697" t="s">
        <v>810</v>
      </c>
      <c r="B697" t="s">
        <v>54</v>
      </c>
      <c r="C697" t="s">
        <v>141</v>
      </c>
      <c r="D697" t="s">
        <v>1017</v>
      </c>
      <c r="E697" s="1">
        <v>45722</v>
      </c>
      <c r="F697" s="1">
        <v>45722</v>
      </c>
      <c r="G697" s="12">
        <v>186</v>
      </c>
      <c r="H697" s="2">
        <v>0</v>
      </c>
      <c r="I697" s="2">
        <v>0</v>
      </c>
      <c r="J697" s="2">
        <v>0</v>
      </c>
      <c r="K697" s="20">
        <v>186</v>
      </c>
      <c r="L697" t="s">
        <v>794</v>
      </c>
      <c r="M697">
        <f t="shared" si="10"/>
        <v>2025</v>
      </c>
    </row>
    <row r="698" spans="1:13" ht="12.75" hidden="1" customHeight="1">
      <c r="A698" t="s">
        <v>832</v>
      </c>
      <c r="B698" t="s">
        <v>120</v>
      </c>
      <c r="C698" t="s">
        <v>762</v>
      </c>
      <c r="D698" t="s">
        <v>1017</v>
      </c>
      <c r="E698" s="1">
        <v>45722</v>
      </c>
      <c r="F698" s="1">
        <v>45722</v>
      </c>
      <c r="G698" s="12">
        <v>300</v>
      </c>
      <c r="H698" s="2">
        <v>0</v>
      </c>
      <c r="I698" s="2">
        <v>0</v>
      </c>
      <c r="J698" s="2">
        <v>0</v>
      </c>
      <c r="K698" s="20">
        <v>300</v>
      </c>
      <c r="L698" t="s">
        <v>794</v>
      </c>
      <c r="M698">
        <f t="shared" si="10"/>
        <v>2025</v>
      </c>
    </row>
    <row r="699" spans="1:13" ht="12.75" hidden="1" customHeight="1">
      <c r="A699" t="s">
        <v>1034</v>
      </c>
      <c r="B699" t="s">
        <v>551</v>
      </c>
      <c r="C699" t="s">
        <v>140</v>
      </c>
      <c r="D699" t="s">
        <v>1017</v>
      </c>
      <c r="E699" s="1">
        <v>45722</v>
      </c>
      <c r="F699" s="1">
        <v>45722</v>
      </c>
      <c r="G699" s="12">
        <v>30</v>
      </c>
      <c r="H699" s="2">
        <v>0</v>
      </c>
      <c r="I699" s="2">
        <v>0</v>
      </c>
      <c r="J699" s="2">
        <v>0</v>
      </c>
      <c r="K699" s="20">
        <v>30</v>
      </c>
      <c r="L699" t="s">
        <v>794</v>
      </c>
      <c r="M699">
        <f t="shared" si="10"/>
        <v>2025</v>
      </c>
    </row>
    <row r="700" spans="1:13" ht="12.75" hidden="1" customHeight="1">
      <c r="A700" t="s">
        <v>1034</v>
      </c>
      <c r="B700" t="s">
        <v>551</v>
      </c>
      <c r="C700" t="s">
        <v>140</v>
      </c>
      <c r="D700" t="s">
        <v>1017</v>
      </c>
      <c r="E700" s="1">
        <v>45722</v>
      </c>
      <c r="F700" s="1">
        <v>45722</v>
      </c>
      <c r="G700" s="12">
        <v>60</v>
      </c>
      <c r="H700" s="2">
        <v>0</v>
      </c>
      <c r="I700" s="2">
        <v>0</v>
      </c>
      <c r="J700" s="2">
        <v>0</v>
      </c>
      <c r="K700" s="20">
        <v>60</v>
      </c>
      <c r="L700" t="s">
        <v>794</v>
      </c>
      <c r="M700">
        <f t="shared" si="10"/>
        <v>2025</v>
      </c>
    </row>
    <row r="701" spans="1:13" ht="12.75" hidden="1" customHeight="1">
      <c r="A701" t="s">
        <v>803</v>
      </c>
      <c r="B701" t="s">
        <v>125</v>
      </c>
      <c r="C701" t="s">
        <v>141</v>
      </c>
      <c r="D701" t="s">
        <v>1017</v>
      </c>
      <c r="E701" s="1">
        <v>45722</v>
      </c>
      <c r="F701" s="1">
        <v>45722</v>
      </c>
      <c r="G701" s="12">
        <v>232</v>
      </c>
      <c r="H701" s="2">
        <v>0</v>
      </c>
      <c r="I701" s="2">
        <v>0</v>
      </c>
      <c r="J701" s="2">
        <v>0</v>
      </c>
      <c r="K701" s="20">
        <v>232</v>
      </c>
      <c r="L701" t="s">
        <v>794</v>
      </c>
      <c r="M701">
        <f t="shared" si="10"/>
        <v>2025</v>
      </c>
    </row>
    <row r="702" spans="1:13" ht="12.75" hidden="1" customHeight="1">
      <c r="A702" t="s">
        <v>824</v>
      </c>
      <c r="B702" t="s">
        <v>157</v>
      </c>
      <c r="C702" t="s">
        <v>137</v>
      </c>
      <c r="D702" t="s">
        <v>1017</v>
      </c>
      <c r="E702" s="1">
        <v>45722</v>
      </c>
      <c r="F702" s="1">
        <v>45722</v>
      </c>
      <c r="G702" s="12">
        <v>1558</v>
      </c>
      <c r="H702" s="2">
        <v>0</v>
      </c>
      <c r="I702" s="2">
        <v>0</v>
      </c>
      <c r="J702" s="2">
        <v>0</v>
      </c>
      <c r="K702" s="20">
        <v>1558</v>
      </c>
      <c r="L702" t="s">
        <v>794</v>
      </c>
      <c r="M702">
        <f t="shared" si="10"/>
        <v>2025</v>
      </c>
    </row>
    <row r="703" spans="1:13" ht="12.75" hidden="1" customHeight="1">
      <c r="A703" t="s">
        <v>825</v>
      </c>
      <c r="B703" t="s">
        <v>46</v>
      </c>
      <c r="C703" t="s">
        <v>137</v>
      </c>
      <c r="D703" t="s">
        <v>1017</v>
      </c>
      <c r="E703" s="1">
        <v>45722</v>
      </c>
      <c r="F703" s="1">
        <v>45722</v>
      </c>
      <c r="G703" s="12">
        <v>105</v>
      </c>
      <c r="H703" s="2">
        <v>0</v>
      </c>
      <c r="I703" s="2">
        <v>0</v>
      </c>
      <c r="J703" s="2">
        <v>0</v>
      </c>
      <c r="K703" s="20">
        <v>105</v>
      </c>
      <c r="L703" t="s">
        <v>794</v>
      </c>
      <c r="M703">
        <f t="shared" si="10"/>
        <v>2025</v>
      </c>
    </row>
    <row r="704" spans="1:13" ht="12.75" hidden="1" customHeight="1">
      <c r="A704" t="s">
        <v>826</v>
      </c>
      <c r="B704" t="s">
        <v>21</v>
      </c>
      <c r="C704" t="s">
        <v>137</v>
      </c>
      <c r="D704" t="s">
        <v>1017</v>
      </c>
      <c r="E704" s="1">
        <v>45722</v>
      </c>
      <c r="F704" s="1">
        <v>45722</v>
      </c>
      <c r="G704" s="12">
        <v>2147</v>
      </c>
      <c r="H704" s="2">
        <v>0</v>
      </c>
      <c r="I704" s="2">
        <v>0</v>
      </c>
      <c r="J704" s="2">
        <v>0</v>
      </c>
      <c r="K704" s="20">
        <v>2147</v>
      </c>
      <c r="L704" t="s">
        <v>794</v>
      </c>
      <c r="M704">
        <f t="shared" si="10"/>
        <v>2025</v>
      </c>
    </row>
    <row r="705" spans="1:13" ht="12.75" hidden="1" customHeight="1">
      <c r="A705" t="s">
        <v>832</v>
      </c>
      <c r="B705" t="s">
        <v>120</v>
      </c>
      <c r="C705" t="s">
        <v>137</v>
      </c>
      <c r="D705" t="s">
        <v>1017</v>
      </c>
      <c r="E705" s="1">
        <v>45722</v>
      </c>
      <c r="F705" s="1">
        <v>45722</v>
      </c>
      <c r="G705" s="12">
        <v>1530</v>
      </c>
      <c r="H705" s="2">
        <v>0</v>
      </c>
      <c r="I705" s="2">
        <v>0</v>
      </c>
      <c r="J705" s="2">
        <v>0</v>
      </c>
      <c r="K705" s="20">
        <v>1530</v>
      </c>
      <c r="L705" t="s">
        <v>794</v>
      </c>
      <c r="M705">
        <f t="shared" si="10"/>
        <v>2025</v>
      </c>
    </row>
    <row r="706" spans="1:13" ht="12.75" hidden="1" customHeight="1">
      <c r="A706" t="s">
        <v>815</v>
      </c>
      <c r="B706" t="s">
        <v>134</v>
      </c>
      <c r="C706" t="s">
        <v>137</v>
      </c>
      <c r="D706" t="s">
        <v>1017</v>
      </c>
      <c r="E706" s="1">
        <v>45722</v>
      </c>
      <c r="F706" s="1">
        <v>45722</v>
      </c>
      <c r="G706" s="12">
        <v>1438</v>
      </c>
      <c r="H706" s="2">
        <v>0</v>
      </c>
      <c r="I706" s="2">
        <v>0</v>
      </c>
      <c r="J706" s="2">
        <v>0</v>
      </c>
      <c r="K706" s="20">
        <v>1438</v>
      </c>
      <c r="L706" t="s">
        <v>794</v>
      </c>
      <c r="M706">
        <f t="shared" si="10"/>
        <v>2025</v>
      </c>
    </row>
    <row r="707" spans="1:13" ht="12.75" hidden="1" customHeight="1">
      <c r="A707" t="s">
        <v>834</v>
      </c>
      <c r="B707" t="s">
        <v>135</v>
      </c>
      <c r="C707" t="s">
        <v>137</v>
      </c>
      <c r="D707" t="s">
        <v>1017</v>
      </c>
      <c r="E707" s="1">
        <v>45722</v>
      </c>
      <c r="F707" s="1">
        <v>45722</v>
      </c>
      <c r="G707" s="12">
        <v>1492</v>
      </c>
      <c r="H707" s="2">
        <v>0</v>
      </c>
      <c r="I707" s="2">
        <v>0</v>
      </c>
      <c r="J707" s="2">
        <v>0</v>
      </c>
      <c r="K707" s="20">
        <v>1492</v>
      </c>
      <c r="L707" t="s">
        <v>794</v>
      </c>
      <c r="M707">
        <f t="shared" ref="M707:M770" si="11">YEAR(F707)</f>
        <v>2025</v>
      </c>
    </row>
    <row r="708" spans="1:13" ht="12.75" hidden="1" customHeight="1">
      <c r="A708" t="s">
        <v>818</v>
      </c>
      <c r="B708" t="s">
        <v>30</v>
      </c>
      <c r="C708" t="s">
        <v>137</v>
      </c>
      <c r="D708" t="s">
        <v>1017</v>
      </c>
      <c r="E708" s="1">
        <v>45722</v>
      </c>
      <c r="F708" s="1">
        <v>45722</v>
      </c>
      <c r="G708" s="12">
        <v>1481</v>
      </c>
      <c r="H708" s="2">
        <v>0</v>
      </c>
      <c r="I708" s="2">
        <v>0</v>
      </c>
      <c r="J708" s="2">
        <v>0</v>
      </c>
      <c r="K708" s="20">
        <v>1481</v>
      </c>
      <c r="L708" t="s">
        <v>794</v>
      </c>
      <c r="M708">
        <f t="shared" si="11"/>
        <v>2025</v>
      </c>
    </row>
    <row r="709" spans="1:13" ht="12.75" hidden="1" customHeight="1">
      <c r="A709" t="s">
        <v>801</v>
      </c>
      <c r="B709" t="s">
        <v>13</v>
      </c>
      <c r="C709" t="s">
        <v>739</v>
      </c>
      <c r="D709" t="s">
        <v>1017</v>
      </c>
      <c r="E709" s="1">
        <v>45722</v>
      </c>
      <c r="F709" s="1">
        <v>45722</v>
      </c>
      <c r="G709" s="12">
        <v>108.32000000000001</v>
      </c>
      <c r="H709" s="2">
        <v>0</v>
      </c>
      <c r="I709" s="2">
        <v>0</v>
      </c>
      <c r="J709" s="2">
        <v>0</v>
      </c>
      <c r="K709" s="20">
        <v>108.32000000000001</v>
      </c>
      <c r="L709" t="s">
        <v>794</v>
      </c>
      <c r="M709">
        <f t="shared" si="11"/>
        <v>2025</v>
      </c>
    </row>
    <row r="710" spans="1:13" ht="12.75" hidden="1" customHeight="1">
      <c r="A710" t="s">
        <v>801</v>
      </c>
      <c r="B710" t="s">
        <v>13</v>
      </c>
      <c r="C710" t="s">
        <v>740</v>
      </c>
      <c r="D710" t="s">
        <v>1017</v>
      </c>
      <c r="E710" s="1">
        <v>45722</v>
      </c>
      <c r="F710" s="1">
        <v>45722</v>
      </c>
      <c r="G710" s="12">
        <v>148.08000000000001</v>
      </c>
      <c r="H710" s="2">
        <v>0</v>
      </c>
      <c r="I710" s="2">
        <v>0</v>
      </c>
      <c r="J710" s="2">
        <v>0</v>
      </c>
      <c r="K710" s="20">
        <v>148.08000000000001</v>
      </c>
      <c r="L710" t="s">
        <v>794</v>
      </c>
      <c r="M710">
        <f t="shared" si="11"/>
        <v>2025</v>
      </c>
    </row>
    <row r="711" spans="1:13" ht="12.75" hidden="1" customHeight="1">
      <c r="A711" t="s">
        <v>801</v>
      </c>
      <c r="B711" t="s">
        <v>13</v>
      </c>
      <c r="C711" t="s">
        <v>726</v>
      </c>
      <c r="D711" t="s">
        <v>1017</v>
      </c>
      <c r="E711" s="1">
        <v>45722</v>
      </c>
      <c r="F711" s="1">
        <v>45722</v>
      </c>
      <c r="G711" s="12">
        <v>124.44</v>
      </c>
      <c r="H711" s="2">
        <v>0</v>
      </c>
      <c r="I711" s="2">
        <v>0</v>
      </c>
      <c r="J711" s="2">
        <v>0</v>
      </c>
      <c r="K711" s="20">
        <v>124.44</v>
      </c>
      <c r="L711" t="s">
        <v>794</v>
      </c>
      <c r="M711">
        <f t="shared" si="11"/>
        <v>2025</v>
      </c>
    </row>
    <row r="712" spans="1:13" ht="12.75" hidden="1" customHeight="1">
      <c r="A712" t="s">
        <v>812</v>
      </c>
      <c r="B712" t="s">
        <v>31</v>
      </c>
      <c r="C712" t="s">
        <v>137</v>
      </c>
      <c r="D712" t="s">
        <v>1017</v>
      </c>
      <c r="E712" s="1">
        <v>45722</v>
      </c>
      <c r="F712" s="1">
        <v>45722</v>
      </c>
      <c r="G712" s="12">
        <v>1748</v>
      </c>
      <c r="H712" s="2">
        <v>0</v>
      </c>
      <c r="I712" s="2">
        <v>0</v>
      </c>
      <c r="J712" s="2">
        <v>0</v>
      </c>
      <c r="K712" s="20">
        <v>1748</v>
      </c>
      <c r="L712" t="s">
        <v>794</v>
      </c>
      <c r="M712">
        <f t="shared" si="11"/>
        <v>2025</v>
      </c>
    </row>
    <row r="713" spans="1:13" ht="12.75" hidden="1" customHeight="1">
      <c r="A713" t="s">
        <v>801</v>
      </c>
      <c r="B713" t="s">
        <v>13</v>
      </c>
      <c r="C713" t="s">
        <v>740</v>
      </c>
      <c r="D713" t="s">
        <v>1017</v>
      </c>
      <c r="E713" s="1">
        <v>45722</v>
      </c>
      <c r="F713" s="1">
        <v>45722</v>
      </c>
      <c r="G713" s="12">
        <v>91.84</v>
      </c>
      <c r="H713" s="2">
        <v>0</v>
      </c>
      <c r="I713" s="2">
        <v>0</v>
      </c>
      <c r="J713" s="2">
        <v>0</v>
      </c>
      <c r="K713" s="20">
        <v>91.84</v>
      </c>
      <c r="L713" t="s">
        <v>794</v>
      </c>
      <c r="M713">
        <f t="shared" si="11"/>
        <v>2025</v>
      </c>
    </row>
    <row r="714" spans="1:13" ht="12.75" hidden="1" customHeight="1">
      <c r="A714" t="s">
        <v>957</v>
      </c>
      <c r="B714" t="s">
        <v>39</v>
      </c>
      <c r="C714" t="s">
        <v>137</v>
      </c>
      <c r="D714" t="s">
        <v>1017</v>
      </c>
      <c r="E714" s="1">
        <v>45722</v>
      </c>
      <c r="F714" s="1">
        <v>45722</v>
      </c>
      <c r="G714" s="12">
        <v>1492</v>
      </c>
      <c r="H714" s="2">
        <v>0</v>
      </c>
      <c r="I714" s="2">
        <v>0</v>
      </c>
      <c r="J714" s="2">
        <v>0</v>
      </c>
      <c r="K714" s="20">
        <v>1492</v>
      </c>
      <c r="L714" t="s">
        <v>794</v>
      </c>
      <c r="M714">
        <f t="shared" si="11"/>
        <v>2025</v>
      </c>
    </row>
    <row r="715" spans="1:13" ht="12.75" hidden="1" customHeight="1">
      <c r="A715" t="s">
        <v>828</v>
      </c>
      <c r="B715" t="s">
        <v>242</v>
      </c>
      <c r="C715" t="s">
        <v>137</v>
      </c>
      <c r="D715" t="s">
        <v>1017</v>
      </c>
      <c r="E715" s="1">
        <v>45722</v>
      </c>
      <c r="F715" s="1">
        <v>45722</v>
      </c>
      <c r="G715" s="12">
        <v>900</v>
      </c>
      <c r="H715" s="2">
        <v>0</v>
      </c>
      <c r="I715" s="2">
        <v>0</v>
      </c>
      <c r="J715" s="2">
        <v>0</v>
      </c>
      <c r="K715" s="20">
        <v>900</v>
      </c>
      <c r="L715" t="s">
        <v>794</v>
      </c>
      <c r="M715">
        <f t="shared" si="11"/>
        <v>2025</v>
      </c>
    </row>
    <row r="716" spans="1:13" ht="12.75" hidden="1" customHeight="1">
      <c r="A716" t="s">
        <v>801</v>
      </c>
      <c r="B716" t="s">
        <v>13</v>
      </c>
      <c r="C716" t="s">
        <v>726</v>
      </c>
      <c r="D716" t="s">
        <v>1017</v>
      </c>
      <c r="E716" s="1">
        <v>45723</v>
      </c>
      <c r="F716" s="1">
        <v>45723</v>
      </c>
      <c r="G716" s="12">
        <v>4.08</v>
      </c>
      <c r="H716" s="2">
        <v>0</v>
      </c>
      <c r="I716" s="2">
        <v>0</v>
      </c>
      <c r="J716" s="2">
        <v>0</v>
      </c>
      <c r="K716" s="20">
        <v>4.08</v>
      </c>
      <c r="L716" t="s">
        <v>794</v>
      </c>
      <c r="M716">
        <f t="shared" si="11"/>
        <v>2025</v>
      </c>
    </row>
    <row r="717" spans="1:13" ht="12.75" hidden="1" customHeight="1">
      <c r="A717" t="s">
        <v>940</v>
      </c>
      <c r="B717" t="s">
        <v>29</v>
      </c>
      <c r="C717" t="s">
        <v>206</v>
      </c>
      <c r="D717" t="s">
        <v>1017</v>
      </c>
      <c r="E717" s="1">
        <v>45723</v>
      </c>
      <c r="F717" s="1">
        <v>45723</v>
      </c>
      <c r="G717" s="12">
        <v>1580.4</v>
      </c>
      <c r="H717" s="2">
        <v>0</v>
      </c>
      <c r="I717" s="2">
        <v>0</v>
      </c>
      <c r="J717" s="2">
        <v>0</v>
      </c>
      <c r="K717" s="20">
        <v>1580.4</v>
      </c>
      <c r="L717" t="s">
        <v>794</v>
      </c>
      <c r="M717">
        <f t="shared" si="11"/>
        <v>2025</v>
      </c>
    </row>
    <row r="718" spans="1:13" ht="12.75" hidden="1" customHeight="1">
      <c r="A718" t="s">
        <v>940</v>
      </c>
      <c r="B718" t="s">
        <v>29</v>
      </c>
      <c r="C718" t="s">
        <v>206</v>
      </c>
      <c r="D718" t="s">
        <v>1017</v>
      </c>
      <c r="E718" s="1">
        <v>45723</v>
      </c>
      <c r="F718" s="1">
        <v>45723</v>
      </c>
      <c r="G718" s="12">
        <v>1195.92</v>
      </c>
      <c r="H718" s="2">
        <v>0</v>
      </c>
      <c r="I718" s="2">
        <v>0</v>
      </c>
      <c r="J718" s="2">
        <v>0</v>
      </c>
      <c r="K718" s="20">
        <v>1195.92</v>
      </c>
      <c r="L718" t="s">
        <v>794</v>
      </c>
      <c r="M718">
        <f t="shared" si="11"/>
        <v>2025</v>
      </c>
    </row>
    <row r="719" spans="1:13" ht="12.75" hidden="1" customHeight="1">
      <c r="A719" t="s">
        <v>833</v>
      </c>
      <c r="B719" t="s">
        <v>235</v>
      </c>
      <c r="C719" t="s">
        <v>558</v>
      </c>
      <c r="D719" t="s">
        <v>1017</v>
      </c>
      <c r="E719" s="1">
        <v>45723</v>
      </c>
      <c r="F719" s="1">
        <v>45723</v>
      </c>
      <c r="G719" s="12">
        <v>975.16</v>
      </c>
      <c r="H719" s="2">
        <v>0</v>
      </c>
      <c r="I719" s="2">
        <v>0</v>
      </c>
      <c r="J719" s="2">
        <v>0</v>
      </c>
      <c r="K719" s="20">
        <v>975.16</v>
      </c>
      <c r="L719" t="s">
        <v>794</v>
      </c>
      <c r="M719">
        <f t="shared" si="11"/>
        <v>2025</v>
      </c>
    </row>
    <row r="720" spans="1:13" ht="12.75" hidden="1" customHeight="1">
      <c r="A720" t="s">
        <v>833</v>
      </c>
      <c r="B720" t="s">
        <v>235</v>
      </c>
      <c r="C720" t="s">
        <v>558</v>
      </c>
      <c r="D720" t="s">
        <v>1017</v>
      </c>
      <c r="E720" s="1">
        <v>45723</v>
      </c>
      <c r="F720" s="1">
        <v>45723</v>
      </c>
      <c r="G720" s="12">
        <v>1475.73</v>
      </c>
      <c r="H720" s="2">
        <v>0</v>
      </c>
      <c r="I720" s="2">
        <v>0</v>
      </c>
      <c r="J720" s="2">
        <v>0</v>
      </c>
      <c r="K720" s="20">
        <v>1475.73</v>
      </c>
      <c r="L720" t="s">
        <v>794</v>
      </c>
      <c r="M720">
        <f t="shared" si="11"/>
        <v>2025</v>
      </c>
    </row>
    <row r="721" spans="1:13" ht="12.75" hidden="1" customHeight="1">
      <c r="A721" t="s">
        <v>943</v>
      </c>
      <c r="B721" t="s">
        <v>382</v>
      </c>
      <c r="C721" t="s">
        <v>693</v>
      </c>
      <c r="D721" t="s">
        <v>1017</v>
      </c>
      <c r="E721" s="1">
        <v>45723</v>
      </c>
      <c r="F721" s="1">
        <v>45723</v>
      </c>
      <c r="G721" s="12">
        <v>300</v>
      </c>
      <c r="H721" s="2">
        <v>0</v>
      </c>
      <c r="I721" s="2">
        <v>0</v>
      </c>
      <c r="J721" s="2">
        <v>0</v>
      </c>
      <c r="K721" s="20">
        <v>300</v>
      </c>
      <c r="L721" t="s">
        <v>794</v>
      </c>
      <c r="M721">
        <f t="shared" si="11"/>
        <v>2025</v>
      </c>
    </row>
    <row r="722" spans="1:13" ht="12.75" hidden="1" customHeight="1">
      <c r="A722" t="s">
        <v>815</v>
      </c>
      <c r="B722" t="s">
        <v>134</v>
      </c>
      <c r="C722" t="s">
        <v>762</v>
      </c>
      <c r="D722" t="s">
        <v>1017</v>
      </c>
      <c r="E722" s="1">
        <v>45723</v>
      </c>
      <c r="F722" s="1">
        <v>45723</v>
      </c>
      <c r="G722" s="12">
        <v>300</v>
      </c>
      <c r="H722" s="2">
        <v>0</v>
      </c>
      <c r="I722" s="2">
        <v>0</v>
      </c>
      <c r="J722" s="2">
        <v>0</v>
      </c>
      <c r="K722" s="20">
        <v>300</v>
      </c>
      <c r="L722" t="s">
        <v>794</v>
      </c>
      <c r="M722">
        <f t="shared" si="11"/>
        <v>2025</v>
      </c>
    </row>
    <row r="723" spans="1:13" ht="12.75" hidden="1" customHeight="1">
      <c r="A723" t="s">
        <v>815</v>
      </c>
      <c r="B723" t="s">
        <v>134</v>
      </c>
      <c r="C723" t="s">
        <v>141</v>
      </c>
      <c r="D723" t="s">
        <v>1017</v>
      </c>
      <c r="E723" s="1">
        <v>45723</v>
      </c>
      <c r="F723" s="1">
        <v>45723</v>
      </c>
      <c r="G723" s="12">
        <v>275</v>
      </c>
      <c r="H723" s="2">
        <v>0</v>
      </c>
      <c r="I723" s="2">
        <v>0</v>
      </c>
      <c r="J723" s="2">
        <v>0</v>
      </c>
      <c r="K723" s="20">
        <v>275</v>
      </c>
      <c r="L723" t="s">
        <v>794</v>
      </c>
      <c r="M723">
        <f t="shared" si="11"/>
        <v>2025</v>
      </c>
    </row>
    <row r="724" spans="1:13" ht="12.75" hidden="1" customHeight="1">
      <c r="A724" t="s">
        <v>801</v>
      </c>
      <c r="B724" t="s">
        <v>13</v>
      </c>
      <c r="C724" t="s">
        <v>726</v>
      </c>
      <c r="D724" t="s">
        <v>1017</v>
      </c>
      <c r="E724" s="1">
        <v>45723</v>
      </c>
      <c r="F724" s="1">
        <v>45723</v>
      </c>
      <c r="G724" s="12">
        <v>99.960000000000008</v>
      </c>
      <c r="H724" s="2">
        <v>0</v>
      </c>
      <c r="I724" s="2">
        <v>0</v>
      </c>
      <c r="J724" s="2">
        <v>0</v>
      </c>
      <c r="K724" s="20">
        <v>99.960000000000008</v>
      </c>
      <c r="L724" t="s">
        <v>794</v>
      </c>
      <c r="M724">
        <f t="shared" si="11"/>
        <v>2025</v>
      </c>
    </row>
    <row r="725" spans="1:13" ht="12.75" hidden="1" customHeight="1">
      <c r="A725" t="s">
        <v>809</v>
      </c>
      <c r="B725" t="s">
        <v>91</v>
      </c>
      <c r="C725" t="s">
        <v>137</v>
      </c>
      <c r="D725" t="s">
        <v>1017</v>
      </c>
      <c r="E725" s="1">
        <v>45723</v>
      </c>
      <c r="F725" s="1">
        <v>45723</v>
      </c>
      <c r="G725" s="12">
        <v>1728</v>
      </c>
      <c r="H725" s="2">
        <v>0</v>
      </c>
      <c r="I725" s="2">
        <v>0</v>
      </c>
      <c r="J725" s="2">
        <v>0</v>
      </c>
      <c r="K725" s="20">
        <v>1728</v>
      </c>
      <c r="L725" t="s">
        <v>794</v>
      </c>
      <c r="M725">
        <f t="shared" si="11"/>
        <v>2025</v>
      </c>
    </row>
    <row r="726" spans="1:13" ht="12.75" hidden="1" customHeight="1">
      <c r="A726" t="s">
        <v>1035</v>
      </c>
      <c r="B726" t="s">
        <v>282</v>
      </c>
      <c r="C726" t="s">
        <v>183</v>
      </c>
      <c r="D726" t="s">
        <v>1017</v>
      </c>
      <c r="E726" s="1">
        <v>45723</v>
      </c>
      <c r="F726" s="1">
        <v>45723</v>
      </c>
      <c r="G726" s="12">
        <v>1494.43</v>
      </c>
      <c r="H726" s="2">
        <v>0</v>
      </c>
      <c r="I726" s="2">
        <v>0</v>
      </c>
      <c r="J726" s="2">
        <v>0</v>
      </c>
      <c r="K726" s="20">
        <v>1494.43</v>
      </c>
      <c r="L726" t="s">
        <v>794</v>
      </c>
      <c r="M726">
        <f t="shared" si="11"/>
        <v>2025</v>
      </c>
    </row>
    <row r="727" spans="1:13" ht="12.75" hidden="1" customHeight="1">
      <c r="A727" t="s">
        <v>845</v>
      </c>
      <c r="B727" t="s">
        <v>112</v>
      </c>
      <c r="C727" t="s">
        <v>729</v>
      </c>
      <c r="D727" t="s">
        <v>1017</v>
      </c>
      <c r="E727" s="1">
        <v>45726</v>
      </c>
      <c r="F727" s="1">
        <v>45726</v>
      </c>
      <c r="G727" s="12">
        <v>482.24</v>
      </c>
      <c r="H727" s="2">
        <v>0</v>
      </c>
      <c r="I727" s="2">
        <v>0</v>
      </c>
      <c r="J727" s="2">
        <v>0</v>
      </c>
      <c r="K727" s="20">
        <v>482.24</v>
      </c>
      <c r="L727" t="s">
        <v>794</v>
      </c>
      <c r="M727">
        <f t="shared" si="11"/>
        <v>2025</v>
      </c>
    </row>
    <row r="728" spans="1:13" ht="12.75" hidden="1" customHeight="1">
      <c r="A728" t="s">
        <v>801</v>
      </c>
      <c r="B728" t="s">
        <v>13</v>
      </c>
      <c r="C728" t="s">
        <v>726</v>
      </c>
      <c r="D728" t="s">
        <v>1017</v>
      </c>
      <c r="E728" s="1">
        <v>45726</v>
      </c>
      <c r="F728" s="1">
        <v>45726</v>
      </c>
      <c r="G728" s="12">
        <v>2.04</v>
      </c>
      <c r="H728" s="2">
        <v>0</v>
      </c>
      <c r="I728" s="2">
        <v>0</v>
      </c>
      <c r="J728" s="2">
        <v>0</v>
      </c>
      <c r="K728" s="20">
        <v>2.04</v>
      </c>
      <c r="L728" t="s">
        <v>794</v>
      </c>
      <c r="M728">
        <f t="shared" si="11"/>
        <v>2025</v>
      </c>
    </row>
    <row r="729" spans="1:13" ht="12.75" hidden="1" customHeight="1">
      <c r="A729" t="s">
        <v>864</v>
      </c>
      <c r="B729" t="s">
        <v>918</v>
      </c>
      <c r="C729" t="s">
        <v>141</v>
      </c>
      <c r="D729" t="s">
        <v>1017</v>
      </c>
      <c r="E729" s="1">
        <v>45726</v>
      </c>
      <c r="F729" s="1">
        <v>45726</v>
      </c>
      <c r="G729" s="12">
        <v>4900</v>
      </c>
      <c r="H729" s="2">
        <v>0</v>
      </c>
      <c r="I729" s="2">
        <v>0</v>
      </c>
      <c r="J729" s="2">
        <v>0</v>
      </c>
      <c r="K729" s="20">
        <v>4900</v>
      </c>
      <c r="L729" t="s">
        <v>794</v>
      </c>
      <c r="M729">
        <f t="shared" si="11"/>
        <v>2025</v>
      </c>
    </row>
    <row r="730" spans="1:13" ht="12.75" hidden="1" customHeight="1">
      <c r="A730" t="s">
        <v>1036</v>
      </c>
      <c r="B730" t="s">
        <v>95</v>
      </c>
      <c r="C730" t="s">
        <v>200</v>
      </c>
      <c r="D730" t="s">
        <v>1017</v>
      </c>
      <c r="E730" s="1">
        <v>45726</v>
      </c>
      <c r="F730" s="1">
        <v>45726</v>
      </c>
      <c r="G730" s="12">
        <v>4400</v>
      </c>
      <c r="H730" s="2">
        <v>0</v>
      </c>
      <c r="I730" s="2">
        <v>0</v>
      </c>
      <c r="J730" s="2">
        <v>0</v>
      </c>
      <c r="K730" s="20">
        <v>4400</v>
      </c>
      <c r="L730" t="s">
        <v>794</v>
      </c>
      <c r="M730">
        <f t="shared" si="11"/>
        <v>2025</v>
      </c>
    </row>
    <row r="731" spans="1:13" ht="12.75" hidden="1" customHeight="1">
      <c r="A731" t="s">
        <v>979</v>
      </c>
      <c r="B731" t="s">
        <v>126</v>
      </c>
      <c r="C731" t="s">
        <v>200</v>
      </c>
      <c r="D731" t="s">
        <v>1017</v>
      </c>
      <c r="E731" s="1">
        <v>45726</v>
      </c>
      <c r="F731" s="1">
        <v>45726</v>
      </c>
      <c r="G731" s="12">
        <v>2800</v>
      </c>
      <c r="H731" s="2">
        <v>0</v>
      </c>
      <c r="I731" s="2">
        <v>0</v>
      </c>
      <c r="J731" s="2">
        <v>0</v>
      </c>
      <c r="K731" s="20">
        <v>2800</v>
      </c>
      <c r="L731" t="s">
        <v>794</v>
      </c>
      <c r="M731">
        <f t="shared" si="11"/>
        <v>2025</v>
      </c>
    </row>
    <row r="732" spans="1:13" ht="12.75" hidden="1" customHeight="1">
      <c r="A732" t="s">
        <v>1037</v>
      </c>
      <c r="B732" t="s">
        <v>129</v>
      </c>
      <c r="C732" t="s">
        <v>200</v>
      </c>
      <c r="D732" t="s">
        <v>1017</v>
      </c>
      <c r="E732" s="1">
        <v>45726</v>
      </c>
      <c r="F732" s="1">
        <v>45726</v>
      </c>
      <c r="G732" s="12">
        <v>2720</v>
      </c>
      <c r="H732" s="2">
        <v>0</v>
      </c>
      <c r="I732" s="2">
        <v>0</v>
      </c>
      <c r="J732" s="2">
        <v>0</v>
      </c>
      <c r="K732" s="20">
        <v>2720</v>
      </c>
      <c r="L732" t="s">
        <v>794</v>
      </c>
      <c r="M732">
        <f t="shared" si="11"/>
        <v>2025</v>
      </c>
    </row>
    <row r="733" spans="1:13" ht="12.75" hidden="1" customHeight="1">
      <c r="A733" t="s">
        <v>802</v>
      </c>
      <c r="B733" t="s">
        <v>103</v>
      </c>
      <c r="C733" t="s">
        <v>200</v>
      </c>
      <c r="D733" t="s">
        <v>1017</v>
      </c>
      <c r="E733" s="1">
        <v>45726</v>
      </c>
      <c r="F733" s="1">
        <v>45726</v>
      </c>
      <c r="G733" s="12">
        <v>2620</v>
      </c>
      <c r="H733" s="2">
        <v>0</v>
      </c>
      <c r="I733" s="2">
        <v>0</v>
      </c>
      <c r="J733" s="2">
        <v>0</v>
      </c>
      <c r="K733" s="20">
        <v>2620</v>
      </c>
      <c r="L733" t="s">
        <v>794</v>
      </c>
      <c r="M733">
        <f t="shared" si="11"/>
        <v>2025</v>
      </c>
    </row>
    <row r="734" spans="1:13" ht="12.75" hidden="1" customHeight="1">
      <c r="A734" t="s">
        <v>1029</v>
      </c>
      <c r="B734" t="s">
        <v>114</v>
      </c>
      <c r="C734" t="s">
        <v>200</v>
      </c>
      <c r="D734" t="s">
        <v>1025</v>
      </c>
      <c r="E734" s="1">
        <v>45726</v>
      </c>
      <c r="F734" s="1">
        <v>45726</v>
      </c>
      <c r="G734" s="12">
        <v>2080</v>
      </c>
      <c r="H734" s="2">
        <v>0</v>
      </c>
      <c r="I734" s="2">
        <v>0</v>
      </c>
      <c r="J734" s="2">
        <v>0</v>
      </c>
      <c r="K734" s="20">
        <v>2080</v>
      </c>
      <c r="L734" t="s">
        <v>794</v>
      </c>
      <c r="M734">
        <f t="shared" si="11"/>
        <v>2025</v>
      </c>
    </row>
    <row r="735" spans="1:13" ht="12.75" hidden="1" customHeight="1">
      <c r="A735" t="s">
        <v>948</v>
      </c>
      <c r="B735" t="s">
        <v>51</v>
      </c>
      <c r="C735" t="s">
        <v>200</v>
      </c>
      <c r="D735" t="s">
        <v>1017</v>
      </c>
      <c r="E735" s="1">
        <v>45726</v>
      </c>
      <c r="F735" s="1">
        <v>45726</v>
      </c>
      <c r="G735" s="12">
        <v>2020</v>
      </c>
      <c r="H735" s="2">
        <v>0</v>
      </c>
      <c r="I735" s="2">
        <v>0</v>
      </c>
      <c r="J735" s="2">
        <v>0</v>
      </c>
      <c r="K735" s="20">
        <v>2020</v>
      </c>
      <c r="L735" t="s">
        <v>794</v>
      </c>
      <c r="M735">
        <f t="shared" si="11"/>
        <v>2025</v>
      </c>
    </row>
    <row r="736" spans="1:13" ht="12.75" hidden="1" customHeight="1">
      <c r="A736" t="s">
        <v>1038</v>
      </c>
      <c r="B736" t="s">
        <v>123</v>
      </c>
      <c r="C736" t="s">
        <v>200</v>
      </c>
      <c r="D736" t="s">
        <v>1017</v>
      </c>
      <c r="E736" s="1">
        <v>45726</v>
      </c>
      <c r="F736" s="1">
        <v>45726</v>
      </c>
      <c r="G736" s="12">
        <v>1980</v>
      </c>
      <c r="H736" s="2">
        <v>0</v>
      </c>
      <c r="I736" s="2">
        <v>0</v>
      </c>
      <c r="J736" s="2">
        <v>0</v>
      </c>
      <c r="K736" s="20">
        <v>1980</v>
      </c>
      <c r="L736" t="s">
        <v>794</v>
      </c>
      <c r="M736">
        <f t="shared" si="11"/>
        <v>2025</v>
      </c>
    </row>
    <row r="737" spans="1:13" ht="12.75" hidden="1" customHeight="1">
      <c r="A737" t="s">
        <v>1039</v>
      </c>
      <c r="B737" t="s">
        <v>34</v>
      </c>
      <c r="C737" t="s">
        <v>200</v>
      </c>
      <c r="D737" t="s">
        <v>1017</v>
      </c>
      <c r="E737" s="1">
        <v>45726</v>
      </c>
      <c r="F737" s="1">
        <v>45726</v>
      </c>
      <c r="G737" s="12">
        <v>1960</v>
      </c>
      <c r="H737" s="2">
        <v>0</v>
      </c>
      <c r="I737" s="2">
        <v>0</v>
      </c>
      <c r="J737" s="2">
        <v>0</v>
      </c>
      <c r="K737" s="20">
        <v>1960</v>
      </c>
      <c r="L737" t="s">
        <v>794</v>
      </c>
      <c r="M737">
        <f t="shared" si="11"/>
        <v>2025</v>
      </c>
    </row>
    <row r="738" spans="1:13" ht="12.75" hidden="1" customHeight="1">
      <c r="A738" t="s">
        <v>974</v>
      </c>
      <c r="B738" t="s">
        <v>174</v>
      </c>
      <c r="C738" t="s">
        <v>200</v>
      </c>
      <c r="D738" t="s">
        <v>1017</v>
      </c>
      <c r="E738" s="1">
        <v>45726</v>
      </c>
      <c r="F738" s="1">
        <v>45726</v>
      </c>
      <c r="G738" s="12">
        <v>1680</v>
      </c>
      <c r="H738" s="2">
        <v>0</v>
      </c>
      <c r="I738" s="2">
        <v>0</v>
      </c>
      <c r="J738" s="2">
        <v>0</v>
      </c>
      <c r="K738" s="20">
        <v>1680</v>
      </c>
      <c r="L738" t="s">
        <v>794</v>
      </c>
      <c r="M738">
        <f t="shared" si="11"/>
        <v>2025</v>
      </c>
    </row>
    <row r="739" spans="1:13" ht="12.75" hidden="1" customHeight="1">
      <c r="A739" t="s">
        <v>804</v>
      </c>
      <c r="B739" t="s">
        <v>215</v>
      </c>
      <c r="C739" t="s">
        <v>200</v>
      </c>
      <c r="D739" t="s">
        <v>1017</v>
      </c>
      <c r="E739" s="1">
        <v>45726</v>
      </c>
      <c r="F739" s="1">
        <v>45726</v>
      </c>
      <c r="G739" s="12">
        <v>1520</v>
      </c>
      <c r="H739" s="2">
        <v>0</v>
      </c>
      <c r="I739" s="2">
        <v>0</v>
      </c>
      <c r="J739" s="2">
        <v>0</v>
      </c>
      <c r="K739" s="20">
        <v>1520</v>
      </c>
      <c r="L739" t="s">
        <v>794</v>
      </c>
      <c r="M739">
        <f t="shared" si="11"/>
        <v>2025</v>
      </c>
    </row>
    <row r="740" spans="1:13" ht="12.75" hidden="1" customHeight="1">
      <c r="A740" t="s">
        <v>1040</v>
      </c>
      <c r="B740" t="s">
        <v>1041</v>
      </c>
      <c r="C740" t="s">
        <v>200</v>
      </c>
      <c r="D740" t="s">
        <v>1017</v>
      </c>
      <c r="E740" s="1">
        <v>45726</v>
      </c>
      <c r="F740" s="1">
        <v>45726</v>
      </c>
      <c r="G740" s="12">
        <v>1440</v>
      </c>
      <c r="H740" s="2">
        <v>0</v>
      </c>
      <c r="I740" s="2">
        <v>0</v>
      </c>
      <c r="J740" s="2">
        <v>0</v>
      </c>
      <c r="K740" s="20">
        <v>1440</v>
      </c>
      <c r="L740" t="s">
        <v>794</v>
      </c>
      <c r="M740">
        <f t="shared" si="11"/>
        <v>2025</v>
      </c>
    </row>
    <row r="741" spans="1:13" ht="12.75" hidden="1" customHeight="1">
      <c r="A741" t="s">
        <v>970</v>
      </c>
      <c r="B741" t="s">
        <v>971</v>
      </c>
      <c r="C741" t="s">
        <v>200</v>
      </c>
      <c r="D741" t="s">
        <v>1017</v>
      </c>
      <c r="E741" s="1">
        <v>45726</v>
      </c>
      <c r="F741" s="1">
        <v>45726</v>
      </c>
      <c r="G741" s="12">
        <v>1440</v>
      </c>
      <c r="H741" s="2">
        <v>0</v>
      </c>
      <c r="I741" s="2">
        <v>0</v>
      </c>
      <c r="J741" s="2">
        <v>0</v>
      </c>
      <c r="K741" s="20">
        <v>1440</v>
      </c>
      <c r="L741" t="s">
        <v>794</v>
      </c>
      <c r="M741">
        <f t="shared" si="11"/>
        <v>2025</v>
      </c>
    </row>
    <row r="742" spans="1:13" ht="12.75" hidden="1" customHeight="1">
      <c r="A742" t="s">
        <v>940</v>
      </c>
      <c r="B742" t="s">
        <v>29</v>
      </c>
      <c r="C742" t="s">
        <v>206</v>
      </c>
      <c r="D742" t="s">
        <v>1017</v>
      </c>
      <c r="E742" s="1">
        <v>45726</v>
      </c>
      <c r="F742" s="1">
        <v>45726</v>
      </c>
      <c r="G742" s="12">
        <v>1004.08</v>
      </c>
      <c r="H742" s="2">
        <v>0</v>
      </c>
      <c r="I742" s="2">
        <v>0</v>
      </c>
      <c r="J742" s="2">
        <v>0</v>
      </c>
      <c r="K742" s="20">
        <v>1004.08</v>
      </c>
      <c r="L742" t="s">
        <v>794</v>
      </c>
      <c r="M742">
        <f t="shared" si="11"/>
        <v>2025</v>
      </c>
    </row>
    <row r="743" spans="1:13" ht="12.75" hidden="1" customHeight="1">
      <c r="A743" t="s">
        <v>848</v>
      </c>
      <c r="B743" t="s">
        <v>14</v>
      </c>
      <c r="C743" t="s">
        <v>714</v>
      </c>
      <c r="D743" t="s">
        <v>1017</v>
      </c>
      <c r="E743" s="1">
        <v>45726</v>
      </c>
      <c r="F743" s="1">
        <v>45726</v>
      </c>
      <c r="G743" s="12">
        <v>26091.79</v>
      </c>
      <c r="H743" s="2">
        <v>0</v>
      </c>
      <c r="I743" s="2">
        <v>0</v>
      </c>
      <c r="J743" s="2">
        <v>0</v>
      </c>
      <c r="K743" s="20">
        <v>26091.79</v>
      </c>
      <c r="L743" t="s">
        <v>794</v>
      </c>
      <c r="M743">
        <f t="shared" si="11"/>
        <v>2025</v>
      </c>
    </row>
    <row r="744" spans="1:13" ht="12.75" hidden="1" customHeight="1">
      <c r="A744" t="s">
        <v>1042</v>
      </c>
      <c r="B744" t="s">
        <v>170</v>
      </c>
      <c r="C744" t="s">
        <v>200</v>
      </c>
      <c r="D744" t="s">
        <v>1017</v>
      </c>
      <c r="E744" s="1">
        <v>45726</v>
      </c>
      <c r="F744" s="1">
        <v>45726</v>
      </c>
      <c r="G744" s="12">
        <v>880</v>
      </c>
      <c r="H744" s="2">
        <v>0</v>
      </c>
      <c r="I744" s="2">
        <v>0</v>
      </c>
      <c r="J744" s="2">
        <v>0</v>
      </c>
      <c r="K744" s="20">
        <v>880</v>
      </c>
      <c r="L744" t="s">
        <v>794</v>
      </c>
      <c r="M744">
        <f t="shared" si="11"/>
        <v>2025</v>
      </c>
    </row>
    <row r="745" spans="1:13" ht="12.75" hidden="1" customHeight="1">
      <c r="A745" t="s">
        <v>972</v>
      </c>
      <c r="B745" t="s">
        <v>973</v>
      </c>
      <c r="C745" t="s">
        <v>200</v>
      </c>
      <c r="D745" t="s">
        <v>1017</v>
      </c>
      <c r="E745" s="1">
        <v>45726</v>
      </c>
      <c r="F745" s="1">
        <v>45726</v>
      </c>
      <c r="G745" s="12">
        <v>880</v>
      </c>
      <c r="H745" s="2">
        <v>0</v>
      </c>
      <c r="I745" s="2">
        <v>0</v>
      </c>
      <c r="J745" s="2">
        <v>0</v>
      </c>
      <c r="K745" s="20">
        <v>880</v>
      </c>
      <c r="L745" t="s">
        <v>794</v>
      </c>
      <c r="M745">
        <f t="shared" si="11"/>
        <v>2025</v>
      </c>
    </row>
    <row r="746" spans="1:13" ht="12.75" hidden="1" customHeight="1">
      <c r="A746" t="s">
        <v>892</v>
      </c>
      <c r="B746" t="s">
        <v>238</v>
      </c>
      <c r="C746" t="s">
        <v>200</v>
      </c>
      <c r="D746" t="s">
        <v>1017</v>
      </c>
      <c r="E746" s="1">
        <v>45726</v>
      </c>
      <c r="F746" s="1">
        <v>45726</v>
      </c>
      <c r="G746" s="12">
        <v>560</v>
      </c>
      <c r="H746" s="2">
        <v>0</v>
      </c>
      <c r="I746" s="2">
        <v>0</v>
      </c>
      <c r="J746" s="2">
        <v>0</v>
      </c>
      <c r="K746" s="20">
        <v>560</v>
      </c>
      <c r="L746" t="s">
        <v>794</v>
      </c>
      <c r="M746">
        <f t="shared" si="11"/>
        <v>2025</v>
      </c>
    </row>
    <row r="747" spans="1:13" ht="12.75" hidden="1" customHeight="1">
      <c r="A747" t="s">
        <v>952</v>
      </c>
      <c r="B747" t="s">
        <v>27</v>
      </c>
      <c r="C747" t="s">
        <v>141</v>
      </c>
      <c r="D747" t="s">
        <v>1017</v>
      </c>
      <c r="E747" s="1">
        <v>45726</v>
      </c>
      <c r="F747" s="1">
        <v>45726</v>
      </c>
      <c r="G747" s="12">
        <v>550</v>
      </c>
      <c r="H747" s="2">
        <v>0</v>
      </c>
      <c r="I747" s="2">
        <v>0</v>
      </c>
      <c r="J747" s="2">
        <v>0</v>
      </c>
      <c r="K747" s="20">
        <v>550</v>
      </c>
      <c r="L747" t="s">
        <v>794</v>
      </c>
      <c r="M747">
        <f t="shared" si="11"/>
        <v>2025</v>
      </c>
    </row>
    <row r="748" spans="1:13" ht="12.75" hidden="1" customHeight="1">
      <c r="A748" t="s">
        <v>1043</v>
      </c>
      <c r="B748" t="s">
        <v>187</v>
      </c>
      <c r="C748" t="s">
        <v>200</v>
      </c>
      <c r="D748" t="s">
        <v>1017</v>
      </c>
      <c r="E748" s="1">
        <v>45726</v>
      </c>
      <c r="F748" s="1">
        <v>45726</v>
      </c>
      <c r="G748" s="12">
        <v>320</v>
      </c>
      <c r="H748" s="2">
        <v>0</v>
      </c>
      <c r="I748" s="2">
        <v>0</v>
      </c>
      <c r="J748" s="2">
        <v>0</v>
      </c>
      <c r="K748" s="20">
        <v>320</v>
      </c>
      <c r="L748" t="s">
        <v>794</v>
      </c>
      <c r="M748">
        <f t="shared" si="11"/>
        <v>2025</v>
      </c>
    </row>
    <row r="749" spans="1:13" ht="12.75" hidden="1" customHeight="1">
      <c r="A749" t="s">
        <v>801</v>
      </c>
      <c r="B749" t="s">
        <v>13</v>
      </c>
      <c r="C749" t="s">
        <v>726</v>
      </c>
      <c r="D749" t="s">
        <v>1017</v>
      </c>
      <c r="E749" s="1">
        <v>45726</v>
      </c>
      <c r="F749" s="1">
        <v>45726</v>
      </c>
      <c r="G749" s="12">
        <v>114.24000000000001</v>
      </c>
      <c r="H749" s="2">
        <v>0</v>
      </c>
      <c r="I749" s="2">
        <v>0</v>
      </c>
      <c r="J749" s="2">
        <v>0</v>
      </c>
      <c r="K749" s="20">
        <v>114.24000000000001</v>
      </c>
      <c r="L749" t="s">
        <v>794</v>
      </c>
      <c r="M749">
        <f t="shared" si="11"/>
        <v>2025</v>
      </c>
    </row>
    <row r="750" spans="1:13" ht="12.75" hidden="1" customHeight="1">
      <c r="A750" t="s">
        <v>980</v>
      </c>
      <c r="B750" t="s">
        <v>246</v>
      </c>
      <c r="C750" t="s">
        <v>398</v>
      </c>
      <c r="D750" t="s">
        <v>1017</v>
      </c>
      <c r="E750" s="1">
        <v>45726</v>
      </c>
      <c r="F750" s="1">
        <v>45726</v>
      </c>
      <c r="G750" s="12">
        <v>363.76</v>
      </c>
      <c r="H750" s="2">
        <v>0</v>
      </c>
      <c r="I750" s="2">
        <v>0</v>
      </c>
      <c r="J750" s="2">
        <v>0</v>
      </c>
      <c r="K750" s="20">
        <v>363.76</v>
      </c>
      <c r="L750" t="s">
        <v>794</v>
      </c>
      <c r="M750">
        <f t="shared" si="11"/>
        <v>2025</v>
      </c>
    </row>
    <row r="751" spans="1:13" ht="12.75" hidden="1" customHeight="1">
      <c r="A751" t="s">
        <v>864</v>
      </c>
      <c r="B751" t="s">
        <v>36</v>
      </c>
      <c r="C751" t="s">
        <v>201</v>
      </c>
      <c r="D751" t="s">
        <v>1017</v>
      </c>
      <c r="E751" s="1">
        <v>45726</v>
      </c>
      <c r="F751" s="1">
        <v>45726</v>
      </c>
      <c r="G751" s="12">
        <v>2320</v>
      </c>
      <c r="H751" s="2">
        <v>0</v>
      </c>
      <c r="I751" s="2">
        <v>0</v>
      </c>
      <c r="J751" s="2">
        <v>0</v>
      </c>
      <c r="K751" s="20">
        <v>2320</v>
      </c>
      <c r="L751" t="s">
        <v>794</v>
      </c>
      <c r="M751">
        <f t="shared" si="11"/>
        <v>2025</v>
      </c>
    </row>
    <row r="752" spans="1:13" ht="12.75" hidden="1" customHeight="1">
      <c r="A752" t="s">
        <v>844</v>
      </c>
      <c r="B752" t="s">
        <v>18</v>
      </c>
      <c r="C752" t="s">
        <v>719</v>
      </c>
      <c r="D752" t="s">
        <v>1017</v>
      </c>
      <c r="E752" s="1">
        <v>45726</v>
      </c>
      <c r="F752" s="1">
        <v>45726</v>
      </c>
      <c r="G752" s="12">
        <v>10488.58</v>
      </c>
      <c r="H752" s="2">
        <v>0</v>
      </c>
      <c r="I752" s="2">
        <v>0</v>
      </c>
      <c r="J752" s="2">
        <v>0</v>
      </c>
      <c r="K752" s="20">
        <v>10488.58</v>
      </c>
      <c r="L752" t="s">
        <v>794</v>
      </c>
      <c r="M752">
        <f t="shared" si="11"/>
        <v>2025</v>
      </c>
    </row>
    <row r="753" spans="1:13" ht="12.75" hidden="1" customHeight="1">
      <c r="A753" t="s">
        <v>831</v>
      </c>
      <c r="B753" t="s">
        <v>90</v>
      </c>
      <c r="C753" t="s">
        <v>137</v>
      </c>
      <c r="D753" t="s">
        <v>1017</v>
      </c>
      <c r="E753" s="1">
        <v>45726</v>
      </c>
      <c r="F753" s="1">
        <v>45726</v>
      </c>
      <c r="G753" s="12">
        <v>700</v>
      </c>
      <c r="H753" s="2">
        <v>0</v>
      </c>
      <c r="I753" s="2">
        <v>0</v>
      </c>
      <c r="J753" s="2">
        <v>0</v>
      </c>
      <c r="K753" s="20">
        <v>700</v>
      </c>
      <c r="L753" t="s">
        <v>794</v>
      </c>
      <c r="M753">
        <f t="shared" si="11"/>
        <v>2025</v>
      </c>
    </row>
    <row r="754" spans="1:13" ht="12.75" hidden="1" customHeight="1">
      <c r="A754" t="s">
        <v>875</v>
      </c>
      <c r="B754" t="s">
        <v>115</v>
      </c>
      <c r="C754" t="s">
        <v>201</v>
      </c>
      <c r="D754" t="s">
        <v>1017</v>
      </c>
      <c r="E754" s="1">
        <v>45726</v>
      </c>
      <c r="F754" s="1">
        <v>45726</v>
      </c>
      <c r="G754" s="12">
        <v>480</v>
      </c>
      <c r="H754" s="2">
        <v>0</v>
      </c>
      <c r="I754" s="2">
        <v>0</v>
      </c>
      <c r="J754" s="2">
        <v>0</v>
      </c>
      <c r="K754" s="20">
        <v>480</v>
      </c>
      <c r="L754" t="s">
        <v>794</v>
      </c>
      <c r="M754">
        <f t="shared" si="11"/>
        <v>2025</v>
      </c>
    </row>
    <row r="755" spans="1:13" ht="12.75" hidden="1" customHeight="1">
      <c r="A755" t="s">
        <v>1044</v>
      </c>
      <c r="B755" t="s">
        <v>221</v>
      </c>
      <c r="C755" t="s">
        <v>201</v>
      </c>
      <c r="D755" t="s">
        <v>1017</v>
      </c>
      <c r="E755" s="1">
        <v>45726</v>
      </c>
      <c r="F755" s="1">
        <v>45726</v>
      </c>
      <c r="G755" s="12">
        <v>1480</v>
      </c>
      <c r="H755" s="2">
        <v>0</v>
      </c>
      <c r="I755" s="2">
        <v>0</v>
      </c>
      <c r="J755" s="2">
        <v>0</v>
      </c>
      <c r="K755" s="20">
        <v>1480</v>
      </c>
      <c r="L755" t="s">
        <v>794</v>
      </c>
      <c r="M755">
        <f t="shared" si="11"/>
        <v>2025</v>
      </c>
    </row>
    <row r="756" spans="1:13" ht="12.75" hidden="1" customHeight="1">
      <c r="A756" t="s">
        <v>822</v>
      </c>
      <c r="B756" t="s">
        <v>101</v>
      </c>
      <c r="C756" t="s">
        <v>201</v>
      </c>
      <c r="D756" t="s">
        <v>1017</v>
      </c>
      <c r="E756" s="1">
        <v>45726</v>
      </c>
      <c r="F756" s="1">
        <v>45726</v>
      </c>
      <c r="G756" s="12">
        <v>2780</v>
      </c>
      <c r="H756" s="2">
        <v>0</v>
      </c>
      <c r="I756" s="2">
        <v>0</v>
      </c>
      <c r="J756" s="2">
        <v>0</v>
      </c>
      <c r="K756" s="20">
        <v>2780</v>
      </c>
      <c r="L756" t="s">
        <v>794</v>
      </c>
      <c r="M756">
        <f t="shared" si="11"/>
        <v>2025</v>
      </c>
    </row>
    <row r="757" spans="1:13" ht="12.75" hidden="1" customHeight="1">
      <c r="A757" t="s">
        <v>940</v>
      </c>
      <c r="B757" t="s">
        <v>29</v>
      </c>
      <c r="C757" t="s">
        <v>206</v>
      </c>
      <c r="D757" t="s">
        <v>1017</v>
      </c>
      <c r="E757" s="1">
        <v>45726</v>
      </c>
      <c r="F757" s="1">
        <v>45726</v>
      </c>
      <c r="G757" s="12">
        <v>1419.6000000000001</v>
      </c>
      <c r="H757" s="2">
        <v>0</v>
      </c>
      <c r="I757" s="2">
        <v>0</v>
      </c>
      <c r="J757" s="2">
        <v>0</v>
      </c>
      <c r="K757" s="20">
        <v>1419.6000000000001</v>
      </c>
      <c r="L757" t="s">
        <v>794</v>
      </c>
      <c r="M757">
        <f t="shared" si="11"/>
        <v>2025</v>
      </c>
    </row>
    <row r="758" spans="1:13" ht="12.75" hidden="1" customHeight="1">
      <c r="A758" t="s">
        <v>878</v>
      </c>
      <c r="B758" t="s">
        <v>32</v>
      </c>
      <c r="C758" t="s">
        <v>200</v>
      </c>
      <c r="D758" t="s">
        <v>1017</v>
      </c>
      <c r="E758" s="1">
        <v>45726</v>
      </c>
      <c r="F758" s="1">
        <v>45726</v>
      </c>
      <c r="G758" s="12">
        <v>300</v>
      </c>
      <c r="H758" s="2">
        <v>0</v>
      </c>
      <c r="I758" s="2">
        <v>0</v>
      </c>
      <c r="J758" s="2">
        <v>0</v>
      </c>
      <c r="K758" s="20">
        <v>300</v>
      </c>
      <c r="L758" t="s">
        <v>794</v>
      </c>
      <c r="M758">
        <f t="shared" si="11"/>
        <v>2025</v>
      </c>
    </row>
    <row r="759" spans="1:13" ht="12.75" hidden="1" customHeight="1">
      <c r="A759" t="s">
        <v>1045</v>
      </c>
      <c r="B759" t="s">
        <v>71</v>
      </c>
      <c r="C759" t="s">
        <v>201</v>
      </c>
      <c r="D759" t="s">
        <v>1017</v>
      </c>
      <c r="E759" s="1">
        <v>45726</v>
      </c>
      <c r="F759" s="1">
        <v>45726</v>
      </c>
      <c r="G759" s="12">
        <v>1120</v>
      </c>
      <c r="H759" s="2">
        <v>0</v>
      </c>
      <c r="I759" s="2">
        <v>0</v>
      </c>
      <c r="J759" s="2">
        <v>0</v>
      </c>
      <c r="K759" s="20">
        <v>1120</v>
      </c>
      <c r="L759" t="s">
        <v>794</v>
      </c>
      <c r="M759">
        <f t="shared" si="11"/>
        <v>2025</v>
      </c>
    </row>
    <row r="760" spans="1:13" ht="12.75" hidden="1" customHeight="1">
      <c r="A760" t="s">
        <v>1046</v>
      </c>
      <c r="B760" t="s">
        <v>276</v>
      </c>
      <c r="C760" t="s">
        <v>201</v>
      </c>
      <c r="D760" t="s">
        <v>1017</v>
      </c>
      <c r="E760" s="1">
        <v>45726</v>
      </c>
      <c r="F760" s="1">
        <v>45726</v>
      </c>
      <c r="G760" s="12">
        <v>920</v>
      </c>
      <c r="H760" s="2">
        <v>0</v>
      </c>
      <c r="I760" s="2">
        <v>0</v>
      </c>
      <c r="J760" s="2">
        <v>0</v>
      </c>
      <c r="K760" s="20">
        <v>920</v>
      </c>
      <c r="L760" t="s">
        <v>794</v>
      </c>
      <c r="M760">
        <f t="shared" si="11"/>
        <v>2025</v>
      </c>
    </row>
    <row r="761" spans="1:13" ht="12.75" hidden="1" customHeight="1">
      <c r="A761" t="s">
        <v>995</v>
      </c>
      <c r="B761" t="s">
        <v>122</v>
      </c>
      <c r="C761" t="s">
        <v>735</v>
      </c>
      <c r="D761" t="s">
        <v>1017</v>
      </c>
      <c r="E761" s="1">
        <v>45726</v>
      </c>
      <c r="F761" s="1">
        <v>45726</v>
      </c>
      <c r="G761" s="12">
        <v>605</v>
      </c>
      <c r="H761" s="2">
        <v>0</v>
      </c>
      <c r="I761" s="2">
        <v>0</v>
      </c>
      <c r="J761" s="2">
        <v>0</v>
      </c>
      <c r="K761" s="20">
        <v>605</v>
      </c>
      <c r="L761" t="s">
        <v>794</v>
      </c>
      <c r="M761">
        <f t="shared" si="11"/>
        <v>2025</v>
      </c>
    </row>
    <row r="762" spans="1:13" ht="12.75" hidden="1" customHeight="1">
      <c r="A762" t="s">
        <v>879</v>
      </c>
      <c r="B762" t="s">
        <v>23</v>
      </c>
      <c r="C762" t="s">
        <v>713</v>
      </c>
      <c r="D762" t="s">
        <v>1017</v>
      </c>
      <c r="E762" s="1">
        <v>45726</v>
      </c>
      <c r="F762" s="1">
        <v>45726</v>
      </c>
      <c r="G762" s="12">
        <v>859.54</v>
      </c>
      <c r="H762" s="2">
        <v>0</v>
      </c>
      <c r="I762" s="2">
        <v>0</v>
      </c>
      <c r="J762" s="2">
        <v>0</v>
      </c>
      <c r="K762" s="20">
        <v>859.54</v>
      </c>
      <c r="L762" t="s">
        <v>794</v>
      </c>
      <c r="M762">
        <f t="shared" si="11"/>
        <v>2025</v>
      </c>
    </row>
    <row r="763" spans="1:13" ht="12.75" hidden="1" customHeight="1">
      <c r="A763" t="s">
        <v>847</v>
      </c>
      <c r="B763" t="s">
        <v>169</v>
      </c>
      <c r="C763" t="s">
        <v>722</v>
      </c>
      <c r="D763" t="s">
        <v>1017</v>
      </c>
      <c r="E763" s="1">
        <v>45726</v>
      </c>
      <c r="F763" s="1">
        <v>45726</v>
      </c>
      <c r="G763" s="12">
        <v>209.81</v>
      </c>
      <c r="H763" s="2">
        <v>0</v>
      </c>
      <c r="I763" s="2">
        <v>0</v>
      </c>
      <c r="J763" s="2">
        <v>0</v>
      </c>
      <c r="K763" s="20">
        <v>209.81</v>
      </c>
      <c r="L763" t="s">
        <v>794</v>
      </c>
      <c r="M763">
        <f t="shared" si="11"/>
        <v>2025</v>
      </c>
    </row>
    <row r="764" spans="1:13" ht="12.75" hidden="1" customHeight="1">
      <c r="A764" t="s">
        <v>847</v>
      </c>
      <c r="B764" t="s">
        <v>169</v>
      </c>
      <c r="C764" t="s">
        <v>722</v>
      </c>
      <c r="D764" t="s">
        <v>1017</v>
      </c>
      <c r="E764" s="1">
        <v>45726</v>
      </c>
      <c r="F764" s="1">
        <v>45726</v>
      </c>
      <c r="G764" s="12">
        <v>1360</v>
      </c>
      <c r="H764" s="2">
        <v>0</v>
      </c>
      <c r="I764" s="2">
        <v>0</v>
      </c>
      <c r="J764" s="2">
        <v>0</v>
      </c>
      <c r="K764" s="20">
        <v>1360</v>
      </c>
      <c r="L764" t="s">
        <v>794</v>
      </c>
      <c r="M764">
        <f t="shared" si="11"/>
        <v>2025</v>
      </c>
    </row>
    <row r="765" spans="1:13" ht="12.75" hidden="1" customHeight="1">
      <c r="A765" t="s">
        <v>1047</v>
      </c>
      <c r="B765" t="s">
        <v>294</v>
      </c>
      <c r="C765" t="s">
        <v>201</v>
      </c>
      <c r="D765" t="s">
        <v>1017</v>
      </c>
      <c r="E765" s="1">
        <v>45726</v>
      </c>
      <c r="F765" s="1">
        <v>45726</v>
      </c>
      <c r="G765" s="12">
        <v>1360</v>
      </c>
      <c r="H765" s="2">
        <v>0</v>
      </c>
      <c r="I765" s="2">
        <v>0</v>
      </c>
      <c r="J765" s="2">
        <v>0</v>
      </c>
      <c r="K765" s="20">
        <v>1360</v>
      </c>
      <c r="L765" t="s">
        <v>794</v>
      </c>
      <c r="M765">
        <f t="shared" si="11"/>
        <v>2025</v>
      </c>
    </row>
    <row r="766" spans="1:13" ht="12.75" hidden="1" customHeight="1">
      <c r="A766" t="s">
        <v>1048</v>
      </c>
      <c r="B766" t="s">
        <v>634</v>
      </c>
      <c r="C766" t="s">
        <v>452</v>
      </c>
      <c r="D766" t="s">
        <v>1017</v>
      </c>
      <c r="E766" s="1">
        <v>45726</v>
      </c>
      <c r="F766" s="1">
        <v>45726</v>
      </c>
      <c r="G766" s="12">
        <v>49</v>
      </c>
      <c r="H766" s="2">
        <v>0</v>
      </c>
      <c r="I766" s="2">
        <v>0</v>
      </c>
      <c r="J766" s="2">
        <v>0</v>
      </c>
      <c r="K766" s="20">
        <v>49</v>
      </c>
      <c r="L766" t="s">
        <v>794</v>
      </c>
      <c r="M766">
        <f t="shared" si="11"/>
        <v>2025</v>
      </c>
    </row>
    <row r="767" spans="1:13" ht="12.75" hidden="1" customHeight="1">
      <c r="A767" t="s">
        <v>1049</v>
      </c>
      <c r="B767" t="s">
        <v>216</v>
      </c>
      <c r="C767" t="s">
        <v>201</v>
      </c>
      <c r="D767" t="s">
        <v>1017</v>
      </c>
      <c r="E767" s="1">
        <v>45726</v>
      </c>
      <c r="F767" s="1">
        <v>45726</v>
      </c>
      <c r="G767" s="12">
        <v>400</v>
      </c>
      <c r="H767" s="2">
        <v>0</v>
      </c>
      <c r="I767" s="2">
        <v>0</v>
      </c>
      <c r="J767" s="2">
        <v>0</v>
      </c>
      <c r="K767" s="20">
        <v>400</v>
      </c>
      <c r="L767" t="s">
        <v>794</v>
      </c>
      <c r="M767">
        <f t="shared" si="11"/>
        <v>2025</v>
      </c>
    </row>
    <row r="768" spans="1:13" ht="12.75" hidden="1" customHeight="1">
      <c r="A768" t="s">
        <v>859</v>
      </c>
      <c r="B768" t="s">
        <v>264</v>
      </c>
      <c r="C768" t="s">
        <v>200</v>
      </c>
      <c r="D768" t="s">
        <v>1017</v>
      </c>
      <c r="E768" s="1">
        <v>45726</v>
      </c>
      <c r="F768" s="1">
        <v>45726</v>
      </c>
      <c r="G768" s="12">
        <v>560</v>
      </c>
      <c r="H768" s="2">
        <v>0</v>
      </c>
      <c r="I768" s="2">
        <v>0</v>
      </c>
      <c r="J768" s="2">
        <v>0</v>
      </c>
      <c r="K768" s="20">
        <v>560</v>
      </c>
      <c r="L768" t="s">
        <v>794</v>
      </c>
      <c r="M768">
        <f t="shared" si="11"/>
        <v>2025</v>
      </c>
    </row>
    <row r="769" spans="1:13" ht="12.75" hidden="1" customHeight="1">
      <c r="A769" t="s">
        <v>801</v>
      </c>
      <c r="B769" t="s">
        <v>13</v>
      </c>
      <c r="C769" t="s">
        <v>726</v>
      </c>
      <c r="D769" t="s">
        <v>1017</v>
      </c>
      <c r="E769" s="1">
        <v>45727</v>
      </c>
      <c r="F769" s="1">
        <v>45727</v>
      </c>
      <c r="G769" s="12">
        <v>85.600000000000009</v>
      </c>
      <c r="H769" s="2">
        <v>0</v>
      </c>
      <c r="I769" s="2">
        <v>0</v>
      </c>
      <c r="J769" s="2">
        <v>0</v>
      </c>
      <c r="K769" s="20">
        <v>85.600000000000009</v>
      </c>
      <c r="L769" t="s">
        <v>794</v>
      </c>
      <c r="M769">
        <f t="shared" si="11"/>
        <v>2025</v>
      </c>
    </row>
    <row r="770" spans="1:13" ht="12.75" hidden="1" customHeight="1">
      <c r="A770" t="s">
        <v>1050</v>
      </c>
      <c r="B770" t="s">
        <v>131</v>
      </c>
      <c r="C770" t="s">
        <v>201</v>
      </c>
      <c r="D770" t="s">
        <v>1017</v>
      </c>
      <c r="E770" s="1">
        <v>45727</v>
      </c>
      <c r="F770" s="1">
        <v>45727</v>
      </c>
      <c r="G770" s="12">
        <v>3440</v>
      </c>
      <c r="H770" s="2">
        <v>0</v>
      </c>
      <c r="I770" s="2">
        <v>0</v>
      </c>
      <c r="J770" s="2">
        <v>0</v>
      </c>
      <c r="K770" s="20">
        <v>3440</v>
      </c>
      <c r="L770" t="s">
        <v>794</v>
      </c>
      <c r="M770">
        <f t="shared" si="11"/>
        <v>2025</v>
      </c>
    </row>
    <row r="771" spans="1:13" ht="12.75" hidden="1" customHeight="1">
      <c r="A771" t="s">
        <v>974</v>
      </c>
      <c r="B771" t="s">
        <v>174</v>
      </c>
      <c r="C771" t="s">
        <v>201</v>
      </c>
      <c r="D771" t="s">
        <v>1017</v>
      </c>
      <c r="E771" s="1">
        <v>45727</v>
      </c>
      <c r="F771" s="1">
        <v>45727</v>
      </c>
      <c r="G771" s="12">
        <v>1920</v>
      </c>
      <c r="H771" s="2">
        <v>0</v>
      </c>
      <c r="I771" s="2">
        <v>0</v>
      </c>
      <c r="J771" s="2">
        <v>0</v>
      </c>
      <c r="K771" s="20">
        <v>1920</v>
      </c>
      <c r="L771" t="s">
        <v>794</v>
      </c>
      <c r="M771">
        <f t="shared" ref="M771:M834" si="12">YEAR(F771)</f>
        <v>2025</v>
      </c>
    </row>
    <row r="772" spans="1:13" ht="12.75" hidden="1" customHeight="1">
      <c r="A772" t="s">
        <v>977</v>
      </c>
      <c r="B772" t="s">
        <v>61</v>
      </c>
      <c r="C772" t="s">
        <v>201</v>
      </c>
      <c r="D772" t="s">
        <v>1017</v>
      </c>
      <c r="E772" s="1">
        <v>45727</v>
      </c>
      <c r="F772" s="1">
        <v>45727</v>
      </c>
      <c r="G772" s="12">
        <v>1520</v>
      </c>
      <c r="H772" s="2">
        <v>0</v>
      </c>
      <c r="I772" s="2">
        <v>0</v>
      </c>
      <c r="J772" s="2">
        <v>0</v>
      </c>
      <c r="K772" s="20">
        <v>1520</v>
      </c>
      <c r="L772" t="s">
        <v>794</v>
      </c>
      <c r="M772">
        <f t="shared" si="12"/>
        <v>2025</v>
      </c>
    </row>
    <row r="773" spans="1:13" ht="12.75" hidden="1" customHeight="1">
      <c r="A773" t="s">
        <v>970</v>
      </c>
      <c r="B773" t="s">
        <v>971</v>
      </c>
      <c r="C773" t="s">
        <v>201</v>
      </c>
      <c r="D773" t="s">
        <v>1017</v>
      </c>
      <c r="E773" s="1">
        <v>45727</v>
      </c>
      <c r="F773" s="1">
        <v>45727</v>
      </c>
      <c r="G773" s="12">
        <v>1440</v>
      </c>
      <c r="H773" s="2">
        <v>0</v>
      </c>
      <c r="I773" s="2">
        <v>0</v>
      </c>
      <c r="J773" s="2">
        <v>0</v>
      </c>
      <c r="K773" s="20">
        <v>1440</v>
      </c>
      <c r="L773" t="s">
        <v>794</v>
      </c>
      <c r="M773">
        <f t="shared" si="12"/>
        <v>2025</v>
      </c>
    </row>
    <row r="774" spans="1:13" ht="12.75" hidden="1" customHeight="1">
      <c r="A774" t="s">
        <v>796</v>
      </c>
      <c r="B774" t="s">
        <v>218</v>
      </c>
      <c r="C774" t="s">
        <v>201</v>
      </c>
      <c r="D774" t="s">
        <v>1017</v>
      </c>
      <c r="E774" s="1">
        <v>45727</v>
      </c>
      <c r="F774" s="1">
        <v>45727</v>
      </c>
      <c r="G774" s="12">
        <v>1340</v>
      </c>
      <c r="H774" s="2">
        <v>0</v>
      </c>
      <c r="I774" s="2">
        <v>0</v>
      </c>
      <c r="J774" s="2">
        <v>0</v>
      </c>
      <c r="K774" s="20">
        <v>1340</v>
      </c>
      <c r="L774" t="s">
        <v>794</v>
      </c>
      <c r="M774">
        <f t="shared" si="12"/>
        <v>2025</v>
      </c>
    </row>
    <row r="775" spans="1:13" ht="12.75" hidden="1" customHeight="1">
      <c r="A775" t="s">
        <v>972</v>
      </c>
      <c r="B775" t="s">
        <v>973</v>
      </c>
      <c r="C775" t="s">
        <v>201</v>
      </c>
      <c r="D775" t="s">
        <v>1017</v>
      </c>
      <c r="E775" s="1">
        <v>45727</v>
      </c>
      <c r="F775" s="1">
        <v>45727</v>
      </c>
      <c r="G775" s="12">
        <v>1280</v>
      </c>
      <c r="H775" s="2">
        <v>0</v>
      </c>
      <c r="I775" s="2">
        <v>0</v>
      </c>
      <c r="J775" s="2">
        <v>0</v>
      </c>
      <c r="K775" s="20">
        <v>1280</v>
      </c>
      <c r="L775" t="s">
        <v>794</v>
      </c>
      <c r="M775">
        <f t="shared" si="12"/>
        <v>2025</v>
      </c>
    </row>
    <row r="776" spans="1:13" ht="12.75" hidden="1" customHeight="1">
      <c r="A776" t="s">
        <v>976</v>
      </c>
      <c r="B776" t="s">
        <v>79</v>
      </c>
      <c r="C776" t="s">
        <v>201</v>
      </c>
      <c r="D776" t="s">
        <v>1017</v>
      </c>
      <c r="E776" s="1">
        <v>45727</v>
      </c>
      <c r="F776" s="1">
        <v>45727</v>
      </c>
      <c r="G776" s="12">
        <v>1240</v>
      </c>
      <c r="H776" s="2">
        <v>0</v>
      </c>
      <c r="I776" s="2">
        <v>0</v>
      </c>
      <c r="J776" s="2">
        <v>0</v>
      </c>
      <c r="K776" s="20">
        <v>1240</v>
      </c>
      <c r="L776" t="s">
        <v>794</v>
      </c>
      <c r="M776">
        <f t="shared" si="12"/>
        <v>2025</v>
      </c>
    </row>
    <row r="777" spans="1:13" ht="12.75" hidden="1" customHeight="1">
      <c r="A777" t="s">
        <v>811</v>
      </c>
      <c r="B777" t="s">
        <v>80</v>
      </c>
      <c r="C777" t="s">
        <v>201</v>
      </c>
      <c r="D777" t="s">
        <v>1017</v>
      </c>
      <c r="E777" s="1">
        <v>45727</v>
      </c>
      <c r="F777" s="1">
        <v>45727</v>
      </c>
      <c r="G777" s="12">
        <v>1120</v>
      </c>
      <c r="H777" s="2">
        <v>0</v>
      </c>
      <c r="I777" s="2">
        <v>0</v>
      </c>
      <c r="J777" s="2">
        <v>0</v>
      </c>
      <c r="K777" s="20">
        <v>1120</v>
      </c>
      <c r="L777" t="s">
        <v>794</v>
      </c>
      <c r="M777">
        <f t="shared" si="12"/>
        <v>2025</v>
      </c>
    </row>
    <row r="778" spans="1:13" ht="12.75" hidden="1" customHeight="1">
      <c r="A778" t="s">
        <v>947</v>
      </c>
      <c r="B778" t="s">
        <v>162</v>
      </c>
      <c r="C778" t="s">
        <v>141</v>
      </c>
      <c r="D778" t="s">
        <v>1017</v>
      </c>
      <c r="E778" s="1">
        <v>45727</v>
      </c>
      <c r="F778" s="1">
        <v>45727</v>
      </c>
      <c r="G778" s="12">
        <v>850</v>
      </c>
      <c r="H778" s="2">
        <v>0</v>
      </c>
      <c r="I778" s="2">
        <v>0</v>
      </c>
      <c r="J778" s="2">
        <v>0</v>
      </c>
      <c r="K778" s="20">
        <v>850</v>
      </c>
      <c r="L778" t="s">
        <v>794</v>
      </c>
      <c r="M778">
        <f t="shared" si="12"/>
        <v>2025</v>
      </c>
    </row>
    <row r="779" spans="1:13" ht="12.75" hidden="1" customHeight="1">
      <c r="A779" t="s">
        <v>1051</v>
      </c>
      <c r="B779" t="s">
        <v>257</v>
      </c>
      <c r="C779" t="s">
        <v>201</v>
      </c>
      <c r="D779" t="s">
        <v>1017</v>
      </c>
      <c r="E779" s="1">
        <v>45727</v>
      </c>
      <c r="F779" s="1">
        <v>45727</v>
      </c>
      <c r="G779" s="12">
        <v>800</v>
      </c>
      <c r="H779" s="2">
        <v>0</v>
      </c>
      <c r="I779" s="2">
        <v>0</v>
      </c>
      <c r="J779" s="2">
        <v>0</v>
      </c>
      <c r="K779" s="20">
        <v>800</v>
      </c>
      <c r="L779" t="s">
        <v>794</v>
      </c>
      <c r="M779">
        <f t="shared" si="12"/>
        <v>2025</v>
      </c>
    </row>
    <row r="780" spans="1:13" ht="12.75" hidden="1" customHeight="1">
      <c r="A780" t="s">
        <v>1052</v>
      </c>
      <c r="B780" t="s">
        <v>251</v>
      </c>
      <c r="C780" t="s">
        <v>201</v>
      </c>
      <c r="D780" t="s">
        <v>1017</v>
      </c>
      <c r="E780" s="1">
        <v>45727</v>
      </c>
      <c r="F780" s="1">
        <v>45727</v>
      </c>
      <c r="G780" s="12">
        <v>640</v>
      </c>
      <c r="H780" s="2">
        <v>0</v>
      </c>
      <c r="I780" s="2">
        <v>0</v>
      </c>
      <c r="J780" s="2">
        <v>0</v>
      </c>
      <c r="K780" s="20">
        <v>640</v>
      </c>
      <c r="L780" t="s">
        <v>794</v>
      </c>
      <c r="M780">
        <f t="shared" si="12"/>
        <v>2025</v>
      </c>
    </row>
    <row r="781" spans="1:13" ht="12.75" hidden="1" customHeight="1">
      <c r="A781" t="s">
        <v>989</v>
      </c>
      <c r="B781" t="s">
        <v>285</v>
      </c>
      <c r="C781" t="s">
        <v>99</v>
      </c>
      <c r="D781" t="s">
        <v>1017</v>
      </c>
      <c r="E781" s="1">
        <v>45727</v>
      </c>
      <c r="F781" s="1">
        <v>45727</v>
      </c>
      <c r="G781" s="12">
        <v>450</v>
      </c>
      <c r="H781" s="2">
        <v>0</v>
      </c>
      <c r="I781" s="2">
        <v>0</v>
      </c>
      <c r="J781" s="2">
        <v>0</v>
      </c>
      <c r="K781" s="20">
        <v>450</v>
      </c>
      <c r="L781" t="s">
        <v>794</v>
      </c>
      <c r="M781">
        <f t="shared" si="12"/>
        <v>2025</v>
      </c>
    </row>
    <row r="782" spans="1:13" ht="12.75" hidden="1" customHeight="1">
      <c r="A782" t="s">
        <v>821</v>
      </c>
      <c r="B782" t="s">
        <v>421</v>
      </c>
      <c r="C782" t="s">
        <v>723</v>
      </c>
      <c r="D782" t="s">
        <v>1017</v>
      </c>
      <c r="E782" s="1">
        <v>45727</v>
      </c>
      <c r="F782" s="1">
        <v>45727</v>
      </c>
      <c r="G782" s="12">
        <v>370</v>
      </c>
      <c r="H782" s="2">
        <v>0</v>
      </c>
      <c r="I782" s="2">
        <v>0</v>
      </c>
      <c r="J782" s="2">
        <v>0</v>
      </c>
      <c r="K782" s="20">
        <v>370</v>
      </c>
      <c r="L782" t="s">
        <v>794</v>
      </c>
      <c r="M782">
        <f t="shared" si="12"/>
        <v>2025</v>
      </c>
    </row>
    <row r="783" spans="1:13" ht="12.75" hidden="1" customHeight="1">
      <c r="A783" t="s">
        <v>947</v>
      </c>
      <c r="B783" t="s">
        <v>162</v>
      </c>
      <c r="C783" t="s">
        <v>141</v>
      </c>
      <c r="D783" t="s">
        <v>1017</v>
      </c>
      <c r="E783" s="1">
        <v>45727</v>
      </c>
      <c r="F783" s="1">
        <v>45727</v>
      </c>
      <c r="G783" s="12">
        <v>226</v>
      </c>
      <c r="H783" s="2">
        <v>0</v>
      </c>
      <c r="I783" s="2">
        <v>0</v>
      </c>
      <c r="J783" s="2">
        <v>0</v>
      </c>
      <c r="K783" s="20">
        <v>226</v>
      </c>
      <c r="L783" t="s">
        <v>794</v>
      </c>
      <c r="M783">
        <f t="shared" si="12"/>
        <v>2025</v>
      </c>
    </row>
    <row r="784" spans="1:13" ht="12.75" hidden="1" customHeight="1">
      <c r="A784" t="s">
        <v>922</v>
      </c>
      <c r="B784" t="s">
        <v>149</v>
      </c>
      <c r="C784" t="s">
        <v>141</v>
      </c>
      <c r="D784" t="s">
        <v>1017</v>
      </c>
      <c r="E784" s="1">
        <v>45727</v>
      </c>
      <c r="F784" s="1">
        <v>45727</v>
      </c>
      <c r="G784" s="12">
        <v>186</v>
      </c>
      <c r="H784" s="2">
        <v>0</v>
      </c>
      <c r="I784" s="2">
        <v>0</v>
      </c>
      <c r="J784" s="2">
        <v>0</v>
      </c>
      <c r="K784" s="20">
        <v>186</v>
      </c>
      <c r="L784" t="s">
        <v>794</v>
      </c>
      <c r="M784">
        <f t="shared" si="12"/>
        <v>2025</v>
      </c>
    </row>
    <row r="785" spans="1:13" ht="12.75" hidden="1" customHeight="1">
      <c r="A785" t="s">
        <v>804</v>
      </c>
      <c r="B785" t="s">
        <v>215</v>
      </c>
      <c r="C785" t="s">
        <v>201</v>
      </c>
      <c r="D785" t="s">
        <v>1017</v>
      </c>
      <c r="E785" s="1">
        <v>45727</v>
      </c>
      <c r="F785" s="1">
        <v>45727</v>
      </c>
      <c r="G785" s="12">
        <v>80</v>
      </c>
      <c r="H785" s="2">
        <v>0</v>
      </c>
      <c r="I785" s="2">
        <v>0</v>
      </c>
      <c r="J785" s="2">
        <v>0</v>
      </c>
      <c r="K785" s="20">
        <v>80</v>
      </c>
      <c r="L785" t="s">
        <v>794</v>
      </c>
      <c r="M785">
        <f t="shared" si="12"/>
        <v>2025</v>
      </c>
    </row>
    <row r="786" spans="1:13" ht="12.75" hidden="1" customHeight="1">
      <c r="A786" t="s">
        <v>1053</v>
      </c>
      <c r="B786" t="s">
        <v>635</v>
      </c>
      <c r="C786" t="s">
        <v>452</v>
      </c>
      <c r="D786" t="s">
        <v>1017</v>
      </c>
      <c r="E786" s="1">
        <v>45727</v>
      </c>
      <c r="F786" s="1">
        <v>45727</v>
      </c>
      <c r="G786" s="12">
        <v>49</v>
      </c>
      <c r="H786" s="2">
        <v>0</v>
      </c>
      <c r="I786" s="2">
        <v>0</v>
      </c>
      <c r="J786" s="2">
        <v>0</v>
      </c>
      <c r="K786" s="20">
        <v>49</v>
      </c>
      <c r="L786" t="s">
        <v>794</v>
      </c>
      <c r="M786">
        <f t="shared" si="12"/>
        <v>2025</v>
      </c>
    </row>
    <row r="787" spans="1:13" ht="12.75" hidden="1" customHeight="1">
      <c r="A787" t="s">
        <v>801</v>
      </c>
      <c r="B787" t="s">
        <v>13</v>
      </c>
      <c r="C787" t="s">
        <v>717</v>
      </c>
      <c r="D787" t="s">
        <v>1025</v>
      </c>
      <c r="E787" s="1">
        <v>45727</v>
      </c>
      <c r="F787" s="1">
        <v>45727</v>
      </c>
      <c r="G787" s="12">
        <v>1113.8399999999999</v>
      </c>
      <c r="H787" s="2">
        <v>0</v>
      </c>
      <c r="I787" s="2">
        <v>0</v>
      </c>
      <c r="J787" s="2">
        <v>0</v>
      </c>
      <c r="K787" s="20">
        <v>1113.8399999999999</v>
      </c>
      <c r="L787" t="s">
        <v>794</v>
      </c>
      <c r="M787">
        <f t="shared" si="12"/>
        <v>2025</v>
      </c>
    </row>
    <row r="788" spans="1:13" ht="12.75" hidden="1" customHeight="1">
      <c r="A788" t="s">
        <v>801</v>
      </c>
      <c r="B788" t="s">
        <v>13</v>
      </c>
      <c r="C788" t="s">
        <v>717</v>
      </c>
      <c r="D788" t="s">
        <v>1017</v>
      </c>
      <c r="E788" s="1">
        <v>45727</v>
      </c>
      <c r="F788" s="1">
        <v>45727</v>
      </c>
      <c r="G788" s="12">
        <v>1113.8399999999999</v>
      </c>
      <c r="H788" s="2">
        <v>0</v>
      </c>
      <c r="I788" s="2">
        <v>0</v>
      </c>
      <c r="J788" s="2">
        <v>0</v>
      </c>
      <c r="K788" s="20">
        <v>1113.8399999999999</v>
      </c>
      <c r="L788" t="s">
        <v>794</v>
      </c>
      <c r="M788">
        <f t="shared" si="12"/>
        <v>2025</v>
      </c>
    </row>
    <row r="789" spans="1:13" ht="12.75" hidden="1" customHeight="1">
      <c r="A789" t="s">
        <v>883</v>
      </c>
      <c r="B789" t="s">
        <v>325</v>
      </c>
      <c r="C789" t="s">
        <v>99</v>
      </c>
      <c r="D789" t="s">
        <v>1017</v>
      </c>
      <c r="E789" s="1">
        <v>45728</v>
      </c>
      <c r="F789" s="1">
        <v>45728</v>
      </c>
      <c r="G789" s="12">
        <v>174.85</v>
      </c>
      <c r="H789" s="2">
        <v>0</v>
      </c>
      <c r="I789" s="2">
        <v>0</v>
      </c>
      <c r="J789" s="2">
        <v>0</v>
      </c>
      <c r="K789" s="20">
        <v>174.85</v>
      </c>
      <c r="L789" t="s">
        <v>794</v>
      </c>
      <c r="M789">
        <f t="shared" si="12"/>
        <v>2025</v>
      </c>
    </row>
    <row r="790" spans="1:13" ht="12.75" hidden="1" customHeight="1">
      <c r="A790" t="s">
        <v>1054</v>
      </c>
      <c r="B790" t="s">
        <v>537</v>
      </c>
      <c r="C790" t="s">
        <v>452</v>
      </c>
      <c r="D790" t="s">
        <v>1017</v>
      </c>
      <c r="E790" s="1">
        <v>45728</v>
      </c>
      <c r="F790" s="1">
        <v>45728</v>
      </c>
      <c r="G790" s="12">
        <v>99</v>
      </c>
      <c r="H790" s="2">
        <v>0</v>
      </c>
      <c r="I790" s="2">
        <v>0</v>
      </c>
      <c r="J790" s="2">
        <v>0</v>
      </c>
      <c r="K790" s="20">
        <v>99</v>
      </c>
      <c r="L790" t="s">
        <v>794</v>
      </c>
      <c r="M790">
        <f t="shared" si="12"/>
        <v>2025</v>
      </c>
    </row>
    <row r="791" spans="1:13" ht="12.75" hidden="1" customHeight="1">
      <c r="A791" t="s">
        <v>1009</v>
      </c>
      <c r="B791" t="s">
        <v>62</v>
      </c>
      <c r="C791" t="s">
        <v>140</v>
      </c>
      <c r="D791" t="s">
        <v>1017</v>
      </c>
      <c r="E791" s="1">
        <v>45728</v>
      </c>
      <c r="F791" s="1">
        <v>45728</v>
      </c>
      <c r="G791" s="12">
        <v>30</v>
      </c>
      <c r="H791" s="2">
        <v>0</v>
      </c>
      <c r="I791" s="2">
        <v>0</v>
      </c>
      <c r="J791" s="2">
        <v>0</v>
      </c>
      <c r="K791" s="20">
        <v>30</v>
      </c>
      <c r="L791" t="s">
        <v>794</v>
      </c>
      <c r="M791">
        <f t="shared" si="12"/>
        <v>2025</v>
      </c>
    </row>
    <row r="792" spans="1:13" ht="12.75" hidden="1" customHeight="1">
      <c r="A792" t="s">
        <v>801</v>
      </c>
      <c r="B792" t="s">
        <v>13</v>
      </c>
      <c r="C792" t="s">
        <v>726</v>
      </c>
      <c r="D792" t="s">
        <v>1017</v>
      </c>
      <c r="E792" s="1">
        <v>45728</v>
      </c>
      <c r="F792" s="1">
        <v>45728</v>
      </c>
      <c r="G792" s="12">
        <v>14.280000000000001</v>
      </c>
      <c r="H792" s="2">
        <v>0</v>
      </c>
      <c r="I792" s="2">
        <v>0</v>
      </c>
      <c r="J792" s="2">
        <v>0</v>
      </c>
      <c r="K792" s="20">
        <v>14.280000000000001</v>
      </c>
      <c r="L792" t="s">
        <v>794</v>
      </c>
      <c r="M792">
        <f t="shared" si="12"/>
        <v>2025</v>
      </c>
    </row>
    <row r="793" spans="1:13" ht="12.75" hidden="1" customHeight="1">
      <c r="A793" t="s">
        <v>1055</v>
      </c>
      <c r="B793" t="s">
        <v>658</v>
      </c>
      <c r="C793" t="s">
        <v>723</v>
      </c>
      <c r="D793" t="s">
        <v>1017</v>
      </c>
      <c r="E793" s="1">
        <v>45728</v>
      </c>
      <c r="F793" s="1">
        <v>45728</v>
      </c>
      <c r="G793" s="12">
        <v>35</v>
      </c>
      <c r="H793" s="2">
        <v>0</v>
      </c>
      <c r="I793" s="2">
        <v>0</v>
      </c>
      <c r="J793" s="2">
        <v>0</v>
      </c>
      <c r="K793" s="20">
        <v>35</v>
      </c>
      <c r="L793" t="s">
        <v>794</v>
      </c>
      <c r="M793">
        <f t="shared" si="12"/>
        <v>2025</v>
      </c>
    </row>
    <row r="794" spans="1:13" ht="12.75" hidden="1" customHeight="1">
      <c r="A794" t="s">
        <v>801</v>
      </c>
      <c r="B794" t="s">
        <v>13</v>
      </c>
      <c r="C794" t="s">
        <v>726</v>
      </c>
      <c r="D794" t="s">
        <v>1017</v>
      </c>
      <c r="E794" s="1">
        <v>45729</v>
      </c>
      <c r="F794" s="1">
        <v>45729</v>
      </c>
      <c r="G794" s="12">
        <v>493.56</v>
      </c>
      <c r="H794" s="2">
        <v>0</v>
      </c>
      <c r="I794" s="2">
        <v>0</v>
      </c>
      <c r="J794" s="2">
        <v>0</v>
      </c>
      <c r="K794" s="20">
        <v>493.56</v>
      </c>
      <c r="L794" t="s">
        <v>794</v>
      </c>
      <c r="M794">
        <f t="shared" si="12"/>
        <v>2025</v>
      </c>
    </row>
    <row r="795" spans="1:13" ht="12.75" hidden="1" customHeight="1">
      <c r="A795" t="s">
        <v>876</v>
      </c>
      <c r="B795" t="s">
        <v>74</v>
      </c>
      <c r="C795" t="s">
        <v>723</v>
      </c>
      <c r="D795" t="s">
        <v>1017</v>
      </c>
      <c r="E795" s="1">
        <v>45729</v>
      </c>
      <c r="F795" s="1">
        <v>45729</v>
      </c>
      <c r="G795" s="12">
        <v>3036</v>
      </c>
      <c r="H795" s="2">
        <v>0</v>
      </c>
      <c r="I795" s="2">
        <v>0</v>
      </c>
      <c r="J795" s="2">
        <v>0</v>
      </c>
      <c r="K795" s="20">
        <v>3036</v>
      </c>
      <c r="L795" t="s">
        <v>794</v>
      </c>
      <c r="M795">
        <f t="shared" si="12"/>
        <v>2025</v>
      </c>
    </row>
    <row r="796" spans="1:13" ht="12.75" hidden="1" customHeight="1">
      <c r="A796" t="s">
        <v>1056</v>
      </c>
      <c r="B796" t="s">
        <v>417</v>
      </c>
      <c r="C796" t="s">
        <v>725</v>
      </c>
      <c r="D796" t="s">
        <v>1017</v>
      </c>
      <c r="E796" s="1">
        <v>45729</v>
      </c>
      <c r="F796" s="1">
        <v>45729</v>
      </c>
      <c r="G796" s="12">
        <v>380</v>
      </c>
      <c r="H796" s="2">
        <v>0</v>
      </c>
      <c r="I796" s="2">
        <v>0</v>
      </c>
      <c r="J796" s="2">
        <v>0</v>
      </c>
      <c r="K796" s="20">
        <v>380</v>
      </c>
      <c r="L796" t="s">
        <v>794</v>
      </c>
      <c r="M796">
        <f t="shared" si="12"/>
        <v>2025</v>
      </c>
    </row>
    <row r="797" spans="1:13" ht="12.75" hidden="1" customHeight="1">
      <c r="A797" t="s">
        <v>1057</v>
      </c>
      <c r="B797" t="s">
        <v>468</v>
      </c>
      <c r="C797" t="s">
        <v>723</v>
      </c>
      <c r="D797" t="s">
        <v>1017</v>
      </c>
      <c r="E797" s="1">
        <v>45729</v>
      </c>
      <c r="F797" s="1">
        <v>45729</v>
      </c>
      <c r="G797" s="12">
        <v>187</v>
      </c>
      <c r="H797" s="2">
        <v>0</v>
      </c>
      <c r="I797" s="2">
        <v>0</v>
      </c>
      <c r="J797" s="2">
        <v>0</v>
      </c>
      <c r="K797" s="20">
        <v>187</v>
      </c>
      <c r="L797" t="s">
        <v>794</v>
      </c>
      <c r="M797">
        <f t="shared" si="12"/>
        <v>2025</v>
      </c>
    </row>
    <row r="798" spans="1:13" ht="12.75" hidden="1" customHeight="1">
      <c r="A798" t="s">
        <v>849</v>
      </c>
      <c r="B798" t="s">
        <v>283</v>
      </c>
      <c r="C798" t="s">
        <v>722</v>
      </c>
      <c r="D798" t="s">
        <v>1017</v>
      </c>
      <c r="E798" s="1">
        <v>45729</v>
      </c>
      <c r="F798" s="1">
        <v>45729</v>
      </c>
      <c r="G798" s="12">
        <v>99</v>
      </c>
      <c r="H798" s="2">
        <v>0</v>
      </c>
      <c r="I798" s="2">
        <v>0</v>
      </c>
      <c r="J798" s="2">
        <v>0</v>
      </c>
      <c r="K798" s="20">
        <v>99</v>
      </c>
      <c r="L798" t="s">
        <v>794</v>
      </c>
      <c r="M798">
        <f t="shared" si="12"/>
        <v>2025</v>
      </c>
    </row>
    <row r="799" spans="1:13" ht="12.75" hidden="1" customHeight="1">
      <c r="A799" t="s">
        <v>801</v>
      </c>
      <c r="B799" t="s">
        <v>13</v>
      </c>
      <c r="C799" t="s">
        <v>726</v>
      </c>
      <c r="D799" t="s">
        <v>1017</v>
      </c>
      <c r="E799" s="1">
        <v>45729</v>
      </c>
      <c r="F799" s="1">
        <v>45729</v>
      </c>
      <c r="G799" s="12">
        <v>4.08</v>
      </c>
      <c r="H799" s="2">
        <v>0</v>
      </c>
      <c r="I799" s="2">
        <v>0</v>
      </c>
      <c r="J799" s="2">
        <v>0</v>
      </c>
      <c r="K799" s="20">
        <v>4.08</v>
      </c>
      <c r="L799" t="s">
        <v>794</v>
      </c>
      <c r="M799">
        <f t="shared" si="12"/>
        <v>2025</v>
      </c>
    </row>
    <row r="800" spans="1:13" ht="12.75" hidden="1" customHeight="1">
      <c r="A800" t="s">
        <v>801</v>
      </c>
      <c r="B800" t="s">
        <v>13</v>
      </c>
      <c r="C800" t="s">
        <v>726</v>
      </c>
      <c r="D800" t="s">
        <v>1017</v>
      </c>
      <c r="E800" s="1">
        <v>45730</v>
      </c>
      <c r="F800" s="1">
        <v>45730</v>
      </c>
      <c r="G800" s="12">
        <v>9.14</v>
      </c>
      <c r="H800" s="2">
        <v>0</v>
      </c>
      <c r="I800" s="2">
        <v>0</v>
      </c>
      <c r="J800" s="2">
        <v>0</v>
      </c>
      <c r="K800" s="20">
        <v>9.14</v>
      </c>
      <c r="L800" t="s">
        <v>794</v>
      </c>
      <c r="M800">
        <f t="shared" si="12"/>
        <v>2025</v>
      </c>
    </row>
    <row r="801" spans="1:13" ht="12.75" hidden="1" customHeight="1">
      <c r="A801" t="s">
        <v>1033</v>
      </c>
      <c r="B801" t="s">
        <v>178</v>
      </c>
      <c r="C801" t="s">
        <v>719</v>
      </c>
      <c r="D801" t="s">
        <v>1017</v>
      </c>
      <c r="E801" s="1">
        <v>45730</v>
      </c>
      <c r="F801" s="1">
        <v>45730</v>
      </c>
      <c r="G801" s="12">
        <v>1719.08</v>
      </c>
      <c r="H801" s="2">
        <v>0</v>
      </c>
      <c r="I801" s="2">
        <v>0</v>
      </c>
      <c r="J801" s="2">
        <v>0</v>
      </c>
      <c r="K801" s="20">
        <v>1719.08</v>
      </c>
      <c r="L801" t="s">
        <v>794</v>
      </c>
      <c r="M801">
        <f t="shared" si="12"/>
        <v>2025</v>
      </c>
    </row>
    <row r="802" spans="1:13" ht="12.75" hidden="1" customHeight="1">
      <c r="A802" t="s">
        <v>1033</v>
      </c>
      <c r="B802" t="s">
        <v>178</v>
      </c>
      <c r="C802" t="s">
        <v>713</v>
      </c>
      <c r="D802" t="s">
        <v>1017</v>
      </c>
      <c r="E802" s="1">
        <v>45730</v>
      </c>
      <c r="F802" s="1">
        <v>45730</v>
      </c>
      <c r="G802" s="12">
        <v>868.80000000000007</v>
      </c>
      <c r="H802" s="2">
        <v>0</v>
      </c>
      <c r="I802" s="2">
        <v>0</v>
      </c>
      <c r="J802" s="2">
        <v>0</v>
      </c>
      <c r="K802" s="20">
        <v>868.80000000000007</v>
      </c>
      <c r="L802" t="s">
        <v>794</v>
      </c>
      <c r="M802">
        <f t="shared" si="12"/>
        <v>2025</v>
      </c>
    </row>
    <row r="803" spans="1:13" ht="12.75" hidden="1" customHeight="1">
      <c r="A803" t="s">
        <v>946</v>
      </c>
      <c r="B803" t="s">
        <v>130</v>
      </c>
      <c r="C803" t="s">
        <v>716</v>
      </c>
      <c r="D803" t="s">
        <v>1017</v>
      </c>
      <c r="E803" s="1">
        <v>45730</v>
      </c>
      <c r="F803" s="1">
        <v>45730</v>
      </c>
      <c r="G803" s="12">
        <v>700</v>
      </c>
      <c r="H803" s="2">
        <v>0</v>
      </c>
      <c r="I803" s="2">
        <v>0</v>
      </c>
      <c r="J803" s="2">
        <v>0</v>
      </c>
      <c r="K803" s="20">
        <v>700</v>
      </c>
      <c r="L803" t="s">
        <v>794</v>
      </c>
      <c r="M803">
        <f t="shared" si="12"/>
        <v>2025</v>
      </c>
    </row>
    <row r="804" spans="1:13" ht="12.75" hidden="1" customHeight="1">
      <c r="A804" t="s">
        <v>891</v>
      </c>
      <c r="B804" t="s">
        <v>102</v>
      </c>
      <c r="C804" t="s">
        <v>710</v>
      </c>
      <c r="D804" t="s">
        <v>1017</v>
      </c>
      <c r="E804" s="1">
        <v>45730</v>
      </c>
      <c r="F804" s="1">
        <v>45730</v>
      </c>
      <c r="G804" s="12">
        <v>500</v>
      </c>
      <c r="H804" s="2">
        <v>0</v>
      </c>
      <c r="I804" s="2">
        <v>0</v>
      </c>
      <c r="J804" s="2">
        <v>0</v>
      </c>
      <c r="K804" s="20">
        <v>500</v>
      </c>
      <c r="L804" t="s">
        <v>794</v>
      </c>
      <c r="M804">
        <f t="shared" si="12"/>
        <v>2025</v>
      </c>
    </row>
    <row r="805" spans="1:13" ht="12.75" hidden="1" customHeight="1">
      <c r="A805" t="s">
        <v>1058</v>
      </c>
      <c r="B805" t="s">
        <v>155</v>
      </c>
      <c r="C805" t="s">
        <v>722</v>
      </c>
      <c r="D805" t="s">
        <v>1017</v>
      </c>
      <c r="E805" s="1">
        <v>45730</v>
      </c>
      <c r="F805" s="1">
        <v>45730</v>
      </c>
      <c r="G805" s="12">
        <v>390</v>
      </c>
      <c r="H805" s="2">
        <v>0</v>
      </c>
      <c r="I805" s="2">
        <v>0</v>
      </c>
      <c r="J805" s="2">
        <v>0</v>
      </c>
      <c r="K805" s="20">
        <v>390</v>
      </c>
      <c r="L805" t="s">
        <v>794</v>
      </c>
      <c r="M805">
        <f t="shared" si="12"/>
        <v>2025</v>
      </c>
    </row>
    <row r="806" spans="1:13" ht="12.75" hidden="1" customHeight="1">
      <c r="A806" t="s">
        <v>886</v>
      </c>
      <c r="B806" t="s">
        <v>194</v>
      </c>
      <c r="C806" t="s">
        <v>743</v>
      </c>
      <c r="D806" t="s">
        <v>1017</v>
      </c>
      <c r="E806" s="1">
        <v>45730</v>
      </c>
      <c r="F806" s="1">
        <v>45730</v>
      </c>
      <c r="G806" s="12">
        <v>217.76</v>
      </c>
      <c r="H806" s="2">
        <v>0</v>
      </c>
      <c r="I806" s="2">
        <v>0</v>
      </c>
      <c r="J806" s="2">
        <v>0</v>
      </c>
      <c r="K806" s="20">
        <v>217.76</v>
      </c>
      <c r="L806" t="s">
        <v>794</v>
      </c>
      <c r="M806">
        <f t="shared" si="12"/>
        <v>2025</v>
      </c>
    </row>
    <row r="807" spans="1:13" ht="12.75" hidden="1" customHeight="1">
      <c r="A807" t="s">
        <v>894</v>
      </c>
      <c r="B807" t="s">
        <v>50</v>
      </c>
      <c r="C807" t="s">
        <v>152</v>
      </c>
      <c r="D807" t="s">
        <v>1017</v>
      </c>
      <c r="E807" s="1">
        <v>45733</v>
      </c>
      <c r="F807" s="1">
        <v>45733</v>
      </c>
      <c r="G807" s="12">
        <v>1518</v>
      </c>
      <c r="H807" s="2">
        <v>0</v>
      </c>
      <c r="I807" s="2">
        <v>0</v>
      </c>
      <c r="J807" s="2">
        <v>0</v>
      </c>
      <c r="K807" s="20">
        <v>1518</v>
      </c>
      <c r="L807" t="s">
        <v>794</v>
      </c>
      <c r="M807">
        <f t="shared" si="12"/>
        <v>2025</v>
      </c>
    </row>
    <row r="808" spans="1:13" ht="12.75" hidden="1" customHeight="1">
      <c r="A808" t="s">
        <v>992</v>
      </c>
      <c r="B808" t="s">
        <v>16</v>
      </c>
      <c r="C808" t="s">
        <v>713</v>
      </c>
      <c r="D808" t="s">
        <v>1017</v>
      </c>
      <c r="E808" s="1">
        <v>45733</v>
      </c>
      <c r="F808" s="1">
        <v>45733</v>
      </c>
      <c r="G808" s="12">
        <v>1048.9000000000001</v>
      </c>
      <c r="H808" s="2">
        <v>0</v>
      </c>
      <c r="I808" s="2">
        <v>0</v>
      </c>
      <c r="J808" s="2">
        <v>0</v>
      </c>
      <c r="K808" s="20">
        <v>1048.9000000000001</v>
      </c>
      <c r="L808" t="s">
        <v>794</v>
      </c>
      <c r="M808">
        <f t="shared" si="12"/>
        <v>2025</v>
      </c>
    </row>
    <row r="809" spans="1:13" ht="12.75" hidden="1" customHeight="1">
      <c r="A809" t="s">
        <v>946</v>
      </c>
      <c r="B809" t="s">
        <v>130</v>
      </c>
      <c r="C809" t="s">
        <v>716</v>
      </c>
      <c r="D809" t="s">
        <v>1017</v>
      </c>
      <c r="E809" s="1">
        <v>45733</v>
      </c>
      <c r="F809" s="1">
        <v>45733</v>
      </c>
      <c r="G809" s="12">
        <v>700</v>
      </c>
      <c r="H809" s="2">
        <v>0</v>
      </c>
      <c r="I809" s="2">
        <v>0</v>
      </c>
      <c r="J809" s="2">
        <v>0</v>
      </c>
      <c r="K809" s="20">
        <v>700</v>
      </c>
      <c r="L809" t="s">
        <v>794</v>
      </c>
      <c r="M809">
        <f t="shared" si="12"/>
        <v>2025</v>
      </c>
    </row>
    <row r="810" spans="1:13" ht="12.75" hidden="1" customHeight="1">
      <c r="A810" t="s">
        <v>1059</v>
      </c>
      <c r="B810" t="s">
        <v>212</v>
      </c>
      <c r="C810" t="s">
        <v>723</v>
      </c>
      <c r="D810" t="s">
        <v>1017</v>
      </c>
      <c r="E810" s="1">
        <v>45733</v>
      </c>
      <c r="F810" s="1">
        <v>45733</v>
      </c>
      <c r="G810" s="12">
        <v>272.39999999999998</v>
      </c>
      <c r="H810" s="2">
        <v>0</v>
      </c>
      <c r="I810" s="2">
        <v>0</v>
      </c>
      <c r="J810" s="2">
        <v>0</v>
      </c>
      <c r="K810" s="20">
        <v>272.39999999999998</v>
      </c>
      <c r="L810" t="s">
        <v>794</v>
      </c>
      <c r="M810">
        <f t="shared" si="12"/>
        <v>2025</v>
      </c>
    </row>
    <row r="811" spans="1:13" ht="12.75" hidden="1" customHeight="1">
      <c r="A811" t="s">
        <v>1000</v>
      </c>
      <c r="B811" t="s">
        <v>31</v>
      </c>
      <c r="C811" t="s">
        <v>141</v>
      </c>
      <c r="D811" t="s">
        <v>1017</v>
      </c>
      <c r="E811" s="1">
        <v>45733</v>
      </c>
      <c r="F811" s="1">
        <v>45733</v>
      </c>
      <c r="G811" s="12">
        <v>262</v>
      </c>
      <c r="H811" s="2">
        <v>0</v>
      </c>
      <c r="I811" s="2">
        <v>0</v>
      </c>
      <c r="J811" s="2">
        <v>0</v>
      </c>
      <c r="K811" s="20">
        <v>262</v>
      </c>
      <c r="L811" t="s">
        <v>794</v>
      </c>
      <c r="M811">
        <f t="shared" si="12"/>
        <v>2025</v>
      </c>
    </row>
    <row r="812" spans="1:13" ht="12.75" hidden="1" customHeight="1">
      <c r="A812" t="s">
        <v>878</v>
      </c>
      <c r="B812" t="s">
        <v>32</v>
      </c>
      <c r="C812" t="s">
        <v>721</v>
      </c>
      <c r="D812" t="s">
        <v>1017</v>
      </c>
      <c r="E812" s="1">
        <v>45733</v>
      </c>
      <c r="F812" s="1">
        <v>45733</v>
      </c>
      <c r="G812" s="12">
        <v>250</v>
      </c>
      <c r="H812" s="2">
        <v>0</v>
      </c>
      <c r="I812" s="2">
        <v>0</v>
      </c>
      <c r="J812" s="2">
        <v>0</v>
      </c>
      <c r="K812" s="20">
        <v>250</v>
      </c>
      <c r="L812" t="s">
        <v>794</v>
      </c>
      <c r="M812">
        <f t="shared" si="12"/>
        <v>2025</v>
      </c>
    </row>
    <row r="813" spans="1:13" ht="12.75" hidden="1" customHeight="1">
      <c r="A813" t="s">
        <v>1002</v>
      </c>
      <c r="B813" t="s">
        <v>39</v>
      </c>
      <c r="C813" t="s">
        <v>141</v>
      </c>
      <c r="D813" t="s">
        <v>1017</v>
      </c>
      <c r="E813" s="1">
        <v>45733</v>
      </c>
      <c r="F813" s="1">
        <v>45733</v>
      </c>
      <c r="G813" s="12">
        <v>36</v>
      </c>
      <c r="H813" s="2">
        <v>0</v>
      </c>
      <c r="I813" s="2">
        <v>0</v>
      </c>
      <c r="J813" s="2">
        <v>0</v>
      </c>
      <c r="K813" s="20">
        <v>36</v>
      </c>
      <c r="L813" t="s">
        <v>794</v>
      </c>
      <c r="M813">
        <f t="shared" si="12"/>
        <v>2025</v>
      </c>
    </row>
    <row r="814" spans="1:13" ht="12.75" hidden="1" customHeight="1">
      <c r="A814" t="s">
        <v>921</v>
      </c>
      <c r="B814" t="s">
        <v>184</v>
      </c>
      <c r="C814" t="s">
        <v>483</v>
      </c>
      <c r="D814" t="s">
        <v>1017</v>
      </c>
      <c r="E814" s="1">
        <v>45733</v>
      </c>
      <c r="F814" s="1">
        <v>45733</v>
      </c>
      <c r="G814" s="12">
        <v>91.960000000000008</v>
      </c>
      <c r="H814" s="2">
        <v>0</v>
      </c>
      <c r="I814" s="2">
        <v>0</v>
      </c>
      <c r="J814" s="2">
        <v>0</v>
      </c>
      <c r="K814" s="20">
        <v>91.960000000000008</v>
      </c>
      <c r="L814" t="s">
        <v>794</v>
      </c>
      <c r="M814">
        <f t="shared" si="12"/>
        <v>2025</v>
      </c>
    </row>
    <row r="815" spans="1:13" ht="12.75" hidden="1" customHeight="1">
      <c r="A815" t="s">
        <v>1009</v>
      </c>
      <c r="B815" t="s">
        <v>62</v>
      </c>
      <c r="C815" t="s">
        <v>140</v>
      </c>
      <c r="D815" t="s">
        <v>1017</v>
      </c>
      <c r="E815" s="1">
        <v>45733</v>
      </c>
      <c r="F815" s="1">
        <v>45733</v>
      </c>
      <c r="G815" s="12">
        <v>30</v>
      </c>
      <c r="H815" s="2">
        <v>0</v>
      </c>
      <c r="I815" s="2">
        <v>0</v>
      </c>
      <c r="J815" s="2">
        <v>0</v>
      </c>
      <c r="K815" s="20">
        <v>30</v>
      </c>
      <c r="L815" t="s">
        <v>794</v>
      </c>
      <c r="M815">
        <f t="shared" si="12"/>
        <v>2025</v>
      </c>
    </row>
    <row r="816" spans="1:13" ht="12.75" hidden="1" customHeight="1">
      <c r="A816" t="s">
        <v>1060</v>
      </c>
      <c r="B816" t="s">
        <v>552</v>
      </c>
      <c r="C816" t="s">
        <v>140</v>
      </c>
      <c r="D816" t="s">
        <v>1017</v>
      </c>
      <c r="E816" s="1">
        <v>45733</v>
      </c>
      <c r="F816" s="1">
        <v>45733</v>
      </c>
      <c r="G816" s="12">
        <v>60</v>
      </c>
      <c r="H816" s="2">
        <v>0</v>
      </c>
      <c r="I816" s="2">
        <v>0</v>
      </c>
      <c r="J816" s="2">
        <v>0</v>
      </c>
      <c r="K816" s="20">
        <v>60</v>
      </c>
      <c r="L816" t="s">
        <v>794</v>
      </c>
      <c r="M816">
        <f t="shared" si="12"/>
        <v>2025</v>
      </c>
    </row>
    <row r="817" spans="1:13" ht="12.75" hidden="1" customHeight="1">
      <c r="A817" t="s">
        <v>1004</v>
      </c>
      <c r="B817" t="s">
        <v>57</v>
      </c>
      <c r="C817" t="s">
        <v>139</v>
      </c>
      <c r="D817" t="s">
        <v>1017</v>
      </c>
      <c r="E817" s="1">
        <v>45733</v>
      </c>
      <c r="F817" s="1">
        <v>45733</v>
      </c>
      <c r="G817" s="12">
        <v>69.600000000000009</v>
      </c>
      <c r="H817" s="2">
        <v>0</v>
      </c>
      <c r="I817" s="2">
        <v>0</v>
      </c>
      <c r="J817" s="2">
        <v>0</v>
      </c>
      <c r="K817" s="20">
        <v>69.600000000000009</v>
      </c>
      <c r="L817" t="s">
        <v>794</v>
      </c>
      <c r="M817">
        <f t="shared" si="12"/>
        <v>2025</v>
      </c>
    </row>
    <row r="818" spans="1:13" ht="12.75" hidden="1" customHeight="1">
      <c r="A818" t="s">
        <v>1016</v>
      </c>
      <c r="B818" t="s">
        <v>528</v>
      </c>
      <c r="C818" t="s">
        <v>760</v>
      </c>
      <c r="D818" t="s">
        <v>1017</v>
      </c>
      <c r="E818" s="1">
        <v>45733</v>
      </c>
      <c r="F818" s="1">
        <v>45733</v>
      </c>
      <c r="G818" s="12">
        <v>50</v>
      </c>
      <c r="H818" s="2">
        <v>0</v>
      </c>
      <c r="I818" s="2">
        <v>0</v>
      </c>
      <c r="J818" s="2">
        <v>0</v>
      </c>
      <c r="K818" s="20">
        <v>50</v>
      </c>
      <c r="L818" t="s">
        <v>794</v>
      </c>
      <c r="M818">
        <f t="shared" si="12"/>
        <v>2025</v>
      </c>
    </row>
    <row r="819" spans="1:13" ht="12.75" hidden="1" customHeight="1">
      <c r="A819" t="s">
        <v>1004</v>
      </c>
      <c r="B819" t="s">
        <v>57</v>
      </c>
      <c r="C819" t="s">
        <v>138</v>
      </c>
      <c r="D819" t="s">
        <v>1017</v>
      </c>
      <c r="E819" s="1">
        <v>45733</v>
      </c>
      <c r="F819" s="1">
        <v>45733</v>
      </c>
      <c r="G819" s="12">
        <v>46.910000000000004</v>
      </c>
      <c r="H819" s="2">
        <v>0</v>
      </c>
      <c r="I819" s="2">
        <v>0</v>
      </c>
      <c r="J819" s="2">
        <v>0</v>
      </c>
      <c r="K819" s="20">
        <v>46.910000000000004</v>
      </c>
      <c r="L819" t="s">
        <v>794</v>
      </c>
      <c r="M819">
        <f t="shared" si="12"/>
        <v>2025</v>
      </c>
    </row>
    <row r="820" spans="1:13" ht="12.75" hidden="1" customHeight="1">
      <c r="A820" t="s">
        <v>1009</v>
      </c>
      <c r="B820" t="s">
        <v>62</v>
      </c>
      <c r="C820" t="s">
        <v>141</v>
      </c>
      <c r="D820" t="s">
        <v>1017</v>
      </c>
      <c r="E820" s="1">
        <v>45733</v>
      </c>
      <c r="F820" s="1">
        <v>45733</v>
      </c>
      <c r="G820" s="12">
        <v>40</v>
      </c>
      <c r="H820" s="2">
        <v>0</v>
      </c>
      <c r="I820" s="2">
        <v>0</v>
      </c>
      <c r="J820" s="2">
        <v>0</v>
      </c>
      <c r="K820" s="20">
        <v>40</v>
      </c>
      <c r="L820" t="s">
        <v>794</v>
      </c>
      <c r="M820">
        <f t="shared" si="12"/>
        <v>2025</v>
      </c>
    </row>
    <row r="821" spans="1:13" ht="12.75" hidden="1" customHeight="1">
      <c r="A821" t="s">
        <v>1061</v>
      </c>
      <c r="B821" t="s">
        <v>515</v>
      </c>
      <c r="C821" t="s">
        <v>140</v>
      </c>
      <c r="D821" t="s">
        <v>1017</v>
      </c>
      <c r="E821" s="1">
        <v>45733</v>
      </c>
      <c r="F821" s="1">
        <v>45733</v>
      </c>
      <c r="G821" s="12">
        <v>30</v>
      </c>
      <c r="H821" s="2">
        <v>0</v>
      </c>
      <c r="I821" s="2">
        <v>0</v>
      </c>
      <c r="J821" s="2">
        <v>0</v>
      </c>
      <c r="K821" s="20">
        <v>30</v>
      </c>
      <c r="L821" t="s">
        <v>794</v>
      </c>
      <c r="M821">
        <f t="shared" si="12"/>
        <v>2025</v>
      </c>
    </row>
    <row r="822" spans="1:13" ht="12.75" hidden="1" customHeight="1">
      <c r="A822" t="s">
        <v>806</v>
      </c>
      <c r="B822" t="s">
        <v>19</v>
      </c>
      <c r="C822" t="s">
        <v>723</v>
      </c>
      <c r="D822" t="s">
        <v>1017</v>
      </c>
      <c r="E822" s="1">
        <v>45733</v>
      </c>
      <c r="F822" s="1">
        <v>45733</v>
      </c>
      <c r="G822" s="12">
        <v>150</v>
      </c>
      <c r="H822" s="2">
        <v>0</v>
      </c>
      <c r="I822" s="2">
        <v>0</v>
      </c>
      <c r="J822" s="2">
        <v>0</v>
      </c>
      <c r="K822" s="20">
        <v>150</v>
      </c>
      <c r="L822" t="s">
        <v>794</v>
      </c>
      <c r="M822">
        <f t="shared" si="12"/>
        <v>2025</v>
      </c>
    </row>
    <row r="823" spans="1:13" ht="12.75" hidden="1" customHeight="1">
      <c r="A823" t="s">
        <v>1004</v>
      </c>
      <c r="B823" t="s">
        <v>57</v>
      </c>
      <c r="C823" t="s">
        <v>138</v>
      </c>
      <c r="D823" t="s">
        <v>1017</v>
      </c>
      <c r="E823" s="1">
        <v>45733</v>
      </c>
      <c r="F823" s="1">
        <v>45733</v>
      </c>
      <c r="G823" s="12">
        <v>15.63</v>
      </c>
      <c r="H823" s="2">
        <v>0</v>
      </c>
      <c r="I823" s="2">
        <v>0</v>
      </c>
      <c r="J823" s="2">
        <v>0</v>
      </c>
      <c r="K823" s="20">
        <v>15.63</v>
      </c>
      <c r="L823" t="s">
        <v>794</v>
      </c>
      <c r="M823">
        <f t="shared" si="12"/>
        <v>2025</v>
      </c>
    </row>
    <row r="824" spans="1:13" ht="12.75" hidden="1" customHeight="1">
      <c r="A824" t="s">
        <v>1004</v>
      </c>
      <c r="B824" t="s">
        <v>57</v>
      </c>
      <c r="C824" t="s">
        <v>139</v>
      </c>
      <c r="D824" t="s">
        <v>1017</v>
      </c>
      <c r="E824" s="1">
        <v>45733</v>
      </c>
      <c r="F824" s="1">
        <v>45733</v>
      </c>
      <c r="G824" s="12">
        <v>23.2</v>
      </c>
      <c r="H824" s="2">
        <v>0</v>
      </c>
      <c r="I824" s="2">
        <v>0</v>
      </c>
      <c r="J824" s="2">
        <v>0</v>
      </c>
      <c r="K824" s="20">
        <v>23.2</v>
      </c>
      <c r="L824" t="s">
        <v>794</v>
      </c>
      <c r="M824">
        <f t="shared" si="12"/>
        <v>2025</v>
      </c>
    </row>
    <row r="825" spans="1:13" ht="12.75" hidden="1" customHeight="1">
      <c r="A825" t="s">
        <v>803</v>
      </c>
      <c r="B825" t="s">
        <v>125</v>
      </c>
      <c r="C825" t="s">
        <v>141</v>
      </c>
      <c r="D825" t="s">
        <v>1017</v>
      </c>
      <c r="E825" s="1">
        <v>45733</v>
      </c>
      <c r="F825" s="1">
        <v>45733</v>
      </c>
      <c r="G825" s="12">
        <v>60</v>
      </c>
      <c r="H825" s="2">
        <v>0</v>
      </c>
      <c r="I825" s="2">
        <v>0</v>
      </c>
      <c r="J825" s="2">
        <v>0</v>
      </c>
      <c r="K825" s="20">
        <v>60</v>
      </c>
      <c r="L825" t="s">
        <v>794</v>
      </c>
      <c r="M825">
        <f t="shared" si="12"/>
        <v>2025</v>
      </c>
    </row>
    <row r="826" spans="1:13" ht="12.75" hidden="1" customHeight="1">
      <c r="A826" t="s">
        <v>1061</v>
      </c>
      <c r="B826" t="s">
        <v>515</v>
      </c>
      <c r="C826" t="s">
        <v>140</v>
      </c>
      <c r="D826" t="s">
        <v>1017</v>
      </c>
      <c r="E826" s="1">
        <v>45733</v>
      </c>
      <c r="F826" s="1">
        <v>45733</v>
      </c>
      <c r="G826" s="12">
        <v>50</v>
      </c>
      <c r="H826" s="2">
        <v>0</v>
      </c>
      <c r="I826" s="2">
        <v>0</v>
      </c>
      <c r="J826" s="2">
        <v>0</v>
      </c>
      <c r="K826" s="20">
        <v>50</v>
      </c>
      <c r="L826" t="s">
        <v>794</v>
      </c>
      <c r="M826">
        <f t="shared" si="12"/>
        <v>2025</v>
      </c>
    </row>
    <row r="827" spans="1:13" ht="12.75" hidden="1" customHeight="1">
      <c r="A827" t="s">
        <v>1062</v>
      </c>
      <c r="B827" t="s">
        <v>39</v>
      </c>
      <c r="C827" t="s">
        <v>141</v>
      </c>
      <c r="D827" t="s">
        <v>1017</v>
      </c>
      <c r="E827" s="1">
        <v>45733</v>
      </c>
      <c r="F827" s="1">
        <v>45733</v>
      </c>
      <c r="G827" s="12">
        <v>400</v>
      </c>
      <c r="H827" s="2">
        <v>0</v>
      </c>
      <c r="I827" s="2">
        <v>0</v>
      </c>
      <c r="J827" s="2">
        <v>0</v>
      </c>
      <c r="K827" s="20">
        <v>400</v>
      </c>
      <c r="L827" t="s">
        <v>794</v>
      </c>
      <c r="M827">
        <f t="shared" si="12"/>
        <v>2025</v>
      </c>
    </row>
    <row r="828" spans="1:13" ht="12.75" hidden="1" customHeight="1">
      <c r="A828" t="s">
        <v>803</v>
      </c>
      <c r="B828" t="s">
        <v>125</v>
      </c>
      <c r="C828" t="s">
        <v>141</v>
      </c>
      <c r="D828" t="s">
        <v>1017</v>
      </c>
      <c r="E828" s="1">
        <v>45733</v>
      </c>
      <c r="F828" s="1">
        <v>45733</v>
      </c>
      <c r="G828" s="12">
        <v>440</v>
      </c>
      <c r="H828" s="2">
        <v>0</v>
      </c>
      <c r="I828" s="2">
        <v>0</v>
      </c>
      <c r="J828" s="2">
        <v>0</v>
      </c>
      <c r="K828" s="20">
        <v>440</v>
      </c>
      <c r="L828" t="s">
        <v>794</v>
      </c>
      <c r="M828">
        <f t="shared" si="12"/>
        <v>2025</v>
      </c>
    </row>
    <row r="829" spans="1:13" ht="12.75" hidden="1" customHeight="1">
      <c r="A829" t="s">
        <v>809</v>
      </c>
      <c r="B829" t="s">
        <v>91</v>
      </c>
      <c r="C829" t="s">
        <v>141</v>
      </c>
      <c r="D829" t="s">
        <v>1017</v>
      </c>
      <c r="E829" s="1">
        <v>45733</v>
      </c>
      <c r="F829" s="1">
        <v>45733</v>
      </c>
      <c r="G829" s="12">
        <v>1550</v>
      </c>
      <c r="H829" s="2">
        <v>0</v>
      </c>
      <c r="I829" s="2">
        <v>0</v>
      </c>
      <c r="J829" s="2">
        <v>0</v>
      </c>
      <c r="K829" s="20">
        <v>1550</v>
      </c>
      <c r="L829" t="s">
        <v>794</v>
      </c>
      <c r="M829">
        <f t="shared" si="12"/>
        <v>2025</v>
      </c>
    </row>
    <row r="830" spans="1:13" ht="12.75" hidden="1" customHeight="1">
      <c r="A830" t="s">
        <v>810</v>
      </c>
      <c r="B830" t="s">
        <v>54</v>
      </c>
      <c r="C830" t="s">
        <v>141</v>
      </c>
      <c r="D830" t="s">
        <v>1017</v>
      </c>
      <c r="E830" s="1">
        <v>45733</v>
      </c>
      <c r="F830" s="1">
        <v>45733</v>
      </c>
      <c r="G830" s="12">
        <v>300</v>
      </c>
      <c r="H830" s="2">
        <v>0</v>
      </c>
      <c r="I830" s="2">
        <v>0</v>
      </c>
      <c r="J830" s="2">
        <v>0</v>
      </c>
      <c r="K830" s="20">
        <v>300</v>
      </c>
      <c r="L830" t="s">
        <v>794</v>
      </c>
      <c r="M830">
        <f t="shared" si="12"/>
        <v>2025</v>
      </c>
    </row>
    <row r="831" spans="1:13" ht="12.75" hidden="1" customHeight="1">
      <c r="A831" t="s">
        <v>812</v>
      </c>
      <c r="B831" t="s">
        <v>31</v>
      </c>
      <c r="C831" t="s">
        <v>141</v>
      </c>
      <c r="D831" t="s">
        <v>1017</v>
      </c>
      <c r="E831" s="1">
        <v>45733</v>
      </c>
      <c r="F831" s="1">
        <v>45733</v>
      </c>
      <c r="G831" s="12">
        <v>1400</v>
      </c>
      <c r="H831" s="2">
        <v>0</v>
      </c>
      <c r="I831" s="2">
        <v>0</v>
      </c>
      <c r="J831" s="2">
        <v>0</v>
      </c>
      <c r="K831" s="20">
        <v>1400</v>
      </c>
      <c r="L831" t="s">
        <v>794</v>
      </c>
      <c r="M831">
        <f t="shared" si="12"/>
        <v>2025</v>
      </c>
    </row>
    <row r="832" spans="1:13" ht="12.75" hidden="1" customHeight="1">
      <c r="A832" t="s">
        <v>1063</v>
      </c>
      <c r="B832" t="s">
        <v>31</v>
      </c>
      <c r="C832" t="s">
        <v>141</v>
      </c>
      <c r="D832" t="s">
        <v>1017</v>
      </c>
      <c r="E832" s="1">
        <v>45733</v>
      </c>
      <c r="F832" s="1">
        <v>45733</v>
      </c>
      <c r="G832" s="12">
        <v>300</v>
      </c>
      <c r="H832" s="2">
        <v>0</v>
      </c>
      <c r="I832" s="2">
        <v>0</v>
      </c>
      <c r="J832" s="2">
        <v>0</v>
      </c>
      <c r="K832" s="20">
        <v>300</v>
      </c>
      <c r="L832" t="s">
        <v>794</v>
      </c>
      <c r="M832">
        <f t="shared" si="12"/>
        <v>2025</v>
      </c>
    </row>
    <row r="833" spans="1:13" ht="12.75" hidden="1" customHeight="1">
      <c r="A833" t="s">
        <v>818</v>
      </c>
      <c r="B833" t="s">
        <v>30</v>
      </c>
      <c r="C833" t="s">
        <v>141</v>
      </c>
      <c r="D833" t="s">
        <v>1017</v>
      </c>
      <c r="E833" s="1">
        <v>45733</v>
      </c>
      <c r="F833" s="1">
        <v>45733</v>
      </c>
      <c r="G833" s="12">
        <v>1450</v>
      </c>
      <c r="H833" s="2">
        <v>0</v>
      </c>
      <c r="I833" s="2">
        <v>0</v>
      </c>
      <c r="J833" s="2">
        <v>0</v>
      </c>
      <c r="K833" s="20">
        <v>1450</v>
      </c>
      <c r="L833" t="s">
        <v>794</v>
      </c>
      <c r="M833">
        <f t="shared" si="12"/>
        <v>2025</v>
      </c>
    </row>
    <row r="834" spans="1:13" ht="12.75" hidden="1" customHeight="1">
      <c r="A834" t="s">
        <v>866</v>
      </c>
      <c r="B834" t="s">
        <v>78</v>
      </c>
      <c r="C834" t="s">
        <v>200</v>
      </c>
      <c r="D834" t="s">
        <v>1017</v>
      </c>
      <c r="E834" s="1">
        <v>45733</v>
      </c>
      <c r="F834" s="1">
        <v>45733</v>
      </c>
      <c r="G834" s="12">
        <v>360</v>
      </c>
      <c r="H834" s="2">
        <v>0</v>
      </c>
      <c r="I834" s="2">
        <v>0</v>
      </c>
      <c r="J834" s="2">
        <v>0</v>
      </c>
      <c r="K834" s="20">
        <v>360</v>
      </c>
      <c r="L834" t="s">
        <v>794</v>
      </c>
      <c r="M834">
        <f t="shared" si="12"/>
        <v>2025</v>
      </c>
    </row>
    <row r="835" spans="1:13" ht="12.75" hidden="1" customHeight="1">
      <c r="A835" t="s">
        <v>1009</v>
      </c>
      <c r="B835" t="s">
        <v>62</v>
      </c>
      <c r="C835" t="s">
        <v>139</v>
      </c>
      <c r="D835" t="s">
        <v>1017</v>
      </c>
      <c r="E835" s="1">
        <v>45733</v>
      </c>
      <c r="F835" s="1">
        <v>45733</v>
      </c>
      <c r="G835" s="12">
        <v>34.800000000000004</v>
      </c>
      <c r="H835" s="2">
        <v>0</v>
      </c>
      <c r="I835" s="2">
        <v>0</v>
      </c>
      <c r="J835" s="2">
        <v>0</v>
      </c>
      <c r="K835" s="20">
        <v>34.800000000000004</v>
      </c>
      <c r="L835" t="s">
        <v>794</v>
      </c>
      <c r="M835">
        <f t="shared" ref="M835:M898" si="13">YEAR(F835)</f>
        <v>2025</v>
      </c>
    </row>
    <row r="836" spans="1:13" ht="12.75" hidden="1" customHeight="1">
      <c r="A836" t="s">
        <v>992</v>
      </c>
      <c r="B836" t="s">
        <v>277</v>
      </c>
      <c r="C836" t="s">
        <v>99</v>
      </c>
      <c r="D836" t="s">
        <v>1017</v>
      </c>
      <c r="E836" s="1">
        <v>45733</v>
      </c>
      <c r="F836" s="1">
        <v>45733</v>
      </c>
      <c r="G836" s="12">
        <v>214.56</v>
      </c>
      <c r="H836" s="2">
        <v>0</v>
      </c>
      <c r="I836" s="2">
        <v>0</v>
      </c>
      <c r="J836" s="2">
        <v>0</v>
      </c>
      <c r="K836" s="20">
        <v>214.56</v>
      </c>
      <c r="L836" t="s">
        <v>794</v>
      </c>
      <c r="M836">
        <f t="shared" si="13"/>
        <v>2025</v>
      </c>
    </row>
    <row r="837" spans="1:13" ht="12.75" hidden="1" customHeight="1">
      <c r="A837" t="s">
        <v>1009</v>
      </c>
      <c r="B837" t="s">
        <v>62</v>
      </c>
      <c r="C837" t="s">
        <v>140</v>
      </c>
      <c r="D837" t="s">
        <v>1017</v>
      </c>
      <c r="E837" s="1">
        <v>45733</v>
      </c>
      <c r="F837" s="1">
        <v>45733</v>
      </c>
      <c r="G837" s="12">
        <v>30</v>
      </c>
      <c r="H837" s="2">
        <v>0</v>
      </c>
      <c r="I837" s="2">
        <v>0</v>
      </c>
      <c r="J837" s="2">
        <v>0</v>
      </c>
      <c r="K837" s="20">
        <v>30</v>
      </c>
      <c r="L837" t="s">
        <v>794</v>
      </c>
      <c r="M837">
        <f t="shared" si="13"/>
        <v>2025</v>
      </c>
    </row>
    <row r="838" spans="1:13" ht="12.75" hidden="1" customHeight="1">
      <c r="A838" t="s">
        <v>1060</v>
      </c>
      <c r="B838" t="s">
        <v>552</v>
      </c>
      <c r="C838" t="s">
        <v>140</v>
      </c>
      <c r="D838" t="s">
        <v>1017</v>
      </c>
      <c r="E838" s="1">
        <v>45733</v>
      </c>
      <c r="F838" s="1">
        <v>45733</v>
      </c>
      <c r="G838" s="12">
        <v>30</v>
      </c>
      <c r="H838" s="2">
        <v>0</v>
      </c>
      <c r="I838" s="2">
        <v>0</v>
      </c>
      <c r="J838" s="2">
        <v>0</v>
      </c>
      <c r="K838" s="20">
        <v>30</v>
      </c>
      <c r="L838" t="s">
        <v>794</v>
      </c>
      <c r="M838">
        <f t="shared" si="13"/>
        <v>2025</v>
      </c>
    </row>
    <row r="839" spans="1:13" ht="12.75" hidden="1" customHeight="1">
      <c r="A839" t="s">
        <v>1061</v>
      </c>
      <c r="B839" t="s">
        <v>515</v>
      </c>
      <c r="C839" t="s">
        <v>140</v>
      </c>
      <c r="D839" t="s">
        <v>1017</v>
      </c>
      <c r="E839" s="1">
        <v>45733</v>
      </c>
      <c r="F839" s="1">
        <v>45733</v>
      </c>
      <c r="G839" s="12">
        <v>30</v>
      </c>
      <c r="H839" s="2">
        <v>0</v>
      </c>
      <c r="I839" s="2">
        <v>0</v>
      </c>
      <c r="J839" s="2">
        <v>0</v>
      </c>
      <c r="K839" s="20">
        <v>30</v>
      </c>
      <c r="L839" t="s">
        <v>794</v>
      </c>
      <c r="M839">
        <f t="shared" si="13"/>
        <v>2025</v>
      </c>
    </row>
    <row r="840" spans="1:13" ht="12.75" hidden="1" customHeight="1">
      <c r="A840" t="s">
        <v>1009</v>
      </c>
      <c r="B840" t="s">
        <v>62</v>
      </c>
      <c r="C840" t="s">
        <v>139</v>
      </c>
      <c r="D840" t="s">
        <v>1017</v>
      </c>
      <c r="E840" s="1">
        <v>45733</v>
      </c>
      <c r="F840" s="1">
        <v>45733</v>
      </c>
      <c r="G840" s="12">
        <v>81.2</v>
      </c>
      <c r="H840" s="2">
        <v>0</v>
      </c>
      <c r="I840" s="2">
        <v>0</v>
      </c>
      <c r="J840" s="2">
        <v>0</v>
      </c>
      <c r="K840" s="20">
        <v>81.2</v>
      </c>
      <c r="L840" t="s">
        <v>794</v>
      </c>
      <c r="M840">
        <f t="shared" si="13"/>
        <v>2025</v>
      </c>
    </row>
    <row r="841" spans="1:13" ht="12.75" hidden="1" customHeight="1">
      <c r="A841" t="s">
        <v>801</v>
      </c>
      <c r="B841" t="s">
        <v>13</v>
      </c>
      <c r="C841" t="s">
        <v>751</v>
      </c>
      <c r="D841" t="s">
        <v>1017</v>
      </c>
      <c r="E841" s="1">
        <v>45733</v>
      </c>
      <c r="F841" s="1">
        <v>45733</v>
      </c>
      <c r="G841" s="12">
        <v>222.02</v>
      </c>
      <c r="H841" s="2">
        <v>0</v>
      </c>
      <c r="I841" s="2">
        <v>0</v>
      </c>
      <c r="J841" s="2">
        <v>0</v>
      </c>
      <c r="K841" s="20">
        <v>222.02</v>
      </c>
      <c r="L841" t="s">
        <v>794</v>
      </c>
      <c r="M841">
        <f t="shared" si="13"/>
        <v>2025</v>
      </c>
    </row>
    <row r="842" spans="1:13" ht="12.75" hidden="1" customHeight="1">
      <c r="A842" t="s">
        <v>801</v>
      </c>
      <c r="B842" t="s">
        <v>13</v>
      </c>
      <c r="C842" t="s">
        <v>726</v>
      </c>
      <c r="D842" t="s">
        <v>1025</v>
      </c>
      <c r="E842" s="1">
        <v>45733</v>
      </c>
      <c r="F842" s="1">
        <v>45733</v>
      </c>
      <c r="G842" s="12">
        <v>2.04</v>
      </c>
      <c r="H842" s="2">
        <v>0</v>
      </c>
      <c r="I842" s="2">
        <v>0</v>
      </c>
      <c r="J842" s="2">
        <v>0</v>
      </c>
      <c r="K842" s="20">
        <v>2.04</v>
      </c>
      <c r="L842" t="s">
        <v>794</v>
      </c>
      <c r="M842">
        <f t="shared" si="13"/>
        <v>2025</v>
      </c>
    </row>
    <row r="843" spans="1:13" ht="12.75" hidden="1" customHeight="1">
      <c r="A843" t="s">
        <v>801</v>
      </c>
      <c r="B843" t="s">
        <v>13</v>
      </c>
      <c r="C843" t="s">
        <v>717</v>
      </c>
      <c r="D843" t="s">
        <v>1017</v>
      </c>
      <c r="E843" s="1">
        <v>45733</v>
      </c>
      <c r="F843" s="1">
        <v>45733</v>
      </c>
      <c r="G843" s="12">
        <v>5472</v>
      </c>
      <c r="H843" s="2">
        <v>0</v>
      </c>
      <c r="I843" s="2">
        <v>0</v>
      </c>
      <c r="J843" s="2">
        <v>0</v>
      </c>
      <c r="K843" s="20">
        <v>5472</v>
      </c>
      <c r="L843" t="s">
        <v>794</v>
      </c>
      <c r="M843">
        <f t="shared" si="13"/>
        <v>2025</v>
      </c>
    </row>
    <row r="844" spans="1:13" ht="12.75" hidden="1" customHeight="1">
      <c r="A844" t="s">
        <v>1064</v>
      </c>
      <c r="B844" t="s">
        <v>444</v>
      </c>
      <c r="C844" t="s">
        <v>438</v>
      </c>
      <c r="D844" t="s">
        <v>1017</v>
      </c>
      <c r="E844" s="1">
        <v>45733</v>
      </c>
      <c r="F844" s="1">
        <v>45733</v>
      </c>
      <c r="G844" s="12">
        <v>254</v>
      </c>
      <c r="H844" s="2">
        <v>0</v>
      </c>
      <c r="I844" s="2">
        <v>0</v>
      </c>
      <c r="J844" s="2">
        <v>0</v>
      </c>
      <c r="K844" s="20">
        <v>254</v>
      </c>
      <c r="L844" t="s">
        <v>794</v>
      </c>
      <c r="M844">
        <f t="shared" si="13"/>
        <v>2025</v>
      </c>
    </row>
    <row r="845" spans="1:13" ht="12.75" hidden="1" customHeight="1">
      <c r="A845" t="s">
        <v>832</v>
      </c>
      <c r="B845" t="s">
        <v>120</v>
      </c>
      <c r="C845" t="s">
        <v>204</v>
      </c>
      <c r="D845" t="s">
        <v>1017</v>
      </c>
      <c r="E845" s="1">
        <v>45733</v>
      </c>
      <c r="F845" s="1">
        <v>45733</v>
      </c>
      <c r="G845" s="12">
        <v>3199.28</v>
      </c>
      <c r="H845" s="2">
        <v>0</v>
      </c>
      <c r="I845" s="2">
        <v>0</v>
      </c>
      <c r="J845" s="2">
        <v>0</v>
      </c>
      <c r="K845" s="20">
        <v>3199.28</v>
      </c>
      <c r="L845" t="s">
        <v>794</v>
      </c>
      <c r="M845">
        <f t="shared" si="13"/>
        <v>2025</v>
      </c>
    </row>
    <row r="846" spans="1:13" ht="12.75" hidden="1" customHeight="1">
      <c r="A846" t="s">
        <v>888</v>
      </c>
      <c r="B846" t="s">
        <v>16</v>
      </c>
      <c r="C846" t="s">
        <v>716</v>
      </c>
      <c r="D846" t="s">
        <v>1017</v>
      </c>
      <c r="E846" s="1">
        <v>45733</v>
      </c>
      <c r="F846" s="1">
        <v>45733</v>
      </c>
      <c r="G846" s="12">
        <v>20977.16</v>
      </c>
      <c r="H846" s="2">
        <v>0</v>
      </c>
      <c r="I846" s="2">
        <v>0</v>
      </c>
      <c r="J846" s="2">
        <v>0</v>
      </c>
      <c r="K846" s="20">
        <v>20977.16</v>
      </c>
      <c r="L846" t="s">
        <v>794</v>
      </c>
      <c r="M846">
        <f t="shared" si="13"/>
        <v>2025</v>
      </c>
    </row>
    <row r="847" spans="1:13" ht="12.75" hidden="1" customHeight="1">
      <c r="A847" t="s">
        <v>810</v>
      </c>
      <c r="B847" t="s">
        <v>54</v>
      </c>
      <c r="C847" t="s">
        <v>141</v>
      </c>
      <c r="D847" t="s">
        <v>1017</v>
      </c>
      <c r="E847" s="1">
        <v>45733</v>
      </c>
      <c r="F847" s="1">
        <v>45733</v>
      </c>
      <c r="G847" s="12">
        <v>160</v>
      </c>
      <c r="H847" s="2">
        <v>0</v>
      </c>
      <c r="I847" s="2">
        <v>0</v>
      </c>
      <c r="J847" s="2">
        <v>0</v>
      </c>
      <c r="K847" s="20">
        <v>160</v>
      </c>
      <c r="L847" t="s">
        <v>794</v>
      </c>
      <c r="M847">
        <f t="shared" si="13"/>
        <v>2025</v>
      </c>
    </row>
    <row r="848" spans="1:13" ht="12.75" hidden="1" customHeight="1">
      <c r="A848" t="s">
        <v>1062</v>
      </c>
      <c r="B848" t="s">
        <v>39</v>
      </c>
      <c r="C848" t="s">
        <v>141</v>
      </c>
      <c r="D848" t="s">
        <v>1017</v>
      </c>
      <c r="E848" s="1">
        <v>45733</v>
      </c>
      <c r="F848" s="1">
        <v>45733</v>
      </c>
      <c r="G848" s="12">
        <v>36</v>
      </c>
      <c r="H848" s="2">
        <v>0</v>
      </c>
      <c r="I848" s="2">
        <v>0</v>
      </c>
      <c r="J848" s="2">
        <v>0</v>
      </c>
      <c r="K848" s="20">
        <v>36</v>
      </c>
      <c r="L848" t="s">
        <v>794</v>
      </c>
      <c r="M848">
        <f t="shared" si="13"/>
        <v>2025</v>
      </c>
    </row>
    <row r="849" spans="1:13" ht="12.75" hidden="1" customHeight="1">
      <c r="A849" t="s">
        <v>940</v>
      </c>
      <c r="B849" t="s">
        <v>29</v>
      </c>
      <c r="C849" t="s">
        <v>206</v>
      </c>
      <c r="D849" t="s">
        <v>1017</v>
      </c>
      <c r="E849" s="1">
        <v>45734</v>
      </c>
      <c r="F849" s="1">
        <v>45734</v>
      </c>
      <c r="G849" s="12">
        <v>1842.3</v>
      </c>
      <c r="H849" s="2">
        <v>0</v>
      </c>
      <c r="I849" s="2">
        <v>0</v>
      </c>
      <c r="J849" s="2">
        <v>0</v>
      </c>
      <c r="K849" s="20">
        <v>1842.3</v>
      </c>
      <c r="L849" t="s">
        <v>794</v>
      </c>
      <c r="M849">
        <f t="shared" si="13"/>
        <v>2025</v>
      </c>
    </row>
    <row r="850" spans="1:13" ht="12.75" hidden="1" customHeight="1">
      <c r="A850" t="s">
        <v>940</v>
      </c>
      <c r="B850" t="s">
        <v>29</v>
      </c>
      <c r="C850" t="s">
        <v>752</v>
      </c>
      <c r="D850" t="s">
        <v>1017</v>
      </c>
      <c r="E850" s="1">
        <v>45734</v>
      </c>
      <c r="F850" s="1">
        <v>45734</v>
      </c>
      <c r="G850" s="12">
        <v>1365.76</v>
      </c>
      <c r="H850" s="2">
        <v>0</v>
      </c>
      <c r="I850" s="2">
        <v>0</v>
      </c>
      <c r="J850" s="2">
        <v>0</v>
      </c>
      <c r="K850" s="20">
        <v>1365.76</v>
      </c>
      <c r="L850" t="s">
        <v>794</v>
      </c>
      <c r="M850">
        <f t="shared" si="13"/>
        <v>2025</v>
      </c>
    </row>
    <row r="851" spans="1:13" ht="12.75" hidden="1" customHeight="1">
      <c r="A851" t="s">
        <v>940</v>
      </c>
      <c r="B851" t="s">
        <v>29</v>
      </c>
      <c r="C851" t="s">
        <v>206</v>
      </c>
      <c r="D851" t="s">
        <v>1017</v>
      </c>
      <c r="E851" s="1">
        <v>45734</v>
      </c>
      <c r="F851" s="1">
        <v>45734</v>
      </c>
      <c r="G851" s="12">
        <v>1157.7</v>
      </c>
      <c r="H851" s="2">
        <v>0</v>
      </c>
      <c r="I851" s="2">
        <v>0</v>
      </c>
      <c r="J851" s="2">
        <v>0</v>
      </c>
      <c r="K851" s="20">
        <v>1157.7</v>
      </c>
      <c r="L851" t="s">
        <v>794</v>
      </c>
      <c r="M851">
        <f t="shared" si="13"/>
        <v>2025</v>
      </c>
    </row>
    <row r="852" spans="1:13" ht="12.75" hidden="1" customHeight="1">
      <c r="A852" t="s">
        <v>940</v>
      </c>
      <c r="B852" t="s">
        <v>29</v>
      </c>
      <c r="C852" t="s">
        <v>206</v>
      </c>
      <c r="D852" t="s">
        <v>1017</v>
      </c>
      <c r="E852" s="1">
        <v>45734</v>
      </c>
      <c r="F852" s="1">
        <v>45734</v>
      </c>
      <c r="G852" s="12">
        <v>834.24</v>
      </c>
      <c r="H852" s="2">
        <v>0</v>
      </c>
      <c r="I852" s="2">
        <v>0</v>
      </c>
      <c r="J852" s="2">
        <v>0</v>
      </c>
      <c r="K852" s="20">
        <v>834.24</v>
      </c>
      <c r="L852" t="s">
        <v>794</v>
      </c>
      <c r="M852">
        <f t="shared" si="13"/>
        <v>2025</v>
      </c>
    </row>
    <row r="853" spans="1:13" ht="12.75" hidden="1" customHeight="1">
      <c r="A853" t="s">
        <v>1065</v>
      </c>
      <c r="B853" t="s">
        <v>650</v>
      </c>
      <c r="C853" t="s">
        <v>710</v>
      </c>
      <c r="D853" t="s">
        <v>1017</v>
      </c>
      <c r="E853" s="1">
        <v>45734</v>
      </c>
      <c r="F853" s="1">
        <v>45734</v>
      </c>
      <c r="G853" s="12">
        <v>38</v>
      </c>
      <c r="H853" s="2">
        <v>0</v>
      </c>
      <c r="I853" s="2">
        <v>0</v>
      </c>
      <c r="J853" s="2">
        <v>0</v>
      </c>
      <c r="K853" s="20">
        <v>38</v>
      </c>
      <c r="L853" t="s">
        <v>794</v>
      </c>
      <c r="M853">
        <f t="shared" si="13"/>
        <v>2025</v>
      </c>
    </row>
    <row r="854" spans="1:13" ht="12.75" hidden="1" customHeight="1">
      <c r="A854" t="s">
        <v>801</v>
      </c>
      <c r="B854" t="s">
        <v>13</v>
      </c>
      <c r="C854" t="s">
        <v>726</v>
      </c>
      <c r="D854" t="s">
        <v>1017</v>
      </c>
      <c r="E854" s="1">
        <v>45734</v>
      </c>
      <c r="F854" s="1">
        <v>45734</v>
      </c>
      <c r="G854" s="12">
        <v>10.200000000000001</v>
      </c>
      <c r="H854" s="2">
        <v>0</v>
      </c>
      <c r="I854" s="2">
        <v>0</v>
      </c>
      <c r="J854" s="2">
        <v>0</v>
      </c>
      <c r="K854" s="20">
        <v>10.200000000000001</v>
      </c>
      <c r="L854" t="s">
        <v>794</v>
      </c>
      <c r="M854">
        <f t="shared" si="13"/>
        <v>2025</v>
      </c>
    </row>
    <row r="855" spans="1:13" ht="12.75" hidden="1" customHeight="1">
      <c r="A855" t="s">
        <v>1066</v>
      </c>
      <c r="B855" t="s">
        <v>486</v>
      </c>
      <c r="C855" t="s">
        <v>710</v>
      </c>
      <c r="D855" t="s">
        <v>1017</v>
      </c>
      <c r="E855" s="1">
        <v>45734</v>
      </c>
      <c r="F855" s="1">
        <v>45734</v>
      </c>
      <c r="G855" s="12">
        <v>38</v>
      </c>
      <c r="H855" s="2">
        <v>0</v>
      </c>
      <c r="I855" s="2">
        <v>0</v>
      </c>
      <c r="J855" s="2">
        <v>0</v>
      </c>
      <c r="K855" s="20">
        <v>38</v>
      </c>
      <c r="L855" t="s">
        <v>794</v>
      </c>
      <c r="M855">
        <f t="shared" si="13"/>
        <v>2025</v>
      </c>
    </row>
    <row r="856" spans="1:13" ht="12.75" hidden="1" customHeight="1">
      <c r="A856" t="s">
        <v>996</v>
      </c>
      <c r="B856" t="s">
        <v>323</v>
      </c>
      <c r="C856" t="s">
        <v>200</v>
      </c>
      <c r="D856" t="s">
        <v>1017</v>
      </c>
      <c r="E856" s="1">
        <v>45735</v>
      </c>
      <c r="F856" s="1">
        <v>45735</v>
      </c>
      <c r="G856" s="12">
        <v>240</v>
      </c>
      <c r="H856" s="2">
        <v>0</v>
      </c>
      <c r="I856" s="2">
        <v>0</v>
      </c>
      <c r="J856" s="2">
        <v>0</v>
      </c>
      <c r="K856" s="20">
        <v>240</v>
      </c>
      <c r="L856" t="s">
        <v>794</v>
      </c>
      <c r="M856">
        <f t="shared" si="13"/>
        <v>2025</v>
      </c>
    </row>
    <row r="857" spans="1:13" ht="12.75" hidden="1" customHeight="1">
      <c r="A857" t="s">
        <v>1067</v>
      </c>
      <c r="B857" t="s">
        <v>249</v>
      </c>
      <c r="C857" t="s">
        <v>140</v>
      </c>
      <c r="D857" t="s">
        <v>1017</v>
      </c>
      <c r="E857" s="1">
        <v>45735</v>
      </c>
      <c r="F857" s="1">
        <v>45735</v>
      </c>
      <c r="G857" s="12">
        <v>30</v>
      </c>
      <c r="H857" s="2">
        <v>0</v>
      </c>
      <c r="I857" s="2">
        <v>0</v>
      </c>
      <c r="J857" s="2">
        <v>0</v>
      </c>
      <c r="K857" s="20">
        <v>30</v>
      </c>
      <c r="L857" t="s">
        <v>794</v>
      </c>
      <c r="M857">
        <f t="shared" si="13"/>
        <v>2025</v>
      </c>
    </row>
    <row r="858" spans="1:13" ht="12.75" hidden="1" customHeight="1">
      <c r="A858" t="s">
        <v>905</v>
      </c>
      <c r="B858" t="s">
        <v>15</v>
      </c>
      <c r="C858" t="s">
        <v>715</v>
      </c>
      <c r="D858" t="s">
        <v>1017</v>
      </c>
      <c r="E858" s="1">
        <v>45736</v>
      </c>
      <c r="F858" s="1">
        <v>45736</v>
      </c>
      <c r="G858" s="12">
        <v>19665.25</v>
      </c>
      <c r="H858" s="2">
        <v>0</v>
      </c>
      <c r="I858" s="2">
        <v>0</v>
      </c>
      <c r="J858" s="2">
        <v>0</v>
      </c>
      <c r="K858" s="20">
        <v>19665.25</v>
      </c>
      <c r="L858" t="s">
        <v>794</v>
      </c>
      <c r="M858">
        <f t="shared" si="13"/>
        <v>2025</v>
      </c>
    </row>
    <row r="859" spans="1:13" ht="12.75" hidden="1" customHeight="1">
      <c r="A859" t="s">
        <v>1068</v>
      </c>
      <c r="B859" t="s">
        <v>22</v>
      </c>
      <c r="C859" t="s">
        <v>717</v>
      </c>
      <c r="D859" t="s">
        <v>1017</v>
      </c>
      <c r="E859" s="1">
        <v>45736</v>
      </c>
      <c r="F859" s="1">
        <v>45736</v>
      </c>
      <c r="G859" s="12">
        <v>2890</v>
      </c>
      <c r="H859" s="2">
        <v>0</v>
      </c>
      <c r="I859" s="2">
        <v>0</v>
      </c>
      <c r="J859" s="2">
        <v>0</v>
      </c>
      <c r="K859" s="20">
        <v>2890</v>
      </c>
      <c r="L859" t="s">
        <v>794</v>
      </c>
      <c r="M859">
        <f t="shared" si="13"/>
        <v>2025</v>
      </c>
    </row>
    <row r="860" spans="1:13" ht="12.75" hidden="1" customHeight="1">
      <c r="A860" t="s">
        <v>909</v>
      </c>
      <c r="B860" t="s">
        <v>97</v>
      </c>
      <c r="C860" t="s">
        <v>717</v>
      </c>
      <c r="D860" t="s">
        <v>1017</v>
      </c>
      <c r="E860" s="1">
        <v>45736</v>
      </c>
      <c r="F860" s="1">
        <v>45736</v>
      </c>
      <c r="G860" s="12">
        <v>2000</v>
      </c>
      <c r="H860" s="2">
        <v>0</v>
      </c>
      <c r="I860" s="2">
        <v>0</v>
      </c>
      <c r="J860" s="2">
        <v>0</v>
      </c>
      <c r="K860" s="20">
        <v>2000</v>
      </c>
      <c r="L860" t="s">
        <v>794</v>
      </c>
      <c r="M860">
        <f t="shared" si="13"/>
        <v>2025</v>
      </c>
    </row>
    <row r="861" spans="1:13" ht="12.75" hidden="1" customHeight="1">
      <c r="A861" t="s">
        <v>839</v>
      </c>
      <c r="B861" t="s">
        <v>44</v>
      </c>
      <c r="C861" t="s">
        <v>722</v>
      </c>
      <c r="D861" t="s">
        <v>1017</v>
      </c>
      <c r="E861" s="1">
        <v>45736</v>
      </c>
      <c r="F861" s="1">
        <v>45736</v>
      </c>
      <c r="G861" s="12">
        <v>941.56000000000006</v>
      </c>
      <c r="H861" s="2">
        <v>0</v>
      </c>
      <c r="I861" s="2">
        <v>0</v>
      </c>
      <c r="J861" s="2">
        <v>0</v>
      </c>
      <c r="K861" s="20">
        <v>941.56000000000006</v>
      </c>
      <c r="L861" t="s">
        <v>794</v>
      </c>
      <c r="M861">
        <f t="shared" si="13"/>
        <v>2025</v>
      </c>
    </row>
    <row r="862" spans="1:13" ht="12.75" hidden="1" customHeight="1">
      <c r="A862" t="s">
        <v>1069</v>
      </c>
      <c r="B862" t="s">
        <v>147</v>
      </c>
      <c r="C862" t="s">
        <v>738</v>
      </c>
      <c r="D862" t="s">
        <v>1017</v>
      </c>
      <c r="E862" s="1">
        <v>45736</v>
      </c>
      <c r="F862" s="1">
        <v>45736</v>
      </c>
      <c r="G862" s="12">
        <v>350</v>
      </c>
      <c r="H862" s="2">
        <v>0</v>
      </c>
      <c r="I862" s="2">
        <v>0</v>
      </c>
      <c r="J862" s="2">
        <v>0</v>
      </c>
      <c r="K862" s="20">
        <v>350</v>
      </c>
      <c r="L862" t="s">
        <v>794</v>
      </c>
      <c r="M862">
        <f t="shared" si="13"/>
        <v>2025</v>
      </c>
    </row>
    <row r="863" spans="1:13" ht="12.75" hidden="1" customHeight="1">
      <c r="A863" t="s">
        <v>839</v>
      </c>
      <c r="B863" t="s">
        <v>44</v>
      </c>
      <c r="C863" t="s">
        <v>722</v>
      </c>
      <c r="D863" t="s">
        <v>1017</v>
      </c>
      <c r="E863" s="1">
        <v>45736</v>
      </c>
      <c r="F863" s="1">
        <v>45736</v>
      </c>
      <c r="G863" s="12">
        <v>791.23</v>
      </c>
      <c r="H863" s="2">
        <v>0</v>
      </c>
      <c r="I863" s="2">
        <v>0</v>
      </c>
      <c r="J863" s="2">
        <v>0</v>
      </c>
      <c r="K863" s="20">
        <v>791.23</v>
      </c>
      <c r="L863" t="s">
        <v>794</v>
      </c>
      <c r="M863">
        <f t="shared" si="13"/>
        <v>2025</v>
      </c>
    </row>
    <row r="864" spans="1:13" ht="12.75" hidden="1" customHeight="1">
      <c r="A864" t="s">
        <v>905</v>
      </c>
      <c r="B864" t="s">
        <v>15</v>
      </c>
      <c r="C864" t="s">
        <v>747</v>
      </c>
      <c r="D864" t="s">
        <v>1017</v>
      </c>
      <c r="E864" s="1">
        <v>45736</v>
      </c>
      <c r="F864" s="1">
        <v>45736</v>
      </c>
      <c r="G864" s="12">
        <v>2778.9</v>
      </c>
      <c r="H864" s="2">
        <v>0</v>
      </c>
      <c r="I864" s="2">
        <v>0</v>
      </c>
      <c r="J864" s="2">
        <v>0</v>
      </c>
      <c r="K864" s="20">
        <v>2778.9</v>
      </c>
      <c r="L864" t="s">
        <v>794</v>
      </c>
      <c r="M864">
        <f t="shared" si="13"/>
        <v>2025</v>
      </c>
    </row>
    <row r="865" spans="1:13" ht="12.75" hidden="1" customHeight="1">
      <c r="A865" t="s">
        <v>914</v>
      </c>
      <c r="B865" t="s">
        <v>28</v>
      </c>
      <c r="C865" t="s">
        <v>724</v>
      </c>
      <c r="D865" t="s">
        <v>1017</v>
      </c>
      <c r="E865" s="1">
        <v>45736</v>
      </c>
      <c r="F865" s="1">
        <v>45736</v>
      </c>
      <c r="G865" s="12">
        <v>2809.54</v>
      </c>
      <c r="H865" s="2">
        <v>0</v>
      </c>
      <c r="I865" s="2">
        <v>0</v>
      </c>
      <c r="J865" s="2">
        <v>0</v>
      </c>
      <c r="K865" s="20">
        <v>2809.54</v>
      </c>
      <c r="L865" t="s">
        <v>794</v>
      </c>
      <c r="M865">
        <f t="shared" si="13"/>
        <v>2025</v>
      </c>
    </row>
    <row r="866" spans="1:13" ht="12.75" hidden="1" customHeight="1">
      <c r="A866" t="s">
        <v>888</v>
      </c>
      <c r="B866" t="s">
        <v>16</v>
      </c>
      <c r="C866" t="s">
        <v>713</v>
      </c>
      <c r="D866" t="s">
        <v>1017</v>
      </c>
      <c r="E866" s="1">
        <v>45736</v>
      </c>
      <c r="F866" s="1">
        <v>45736</v>
      </c>
      <c r="G866" s="12">
        <v>7068.92</v>
      </c>
      <c r="H866" s="2">
        <v>0</v>
      </c>
      <c r="I866" s="2">
        <v>0</v>
      </c>
      <c r="J866" s="2">
        <v>0</v>
      </c>
      <c r="K866" s="20">
        <v>7068.92</v>
      </c>
      <c r="L866" t="s">
        <v>794</v>
      </c>
      <c r="M866">
        <f t="shared" si="13"/>
        <v>2025</v>
      </c>
    </row>
    <row r="867" spans="1:13" ht="12.75" hidden="1" customHeight="1">
      <c r="A867" t="s">
        <v>805</v>
      </c>
      <c r="B867" t="s">
        <v>17</v>
      </c>
      <c r="C867" t="s">
        <v>713</v>
      </c>
      <c r="D867" t="s">
        <v>1017</v>
      </c>
      <c r="E867" s="1">
        <v>45736</v>
      </c>
      <c r="F867" s="1">
        <v>45736</v>
      </c>
      <c r="G867" s="12">
        <v>10698.880000000001</v>
      </c>
      <c r="H867" s="2">
        <v>0</v>
      </c>
      <c r="I867" s="2">
        <v>0</v>
      </c>
      <c r="J867" s="2">
        <v>0</v>
      </c>
      <c r="K867" s="20">
        <v>10698.880000000001</v>
      </c>
      <c r="L867" t="s">
        <v>794</v>
      </c>
      <c r="M867">
        <f t="shared" si="13"/>
        <v>2025</v>
      </c>
    </row>
    <row r="868" spans="1:13" ht="12.75" hidden="1" customHeight="1">
      <c r="A868" t="s">
        <v>805</v>
      </c>
      <c r="B868" t="s">
        <v>17</v>
      </c>
      <c r="C868" t="s">
        <v>713</v>
      </c>
      <c r="D868" t="s">
        <v>1017</v>
      </c>
      <c r="E868" s="1">
        <v>45736</v>
      </c>
      <c r="F868" s="1">
        <v>45736</v>
      </c>
      <c r="G868" s="12">
        <v>8368.9500000000007</v>
      </c>
      <c r="H868" s="2">
        <v>0</v>
      </c>
      <c r="I868" s="2">
        <v>0</v>
      </c>
      <c r="J868" s="2">
        <v>0</v>
      </c>
      <c r="K868" s="20">
        <v>8368.9500000000007</v>
      </c>
      <c r="L868" t="s">
        <v>794</v>
      </c>
      <c r="M868">
        <f t="shared" si="13"/>
        <v>2025</v>
      </c>
    </row>
    <row r="869" spans="1:13" ht="12.75" hidden="1" customHeight="1">
      <c r="A869" t="s">
        <v>801</v>
      </c>
      <c r="B869" t="s">
        <v>13</v>
      </c>
      <c r="C869" t="s">
        <v>726</v>
      </c>
      <c r="D869" t="s">
        <v>1017</v>
      </c>
      <c r="E869" s="1">
        <v>45736</v>
      </c>
      <c r="F869" s="1">
        <v>45736</v>
      </c>
      <c r="G869" s="12">
        <v>4.08</v>
      </c>
      <c r="H869" s="2">
        <v>0</v>
      </c>
      <c r="I869" s="2">
        <v>0</v>
      </c>
      <c r="J869" s="2">
        <v>0</v>
      </c>
      <c r="K869" s="20">
        <v>4.08</v>
      </c>
      <c r="L869" t="s">
        <v>794</v>
      </c>
      <c r="M869">
        <f t="shared" si="13"/>
        <v>2025</v>
      </c>
    </row>
    <row r="870" spans="1:13" ht="12.75" hidden="1" customHeight="1">
      <c r="A870" t="s">
        <v>1070</v>
      </c>
      <c r="B870" t="s">
        <v>465</v>
      </c>
      <c r="C870" t="s">
        <v>438</v>
      </c>
      <c r="D870" t="s">
        <v>1017</v>
      </c>
      <c r="E870" s="1">
        <v>45737</v>
      </c>
      <c r="F870" s="1">
        <v>45737</v>
      </c>
      <c r="G870" s="12">
        <v>199</v>
      </c>
      <c r="H870" s="2">
        <v>0</v>
      </c>
      <c r="I870" s="2">
        <v>0</v>
      </c>
      <c r="J870" s="2">
        <v>0</v>
      </c>
      <c r="K870" s="20">
        <v>199</v>
      </c>
      <c r="L870" t="s">
        <v>794</v>
      </c>
      <c r="M870">
        <f t="shared" si="13"/>
        <v>2025</v>
      </c>
    </row>
    <row r="871" spans="1:13" ht="12.75" hidden="1" customHeight="1">
      <c r="A871" t="s">
        <v>952</v>
      </c>
      <c r="B871" t="s">
        <v>27</v>
      </c>
      <c r="C871" t="s">
        <v>483</v>
      </c>
      <c r="D871" t="s">
        <v>1017</v>
      </c>
      <c r="E871" s="1">
        <v>45737</v>
      </c>
      <c r="F871" s="1">
        <v>45737</v>
      </c>
      <c r="G871" s="12">
        <v>90</v>
      </c>
      <c r="H871" s="2">
        <v>0</v>
      </c>
      <c r="I871" s="2">
        <v>0</v>
      </c>
      <c r="J871" s="2">
        <v>0</v>
      </c>
      <c r="K871" s="20">
        <v>90</v>
      </c>
      <c r="L871" t="s">
        <v>794</v>
      </c>
      <c r="M871">
        <f t="shared" si="13"/>
        <v>2025</v>
      </c>
    </row>
    <row r="872" spans="1:13" ht="12.75" hidden="1" customHeight="1">
      <c r="A872" t="s">
        <v>801</v>
      </c>
      <c r="B872" t="s">
        <v>13</v>
      </c>
      <c r="C872" t="s">
        <v>726</v>
      </c>
      <c r="D872" t="s">
        <v>1017</v>
      </c>
      <c r="E872" s="1">
        <v>45740</v>
      </c>
      <c r="F872" s="1">
        <v>45740</v>
      </c>
      <c r="G872" s="12">
        <v>2.04</v>
      </c>
      <c r="H872" s="2">
        <v>0</v>
      </c>
      <c r="I872" s="2">
        <v>0</v>
      </c>
      <c r="J872" s="2">
        <v>0</v>
      </c>
      <c r="K872" s="20">
        <v>2.04</v>
      </c>
      <c r="L872" t="s">
        <v>794</v>
      </c>
      <c r="M872">
        <f t="shared" si="13"/>
        <v>2025</v>
      </c>
    </row>
    <row r="873" spans="1:13" ht="12.75" hidden="1" customHeight="1">
      <c r="A873" t="s">
        <v>925</v>
      </c>
      <c r="B873" t="s">
        <v>189</v>
      </c>
      <c r="C873" t="s">
        <v>139</v>
      </c>
      <c r="D873" t="s">
        <v>1017</v>
      </c>
      <c r="E873" s="1">
        <v>45740</v>
      </c>
      <c r="F873" s="1">
        <v>45740</v>
      </c>
      <c r="G873" s="12">
        <v>80</v>
      </c>
      <c r="H873" s="2">
        <v>0</v>
      </c>
      <c r="I873" s="2">
        <v>0</v>
      </c>
      <c r="J873" s="2">
        <v>0</v>
      </c>
      <c r="K873" s="20">
        <v>80</v>
      </c>
      <c r="L873" t="s">
        <v>794</v>
      </c>
      <c r="M873">
        <f t="shared" si="13"/>
        <v>2025</v>
      </c>
    </row>
    <row r="874" spans="1:13" ht="12.75" hidden="1" customHeight="1">
      <c r="A874" t="s">
        <v>924</v>
      </c>
      <c r="B874" t="s">
        <v>87</v>
      </c>
      <c r="C874" t="s">
        <v>140</v>
      </c>
      <c r="D874" t="s">
        <v>1017</v>
      </c>
      <c r="E874" s="1">
        <v>45740</v>
      </c>
      <c r="F874" s="1">
        <v>45740</v>
      </c>
      <c r="G874" s="12">
        <v>80</v>
      </c>
      <c r="H874" s="2">
        <v>0</v>
      </c>
      <c r="I874" s="2">
        <v>0</v>
      </c>
      <c r="J874" s="2">
        <v>0</v>
      </c>
      <c r="K874" s="20">
        <v>80</v>
      </c>
      <c r="L874" t="s">
        <v>794</v>
      </c>
      <c r="M874">
        <f t="shared" si="13"/>
        <v>2025</v>
      </c>
    </row>
    <row r="875" spans="1:13" ht="12.75" hidden="1" customHeight="1">
      <c r="A875" t="s">
        <v>1000</v>
      </c>
      <c r="B875" t="s">
        <v>31</v>
      </c>
      <c r="C875" t="s">
        <v>141</v>
      </c>
      <c r="D875" t="s">
        <v>1017</v>
      </c>
      <c r="E875" s="1">
        <v>45740</v>
      </c>
      <c r="F875" s="1">
        <v>45740</v>
      </c>
      <c r="G875" s="12">
        <v>278</v>
      </c>
      <c r="H875" s="2">
        <v>0</v>
      </c>
      <c r="I875" s="2">
        <v>0</v>
      </c>
      <c r="J875" s="2">
        <v>0</v>
      </c>
      <c r="K875" s="20">
        <v>278</v>
      </c>
      <c r="L875" t="s">
        <v>794</v>
      </c>
      <c r="M875">
        <f t="shared" si="13"/>
        <v>2025</v>
      </c>
    </row>
    <row r="876" spans="1:13" ht="12.75" hidden="1" customHeight="1">
      <c r="A876" t="s">
        <v>801</v>
      </c>
      <c r="B876" t="s">
        <v>13</v>
      </c>
      <c r="C876" t="s">
        <v>726</v>
      </c>
      <c r="D876" t="s">
        <v>1017</v>
      </c>
      <c r="E876" s="1">
        <v>45741</v>
      </c>
      <c r="F876" s="1">
        <v>45741</v>
      </c>
      <c r="G876" s="12">
        <v>9.14</v>
      </c>
      <c r="H876" s="2">
        <v>0</v>
      </c>
      <c r="I876" s="2">
        <v>0</v>
      </c>
      <c r="J876" s="2">
        <v>0</v>
      </c>
      <c r="K876" s="20">
        <v>9.14</v>
      </c>
      <c r="L876" t="s">
        <v>794</v>
      </c>
      <c r="M876">
        <f t="shared" si="13"/>
        <v>2025</v>
      </c>
    </row>
    <row r="877" spans="1:13" ht="12.75" hidden="1" customHeight="1">
      <c r="A877" t="s">
        <v>801</v>
      </c>
      <c r="B877" t="s">
        <v>13</v>
      </c>
      <c r="C877" t="s">
        <v>726</v>
      </c>
      <c r="D877" t="s">
        <v>1017</v>
      </c>
      <c r="E877" s="1">
        <v>45741</v>
      </c>
      <c r="F877" s="1">
        <v>45741</v>
      </c>
      <c r="G877" s="12">
        <v>2.04</v>
      </c>
      <c r="H877" s="2">
        <v>0</v>
      </c>
      <c r="I877" s="2">
        <v>0</v>
      </c>
      <c r="J877" s="2">
        <v>0</v>
      </c>
      <c r="K877" s="20">
        <v>2.04</v>
      </c>
      <c r="L877" t="s">
        <v>794</v>
      </c>
      <c r="M877">
        <f t="shared" si="13"/>
        <v>2025</v>
      </c>
    </row>
    <row r="878" spans="1:13" ht="12.75" hidden="1" customHeight="1">
      <c r="A878" t="s">
        <v>801</v>
      </c>
      <c r="B878" t="s">
        <v>13</v>
      </c>
      <c r="C878" t="s">
        <v>718</v>
      </c>
      <c r="D878" t="s">
        <v>1017</v>
      </c>
      <c r="E878" s="1">
        <v>45742</v>
      </c>
      <c r="F878" s="1">
        <v>45742</v>
      </c>
      <c r="G878" s="12">
        <v>21086.03</v>
      </c>
      <c r="H878" s="2">
        <v>0</v>
      </c>
      <c r="I878" s="2">
        <v>0</v>
      </c>
      <c r="J878" s="2">
        <v>0</v>
      </c>
      <c r="K878" s="20">
        <v>21086.03</v>
      </c>
      <c r="L878" t="s">
        <v>794</v>
      </c>
      <c r="M878">
        <f t="shared" si="13"/>
        <v>2025</v>
      </c>
    </row>
    <row r="879" spans="1:13" ht="12.75" hidden="1" customHeight="1">
      <c r="A879" t="s">
        <v>935</v>
      </c>
      <c r="B879" t="s">
        <v>158</v>
      </c>
      <c r="C879" t="s">
        <v>741</v>
      </c>
      <c r="D879" t="s">
        <v>1017</v>
      </c>
      <c r="E879" s="1">
        <v>45742</v>
      </c>
      <c r="F879" s="1">
        <v>45742</v>
      </c>
      <c r="G879" s="12">
        <v>400.35</v>
      </c>
      <c r="H879" s="2">
        <v>0</v>
      </c>
      <c r="I879" s="2">
        <v>0</v>
      </c>
      <c r="J879" s="2">
        <v>0</v>
      </c>
      <c r="K879" s="20">
        <v>400.35</v>
      </c>
      <c r="L879" t="s">
        <v>794</v>
      </c>
      <c r="M879">
        <f t="shared" si="13"/>
        <v>2025</v>
      </c>
    </row>
    <row r="880" spans="1:13" ht="12.75" hidden="1" customHeight="1">
      <c r="A880" t="s">
        <v>1071</v>
      </c>
      <c r="B880" t="s">
        <v>571</v>
      </c>
      <c r="C880" t="s">
        <v>452</v>
      </c>
      <c r="D880" t="s">
        <v>1017</v>
      </c>
      <c r="E880" s="1">
        <v>45742</v>
      </c>
      <c r="F880" s="1">
        <v>45742</v>
      </c>
      <c r="G880" s="12">
        <v>69.989999999999995</v>
      </c>
      <c r="H880" s="2">
        <v>0</v>
      </c>
      <c r="I880" s="2">
        <v>0</v>
      </c>
      <c r="J880" s="2">
        <v>0</v>
      </c>
      <c r="K880" s="20">
        <v>69.989999999999995</v>
      </c>
      <c r="L880" t="s">
        <v>794</v>
      </c>
      <c r="M880">
        <f t="shared" si="13"/>
        <v>2025</v>
      </c>
    </row>
    <row r="881" spans="1:13" ht="12.75" hidden="1" customHeight="1">
      <c r="A881" t="s">
        <v>1053</v>
      </c>
      <c r="B881" t="s">
        <v>349</v>
      </c>
      <c r="C881" t="s">
        <v>758</v>
      </c>
      <c r="D881" t="s">
        <v>1017</v>
      </c>
      <c r="E881" s="1">
        <v>45742</v>
      </c>
      <c r="F881" s="1">
        <v>45742</v>
      </c>
      <c r="G881" s="12">
        <v>22.92</v>
      </c>
      <c r="H881" s="2">
        <v>0</v>
      </c>
      <c r="I881" s="2">
        <v>0</v>
      </c>
      <c r="J881" s="2">
        <v>0</v>
      </c>
      <c r="K881" s="20">
        <v>22.92</v>
      </c>
      <c r="L881" t="s">
        <v>794</v>
      </c>
      <c r="M881">
        <f t="shared" si="13"/>
        <v>2025</v>
      </c>
    </row>
    <row r="882" spans="1:13" ht="12.75" hidden="1" customHeight="1">
      <c r="A882" t="s">
        <v>801</v>
      </c>
      <c r="B882" t="s">
        <v>13</v>
      </c>
      <c r="C882" t="s">
        <v>726</v>
      </c>
      <c r="D882" t="s">
        <v>1017</v>
      </c>
      <c r="E882" s="1">
        <v>45742</v>
      </c>
      <c r="F882" s="1">
        <v>45742</v>
      </c>
      <c r="G882" s="12">
        <v>4.08</v>
      </c>
      <c r="H882" s="2">
        <v>0</v>
      </c>
      <c r="I882" s="2">
        <v>0</v>
      </c>
      <c r="J882" s="2">
        <v>0</v>
      </c>
      <c r="K882" s="20">
        <v>4.08</v>
      </c>
      <c r="L882" t="s">
        <v>794</v>
      </c>
      <c r="M882">
        <f t="shared" si="13"/>
        <v>2025</v>
      </c>
    </row>
    <row r="883" spans="1:13" ht="12.75" hidden="1" customHeight="1">
      <c r="A883" t="s">
        <v>801</v>
      </c>
      <c r="B883" t="s">
        <v>13</v>
      </c>
      <c r="C883" t="s">
        <v>717</v>
      </c>
      <c r="D883" t="s">
        <v>1017</v>
      </c>
      <c r="E883" s="1">
        <v>45742</v>
      </c>
      <c r="F883" s="1">
        <v>45742</v>
      </c>
      <c r="G883" s="12">
        <v>466.56</v>
      </c>
      <c r="H883" s="2">
        <v>0</v>
      </c>
      <c r="I883" s="2">
        <v>0</v>
      </c>
      <c r="J883" s="2">
        <v>0</v>
      </c>
      <c r="K883" s="20">
        <v>466.56</v>
      </c>
      <c r="L883" t="s">
        <v>794</v>
      </c>
      <c r="M883">
        <f t="shared" si="13"/>
        <v>2025</v>
      </c>
    </row>
    <row r="884" spans="1:13" ht="12.75" hidden="1" customHeight="1">
      <c r="A884" t="s">
        <v>967</v>
      </c>
      <c r="B884" t="s">
        <v>968</v>
      </c>
      <c r="C884" t="s">
        <v>204</v>
      </c>
      <c r="D884" t="s">
        <v>1017</v>
      </c>
      <c r="E884" s="1">
        <v>45743</v>
      </c>
      <c r="F884" s="1">
        <v>45743</v>
      </c>
      <c r="G884" s="12">
        <v>122.72</v>
      </c>
      <c r="H884" s="2">
        <v>0</v>
      </c>
      <c r="I884" s="2">
        <v>0</v>
      </c>
      <c r="J884" s="2">
        <v>0</v>
      </c>
      <c r="K884" s="20">
        <v>122.72</v>
      </c>
      <c r="L884" t="s">
        <v>794</v>
      </c>
      <c r="M884">
        <f t="shared" si="13"/>
        <v>2025</v>
      </c>
    </row>
    <row r="885" spans="1:13" ht="12.75" hidden="1" customHeight="1">
      <c r="A885" t="s">
        <v>967</v>
      </c>
      <c r="B885" t="s">
        <v>968</v>
      </c>
      <c r="C885" t="s">
        <v>204</v>
      </c>
      <c r="D885" t="s">
        <v>1017</v>
      </c>
      <c r="E885" s="1">
        <v>45743</v>
      </c>
      <c r="F885" s="1">
        <v>45743</v>
      </c>
      <c r="G885" s="12">
        <v>258.60000000000002</v>
      </c>
      <c r="H885" s="2">
        <v>0</v>
      </c>
      <c r="I885" s="2">
        <v>0</v>
      </c>
      <c r="J885" s="2">
        <v>0</v>
      </c>
      <c r="K885" s="20">
        <v>258.60000000000002</v>
      </c>
      <c r="L885" t="s">
        <v>794</v>
      </c>
      <c r="M885">
        <f t="shared" si="13"/>
        <v>2025</v>
      </c>
    </row>
    <row r="886" spans="1:13" ht="12.75" hidden="1" customHeight="1">
      <c r="A886" t="s">
        <v>967</v>
      </c>
      <c r="B886" t="s">
        <v>968</v>
      </c>
      <c r="C886" t="s">
        <v>141</v>
      </c>
      <c r="D886" t="s">
        <v>1017</v>
      </c>
      <c r="E886" s="1">
        <v>45743</v>
      </c>
      <c r="F886" s="1">
        <v>45743</v>
      </c>
      <c r="G886" s="12">
        <v>150</v>
      </c>
      <c r="H886" s="2">
        <v>0</v>
      </c>
      <c r="I886" s="2">
        <v>0</v>
      </c>
      <c r="J886" s="2">
        <v>0</v>
      </c>
      <c r="K886" s="20">
        <v>150</v>
      </c>
      <c r="L886" t="s">
        <v>794</v>
      </c>
      <c r="M886">
        <f t="shared" si="13"/>
        <v>2025</v>
      </c>
    </row>
    <row r="887" spans="1:13" ht="12.75" hidden="1" customHeight="1">
      <c r="A887" t="s">
        <v>801</v>
      </c>
      <c r="B887" t="s">
        <v>13</v>
      </c>
      <c r="C887" t="s">
        <v>726</v>
      </c>
      <c r="D887" t="s">
        <v>1017</v>
      </c>
      <c r="E887" s="1">
        <v>45744</v>
      </c>
      <c r="F887" s="1">
        <v>45744</v>
      </c>
      <c r="G887" s="12">
        <v>2.04</v>
      </c>
      <c r="H887" s="2">
        <v>0</v>
      </c>
      <c r="I887" s="2">
        <v>0</v>
      </c>
      <c r="J887" s="2">
        <v>0</v>
      </c>
      <c r="K887" s="20">
        <v>2.04</v>
      </c>
      <c r="L887" t="s">
        <v>794</v>
      </c>
      <c r="M887">
        <f t="shared" si="13"/>
        <v>2025</v>
      </c>
    </row>
    <row r="888" spans="1:13" ht="12.75" hidden="1" customHeight="1">
      <c r="A888" t="s">
        <v>801</v>
      </c>
      <c r="B888" t="s">
        <v>13</v>
      </c>
      <c r="C888" t="s">
        <v>726</v>
      </c>
      <c r="D888" t="s">
        <v>1017</v>
      </c>
      <c r="E888" s="1">
        <v>45744</v>
      </c>
      <c r="F888" s="1">
        <v>45744</v>
      </c>
      <c r="G888" s="12">
        <v>2.04</v>
      </c>
      <c r="H888" s="2">
        <v>0</v>
      </c>
      <c r="I888" s="2">
        <v>0</v>
      </c>
      <c r="J888" s="2">
        <v>0</v>
      </c>
      <c r="K888" s="20">
        <v>2.04</v>
      </c>
      <c r="L888" t="s">
        <v>794</v>
      </c>
      <c r="M888">
        <f t="shared" si="13"/>
        <v>2025</v>
      </c>
    </row>
    <row r="889" spans="1:13" ht="12.75" hidden="1" customHeight="1">
      <c r="A889" t="s">
        <v>950</v>
      </c>
      <c r="B889" t="s">
        <v>951</v>
      </c>
      <c r="C889" t="s">
        <v>139</v>
      </c>
      <c r="D889" t="s">
        <v>1017</v>
      </c>
      <c r="E889" s="1">
        <v>45747</v>
      </c>
      <c r="F889" s="1">
        <v>45747</v>
      </c>
      <c r="G889" s="12">
        <v>518.70000000000005</v>
      </c>
      <c r="H889" s="2">
        <v>0</v>
      </c>
      <c r="I889" s="2">
        <v>0</v>
      </c>
      <c r="J889" s="2">
        <v>0</v>
      </c>
      <c r="K889" s="20">
        <v>518.70000000000005</v>
      </c>
      <c r="L889" t="s">
        <v>794</v>
      </c>
      <c r="M889">
        <f t="shared" si="13"/>
        <v>2025</v>
      </c>
    </row>
    <row r="890" spans="1:13" ht="12.75" hidden="1" customHeight="1">
      <c r="A890" t="s">
        <v>916</v>
      </c>
      <c r="B890" t="s">
        <v>198</v>
      </c>
      <c r="C890" t="s">
        <v>139</v>
      </c>
      <c r="D890" t="s">
        <v>1017</v>
      </c>
      <c r="E890" s="1">
        <v>45747</v>
      </c>
      <c r="F890" s="1">
        <v>45747</v>
      </c>
      <c r="G890" s="12">
        <v>515.20000000000005</v>
      </c>
      <c r="H890" s="2">
        <v>0</v>
      </c>
      <c r="I890" s="2">
        <v>0</v>
      </c>
      <c r="J890" s="2">
        <v>0</v>
      </c>
      <c r="K890" s="20">
        <v>515.20000000000005</v>
      </c>
      <c r="L890" t="s">
        <v>794</v>
      </c>
      <c r="M890">
        <f t="shared" si="13"/>
        <v>2025</v>
      </c>
    </row>
    <row r="891" spans="1:13" ht="12.75" hidden="1" customHeight="1">
      <c r="A891" t="s">
        <v>1030</v>
      </c>
      <c r="B891" t="s">
        <v>1031</v>
      </c>
      <c r="C891" t="s">
        <v>139</v>
      </c>
      <c r="D891" t="s">
        <v>1017</v>
      </c>
      <c r="E891" s="1">
        <v>45747</v>
      </c>
      <c r="F891" s="1">
        <v>45747</v>
      </c>
      <c r="G891" s="12">
        <v>448.8</v>
      </c>
      <c r="H891" s="2">
        <v>0</v>
      </c>
      <c r="I891" s="2">
        <v>0</v>
      </c>
      <c r="J891" s="2">
        <v>0</v>
      </c>
      <c r="K891" s="20">
        <v>448.8</v>
      </c>
      <c r="L891" t="s">
        <v>794</v>
      </c>
      <c r="M891">
        <f t="shared" si="13"/>
        <v>2025</v>
      </c>
    </row>
    <row r="892" spans="1:13" ht="12.75" hidden="1" customHeight="1">
      <c r="A892" t="s">
        <v>1067</v>
      </c>
      <c r="B892" t="s">
        <v>249</v>
      </c>
      <c r="C892" t="s">
        <v>139</v>
      </c>
      <c r="D892" t="s">
        <v>1017</v>
      </c>
      <c r="E892" s="1">
        <v>45747</v>
      </c>
      <c r="F892" s="1">
        <v>45747</v>
      </c>
      <c r="G892" s="12">
        <v>448.8</v>
      </c>
      <c r="H892" s="2">
        <v>0</v>
      </c>
      <c r="I892" s="2">
        <v>0</v>
      </c>
      <c r="J892" s="2">
        <v>0</v>
      </c>
      <c r="K892" s="20">
        <v>448.8</v>
      </c>
      <c r="L892" t="s">
        <v>794</v>
      </c>
      <c r="M892">
        <f t="shared" si="13"/>
        <v>2025</v>
      </c>
    </row>
    <row r="893" spans="1:13" ht="12.75" hidden="1" customHeight="1">
      <c r="A893" t="s">
        <v>1002</v>
      </c>
      <c r="B893" t="s">
        <v>39</v>
      </c>
      <c r="C893" t="s">
        <v>139</v>
      </c>
      <c r="D893" t="s">
        <v>1017</v>
      </c>
      <c r="E893" s="1">
        <v>45747</v>
      </c>
      <c r="F893" s="1">
        <v>45747</v>
      </c>
      <c r="G893" s="12">
        <v>428</v>
      </c>
      <c r="H893" s="2">
        <v>0</v>
      </c>
      <c r="I893" s="2">
        <v>0</v>
      </c>
      <c r="J893" s="2">
        <v>0</v>
      </c>
      <c r="K893" s="20">
        <v>428</v>
      </c>
      <c r="L893" t="s">
        <v>794</v>
      </c>
      <c r="M893">
        <f t="shared" si="13"/>
        <v>2025</v>
      </c>
    </row>
    <row r="894" spans="1:13" ht="12.75" hidden="1" customHeight="1">
      <c r="A894" t="s">
        <v>931</v>
      </c>
      <c r="B894" t="s">
        <v>49</v>
      </c>
      <c r="C894" t="s">
        <v>139</v>
      </c>
      <c r="D894" t="s">
        <v>1017</v>
      </c>
      <c r="E894" s="1">
        <v>45747</v>
      </c>
      <c r="F894" s="1">
        <v>45747</v>
      </c>
      <c r="G894" s="12">
        <v>409.40000000000003</v>
      </c>
      <c r="H894" s="2">
        <v>0</v>
      </c>
      <c r="I894" s="2">
        <v>0</v>
      </c>
      <c r="J894" s="2">
        <v>0</v>
      </c>
      <c r="K894" s="20">
        <v>409.40000000000003</v>
      </c>
      <c r="L894" t="s">
        <v>794</v>
      </c>
      <c r="M894">
        <f t="shared" si="13"/>
        <v>2025</v>
      </c>
    </row>
    <row r="895" spans="1:13" ht="12.75" hidden="1" customHeight="1">
      <c r="A895" t="s">
        <v>864</v>
      </c>
      <c r="B895" t="s">
        <v>918</v>
      </c>
      <c r="C895" t="s">
        <v>139</v>
      </c>
      <c r="D895" t="s">
        <v>1017</v>
      </c>
      <c r="E895" s="1">
        <v>45747</v>
      </c>
      <c r="F895" s="1">
        <v>45747</v>
      </c>
      <c r="G895" s="12">
        <v>408</v>
      </c>
      <c r="H895" s="2">
        <v>0</v>
      </c>
      <c r="I895" s="2">
        <v>0</v>
      </c>
      <c r="J895" s="2">
        <v>0</v>
      </c>
      <c r="K895" s="20">
        <v>408</v>
      </c>
      <c r="L895" t="s">
        <v>794</v>
      </c>
      <c r="M895">
        <f t="shared" si="13"/>
        <v>2025</v>
      </c>
    </row>
    <row r="896" spans="1:13" ht="12.75" hidden="1" customHeight="1">
      <c r="A896" t="s">
        <v>1029</v>
      </c>
      <c r="B896" t="s">
        <v>114</v>
      </c>
      <c r="C896" t="s">
        <v>139</v>
      </c>
      <c r="D896" t="s">
        <v>1017</v>
      </c>
      <c r="E896" s="1">
        <v>45747</v>
      </c>
      <c r="F896" s="1">
        <v>45747</v>
      </c>
      <c r="G896" s="12">
        <v>382.2</v>
      </c>
      <c r="H896" s="2">
        <v>0</v>
      </c>
      <c r="I896" s="2">
        <v>0</v>
      </c>
      <c r="J896" s="2">
        <v>0</v>
      </c>
      <c r="K896" s="20">
        <v>382.2</v>
      </c>
      <c r="L896" t="s">
        <v>794</v>
      </c>
      <c r="M896">
        <f t="shared" si="13"/>
        <v>2025</v>
      </c>
    </row>
    <row r="897" spans="1:13" ht="12.75" hidden="1" customHeight="1">
      <c r="A897" t="s">
        <v>988</v>
      </c>
      <c r="B897" t="s">
        <v>217</v>
      </c>
      <c r="C897" t="s">
        <v>139</v>
      </c>
      <c r="D897" t="s">
        <v>1017</v>
      </c>
      <c r="E897" s="1">
        <v>45747</v>
      </c>
      <c r="F897" s="1">
        <v>45747</v>
      </c>
      <c r="G897" s="12">
        <v>364</v>
      </c>
      <c r="H897" s="2">
        <v>0</v>
      </c>
      <c r="I897" s="2">
        <v>0</v>
      </c>
      <c r="J897" s="2">
        <v>0</v>
      </c>
      <c r="K897" s="20">
        <v>364</v>
      </c>
      <c r="L897" t="s">
        <v>794</v>
      </c>
      <c r="M897">
        <f t="shared" si="13"/>
        <v>2025</v>
      </c>
    </row>
    <row r="898" spans="1:13" ht="12.75" hidden="1" customHeight="1">
      <c r="A898" t="s">
        <v>858</v>
      </c>
      <c r="B898" t="s">
        <v>47</v>
      </c>
      <c r="C898" t="s">
        <v>139</v>
      </c>
      <c r="D898" t="s">
        <v>1017</v>
      </c>
      <c r="E898" s="1">
        <v>45747</v>
      </c>
      <c r="F898" s="1">
        <v>45747</v>
      </c>
      <c r="G898" s="12">
        <v>345.8</v>
      </c>
      <c r="H898" s="2">
        <v>0</v>
      </c>
      <c r="I898" s="2">
        <v>0</v>
      </c>
      <c r="J898" s="2">
        <v>0</v>
      </c>
      <c r="K898" s="20">
        <v>345.8</v>
      </c>
      <c r="L898" t="s">
        <v>794</v>
      </c>
      <c r="M898">
        <f t="shared" si="13"/>
        <v>2025</v>
      </c>
    </row>
    <row r="899" spans="1:13" ht="12.75" hidden="1" customHeight="1">
      <c r="A899" t="s">
        <v>867</v>
      </c>
      <c r="B899" t="s">
        <v>171</v>
      </c>
      <c r="C899" t="s">
        <v>139</v>
      </c>
      <c r="D899" t="s">
        <v>1017</v>
      </c>
      <c r="E899" s="1">
        <v>45747</v>
      </c>
      <c r="F899" s="1">
        <v>45747</v>
      </c>
      <c r="G899" s="12">
        <v>342.40000000000003</v>
      </c>
      <c r="H899" s="2">
        <v>0</v>
      </c>
      <c r="I899" s="2">
        <v>0</v>
      </c>
      <c r="J899" s="2">
        <v>0</v>
      </c>
      <c r="K899" s="20">
        <v>342.40000000000003</v>
      </c>
      <c r="L899" t="s">
        <v>794</v>
      </c>
      <c r="M899">
        <f t="shared" ref="M899:M962" si="14">YEAR(F899)</f>
        <v>2025</v>
      </c>
    </row>
    <row r="900" spans="1:13" ht="12.75" hidden="1" customHeight="1">
      <c r="A900" t="s">
        <v>814</v>
      </c>
      <c r="B900" t="s">
        <v>143</v>
      </c>
      <c r="C900" t="s">
        <v>139</v>
      </c>
      <c r="D900" t="s">
        <v>1017</v>
      </c>
      <c r="E900" s="1">
        <v>45747</v>
      </c>
      <c r="F900" s="1">
        <v>45747</v>
      </c>
      <c r="G900" s="12">
        <v>309.40000000000003</v>
      </c>
      <c r="H900" s="2">
        <v>0</v>
      </c>
      <c r="I900" s="2">
        <v>0</v>
      </c>
      <c r="J900" s="2">
        <v>0</v>
      </c>
      <c r="K900" s="20">
        <v>309.40000000000003</v>
      </c>
      <c r="L900" t="s">
        <v>794</v>
      </c>
      <c r="M900">
        <f t="shared" si="14"/>
        <v>2025</v>
      </c>
    </row>
    <row r="901" spans="1:13" ht="12.75" hidden="1" customHeight="1">
      <c r="A901" t="s">
        <v>1072</v>
      </c>
      <c r="B901" t="s">
        <v>177</v>
      </c>
      <c r="C901" t="s">
        <v>139</v>
      </c>
      <c r="D901" t="s">
        <v>1017</v>
      </c>
      <c r="E901" s="1">
        <v>45747</v>
      </c>
      <c r="F901" s="1">
        <v>45747</v>
      </c>
      <c r="G901" s="12">
        <v>272.8</v>
      </c>
      <c r="H901" s="2">
        <v>0</v>
      </c>
      <c r="I901" s="2">
        <v>0</v>
      </c>
      <c r="J901" s="2">
        <v>0</v>
      </c>
      <c r="K901" s="20">
        <v>272.8</v>
      </c>
      <c r="L901" t="s">
        <v>794</v>
      </c>
      <c r="M901">
        <f t="shared" si="14"/>
        <v>2025</v>
      </c>
    </row>
    <row r="902" spans="1:13" ht="12.75" hidden="1" customHeight="1">
      <c r="A902" t="s">
        <v>856</v>
      </c>
      <c r="B902" t="s">
        <v>379</v>
      </c>
      <c r="C902" t="s">
        <v>139</v>
      </c>
      <c r="D902" t="s">
        <v>1017</v>
      </c>
      <c r="E902" s="1">
        <v>45747</v>
      </c>
      <c r="F902" s="1">
        <v>45747</v>
      </c>
      <c r="G902" s="12">
        <v>255.20000000000002</v>
      </c>
      <c r="H902" s="2">
        <v>0</v>
      </c>
      <c r="I902" s="2">
        <v>0</v>
      </c>
      <c r="J902" s="2">
        <v>0</v>
      </c>
      <c r="K902" s="20">
        <v>255.20000000000002</v>
      </c>
      <c r="L902" t="s">
        <v>794</v>
      </c>
      <c r="M902">
        <f t="shared" si="14"/>
        <v>2025</v>
      </c>
    </row>
    <row r="903" spans="1:13" ht="12.75" hidden="1" customHeight="1">
      <c r="A903" t="s">
        <v>840</v>
      </c>
      <c r="B903" t="s">
        <v>46</v>
      </c>
      <c r="C903" t="s">
        <v>139</v>
      </c>
      <c r="D903" t="s">
        <v>1017</v>
      </c>
      <c r="E903" s="1">
        <v>45747</v>
      </c>
      <c r="F903" s="1">
        <v>45747</v>
      </c>
      <c r="G903" s="12">
        <v>255.20000000000002</v>
      </c>
      <c r="H903" s="2">
        <v>0</v>
      </c>
      <c r="I903" s="2">
        <v>0</v>
      </c>
      <c r="J903" s="2">
        <v>0</v>
      </c>
      <c r="K903" s="20">
        <v>255.20000000000002</v>
      </c>
      <c r="L903" t="s">
        <v>794</v>
      </c>
      <c r="M903">
        <f t="shared" si="14"/>
        <v>2025</v>
      </c>
    </row>
    <row r="904" spans="1:13" ht="12.75" hidden="1" customHeight="1">
      <c r="A904" t="s">
        <v>822</v>
      </c>
      <c r="B904" t="s">
        <v>414</v>
      </c>
      <c r="C904" t="s">
        <v>139</v>
      </c>
      <c r="D904" t="s">
        <v>1017</v>
      </c>
      <c r="E904" s="1">
        <v>45747</v>
      </c>
      <c r="F904" s="1">
        <v>45747</v>
      </c>
      <c r="G904" s="12">
        <v>255.20000000000002</v>
      </c>
      <c r="H904" s="2">
        <v>0</v>
      </c>
      <c r="I904" s="2">
        <v>0</v>
      </c>
      <c r="J904" s="2">
        <v>0</v>
      </c>
      <c r="K904" s="20">
        <v>255.20000000000002</v>
      </c>
      <c r="L904" t="s">
        <v>794</v>
      </c>
      <c r="M904">
        <f t="shared" si="14"/>
        <v>2025</v>
      </c>
    </row>
    <row r="905" spans="1:13" ht="12.75" hidden="1" customHeight="1">
      <c r="A905" t="s">
        <v>1073</v>
      </c>
      <c r="B905" t="s">
        <v>150</v>
      </c>
      <c r="C905" t="s">
        <v>139</v>
      </c>
      <c r="D905" t="s">
        <v>1017</v>
      </c>
      <c r="E905" s="1">
        <v>45747</v>
      </c>
      <c r="F905" s="1">
        <v>45747</v>
      </c>
      <c r="G905" s="12">
        <v>232</v>
      </c>
      <c r="H905" s="2">
        <v>0</v>
      </c>
      <c r="I905" s="2">
        <v>0</v>
      </c>
      <c r="J905" s="2">
        <v>0</v>
      </c>
      <c r="K905" s="20">
        <v>232</v>
      </c>
      <c r="L905" t="s">
        <v>794</v>
      </c>
      <c r="M905">
        <f t="shared" si="14"/>
        <v>2025</v>
      </c>
    </row>
    <row r="906" spans="1:13" ht="12.75" hidden="1" customHeight="1">
      <c r="A906" t="s">
        <v>923</v>
      </c>
      <c r="B906" t="s">
        <v>90</v>
      </c>
      <c r="C906" t="s">
        <v>139</v>
      </c>
      <c r="D906" t="s">
        <v>1017</v>
      </c>
      <c r="E906" s="1">
        <v>45747</v>
      </c>
      <c r="F906" s="1">
        <v>45747</v>
      </c>
      <c r="G906" s="12">
        <v>145.9</v>
      </c>
      <c r="H906" s="2">
        <v>0</v>
      </c>
      <c r="I906" s="2">
        <v>0</v>
      </c>
      <c r="J906" s="2">
        <v>0</v>
      </c>
      <c r="K906" s="20">
        <v>145.9</v>
      </c>
      <c r="L906" t="s">
        <v>794</v>
      </c>
      <c r="M906">
        <f t="shared" si="14"/>
        <v>2025</v>
      </c>
    </row>
    <row r="907" spans="1:13" ht="12.75" hidden="1" customHeight="1">
      <c r="A907" t="s">
        <v>806</v>
      </c>
      <c r="B907" t="s">
        <v>435</v>
      </c>
      <c r="C907" t="s">
        <v>733</v>
      </c>
      <c r="D907" t="s">
        <v>1017</v>
      </c>
      <c r="E907" s="1">
        <v>45747</v>
      </c>
      <c r="F907" s="1">
        <v>45747</v>
      </c>
      <c r="G907" s="12">
        <v>97.91</v>
      </c>
      <c r="H907" s="2">
        <v>0</v>
      </c>
      <c r="I907" s="2">
        <v>0</v>
      </c>
      <c r="J907" s="2">
        <v>0</v>
      </c>
      <c r="K907" s="20">
        <v>97.91</v>
      </c>
      <c r="L907" t="s">
        <v>794</v>
      </c>
      <c r="M907">
        <f t="shared" si="14"/>
        <v>2025</v>
      </c>
    </row>
    <row r="908" spans="1:13" ht="12.75" hidden="1" customHeight="1">
      <c r="A908" t="s">
        <v>952</v>
      </c>
      <c r="B908" t="s">
        <v>27</v>
      </c>
      <c r="C908" t="s">
        <v>139</v>
      </c>
      <c r="D908" t="s">
        <v>1017</v>
      </c>
      <c r="E908" s="1">
        <v>45747</v>
      </c>
      <c r="F908" s="1">
        <v>45747</v>
      </c>
      <c r="G908" s="12">
        <v>64.2</v>
      </c>
      <c r="H908" s="2">
        <v>0</v>
      </c>
      <c r="I908" s="2">
        <v>0</v>
      </c>
      <c r="J908" s="2">
        <v>0</v>
      </c>
      <c r="K908" s="20">
        <v>64.2</v>
      </c>
      <c r="L908" t="s">
        <v>794</v>
      </c>
      <c r="M908">
        <f t="shared" si="14"/>
        <v>2025</v>
      </c>
    </row>
    <row r="909" spans="1:13" ht="12.75" hidden="1" customHeight="1">
      <c r="A909" t="s">
        <v>905</v>
      </c>
      <c r="B909" t="s">
        <v>15</v>
      </c>
      <c r="C909" t="s">
        <v>715</v>
      </c>
      <c r="D909" t="s">
        <v>1017</v>
      </c>
      <c r="E909" s="1">
        <v>45747</v>
      </c>
      <c r="F909" s="1">
        <v>45747</v>
      </c>
      <c r="G909" s="12">
        <v>658.61</v>
      </c>
      <c r="H909" s="2">
        <v>0</v>
      </c>
      <c r="I909" s="2">
        <v>0</v>
      </c>
      <c r="J909" s="2">
        <v>0</v>
      </c>
      <c r="K909" s="20">
        <v>658.61</v>
      </c>
      <c r="L909" t="s">
        <v>794</v>
      </c>
      <c r="M909">
        <f t="shared" si="14"/>
        <v>2025</v>
      </c>
    </row>
    <row r="910" spans="1:13" ht="12.75" hidden="1" customHeight="1">
      <c r="A910" t="s">
        <v>925</v>
      </c>
      <c r="B910" t="s">
        <v>189</v>
      </c>
      <c r="C910" t="s">
        <v>139</v>
      </c>
      <c r="D910" t="s">
        <v>1017</v>
      </c>
      <c r="E910" s="1">
        <v>45747</v>
      </c>
      <c r="F910" s="1">
        <v>45747</v>
      </c>
      <c r="G910" s="12">
        <v>20</v>
      </c>
      <c r="H910" s="2">
        <v>0</v>
      </c>
      <c r="I910" s="2">
        <v>0</v>
      </c>
      <c r="J910" s="2">
        <v>0</v>
      </c>
      <c r="K910" s="20">
        <v>20</v>
      </c>
      <c r="L910" t="s">
        <v>794</v>
      </c>
      <c r="M910">
        <f t="shared" si="14"/>
        <v>2025</v>
      </c>
    </row>
    <row r="911" spans="1:13" ht="12.75" hidden="1" customHeight="1">
      <c r="A911" t="s">
        <v>1074</v>
      </c>
      <c r="B911" t="s">
        <v>570</v>
      </c>
      <c r="C911" t="s">
        <v>139</v>
      </c>
      <c r="D911" t="s">
        <v>1017</v>
      </c>
      <c r="E911" s="1">
        <v>45747</v>
      </c>
      <c r="F911" s="1">
        <v>45747</v>
      </c>
      <c r="G911" s="12">
        <v>20</v>
      </c>
      <c r="H911" s="2">
        <v>0</v>
      </c>
      <c r="I911" s="2">
        <v>0</v>
      </c>
      <c r="J911" s="2">
        <v>0</v>
      </c>
      <c r="K911" s="20">
        <v>20</v>
      </c>
      <c r="L911" t="s">
        <v>794</v>
      </c>
      <c r="M911">
        <f t="shared" si="14"/>
        <v>2025</v>
      </c>
    </row>
    <row r="912" spans="1:13" ht="12.75" hidden="1" customHeight="1">
      <c r="A912" t="s">
        <v>801</v>
      </c>
      <c r="B912" t="s">
        <v>13</v>
      </c>
      <c r="C912" t="s">
        <v>726</v>
      </c>
      <c r="D912" t="s">
        <v>1017</v>
      </c>
      <c r="E912" s="1">
        <v>45747</v>
      </c>
      <c r="F912" s="1">
        <v>45747</v>
      </c>
      <c r="G912" s="12">
        <v>4.08</v>
      </c>
      <c r="H912" s="2">
        <v>0</v>
      </c>
      <c r="I912" s="2">
        <v>0</v>
      </c>
      <c r="J912" s="2">
        <v>0</v>
      </c>
      <c r="K912" s="20">
        <v>4.08</v>
      </c>
      <c r="L912" t="s">
        <v>794</v>
      </c>
      <c r="M912">
        <f t="shared" si="14"/>
        <v>2025</v>
      </c>
    </row>
    <row r="913" spans="1:13" ht="12.75" hidden="1" customHeight="1">
      <c r="A913" t="s">
        <v>983</v>
      </c>
      <c r="B913" t="s">
        <v>211</v>
      </c>
      <c r="C913" t="s">
        <v>204</v>
      </c>
      <c r="D913" t="s">
        <v>1025</v>
      </c>
      <c r="E913" s="1">
        <v>45748</v>
      </c>
      <c r="F913" s="1">
        <v>45748</v>
      </c>
      <c r="G913" s="12">
        <v>3200.9500000000003</v>
      </c>
      <c r="H913" s="2">
        <v>0</v>
      </c>
      <c r="I913" s="2">
        <v>0</v>
      </c>
      <c r="J913" s="2">
        <v>0</v>
      </c>
      <c r="K913" s="20">
        <v>3200.9500000000003</v>
      </c>
      <c r="L913" t="s">
        <v>794</v>
      </c>
      <c r="M913">
        <f t="shared" si="14"/>
        <v>2025</v>
      </c>
    </row>
    <row r="914" spans="1:13" ht="12.75" hidden="1" customHeight="1">
      <c r="A914" t="s">
        <v>827</v>
      </c>
      <c r="B914" t="s">
        <v>53</v>
      </c>
      <c r="C914" t="s">
        <v>139</v>
      </c>
      <c r="D914" t="s">
        <v>1025</v>
      </c>
      <c r="E914" s="1">
        <v>45748</v>
      </c>
      <c r="F914" s="1">
        <v>45748</v>
      </c>
      <c r="G914" s="12">
        <v>657.80000000000007</v>
      </c>
      <c r="H914" s="2">
        <v>0</v>
      </c>
      <c r="I914" s="2">
        <v>0</v>
      </c>
      <c r="J914" s="2">
        <v>0</v>
      </c>
      <c r="K914" s="20">
        <v>657.80000000000007</v>
      </c>
      <c r="L914" t="s">
        <v>794</v>
      </c>
      <c r="M914">
        <f t="shared" si="14"/>
        <v>2025</v>
      </c>
    </row>
    <row r="915" spans="1:13" ht="12.75" hidden="1" customHeight="1">
      <c r="A915" t="s">
        <v>1026</v>
      </c>
      <c r="B915" t="s">
        <v>166</v>
      </c>
      <c r="C915" t="s">
        <v>139</v>
      </c>
      <c r="D915" t="s">
        <v>1025</v>
      </c>
      <c r="E915" s="1">
        <v>45748</v>
      </c>
      <c r="F915" s="1">
        <v>45748</v>
      </c>
      <c r="G915" s="12">
        <v>428</v>
      </c>
      <c r="H915" s="2">
        <v>0</v>
      </c>
      <c r="I915" s="2">
        <v>0</v>
      </c>
      <c r="J915" s="2">
        <v>0</v>
      </c>
      <c r="K915" s="20">
        <v>428</v>
      </c>
      <c r="L915" t="s">
        <v>794</v>
      </c>
      <c r="M915">
        <f t="shared" si="14"/>
        <v>2025</v>
      </c>
    </row>
    <row r="916" spans="1:13" ht="12.75" hidden="1" customHeight="1">
      <c r="A916" t="s">
        <v>1000</v>
      </c>
      <c r="B916" t="s">
        <v>31</v>
      </c>
      <c r="C916" t="s">
        <v>139</v>
      </c>
      <c r="D916" t="s">
        <v>1025</v>
      </c>
      <c r="E916" s="1">
        <v>45748</v>
      </c>
      <c r="F916" s="1">
        <v>45748</v>
      </c>
      <c r="G916" s="12">
        <v>321</v>
      </c>
      <c r="H916" s="2">
        <v>0</v>
      </c>
      <c r="I916" s="2">
        <v>0</v>
      </c>
      <c r="J916" s="2">
        <v>0</v>
      </c>
      <c r="K916" s="20">
        <v>321</v>
      </c>
      <c r="L916" t="s">
        <v>794</v>
      </c>
      <c r="M916">
        <f t="shared" si="14"/>
        <v>2025</v>
      </c>
    </row>
    <row r="917" spans="1:13" ht="12.75" hidden="1" customHeight="1">
      <c r="A917" t="s">
        <v>947</v>
      </c>
      <c r="B917" t="s">
        <v>162</v>
      </c>
      <c r="C917" t="s">
        <v>139</v>
      </c>
      <c r="D917" t="s">
        <v>1025</v>
      </c>
      <c r="E917" s="1">
        <v>45748</v>
      </c>
      <c r="F917" s="1">
        <v>45748</v>
      </c>
      <c r="G917" s="12">
        <v>309.7</v>
      </c>
      <c r="H917" s="2">
        <v>0</v>
      </c>
      <c r="I917" s="2">
        <v>0</v>
      </c>
      <c r="J917" s="2">
        <v>0</v>
      </c>
      <c r="K917" s="20">
        <v>309.7</v>
      </c>
      <c r="L917" t="s">
        <v>794</v>
      </c>
      <c r="M917">
        <f t="shared" si="14"/>
        <v>2025</v>
      </c>
    </row>
    <row r="918" spans="1:13" ht="12.75" hidden="1" customHeight="1">
      <c r="A918" t="s">
        <v>1075</v>
      </c>
      <c r="B918" t="s">
        <v>219</v>
      </c>
      <c r="C918" t="s">
        <v>139</v>
      </c>
      <c r="D918" t="s">
        <v>1025</v>
      </c>
      <c r="E918" s="1">
        <v>45748</v>
      </c>
      <c r="F918" s="1">
        <v>45748</v>
      </c>
      <c r="G918" s="12">
        <v>309.40000000000003</v>
      </c>
      <c r="H918" s="2">
        <v>0</v>
      </c>
      <c r="I918" s="2">
        <v>0</v>
      </c>
      <c r="J918" s="2">
        <v>0</v>
      </c>
      <c r="K918" s="20">
        <v>309.40000000000003</v>
      </c>
      <c r="L918" t="s">
        <v>794</v>
      </c>
      <c r="M918">
        <f t="shared" si="14"/>
        <v>2025</v>
      </c>
    </row>
    <row r="919" spans="1:13" ht="12.75" hidden="1" customHeight="1">
      <c r="A919" t="s">
        <v>1076</v>
      </c>
      <c r="B919" t="s">
        <v>188</v>
      </c>
      <c r="C919" t="s">
        <v>138</v>
      </c>
      <c r="D919" t="s">
        <v>1025</v>
      </c>
      <c r="E919" s="1">
        <v>45748</v>
      </c>
      <c r="F919" s="1">
        <v>45748</v>
      </c>
      <c r="G919" s="12">
        <v>242.4</v>
      </c>
      <c r="H919" s="2">
        <v>0</v>
      </c>
      <c r="I919" s="2">
        <v>0</v>
      </c>
      <c r="J919" s="2">
        <v>0</v>
      </c>
      <c r="K919" s="20">
        <v>242.4</v>
      </c>
      <c r="L919" t="s">
        <v>794</v>
      </c>
      <c r="M919">
        <f t="shared" si="14"/>
        <v>2025</v>
      </c>
    </row>
    <row r="920" spans="1:13" ht="12.75" hidden="1" customHeight="1">
      <c r="A920" t="s">
        <v>1077</v>
      </c>
      <c r="B920" t="s">
        <v>625</v>
      </c>
      <c r="C920" t="s">
        <v>452</v>
      </c>
      <c r="D920" t="s">
        <v>1025</v>
      </c>
      <c r="E920" s="1">
        <v>45748</v>
      </c>
      <c r="F920" s="1">
        <v>45748</v>
      </c>
      <c r="G920" s="12">
        <v>50</v>
      </c>
      <c r="H920" s="2">
        <v>0</v>
      </c>
      <c r="I920" s="2">
        <v>0</v>
      </c>
      <c r="J920" s="2">
        <v>0</v>
      </c>
      <c r="K920" s="20">
        <v>50</v>
      </c>
      <c r="L920" t="s">
        <v>794</v>
      </c>
      <c r="M920">
        <f t="shared" si="14"/>
        <v>2025</v>
      </c>
    </row>
    <row r="921" spans="1:13" ht="12.75" hidden="1" customHeight="1">
      <c r="A921" t="s">
        <v>1067</v>
      </c>
      <c r="B921" t="s">
        <v>1078</v>
      </c>
      <c r="C921" t="s">
        <v>139</v>
      </c>
      <c r="D921" t="s">
        <v>1025</v>
      </c>
      <c r="E921" s="1">
        <v>45748</v>
      </c>
      <c r="F921" s="1">
        <v>45748</v>
      </c>
      <c r="G921" s="12">
        <v>20</v>
      </c>
      <c r="H921" s="2">
        <v>0</v>
      </c>
      <c r="I921" s="2">
        <v>0</v>
      </c>
      <c r="J921" s="2">
        <v>0</v>
      </c>
      <c r="K921" s="20">
        <v>20</v>
      </c>
      <c r="L921" t="s">
        <v>794</v>
      </c>
      <c r="M921">
        <f t="shared" si="14"/>
        <v>2025</v>
      </c>
    </row>
    <row r="922" spans="1:13" ht="12.75" hidden="1" customHeight="1">
      <c r="A922" t="s">
        <v>801</v>
      </c>
      <c r="B922" t="s">
        <v>13</v>
      </c>
      <c r="C922" t="s">
        <v>726</v>
      </c>
      <c r="D922" t="s">
        <v>1025</v>
      </c>
      <c r="E922" s="1">
        <v>45748</v>
      </c>
      <c r="F922" s="1">
        <v>45748</v>
      </c>
      <c r="G922" s="12">
        <v>6.12</v>
      </c>
      <c r="H922" s="2">
        <v>0</v>
      </c>
      <c r="I922" s="2">
        <v>0</v>
      </c>
      <c r="J922" s="2">
        <v>0</v>
      </c>
      <c r="K922" s="20">
        <v>6.12</v>
      </c>
      <c r="L922" t="s">
        <v>794</v>
      </c>
      <c r="M922">
        <f t="shared" si="14"/>
        <v>2025</v>
      </c>
    </row>
    <row r="923" spans="1:13" ht="12.75" hidden="1" customHeight="1">
      <c r="A923" t="s">
        <v>1079</v>
      </c>
      <c r="B923" t="s">
        <v>230</v>
      </c>
      <c r="C923" t="s">
        <v>723</v>
      </c>
      <c r="D923" t="s">
        <v>1025</v>
      </c>
      <c r="E923" s="1">
        <v>45749</v>
      </c>
      <c r="F923" s="1">
        <v>45749</v>
      </c>
      <c r="G923" s="12">
        <v>3000</v>
      </c>
      <c r="H923" s="2">
        <v>0</v>
      </c>
      <c r="I923" s="2">
        <v>0</v>
      </c>
      <c r="J923" s="2">
        <v>0</v>
      </c>
      <c r="K923" s="20">
        <v>3000</v>
      </c>
      <c r="L923" t="s">
        <v>794</v>
      </c>
      <c r="M923">
        <f t="shared" si="14"/>
        <v>2025</v>
      </c>
    </row>
    <row r="924" spans="1:13" ht="12.75" hidden="1" customHeight="1">
      <c r="A924" t="s">
        <v>940</v>
      </c>
      <c r="B924" t="s">
        <v>29</v>
      </c>
      <c r="C924" t="s">
        <v>206</v>
      </c>
      <c r="D924" t="s">
        <v>1025</v>
      </c>
      <c r="E924" s="1">
        <v>45749</v>
      </c>
      <c r="F924" s="1">
        <v>45749</v>
      </c>
      <c r="G924" s="12">
        <v>2319.36</v>
      </c>
      <c r="H924" s="2">
        <v>0</v>
      </c>
      <c r="I924" s="2">
        <v>0</v>
      </c>
      <c r="J924" s="2">
        <v>0</v>
      </c>
      <c r="K924" s="20">
        <v>2319.36</v>
      </c>
      <c r="L924" t="s">
        <v>794</v>
      </c>
      <c r="M924">
        <f t="shared" si="14"/>
        <v>2025</v>
      </c>
    </row>
    <row r="925" spans="1:13" ht="12.75" hidden="1" customHeight="1">
      <c r="A925" t="s">
        <v>940</v>
      </c>
      <c r="B925" t="s">
        <v>29</v>
      </c>
      <c r="C925" t="s">
        <v>206</v>
      </c>
      <c r="D925" t="s">
        <v>1025</v>
      </c>
      <c r="E925" s="1">
        <v>45749</v>
      </c>
      <c r="F925" s="1">
        <v>45749</v>
      </c>
      <c r="G925" s="12">
        <v>1302</v>
      </c>
      <c r="H925" s="2">
        <v>0</v>
      </c>
      <c r="I925" s="2">
        <v>0</v>
      </c>
      <c r="J925" s="2">
        <v>0</v>
      </c>
      <c r="K925" s="20">
        <v>1302</v>
      </c>
      <c r="L925" t="s">
        <v>794</v>
      </c>
      <c r="M925">
        <f t="shared" si="14"/>
        <v>2025</v>
      </c>
    </row>
    <row r="926" spans="1:13" ht="12.75" hidden="1" customHeight="1">
      <c r="A926" t="s">
        <v>940</v>
      </c>
      <c r="B926" t="s">
        <v>29</v>
      </c>
      <c r="C926" t="s">
        <v>206</v>
      </c>
      <c r="D926" t="s">
        <v>1025</v>
      </c>
      <c r="E926" s="1">
        <v>45749</v>
      </c>
      <c r="F926" s="1">
        <v>45749</v>
      </c>
      <c r="G926" s="12">
        <v>880.64</v>
      </c>
      <c r="H926" s="2">
        <v>0</v>
      </c>
      <c r="I926" s="2">
        <v>0</v>
      </c>
      <c r="J926" s="2">
        <v>0</v>
      </c>
      <c r="K926" s="20">
        <v>880.64</v>
      </c>
      <c r="L926" t="s">
        <v>794</v>
      </c>
      <c r="M926">
        <f t="shared" si="14"/>
        <v>2025</v>
      </c>
    </row>
    <row r="927" spans="1:13" ht="12.75" hidden="1" customHeight="1">
      <c r="A927" t="s">
        <v>940</v>
      </c>
      <c r="B927" t="s">
        <v>29</v>
      </c>
      <c r="C927" t="s">
        <v>206</v>
      </c>
      <c r="D927" t="s">
        <v>1025</v>
      </c>
      <c r="E927" s="1">
        <v>45749</v>
      </c>
      <c r="F927" s="1">
        <v>45749</v>
      </c>
      <c r="G927" s="12">
        <v>698</v>
      </c>
      <c r="H927" s="2">
        <v>0</v>
      </c>
      <c r="I927" s="2">
        <v>0</v>
      </c>
      <c r="J927" s="2">
        <v>0</v>
      </c>
      <c r="K927" s="20">
        <v>698</v>
      </c>
      <c r="L927" t="s">
        <v>794</v>
      </c>
      <c r="M927">
        <f t="shared" si="14"/>
        <v>2025</v>
      </c>
    </row>
    <row r="928" spans="1:13" ht="12.75" hidden="1" customHeight="1">
      <c r="A928" t="s">
        <v>801</v>
      </c>
      <c r="B928" t="s">
        <v>13</v>
      </c>
      <c r="C928" t="s">
        <v>740</v>
      </c>
      <c r="D928" t="s">
        <v>1025</v>
      </c>
      <c r="E928" s="1">
        <v>45749</v>
      </c>
      <c r="F928" s="1">
        <v>45749</v>
      </c>
      <c r="G928" s="12">
        <v>35</v>
      </c>
      <c r="H928" s="2">
        <v>0</v>
      </c>
      <c r="I928" s="2">
        <v>0</v>
      </c>
      <c r="J928" s="2">
        <v>0</v>
      </c>
      <c r="K928" s="20">
        <v>35</v>
      </c>
      <c r="L928" t="s">
        <v>794</v>
      </c>
      <c r="M928">
        <f t="shared" si="14"/>
        <v>2025</v>
      </c>
    </row>
    <row r="929" spans="1:13" ht="12.75" hidden="1" customHeight="1">
      <c r="A929" t="s">
        <v>801</v>
      </c>
      <c r="B929" t="s">
        <v>13</v>
      </c>
      <c r="C929" t="s">
        <v>739</v>
      </c>
      <c r="D929" t="s">
        <v>1025</v>
      </c>
      <c r="E929" s="1">
        <v>45749</v>
      </c>
      <c r="F929" s="1">
        <v>45749</v>
      </c>
      <c r="G929" s="12">
        <v>407.64</v>
      </c>
      <c r="H929" s="2">
        <v>0</v>
      </c>
      <c r="I929" s="2">
        <v>0</v>
      </c>
      <c r="J929" s="2">
        <v>0</v>
      </c>
      <c r="K929" s="20">
        <v>407.64</v>
      </c>
      <c r="L929" t="s">
        <v>794</v>
      </c>
      <c r="M929">
        <f t="shared" si="14"/>
        <v>2025</v>
      </c>
    </row>
    <row r="930" spans="1:13" ht="12.75" hidden="1" customHeight="1">
      <c r="A930" t="s">
        <v>839</v>
      </c>
      <c r="B930" t="s">
        <v>26</v>
      </c>
      <c r="C930" t="s">
        <v>138</v>
      </c>
      <c r="D930" t="s">
        <v>1025</v>
      </c>
      <c r="E930" s="1">
        <v>45749</v>
      </c>
      <c r="F930" s="1">
        <v>45749</v>
      </c>
      <c r="G930" s="12">
        <v>5849.92</v>
      </c>
      <c r="H930" s="2">
        <v>0</v>
      </c>
      <c r="I930" s="2">
        <v>0</v>
      </c>
      <c r="J930" s="2">
        <v>0</v>
      </c>
      <c r="K930" s="20">
        <v>5849.92</v>
      </c>
      <c r="L930" t="s">
        <v>794</v>
      </c>
      <c r="M930">
        <f t="shared" si="14"/>
        <v>2025</v>
      </c>
    </row>
    <row r="931" spans="1:13" ht="12.75" hidden="1" customHeight="1">
      <c r="A931" t="s">
        <v>801</v>
      </c>
      <c r="B931" t="s">
        <v>13</v>
      </c>
      <c r="C931" t="s">
        <v>739</v>
      </c>
      <c r="D931" t="s">
        <v>1025</v>
      </c>
      <c r="E931" s="1">
        <v>45749</v>
      </c>
      <c r="F931" s="1">
        <v>45749</v>
      </c>
      <c r="G931" s="12">
        <v>120.74000000000001</v>
      </c>
      <c r="H931" s="2">
        <v>0</v>
      </c>
      <c r="I931" s="2">
        <v>0</v>
      </c>
      <c r="J931" s="2">
        <v>0</v>
      </c>
      <c r="K931" s="20">
        <v>120.74000000000001</v>
      </c>
      <c r="L931" t="s">
        <v>794</v>
      </c>
      <c r="M931">
        <f t="shared" si="14"/>
        <v>2025</v>
      </c>
    </row>
    <row r="932" spans="1:13" ht="12.75" hidden="1" customHeight="1">
      <c r="A932" t="s">
        <v>801</v>
      </c>
      <c r="B932" t="s">
        <v>13</v>
      </c>
      <c r="C932" t="s">
        <v>740</v>
      </c>
      <c r="D932" t="s">
        <v>1025</v>
      </c>
      <c r="E932" s="1">
        <v>45749</v>
      </c>
      <c r="F932" s="1">
        <v>45749</v>
      </c>
      <c r="G932" s="12">
        <v>101.68</v>
      </c>
      <c r="H932" s="2">
        <v>0</v>
      </c>
      <c r="I932" s="2">
        <v>0</v>
      </c>
      <c r="J932" s="2">
        <v>0</v>
      </c>
      <c r="K932" s="20">
        <v>101.68</v>
      </c>
      <c r="L932" t="s">
        <v>794</v>
      </c>
      <c r="M932">
        <f t="shared" si="14"/>
        <v>2025</v>
      </c>
    </row>
    <row r="933" spans="1:13" ht="12.75" hidden="1" customHeight="1">
      <c r="A933" t="s">
        <v>801</v>
      </c>
      <c r="B933" t="s">
        <v>13</v>
      </c>
      <c r="C933" t="s">
        <v>740</v>
      </c>
      <c r="D933" t="s">
        <v>1025</v>
      </c>
      <c r="E933" s="1">
        <v>45749</v>
      </c>
      <c r="F933" s="1">
        <v>45749</v>
      </c>
      <c r="G933" s="12">
        <v>61.7</v>
      </c>
      <c r="H933" s="2">
        <v>0</v>
      </c>
      <c r="I933" s="2">
        <v>0</v>
      </c>
      <c r="J933" s="2">
        <v>0</v>
      </c>
      <c r="K933" s="20">
        <v>61.7</v>
      </c>
      <c r="L933" t="s">
        <v>794</v>
      </c>
      <c r="M933">
        <f t="shared" si="14"/>
        <v>2025</v>
      </c>
    </row>
    <row r="934" spans="1:13" ht="12.75" hidden="1" customHeight="1">
      <c r="A934" t="s">
        <v>1021</v>
      </c>
      <c r="B934" t="s">
        <v>40</v>
      </c>
      <c r="C934" t="s">
        <v>725</v>
      </c>
      <c r="D934" t="s">
        <v>1025</v>
      </c>
      <c r="E934" s="1">
        <v>45750</v>
      </c>
      <c r="F934" s="1">
        <v>45750</v>
      </c>
      <c r="G934" s="12">
        <v>3246.87</v>
      </c>
      <c r="H934" s="2">
        <v>0</v>
      </c>
      <c r="I934" s="2">
        <v>0</v>
      </c>
      <c r="J934" s="2">
        <v>0</v>
      </c>
      <c r="K934" s="20">
        <v>3246.87</v>
      </c>
      <c r="L934" t="s">
        <v>794</v>
      </c>
      <c r="M934">
        <f t="shared" si="14"/>
        <v>2025</v>
      </c>
    </row>
    <row r="935" spans="1:13" ht="12.75" hidden="1" customHeight="1">
      <c r="A935" t="s">
        <v>883</v>
      </c>
      <c r="B935" t="s">
        <v>110</v>
      </c>
      <c r="C935" t="s">
        <v>733</v>
      </c>
      <c r="D935" t="s">
        <v>1025</v>
      </c>
      <c r="E935" s="1">
        <v>45750</v>
      </c>
      <c r="F935" s="1">
        <v>45750</v>
      </c>
      <c r="G935" s="12">
        <v>350</v>
      </c>
      <c r="H935" s="2">
        <v>0</v>
      </c>
      <c r="I935" s="2">
        <v>0</v>
      </c>
      <c r="J935" s="2">
        <v>0</v>
      </c>
      <c r="K935" s="20">
        <v>350</v>
      </c>
      <c r="L935" t="s">
        <v>794</v>
      </c>
      <c r="M935">
        <f t="shared" si="14"/>
        <v>2025</v>
      </c>
    </row>
    <row r="936" spans="1:13" ht="12.75" hidden="1" customHeight="1">
      <c r="A936" t="s">
        <v>823</v>
      </c>
      <c r="B936" t="s">
        <v>245</v>
      </c>
      <c r="C936" t="s">
        <v>723</v>
      </c>
      <c r="D936" t="s">
        <v>1025</v>
      </c>
      <c r="E936" s="1">
        <v>45750</v>
      </c>
      <c r="F936" s="1">
        <v>45750</v>
      </c>
      <c r="G936" s="12">
        <v>126.41</v>
      </c>
      <c r="H936" s="2">
        <v>0</v>
      </c>
      <c r="I936" s="2">
        <v>0</v>
      </c>
      <c r="J936" s="2">
        <v>0</v>
      </c>
      <c r="K936" s="20">
        <v>126.41</v>
      </c>
      <c r="L936" t="s">
        <v>794</v>
      </c>
      <c r="M936">
        <f t="shared" si="14"/>
        <v>2025</v>
      </c>
    </row>
    <row r="937" spans="1:13" ht="12.75" hidden="1" customHeight="1">
      <c r="A937" t="s">
        <v>867</v>
      </c>
      <c r="B937" t="s">
        <v>171</v>
      </c>
      <c r="C937" t="s">
        <v>137</v>
      </c>
      <c r="D937" t="s">
        <v>1025</v>
      </c>
      <c r="E937" s="1">
        <v>45751</v>
      </c>
      <c r="F937" s="1">
        <v>45751</v>
      </c>
      <c r="G937" s="12">
        <v>1056</v>
      </c>
      <c r="H937" s="2">
        <v>0</v>
      </c>
      <c r="I937" s="2">
        <v>0</v>
      </c>
      <c r="J937" s="2">
        <v>0</v>
      </c>
      <c r="K937" s="20">
        <v>1056</v>
      </c>
      <c r="L937" t="s">
        <v>794</v>
      </c>
      <c r="M937">
        <f t="shared" si="14"/>
        <v>2025</v>
      </c>
    </row>
    <row r="938" spans="1:13" ht="12.75" hidden="1" customHeight="1">
      <c r="A938" t="s">
        <v>1002</v>
      </c>
      <c r="B938" t="s">
        <v>39</v>
      </c>
      <c r="C938" t="s">
        <v>731</v>
      </c>
      <c r="D938" t="s">
        <v>1025</v>
      </c>
      <c r="E938" s="1">
        <v>45751</v>
      </c>
      <c r="F938" s="1">
        <v>45751</v>
      </c>
      <c r="G938" s="12">
        <v>1284</v>
      </c>
      <c r="H938" s="2">
        <v>0</v>
      </c>
      <c r="I938" s="2">
        <v>0</v>
      </c>
      <c r="J938" s="2">
        <v>0</v>
      </c>
      <c r="K938" s="20">
        <v>1284</v>
      </c>
      <c r="L938" t="s">
        <v>794</v>
      </c>
      <c r="M938">
        <f t="shared" si="14"/>
        <v>2025</v>
      </c>
    </row>
    <row r="939" spans="1:13" ht="12.75" hidden="1" customHeight="1">
      <c r="A939" t="s">
        <v>840</v>
      </c>
      <c r="B939" t="s">
        <v>46</v>
      </c>
      <c r="C939" t="s">
        <v>137</v>
      </c>
      <c r="D939" t="s">
        <v>1025</v>
      </c>
      <c r="E939" s="1">
        <v>45751</v>
      </c>
      <c r="F939" s="1">
        <v>45751</v>
      </c>
      <c r="G939" s="12">
        <v>1298</v>
      </c>
      <c r="H939" s="2">
        <v>0</v>
      </c>
      <c r="I939" s="2">
        <v>0</v>
      </c>
      <c r="J939" s="2">
        <v>0</v>
      </c>
      <c r="K939" s="20">
        <v>1298</v>
      </c>
      <c r="L939" t="s">
        <v>794</v>
      </c>
      <c r="M939">
        <f t="shared" si="14"/>
        <v>2025</v>
      </c>
    </row>
    <row r="940" spans="1:13" ht="12.75" hidden="1" customHeight="1">
      <c r="A940" t="s">
        <v>922</v>
      </c>
      <c r="B940" t="s">
        <v>149</v>
      </c>
      <c r="C940" t="s">
        <v>137</v>
      </c>
      <c r="D940" t="s">
        <v>1025</v>
      </c>
      <c r="E940" s="1">
        <v>45751</v>
      </c>
      <c r="F940" s="1">
        <v>45751</v>
      </c>
      <c r="G940" s="12">
        <v>1425</v>
      </c>
      <c r="H940" s="2">
        <v>0</v>
      </c>
      <c r="I940" s="2">
        <v>0</v>
      </c>
      <c r="J940" s="2">
        <v>0</v>
      </c>
      <c r="K940" s="20">
        <v>1425</v>
      </c>
      <c r="L940" t="s">
        <v>794</v>
      </c>
      <c r="M940">
        <f t="shared" si="14"/>
        <v>2025</v>
      </c>
    </row>
    <row r="941" spans="1:13" ht="12.75" hidden="1" customHeight="1">
      <c r="A941" t="s">
        <v>1072</v>
      </c>
      <c r="B941" t="s">
        <v>177</v>
      </c>
      <c r="C941" t="s">
        <v>137</v>
      </c>
      <c r="D941" t="s">
        <v>1025</v>
      </c>
      <c r="E941" s="1">
        <v>45751</v>
      </c>
      <c r="F941" s="1">
        <v>45751</v>
      </c>
      <c r="G941" s="12">
        <v>1452</v>
      </c>
      <c r="H941" s="2">
        <v>0</v>
      </c>
      <c r="I941" s="2">
        <v>0</v>
      </c>
      <c r="J941" s="2">
        <v>0</v>
      </c>
      <c r="K941" s="20">
        <v>1452</v>
      </c>
      <c r="L941" t="s">
        <v>794</v>
      </c>
      <c r="M941">
        <f t="shared" si="14"/>
        <v>2025</v>
      </c>
    </row>
    <row r="942" spans="1:13" ht="12.75" hidden="1" customHeight="1">
      <c r="A942" t="s">
        <v>1075</v>
      </c>
      <c r="B942" t="s">
        <v>219</v>
      </c>
      <c r="C942" t="s">
        <v>137</v>
      </c>
      <c r="D942" t="s">
        <v>1025</v>
      </c>
      <c r="E942" s="1">
        <v>45751</v>
      </c>
      <c r="F942" s="1">
        <v>45751</v>
      </c>
      <c r="G942" s="12">
        <v>1492</v>
      </c>
      <c r="H942" s="2">
        <v>0</v>
      </c>
      <c r="I942" s="2">
        <v>0</v>
      </c>
      <c r="J942" s="2">
        <v>0</v>
      </c>
      <c r="K942" s="20">
        <v>1492</v>
      </c>
      <c r="L942" t="s">
        <v>794</v>
      </c>
      <c r="M942">
        <f t="shared" si="14"/>
        <v>2025</v>
      </c>
    </row>
    <row r="943" spans="1:13" ht="12.75" hidden="1" customHeight="1">
      <c r="A943" t="s">
        <v>858</v>
      </c>
      <c r="B943" t="s">
        <v>47</v>
      </c>
      <c r="C943" t="s">
        <v>137</v>
      </c>
      <c r="D943" t="s">
        <v>1025</v>
      </c>
      <c r="E943" s="1">
        <v>45751</v>
      </c>
      <c r="F943" s="1">
        <v>45751</v>
      </c>
      <c r="G943" s="12">
        <v>1493</v>
      </c>
      <c r="H943" s="2">
        <v>0</v>
      </c>
      <c r="I943" s="2">
        <v>0</v>
      </c>
      <c r="J943" s="2">
        <v>0</v>
      </c>
      <c r="K943" s="20">
        <v>1493</v>
      </c>
      <c r="L943" t="s">
        <v>794</v>
      </c>
      <c r="M943">
        <f t="shared" si="14"/>
        <v>2025</v>
      </c>
    </row>
    <row r="944" spans="1:13" ht="12.75" hidden="1" customHeight="1">
      <c r="A944" t="s">
        <v>947</v>
      </c>
      <c r="B944" t="s">
        <v>162</v>
      </c>
      <c r="C944" t="s">
        <v>137</v>
      </c>
      <c r="D944" t="s">
        <v>1025</v>
      </c>
      <c r="E944" s="1">
        <v>45751</v>
      </c>
      <c r="F944" s="1">
        <v>45751</v>
      </c>
      <c r="G944" s="12">
        <v>1516</v>
      </c>
      <c r="H944" s="2">
        <v>0</v>
      </c>
      <c r="I944" s="2">
        <v>0</v>
      </c>
      <c r="J944" s="2">
        <v>0</v>
      </c>
      <c r="K944" s="20">
        <v>1516</v>
      </c>
      <c r="L944" t="s">
        <v>794</v>
      </c>
      <c r="M944">
        <f t="shared" si="14"/>
        <v>2025</v>
      </c>
    </row>
    <row r="945" spans="1:13" ht="12.75" hidden="1" customHeight="1">
      <c r="A945" t="s">
        <v>923</v>
      </c>
      <c r="B945" t="s">
        <v>90</v>
      </c>
      <c r="C945" t="s">
        <v>137</v>
      </c>
      <c r="D945" t="s">
        <v>1025</v>
      </c>
      <c r="E945" s="1">
        <v>45751</v>
      </c>
      <c r="F945" s="1">
        <v>45751</v>
      </c>
      <c r="G945" s="12">
        <v>1551</v>
      </c>
      <c r="H945" s="2">
        <v>0</v>
      </c>
      <c r="I945" s="2">
        <v>0</v>
      </c>
      <c r="J945" s="2">
        <v>0</v>
      </c>
      <c r="K945" s="20">
        <v>1551</v>
      </c>
      <c r="L945" t="s">
        <v>794</v>
      </c>
      <c r="M945">
        <f t="shared" si="14"/>
        <v>2025</v>
      </c>
    </row>
    <row r="946" spans="1:13" ht="12.75" hidden="1" customHeight="1">
      <c r="A946" t="s">
        <v>818</v>
      </c>
      <c r="B946" t="s">
        <v>157</v>
      </c>
      <c r="C946" t="s">
        <v>137</v>
      </c>
      <c r="D946" t="s">
        <v>1025</v>
      </c>
      <c r="E946" s="1">
        <v>45751</v>
      </c>
      <c r="F946" s="1">
        <v>45751</v>
      </c>
      <c r="G946" s="12">
        <v>1557</v>
      </c>
      <c r="H946" s="2">
        <v>0</v>
      </c>
      <c r="I946" s="2">
        <v>0</v>
      </c>
      <c r="J946" s="2">
        <v>0</v>
      </c>
      <c r="K946" s="20">
        <v>1557</v>
      </c>
      <c r="L946" t="s">
        <v>794</v>
      </c>
      <c r="M946">
        <f t="shared" si="14"/>
        <v>2025</v>
      </c>
    </row>
    <row r="947" spans="1:13" ht="12.75" hidden="1" customHeight="1">
      <c r="A947" t="s">
        <v>916</v>
      </c>
      <c r="B947" t="s">
        <v>198</v>
      </c>
      <c r="C947" t="s">
        <v>137</v>
      </c>
      <c r="D947" t="s">
        <v>1025</v>
      </c>
      <c r="E947" s="1">
        <v>45751</v>
      </c>
      <c r="F947" s="1">
        <v>45751</v>
      </c>
      <c r="G947" s="12">
        <v>1622</v>
      </c>
      <c r="H947" s="2">
        <v>0</v>
      </c>
      <c r="I947" s="2">
        <v>0</v>
      </c>
      <c r="J947" s="2">
        <v>0</v>
      </c>
      <c r="K947" s="20">
        <v>1622</v>
      </c>
      <c r="L947" t="s">
        <v>794</v>
      </c>
      <c r="M947">
        <f t="shared" si="14"/>
        <v>2025</v>
      </c>
    </row>
    <row r="948" spans="1:13" ht="12.75" hidden="1" customHeight="1">
      <c r="A948" t="s">
        <v>1000</v>
      </c>
      <c r="B948" t="s">
        <v>31</v>
      </c>
      <c r="C948" t="s">
        <v>137</v>
      </c>
      <c r="D948" t="s">
        <v>1025</v>
      </c>
      <c r="E948" s="1">
        <v>45751</v>
      </c>
      <c r="F948" s="1">
        <v>45751</v>
      </c>
      <c r="G948" s="12">
        <v>1659</v>
      </c>
      <c r="H948" s="2">
        <v>0</v>
      </c>
      <c r="I948" s="2">
        <v>0</v>
      </c>
      <c r="J948" s="2">
        <v>0</v>
      </c>
      <c r="K948" s="20">
        <v>1659</v>
      </c>
      <c r="L948" t="s">
        <v>794</v>
      </c>
      <c r="M948">
        <f t="shared" si="14"/>
        <v>2025</v>
      </c>
    </row>
    <row r="949" spans="1:13" ht="12.75" hidden="1" customHeight="1">
      <c r="A949" t="s">
        <v>952</v>
      </c>
      <c r="B949" t="s">
        <v>27</v>
      </c>
      <c r="C949" t="s">
        <v>137</v>
      </c>
      <c r="D949" t="s">
        <v>1025</v>
      </c>
      <c r="E949" s="1">
        <v>45751</v>
      </c>
      <c r="F949" s="1">
        <v>45751</v>
      </c>
      <c r="G949" s="12">
        <v>1722</v>
      </c>
      <c r="H949" s="2">
        <v>0</v>
      </c>
      <c r="I949" s="2">
        <v>0</v>
      </c>
      <c r="J949" s="2">
        <v>0</v>
      </c>
      <c r="K949" s="20">
        <v>1722</v>
      </c>
      <c r="L949" t="s">
        <v>794</v>
      </c>
      <c r="M949">
        <f t="shared" si="14"/>
        <v>2025</v>
      </c>
    </row>
    <row r="950" spans="1:13" ht="12.75" hidden="1" customHeight="1">
      <c r="A950" t="s">
        <v>864</v>
      </c>
      <c r="B950" t="s">
        <v>918</v>
      </c>
      <c r="C950" t="s">
        <v>137</v>
      </c>
      <c r="D950" t="s">
        <v>1025</v>
      </c>
      <c r="E950" s="1">
        <v>45751</v>
      </c>
      <c r="F950" s="1">
        <v>45751</v>
      </c>
      <c r="G950" s="12">
        <v>2148</v>
      </c>
      <c r="H950" s="2">
        <v>0</v>
      </c>
      <c r="I950" s="2">
        <v>0</v>
      </c>
      <c r="J950" s="2">
        <v>0</v>
      </c>
      <c r="K950" s="20">
        <v>2148</v>
      </c>
      <c r="L950" t="s">
        <v>794</v>
      </c>
      <c r="M950">
        <f t="shared" si="14"/>
        <v>2025</v>
      </c>
    </row>
    <row r="951" spans="1:13" ht="12.75" hidden="1" customHeight="1">
      <c r="A951" t="s">
        <v>952</v>
      </c>
      <c r="B951" t="s">
        <v>27</v>
      </c>
      <c r="C951" t="s">
        <v>730</v>
      </c>
      <c r="D951" t="s">
        <v>1025</v>
      </c>
      <c r="E951" s="1">
        <v>45751</v>
      </c>
      <c r="F951" s="1">
        <v>45751</v>
      </c>
      <c r="G951" s="12">
        <v>2457.4500000000003</v>
      </c>
      <c r="H951" s="2">
        <v>0</v>
      </c>
      <c r="I951" s="2">
        <v>0</v>
      </c>
      <c r="J951" s="2">
        <v>0</v>
      </c>
      <c r="K951" s="20">
        <v>2457.4500000000003</v>
      </c>
      <c r="L951" t="s">
        <v>794</v>
      </c>
      <c r="M951">
        <f t="shared" si="14"/>
        <v>2025</v>
      </c>
    </row>
    <row r="952" spans="1:13" ht="12.75" hidden="1" customHeight="1">
      <c r="A952" t="s">
        <v>948</v>
      </c>
      <c r="B952" t="s">
        <v>51</v>
      </c>
      <c r="C952" t="s">
        <v>137</v>
      </c>
      <c r="D952" t="s">
        <v>1025</v>
      </c>
      <c r="E952" s="1">
        <v>45751</v>
      </c>
      <c r="F952" s="1">
        <v>45751</v>
      </c>
      <c r="G952" s="12">
        <v>2746</v>
      </c>
      <c r="H952" s="2">
        <v>0</v>
      </c>
      <c r="I952" s="2">
        <v>0</v>
      </c>
      <c r="J952" s="2">
        <v>0</v>
      </c>
      <c r="K952" s="20">
        <v>2746</v>
      </c>
      <c r="L952" t="s">
        <v>794</v>
      </c>
      <c r="M952">
        <f t="shared" si="14"/>
        <v>2025</v>
      </c>
    </row>
    <row r="953" spans="1:13" ht="12.75" hidden="1" customHeight="1">
      <c r="A953" t="s">
        <v>1030</v>
      </c>
      <c r="B953" t="s">
        <v>1031</v>
      </c>
      <c r="C953" t="s">
        <v>137</v>
      </c>
      <c r="D953" t="s">
        <v>1025</v>
      </c>
      <c r="E953" s="1">
        <v>45751</v>
      </c>
      <c r="F953" s="1">
        <v>45751</v>
      </c>
      <c r="G953" s="12">
        <v>1760</v>
      </c>
      <c r="H953" s="2">
        <v>0</v>
      </c>
      <c r="I953" s="2">
        <v>0</v>
      </c>
      <c r="J953" s="2">
        <v>0</v>
      </c>
      <c r="K953" s="20">
        <v>1760</v>
      </c>
      <c r="L953" t="s">
        <v>794</v>
      </c>
      <c r="M953">
        <f t="shared" si="14"/>
        <v>2025</v>
      </c>
    </row>
    <row r="954" spans="1:13" ht="12.75" hidden="1" customHeight="1">
      <c r="A954" t="s">
        <v>950</v>
      </c>
      <c r="B954" t="s">
        <v>951</v>
      </c>
      <c r="C954" t="s">
        <v>137</v>
      </c>
      <c r="D954" t="s">
        <v>1025</v>
      </c>
      <c r="E954" s="1">
        <v>45751</v>
      </c>
      <c r="F954" s="1">
        <v>45751</v>
      </c>
      <c r="G954" s="12">
        <v>1728</v>
      </c>
      <c r="H954" s="2">
        <v>0</v>
      </c>
      <c r="I954" s="2">
        <v>0</v>
      </c>
      <c r="J954" s="2">
        <v>0</v>
      </c>
      <c r="K954" s="20">
        <v>1728</v>
      </c>
      <c r="L954" t="s">
        <v>794</v>
      </c>
      <c r="M954">
        <f t="shared" si="14"/>
        <v>2025</v>
      </c>
    </row>
    <row r="955" spans="1:13" ht="12.75" hidden="1" customHeight="1">
      <c r="A955" t="s">
        <v>1026</v>
      </c>
      <c r="B955" t="s">
        <v>166</v>
      </c>
      <c r="C955" t="s">
        <v>137</v>
      </c>
      <c r="D955" t="s">
        <v>1025</v>
      </c>
      <c r="E955" s="1">
        <v>45751</v>
      </c>
      <c r="F955" s="1">
        <v>45751</v>
      </c>
      <c r="G955" s="12">
        <v>1728</v>
      </c>
      <c r="H955" s="2">
        <v>0</v>
      </c>
      <c r="I955" s="2">
        <v>0</v>
      </c>
      <c r="J955" s="2">
        <v>0</v>
      </c>
      <c r="K955" s="20">
        <v>1728</v>
      </c>
      <c r="L955" t="s">
        <v>794</v>
      </c>
      <c r="M955">
        <f t="shared" si="14"/>
        <v>2025</v>
      </c>
    </row>
    <row r="956" spans="1:13" ht="12.75" hidden="1" customHeight="1">
      <c r="A956" t="s">
        <v>988</v>
      </c>
      <c r="B956" t="s">
        <v>217</v>
      </c>
      <c r="C956" t="s">
        <v>137</v>
      </c>
      <c r="D956" t="s">
        <v>1025</v>
      </c>
      <c r="E956" s="1">
        <v>45751</v>
      </c>
      <c r="F956" s="1">
        <v>45751</v>
      </c>
      <c r="G956" s="12">
        <v>1648</v>
      </c>
      <c r="H956" s="2">
        <v>0</v>
      </c>
      <c r="I956" s="2">
        <v>0</v>
      </c>
      <c r="J956" s="2">
        <v>0</v>
      </c>
      <c r="K956" s="20">
        <v>1648</v>
      </c>
      <c r="L956" t="s">
        <v>794</v>
      </c>
      <c r="M956">
        <f t="shared" si="14"/>
        <v>2025</v>
      </c>
    </row>
    <row r="957" spans="1:13" ht="12.75" hidden="1" customHeight="1">
      <c r="A957" t="s">
        <v>814</v>
      </c>
      <c r="B957" t="s">
        <v>143</v>
      </c>
      <c r="C957" t="s">
        <v>137</v>
      </c>
      <c r="D957" t="s">
        <v>1025</v>
      </c>
      <c r="E957" s="1">
        <v>45751</v>
      </c>
      <c r="F957" s="1">
        <v>45751</v>
      </c>
      <c r="G957" s="12">
        <v>1518</v>
      </c>
      <c r="H957" s="2">
        <v>0</v>
      </c>
      <c r="I957" s="2">
        <v>0</v>
      </c>
      <c r="J957" s="2">
        <v>0</v>
      </c>
      <c r="K957" s="20">
        <v>1518</v>
      </c>
      <c r="L957" t="s">
        <v>794</v>
      </c>
      <c r="M957">
        <f t="shared" si="14"/>
        <v>2025</v>
      </c>
    </row>
    <row r="958" spans="1:13" ht="12.75" hidden="1" customHeight="1">
      <c r="A958" t="s">
        <v>868</v>
      </c>
      <c r="B958" t="s">
        <v>255</v>
      </c>
      <c r="C958" t="s">
        <v>137</v>
      </c>
      <c r="D958" t="s">
        <v>1025</v>
      </c>
      <c r="E958" s="1">
        <v>45751</v>
      </c>
      <c r="F958" s="1">
        <v>45751</v>
      </c>
      <c r="G958" s="12">
        <v>390</v>
      </c>
      <c r="H958" s="2">
        <v>0</v>
      </c>
      <c r="I958" s="2">
        <v>0</v>
      </c>
      <c r="J958" s="2">
        <v>0</v>
      </c>
      <c r="K958" s="20">
        <v>390</v>
      </c>
      <c r="L958" t="s">
        <v>794</v>
      </c>
      <c r="M958">
        <f t="shared" si="14"/>
        <v>2025</v>
      </c>
    </row>
    <row r="959" spans="1:13" ht="12.75" hidden="1" customHeight="1">
      <c r="A959" t="s">
        <v>1073</v>
      </c>
      <c r="B959" t="s">
        <v>150</v>
      </c>
      <c r="C959" t="s">
        <v>137</v>
      </c>
      <c r="D959" t="s">
        <v>1025</v>
      </c>
      <c r="E959" s="1">
        <v>45751</v>
      </c>
      <c r="F959" s="1">
        <v>45751</v>
      </c>
      <c r="G959" s="12">
        <v>390</v>
      </c>
      <c r="H959" s="2">
        <v>0</v>
      </c>
      <c r="I959" s="2">
        <v>0</v>
      </c>
      <c r="J959" s="2">
        <v>0</v>
      </c>
      <c r="K959" s="20">
        <v>390</v>
      </c>
      <c r="L959" t="s">
        <v>794</v>
      </c>
      <c r="M959">
        <f t="shared" si="14"/>
        <v>2025</v>
      </c>
    </row>
    <row r="960" spans="1:13" ht="12.75" hidden="1" customHeight="1">
      <c r="A960" t="s">
        <v>821</v>
      </c>
      <c r="B960" t="s">
        <v>72</v>
      </c>
      <c r="C960" t="s">
        <v>722</v>
      </c>
      <c r="D960" t="s">
        <v>1025</v>
      </c>
      <c r="E960" s="1">
        <v>45751</v>
      </c>
      <c r="F960" s="1">
        <v>45751</v>
      </c>
      <c r="G960" s="12">
        <v>1381.38</v>
      </c>
      <c r="H960" s="2">
        <v>0</v>
      </c>
      <c r="I960" s="2">
        <v>0</v>
      </c>
      <c r="J960" s="2">
        <v>0</v>
      </c>
      <c r="K960" s="20">
        <v>1381.38</v>
      </c>
      <c r="L960" t="s">
        <v>794</v>
      </c>
      <c r="M960">
        <f t="shared" si="14"/>
        <v>2025</v>
      </c>
    </row>
    <row r="961" spans="1:13" ht="12.75" hidden="1" customHeight="1">
      <c r="A961" t="s">
        <v>940</v>
      </c>
      <c r="B961" t="s">
        <v>29</v>
      </c>
      <c r="C961" t="s">
        <v>206</v>
      </c>
      <c r="D961" t="s">
        <v>1025</v>
      </c>
      <c r="E961" s="1">
        <v>45751</v>
      </c>
      <c r="F961" s="1">
        <v>45751</v>
      </c>
      <c r="G961" s="12">
        <v>1905.75</v>
      </c>
      <c r="H961" s="2">
        <v>0</v>
      </c>
      <c r="I961" s="2">
        <v>0</v>
      </c>
      <c r="J961" s="2">
        <v>0</v>
      </c>
      <c r="K961" s="20">
        <v>1905.75</v>
      </c>
      <c r="L961" t="s">
        <v>794</v>
      </c>
      <c r="M961">
        <f t="shared" si="14"/>
        <v>2025</v>
      </c>
    </row>
    <row r="962" spans="1:13" ht="12.75" hidden="1" customHeight="1">
      <c r="A962" t="s">
        <v>989</v>
      </c>
      <c r="B962" t="s">
        <v>285</v>
      </c>
      <c r="C962" t="s">
        <v>99</v>
      </c>
      <c r="D962" t="s">
        <v>1025</v>
      </c>
      <c r="E962" s="1">
        <v>45754</v>
      </c>
      <c r="F962" s="1">
        <v>45754</v>
      </c>
      <c r="G962" s="12">
        <v>500</v>
      </c>
      <c r="H962" s="2">
        <v>0</v>
      </c>
      <c r="I962" s="2">
        <v>0</v>
      </c>
      <c r="J962" s="2">
        <v>0</v>
      </c>
      <c r="K962" s="20">
        <v>500</v>
      </c>
      <c r="L962" t="s">
        <v>794</v>
      </c>
      <c r="M962">
        <f t="shared" si="14"/>
        <v>2025</v>
      </c>
    </row>
    <row r="963" spans="1:13" ht="12.75" hidden="1" customHeight="1">
      <c r="A963" t="s">
        <v>1067</v>
      </c>
      <c r="B963" t="s">
        <v>249</v>
      </c>
      <c r="C963" t="s">
        <v>137</v>
      </c>
      <c r="D963" t="s">
        <v>1025</v>
      </c>
      <c r="E963" s="1">
        <v>45754</v>
      </c>
      <c r="F963" s="1">
        <v>45754</v>
      </c>
      <c r="G963" s="12">
        <v>724.62</v>
      </c>
      <c r="H963" s="2">
        <v>0</v>
      </c>
      <c r="I963" s="2">
        <v>0</v>
      </c>
      <c r="J963" s="2">
        <v>0</v>
      </c>
      <c r="K963" s="20">
        <v>724.62</v>
      </c>
      <c r="L963" t="s">
        <v>794</v>
      </c>
      <c r="M963">
        <f t="shared" ref="M963:M1026" si="15">YEAR(F963)</f>
        <v>2025</v>
      </c>
    </row>
    <row r="964" spans="1:13" ht="12.75" hidden="1" customHeight="1">
      <c r="A964" t="s">
        <v>1076</v>
      </c>
      <c r="B964" t="s">
        <v>188</v>
      </c>
      <c r="C964" t="s">
        <v>137</v>
      </c>
      <c r="D964" t="s">
        <v>1025</v>
      </c>
      <c r="E964" s="1">
        <v>45754</v>
      </c>
      <c r="F964" s="1">
        <v>45754</v>
      </c>
      <c r="G964" s="12">
        <v>1702.02</v>
      </c>
      <c r="H964" s="2">
        <v>0</v>
      </c>
      <c r="I964" s="2">
        <v>0</v>
      </c>
      <c r="J964" s="2">
        <v>0</v>
      </c>
      <c r="K964" s="20">
        <v>1702.02</v>
      </c>
      <c r="L964" t="s">
        <v>794</v>
      </c>
      <c r="M964">
        <f t="shared" si="15"/>
        <v>2025</v>
      </c>
    </row>
    <row r="965" spans="1:13" ht="12.75" hidden="1" customHeight="1">
      <c r="A965" t="s">
        <v>1029</v>
      </c>
      <c r="B965" t="s">
        <v>114</v>
      </c>
      <c r="C965" t="s">
        <v>137</v>
      </c>
      <c r="D965" t="s">
        <v>1025</v>
      </c>
      <c r="E965" s="1">
        <v>45754</v>
      </c>
      <c r="F965" s="1">
        <v>45754</v>
      </c>
      <c r="G965" s="12">
        <v>1596</v>
      </c>
      <c r="H965" s="2">
        <v>0</v>
      </c>
      <c r="I965" s="2">
        <v>0</v>
      </c>
      <c r="J965" s="2">
        <v>0</v>
      </c>
      <c r="K965" s="20">
        <v>1596</v>
      </c>
      <c r="L965" t="s">
        <v>794</v>
      </c>
      <c r="M965">
        <f t="shared" si="15"/>
        <v>2025</v>
      </c>
    </row>
    <row r="966" spans="1:13" ht="12.75" hidden="1" customHeight="1">
      <c r="A966" t="s">
        <v>801</v>
      </c>
      <c r="B966" t="s">
        <v>13</v>
      </c>
      <c r="C966" t="s">
        <v>726</v>
      </c>
      <c r="D966" t="s">
        <v>1025</v>
      </c>
      <c r="E966" s="1">
        <v>45754</v>
      </c>
      <c r="F966" s="1">
        <v>45754</v>
      </c>
      <c r="G966" s="12">
        <v>2.04</v>
      </c>
      <c r="H966" s="2">
        <v>0</v>
      </c>
      <c r="I966" s="2">
        <v>0</v>
      </c>
      <c r="J966" s="2">
        <v>0</v>
      </c>
      <c r="K966" s="20">
        <v>2.04</v>
      </c>
      <c r="L966" t="s">
        <v>794</v>
      </c>
      <c r="M966">
        <f t="shared" si="15"/>
        <v>2025</v>
      </c>
    </row>
    <row r="967" spans="1:13" ht="12.75" hidden="1" customHeight="1">
      <c r="A967" t="s">
        <v>801</v>
      </c>
      <c r="B967" t="s">
        <v>13</v>
      </c>
      <c r="C967" t="s">
        <v>751</v>
      </c>
      <c r="D967" t="s">
        <v>1025</v>
      </c>
      <c r="E967" s="1">
        <v>45754</v>
      </c>
      <c r="F967" s="1">
        <v>45754</v>
      </c>
      <c r="G967" s="12">
        <v>135.35</v>
      </c>
      <c r="H967" s="2">
        <v>0</v>
      </c>
      <c r="I967" s="2">
        <v>0</v>
      </c>
      <c r="J967" s="2">
        <v>0</v>
      </c>
      <c r="K967" s="20">
        <v>135.35</v>
      </c>
      <c r="L967" t="s">
        <v>794</v>
      </c>
      <c r="M967">
        <f t="shared" si="15"/>
        <v>2025</v>
      </c>
    </row>
    <row r="968" spans="1:13" ht="12.75" hidden="1" customHeight="1">
      <c r="A968" t="s">
        <v>1021</v>
      </c>
      <c r="B968" t="s">
        <v>40</v>
      </c>
      <c r="C968" t="s">
        <v>725</v>
      </c>
      <c r="D968" t="s">
        <v>1025</v>
      </c>
      <c r="E968" s="1">
        <v>45754</v>
      </c>
      <c r="F968" s="1">
        <v>45754</v>
      </c>
      <c r="G968" s="12">
        <v>3023.33</v>
      </c>
      <c r="H968" s="2">
        <v>0</v>
      </c>
      <c r="I968" s="2">
        <v>0</v>
      </c>
      <c r="J968" s="2">
        <v>0</v>
      </c>
      <c r="K968" s="20">
        <v>3023.33</v>
      </c>
      <c r="L968" t="s">
        <v>794</v>
      </c>
      <c r="M968">
        <f t="shared" si="15"/>
        <v>2025</v>
      </c>
    </row>
    <row r="969" spans="1:13" ht="12.75" hidden="1" customHeight="1">
      <c r="A969" t="s">
        <v>801</v>
      </c>
      <c r="B969" t="s">
        <v>13</v>
      </c>
      <c r="C969" t="s">
        <v>726</v>
      </c>
      <c r="D969" t="s">
        <v>1025</v>
      </c>
      <c r="E969" s="1">
        <v>45754</v>
      </c>
      <c r="F969" s="1">
        <v>45754</v>
      </c>
      <c r="G969" s="12">
        <v>110.16</v>
      </c>
      <c r="H969" s="2">
        <v>0</v>
      </c>
      <c r="I969" s="2">
        <v>0</v>
      </c>
      <c r="J969" s="2">
        <v>0</v>
      </c>
      <c r="K969" s="20">
        <v>110.16</v>
      </c>
      <c r="L969" t="s">
        <v>794</v>
      </c>
      <c r="M969">
        <f t="shared" si="15"/>
        <v>2025</v>
      </c>
    </row>
    <row r="970" spans="1:13" ht="12.75" hidden="1" customHeight="1">
      <c r="A970" t="s">
        <v>801</v>
      </c>
      <c r="B970" t="s">
        <v>13</v>
      </c>
      <c r="C970" t="s">
        <v>726</v>
      </c>
      <c r="D970" t="s">
        <v>1025</v>
      </c>
      <c r="E970" s="1">
        <v>45755</v>
      </c>
      <c r="F970" s="1">
        <v>45755</v>
      </c>
      <c r="G970" s="12">
        <v>48.96</v>
      </c>
      <c r="H970" s="2">
        <v>0</v>
      </c>
      <c r="I970" s="2">
        <v>0</v>
      </c>
      <c r="J970" s="2">
        <v>0</v>
      </c>
      <c r="K970" s="20">
        <v>48.96</v>
      </c>
      <c r="L970" t="s">
        <v>794</v>
      </c>
      <c r="M970">
        <f t="shared" si="15"/>
        <v>2025</v>
      </c>
    </row>
    <row r="971" spans="1:13" ht="12.75" hidden="1" customHeight="1">
      <c r="A971" t="s">
        <v>969</v>
      </c>
      <c r="B971" t="s">
        <v>121</v>
      </c>
      <c r="C971" t="s">
        <v>723</v>
      </c>
      <c r="D971" t="s">
        <v>1025</v>
      </c>
      <c r="E971" s="1">
        <v>45755</v>
      </c>
      <c r="F971" s="1">
        <v>45755</v>
      </c>
      <c r="G971" s="12">
        <v>405.76</v>
      </c>
      <c r="H971" s="2">
        <v>0</v>
      </c>
      <c r="I971" s="2">
        <v>0</v>
      </c>
      <c r="J971" s="2">
        <v>0</v>
      </c>
      <c r="K971" s="20">
        <v>405.76</v>
      </c>
      <c r="L971" t="s">
        <v>794</v>
      </c>
      <c r="M971">
        <f t="shared" si="15"/>
        <v>2025</v>
      </c>
    </row>
    <row r="972" spans="1:13" ht="12.75" hidden="1" customHeight="1">
      <c r="A972" t="s">
        <v>801</v>
      </c>
      <c r="B972" t="s">
        <v>13</v>
      </c>
      <c r="C972" t="s">
        <v>726</v>
      </c>
      <c r="D972" t="s">
        <v>1025</v>
      </c>
      <c r="E972" s="1">
        <v>45755</v>
      </c>
      <c r="F972" s="1">
        <v>45755</v>
      </c>
      <c r="G972" s="12">
        <v>159.12</v>
      </c>
      <c r="H972" s="2">
        <v>0</v>
      </c>
      <c r="I972" s="2">
        <v>0</v>
      </c>
      <c r="J972" s="2">
        <v>0</v>
      </c>
      <c r="K972" s="20">
        <v>159.12</v>
      </c>
      <c r="L972" t="s">
        <v>794</v>
      </c>
      <c r="M972">
        <f t="shared" si="15"/>
        <v>2025</v>
      </c>
    </row>
    <row r="973" spans="1:13" ht="12.75" hidden="1" customHeight="1">
      <c r="A973" t="s">
        <v>1080</v>
      </c>
      <c r="B973" t="s">
        <v>510</v>
      </c>
      <c r="C973" t="s">
        <v>771</v>
      </c>
      <c r="D973" t="s">
        <v>1025</v>
      </c>
      <c r="E973" s="1">
        <v>45756</v>
      </c>
      <c r="F973" s="1">
        <v>45756</v>
      </c>
      <c r="G973" s="12">
        <v>119.34</v>
      </c>
      <c r="H973" s="2">
        <v>0</v>
      </c>
      <c r="I973" s="2">
        <v>0</v>
      </c>
      <c r="J973" s="2">
        <v>0</v>
      </c>
      <c r="K973" s="20">
        <v>119.34</v>
      </c>
      <c r="L973" t="s">
        <v>794</v>
      </c>
      <c r="M973">
        <f t="shared" si="15"/>
        <v>2025</v>
      </c>
    </row>
    <row r="974" spans="1:13" ht="12.75" hidden="1" customHeight="1">
      <c r="A974" t="s">
        <v>949</v>
      </c>
      <c r="B974" t="s">
        <v>186</v>
      </c>
      <c r="C974" t="s">
        <v>723</v>
      </c>
      <c r="D974" t="s">
        <v>1025</v>
      </c>
      <c r="E974" s="1">
        <v>45756</v>
      </c>
      <c r="F974" s="1">
        <v>45756</v>
      </c>
      <c r="G974" s="12">
        <v>207.95000000000002</v>
      </c>
      <c r="H974" s="2">
        <v>0</v>
      </c>
      <c r="I974" s="2">
        <v>0</v>
      </c>
      <c r="J974" s="2">
        <v>0</v>
      </c>
      <c r="K974" s="20">
        <v>207.95000000000002</v>
      </c>
      <c r="L974" t="s">
        <v>794</v>
      </c>
      <c r="M974">
        <f t="shared" si="15"/>
        <v>2025</v>
      </c>
    </row>
    <row r="975" spans="1:13" ht="12.75" hidden="1" customHeight="1">
      <c r="A975" t="s">
        <v>847</v>
      </c>
      <c r="B975" t="s">
        <v>169</v>
      </c>
      <c r="C975" t="s">
        <v>722</v>
      </c>
      <c r="D975" t="s">
        <v>1025</v>
      </c>
      <c r="E975" s="1">
        <v>45756</v>
      </c>
      <c r="F975" s="1">
        <v>45756</v>
      </c>
      <c r="G975" s="12">
        <v>209.81</v>
      </c>
      <c r="H975" s="2">
        <v>0</v>
      </c>
      <c r="I975" s="2">
        <v>0</v>
      </c>
      <c r="J975" s="2">
        <v>0</v>
      </c>
      <c r="K975" s="20">
        <v>209.81</v>
      </c>
      <c r="L975" t="s">
        <v>794</v>
      </c>
      <c r="M975">
        <f t="shared" si="15"/>
        <v>2025</v>
      </c>
    </row>
    <row r="976" spans="1:13" ht="12.75" hidden="1" customHeight="1">
      <c r="A976" t="s">
        <v>846</v>
      </c>
      <c r="B976" t="s">
        <v>253</v>
      </c>
      <c r="C976" t="s">
        <v>398</v>
      </c>
      <c r="D976" t="s">
        <v>1025</v>
      </c>
      <c r="E976" s="1">
        <v>45756</v>
      </c>
      <c r="F976" s="1">
        <v>45756</v>
      </c>
      <c r="G976" s="12">
        <v>363.76</v>
      </c>
      <c r="H976" s="2">
        <v>0</v>
      </c>
      <c r="I976" s="2">
        <v>0</v>
      </c>
      <c r="J976" s="2">
        <v>0</v>
      </c>
      <c r="K976" s="20">
        <v>363.76</v>
      </c>
      <c r="L976" t="s">
        <v>794</v>
      </c>
      <c r="M976">
        <f t="shared" si="15"/>
        <v>2025</v>
      </c>
    </row>
    <row r="977" spans="1:13" ht="12.75" hidden="1" customHeight="1">
      <c r="A977" t="s">
        <v>995</v>
      </c>
      <c r="B977" t="s">
        <v>122</v>
      </c>
      <c r="C977" t="s">
        <v>735</v>
      </c>
      <c r="D977" t="s">
        <v>1025</v>
      </c>
      <c r="E977" s="1">
        <v>45756</v>
      </c>
      <c r="F977" s="1">
        <v>45756</v>
      </c>
      <c r="G977" s="12">
        <v>605</v>
      </c>
      <c r="H977" s="2">
        <v>0</v>
      </c>
      <c r="I977" s="2">
        <v>0</v>
      </c>
      <c r="J977" s="2">
        <v>0</v>
      </c>
      <c r="K977" s="20">
        <v>605</v>
      </c>
      <c r="L977" t="s">
        <v>794</v>
      </c>
      <c r="M977">
        <f t="shared" si="15"/>
        <v>2025</v>
      </c>
    </row>
    <row r="978" spans="1:13" ht="12.75" hidden="1" customHeight="1">
      <c r="A978" t="s">
        <v>1033</v>
      </c>
      <c r="B978" t="s">
        <v>178</v>
      </c>
      <c r="C978" t="s">
        <v>719</v>
      </c>
      <c r="D978" t="s">
        <v>1025</v>
      </c>
      <c r="E978" s="1">
        <v>45756</v>
      </c>
      <c r="F978" s="1">
        <v>45756</v>
      </c>
      <c r="G978" s="12">
        <v>1062.5</v>
      </c>
      <c r="H978" s="2">
        <v>0</v>
      </c>
      <c r="I978" s="2">
        <v>0</v>
      </c>
      <c r="J978" s="2">
        <v>0</v>
      </c>
      <c r="K978" s="20">
        <v>1062.5</v>
      </c>
      <c r="L978" t="s">
        <v>794</v>
      </c>
      <c r="M978">
        <f t="shared" si="15"/>
        <v>2025</v>
      </c>
    </row>
    <row r="979" spans="1:13" ht="12.75" hidden="1" customHeight="1">
      <c r="A979" t="s">
        <v>845</v>
      </c>
      <c r="B979" t="s">
        <v>112</v>
      </c>
      <c r="C979" t="s">
        <v>729</v>
      </c>
      <c r="D979" t="s">
        <v>1025</v>
      </c>
      <c r="E979" s="1">
        <v>45756</v>
      </c>
      <c r="F979" s="1">
        <v>45756</v>
      </c>
      <c r="G979" s="12">
        <v>1782.33</v>
      </c>
      <c r="H979" s="2">
        <v>0</v>
      </c>
      <c r="I979" s="2">
        <v>0</v>
      </c>
      <c r="J979" s="2">
        <v>0</v>
      </c>
      <c r="K979" s="20">
        <v>1782.33</v>
      </c>
      <c r="L979" t="s">
        <v>794</v>
      </c>
      <c r="M979">
        <f t="shared" si="15"/>
        <v>2025</v>
      </c>
    </row>
    <row r="980" spans="1:13" ht="12.75" hidden="1" customHeight="1">
      <c r="A980" t="s">
        <v>876</v>
      </c>
      <c r="B980" t="s">
        <v>74</v>
      </c>
      <c r="C980" t="s">
        <v>723</v>
      </c>
      <c r="D980" t="s">
        <v>1025</v>
      </c>
      <c r="E980" s="1">
        <v>45756</v>
      </c>
      <c r="F980" s="1">
        <v>45756</v>
      </c>
      <c r="G980" s="12">
        <v>3036</v>
      </c>
      <c r="H980" s="2">
        <v>0</v>
      </c>
      <c r="I980" s="2">
        <v>0</v>
      </c>
      <c r="J980" s="2">
        <v>0</v>
      </c>
      <c r="K980" s="20">
        <v>3036</v>
      </c>
      <c r="L980" t="s">
        <v>794</v>
      </c>
      <c r="M980">
        <f t="shared" si="15"/>
        <v>2025</v>
      </c>
    </row>
    <row r="981" spans="1:13" ht="12.75" hidden="1" customHeight="1">
      <c r="A981" t="s">
        <v>844</v>
      </c>
      <c r="B981" t="s">
        <v>18</v>
      </c>
      <c r="C981" t="s">
        <v>719</v>
      </c>
      <c r="D981" t="s">
        <v>1025</v>
      </c>
      <c r="E981" s="1">
        <v>45756</v>
      </c>
      <c r="F981" s="1">
        <v>45756</v>
      </c>
      <c r="G981" s="12">
        <v>10676.98</v>
      </c>
      <c r="H981" s="2">
        <v>0</v>
      </c>
      <c r="I981" s="2">
        <v>0</v>
      </c>
      <c r="J981" s="2">
        <v>0</v>
      </c>
      <c r="K981" s="20">
        <v>10676.98</v>
      </c>
      <c r="L981" t="s">
        <v>794</v>
      </c>
      <c r="M981">
        <f t="shared" si="15"/>
        <v>2025</v>
      </c>
    </row>
    <row r="982" spans="1:13" ht="12.75" hidden="1" customHeight="1">
      <c r="A982" t="s">
        <v>848</v>
      </c>
      <c r="B982" t="s">
        <v>14</v>
      </c>
      <c r="C982" t="s">
        <v>714</v>
      </c>
      <c r="D982" t="s">
        <v>1025</v>
      </c>
      <c r="E982" s="1">
        <v>45756</v>
      </c>
      <c r="F982" s="1">
        <v>45756</v>
      </c>
      <c r="G982" s="12">
        <v>29955.31</v>
      </c>
      <c r="H982" s="2">
        <v>0</v>
      </c>
      <c r="I982" s="2">
        <v>0</v>
      </c>
      <c r="J982" s="2">
        <v>0</v>
      </c>
      <c r="K982" s="20">
        <v>29955.31</v>
      </c>
      <c r="L982" t="s">
        <v>794</v>
      </c>
      <c r="M982">
        <f t="shared" si="15"/>
        <v>2025</v>
      </c>
    </row>
    <row r="983" spans="1:13" ht="12.75" hidden="1" customHeight="1">
      <c r="A983" t="s">
        <v>801</v>
      </c>
      <c r="B983" t="s">
        <v>13</v>
      </c>
      <c r="C983" t="s">
        <v>726</v>
      </c>
      <c r="D983" t="s">
        <v>1025</v>
      </c>
      <c r="E983" s="1">
        <v>45756</v>
      </c>
      <c r="F983" s="1">
        <v>45756</v>
      </c>
      <c r="G983" s="12">
        <v>989.4</v>
      </c>
      <c r="H983" s="2">
        <v>0</v>
      </c>
      <c r="I983" s="2">
        <v>0</v>
      </c>
      <c r="J983" s="2">
        <v>0</v>
      </c>
      <c r="K983" s="20">
        <v>989.4</v>
      </c>
      <c r="L983" t="s">
        <v>794</v>
      </c>
      <c r="M983">
        <f t="shared" si="15"/>
        <v>2025</v>
      </c>
    </row>
    <row r="984" spans="1:13" ht="12.75" hidden="1" customHeight="1">
      <c r="A984" t="s">
        <v>1039</v>
      </c>
      <c r="B984" t="s">
        <v>34</v>
      </c>
      <c r="C984" t="s">
        <v>200</v>
      </c>
      <c r="D984" t="s">
        <v>1025</v>
      </c>
      <c r="E984" s="1">
        <v>45757</v>
      </c>
      <c r="F984" s="1">
        <v>45757</v>
      </c>
      <c r="G984" s="12">
        <v>2280</v>
      </c>
      <c r="H984" s="2">
        <v>0</v>
      </c>
      <c r="I984" s="2">
        <v>0</v>
      </c>
      <c r="J984" s="2">
        <v>0</v>
      </c>
      <c r="K984" s="20">
        <v>2280</v>
      </c>
      <c r="L984" t="s">
        <v>794</v>
      </c>
      <c r="M984">
        <f t="shared" si="15"/>
        <v>2025</v>
      </c>
    </row>
    <row r="985" spans="1:13" ht="12.75" hidden="1" customHeight="1">
      <c r="A985" t="s">
        <v>978</v>
      </c>
      <c r="B985" t="s">
        <v>78</v>
      </c>
      <c r="C985" t="s">
        <v>200</v>
      </c>
      <c r="D985" t="s">
        <v>1025</v>
      </c>
      <c r="E985" s="1">
        <v>45757</v>
      </c>
      <c r="F985" s="1">
        <v>45757</v>
      </c>
      <c r="G985" s="12">
        <v>2136</v>
      </c>
      <c r="H985" s="2">
        <v>0</v>
      </c>
      <c r="I985" s="2">
        <v>0</v>
      </c>
      <c r="J985" s="2">
        <v>0</v>
      </c>
      <c r="K985" s="20">
        <v>2136</v>
      </c>
      <c r="L985" t="s">
        <v>794</v>
      </c>
      <c r="M985">
        <f t="shared" si="15"/>
        <v>2025</v>
      </c>
    </row>
    <row r="986" spans="1:13" ht="12.75" hidden="1" customHeight="1">
      <c r="A986" t="s">
        <v>979</v>
      </c>
      <c r="B986" t="s">
        <v>126</v>
      </c>
      <c r="C986" t="s">
        <v>200</v>
      </c>
      <c r="D986" t="s">
        <v>1025</v>
      </c>
      <c r="E986" s="1">
        <v>45757</v>
      </c>
      <c r="F986" s="1">
        <v>45757</v>
      </c>
      <c r="G986" s="12">
        <v>2320</v>
      </c>
      <c r="H986" s="2">
        <v>0</v>
      </c>
      <c r="I986" s="2">
        <v>0</v>
      </c>
      <c r="J986" s="2">
        <v>0</v>
      </c>
      <c r="K986" s="20">
        <v>2320</v>
      </c>
      <c r="L986" t="s">
        <v>794</v>
      </c>
      <c r="M986">
        <f t="shared" si="15"/>
        <v>2025</v>
      </c>
    </row>
    <row r="987" spans="1:13" ht="12.75" hidden="1" customHeight="1">
      <c r="A987" t="s">
        <v>802</v>
      </c>
      <c r="B987" t="s">
        <v>103</v>
      </c>
      <c r="C987" t="s">
        <v>200</v>
      </c>
      <c r="D987" t="s">
        <v>1025</v>
      </c>
      <c r="E987" s="1">
        <v>45757</v>
      </c>
      <c r="F987" s="1">
        <v>45757</v>
      </c>
      <c r="G987" s="12">
        <v>2960</v>
      </c>
      <c r="H987" s="2">
        <v>0</v>
      </c>
      <c r="I987" s="2">
        <v>0</v>
      </c>
      <c r="J987" s="2">
        <v>0</v>
      </c>
      <c r="K987" s="20">
        <v>2960</v>
      </c>
      <c r="L987" t="s">
        <v>794</v>
      </c>
      <c r="M987">
        <f t="shared" si="15"/>
        <v>2025</v>
      </c>
    </row>
    <row r="988" spans="1:13" ht="12.75" hidden="1" customHeight="1">
      <c r="A988" t="s">
        <v>948</v>
      </c>
      <c r="B988" t="s">
        <v>51</v>
      </c>
      <c r="C988" t="s">
        <v>200</v>
      </c>
      <c r="D988" t="s">
        <v>1025</v>
      </c>
      <c r="E988" s="1">
        <v>45757</v>
      </c>
      <c r="F988" s="1">
        <v>45757</v>
      </c>
      <c r="G988" s="12">
        <v>2740</v>
      </c>
      <c r="H988" s="2">
        <v>0</v>
      </c>
      <c r="I988" s="2">
        <v>0</v>
      </c>
      <c r="J988" s="2">
        <v>0</v>
      </c>
      <c r="K988" s="20">
        <v>2740</v>
      </c>
      <c r="L988" t="s">
        <v>794</v>
      </c>
      <c r="M988">
        <f t="shared" si="15"/>
        <v>2025</v>
      </c>
    </row>
    <row r="989" spans="1:13" ht="12.75" hidden="1" customHeight="1">
      <c r="A989" t="s">
        <v>864</v>
      </c>
      <c r="B989" t="s">
        <v>918</v>
      </c>
      <c r="C989" t="s">
        <v>141</v>
      </c>
      <c r="D989" t="s">
        <v>1025</v>
      </c>
      <c r="E989" s="1">
        <v>45757</v>
      </c>
      <c r="F989" s="1">
        <v>45757</v>
      </c>
      <c r="G989" s="12">
        <v>3110</v>
      </c>
      <c r="H989" s="2">
        <v>0</v>
      </c>
      <c r="I989" s="2">
        <v>0</v>
      </c>
      <c r="J989" s="2">
        <v>0</v>
      </c>
      <c r="K989" s="20">
        <v>3110</v>
      </c>
      <c r="L989" t="s">
        <v>794</v>
      </c>
      <c r="M989">
        <f t="shared" si="15"/>
        <v>2025</v>
      </c>
    </row>
    <row r="990" spans="1:13" ht="12.75" hidden="1" customHeight="1">
      <c r="A990" t="s">
        <v>801</v>
      </c>
      <c r="B990" t="s">
        <v>13</v>
      </c>
      <c r="C990" t="s">
        <v>726</v>
      </c>
      <c r="D990" t="s">
        <v>1025</v>
      </c>
      <c r="E990" s="1">
        <v>45757</v>
      </c>
      <c r="F990" s="1">
        <v>45757</v>
      </c>
      <c r="G990" s="12">
        <v>18.28</v>
      </c>
      <c r="H990" s="2">
        <v>0</v>
      </c>
      <c r="I990" s="2">
        <v>0</v>
      </c>
      <c r="J990" s="2">
        <v>0</v>
      </c>
      <c r="K990" s="20">
        <v>18.28</v>
      </c>
      <c r="L990" t="s">
        <v>794</v>
      </c>
      <c r="M990">
        <f t="shared" si="15"/>
        <v>2025</v>
      </c>
    </row>
    <row r="991" spans="1:13" ht="12.75" hidden="1" customHeight="1">
      <c r="A991" t="s">
        <v>1081</v>
      </c>
      <c r="B991" t="s">
        <v>485</v>
      </c>
      <c r="C991" t="s">
        <v>201</v>
      </c>
      <c r="D991" t="s">
        <v>1025</v>
      </c>
      <c r="E991" s="1">
        <v>45757</v>
      </c>
      <c r="F991" s="1">
        <v>45757</v>
      </c>
      <c r="G991" s="12">
        <v>160</v>
      </c>
      <c r="H991" s="2">
        <v>0</v>
      </c>
      <c r="I991" s="2">
        <v>0</v>
      </c>
      <c r="J991" s="2">
        <v>0</v>
      </c>
      <c r="K991" s="20">
        <v>160</v>
      </c>
      <c r="L991" t="s">
        <v>794</v>
      </c>
      <c r="M991">
        <f t="shared" si="15"/>
        <v>2025</v>
      </c>
    </row>
    <row r="992" spans="1:13" ht="12.75" hidden="1" customHeight="1">
      <c r="A992" t="s">
        <v>867</v>
      </c>
      <c r="B992" t="s">
        <v>171</v>
      </c>
      <c r="C992" t="s">
        <v>141</v>
      </c>
      <c r="D992" t="s">
        <v>1025</v>
      </c>
      <c r="E992" s="1">
        <v>45757</v>
      </c>
      <c r="F992" s="1">
        <v>45757</v>
      </c>
      <c r="G992" s="12">
        <v>490</v>
      </c>
      <c r="H992" s="2">
        <v>0</v>
      </c>
      <c r="I992" s="2">
        <v>0</v>
      </c>
      <c r="J992" s="2">
        <v>0</v>
      </c>
      <c r="K992" s="20">
        <v>490</v>
      </c>
      <c r="L992" t="s">
        <v>794</v>
      </c>
      <c r="M992">
        <f t="shared" si="15"/>
        <v>2025</v>
      </c>
    </row>
    <row r="993" spans="1:13" ht="12.75" hidden="1" customHeight="1">
      <c r="A993" t="s">
        <v>1082</v>
      </c>
      <c r="B993" t="s">
        <v>370</v>
      </c>
      <c r="C993" t="s">
        <v>200</v>
      </c>
      <c r="D993" t="s">
        <v>1025</v>
      </c>
      <c r="E993" s="1">
        <v>45757</v>
      </c>
      <c r="F993" s="1">
        <v>45757</v>
      </c>
      <c r="G993" s="12">
        <v>640</v>
      </c>
      <c r="H993" s="2">
        <v>0</v>
      </c>
      <c r="I993" s="2">
        <v>0</v>
      </c>
      <c r="J993" s="2">
        <v>0</v>
      </c>
      <c r="K993" s="20">
        <v>640</v>
      </c>
      <c r="L993" t="s">
        <v>794</v>
      </c>
      <c r="M993">
        <f t="shared" si="15"/>
        <v>2025</v>
      </c>
    </row>
    <row r="994" spans="1:13" ht="12.75" hidden="1" customHeight="1">
      <c r="A994" t="s">
        <v>974</v>
      </c>
      <c r="B994" t="s">
        <v>174</v>
      </c>
      <c r="C994" t="s">
        <v>200</v>
      </c>
      <c r="D994" t="s">
        <v>1025</v>
      </c>
      <c r="E994" s="1">
        <v>45757</v>
      </c>
      <c r="F994" s="1">
        <v>45757</v>
      </c>
      <c r="G994" s="12">
        <v>720</v>
      </c>
      <c r="H994" s="2">
        <v>0</v>
      </c>
      <c r="I994" s="2">
        <v>0</v>
      </c>
      <c r="J994" s="2">
        <v>0</v>
      </c>
      <c r="K994" s="20">
        <v>720</v>
      </c>
      <c r="L994" t="s">
        <v>794</v>
      </c>
      <c r="M994">
        <f t="shared" si="15"/>
        <v>2025</v>
      </c>
    </row>
    <row r="995" spans="1:13" ht="12.75" hidden="1" customHeight="1">
      <c r="A995" t="s">
        <v>1083</v>
      </c>
      <c r="B995" t="s">
        <v>127</v>
      </c>
      <c r="C995" t="s">
        <v>200</v>
      </c>
      <c r="D995" t="s">
        <v>1025</v>
      </c>
      <c r="E995" s="1">
        <v>45757</v>
      </c>
      <c r="F995" s="1">
        <v>45757</v>
      </c>
      <c r="G995" s="12">
        <v>720</v>
      </c>
      <c r="H995" s="2">
        <v>0</v>
      </c>
      <c r="I995" s="2">
        <v>0</v>
      </c>
      <c r="J995" s="2">
        <v>0</v>
      </c>
      <c r="K995" s="20">
        <v>720</v>
      </c>
      <c r="L995" t="s">
        <v>794</v>
      </c>
      <c r="M995">
        <f t="shared" si="15"/>
        <v>2025</v>
      </c>
    </row>
    <row r="996" spans="1:13" ht="12.75" hidden="1" customHeight="1">
      <c r="A996" t="s">
        <v>1042</v>
      </c>
      <c r="B996" t="s">
        <v>170</v>
      </c>
      <c r="C996" t="s">
        <v>200</v>
      </c>
      <c r="D996" t="s">
        <v>1025</v>
      </c>
      <c r="E996" s="1">
        <v>45757</v>
      </c>
      <c r="F996" s="1">
        <v>45757</v>
      </c>
      <c r="G996" s="12">
        <v>800</v>
      </c>
      <c r="H996" s="2">
        <v>0</v>
      </c>
      <c r="I996" s="2">
        <v>0</v>
      </c>
      <c r="J996" s="2">
        <v>0</v>
      </c>
      <c r="K996" s="20">
        <v>800</v>
      </c>
      <c r="L996" t="s">
        <v>794</v>
      </c>
      <c r="M996">
        <f t="shared" si="15"/>
        <v>2025</v>
      </c>
    </row>
    <row r="997" spans="1:13" ht="12.75" hidden="1" customHeight="1">
      <c r="A997" t="s">
        <v>972</v>
      </c>
      <c r="B997" t="s">
        <v>973</v>
      </c>
      <c r="C997" t="s">
        <v>200</v>
      </c>
      <c r="D997" t="s">
        <v>1025</v>
      </c>
      <c r="E997" s="1">
        <v>45757</v>
      </c>
      <c r="F997" s="1">
        <v>45757</v>
      </c>
      <c r="G997" s="12">
        <v>880</v>
      </c>
      <c r="H997" s="2">
        <v>0</v>
      </c>
      <c r="I997" s="2">
        <v>0</v>
      </c>
      <c r="J997" s="2">
        <v>0</v>
      </c>
      <c r="K997" s="20">
        <v>880</v>
      </c>
      <c r="L997" t="s">
        <v>794</v>
      </c>
      <c r="M997">
        <f t="shared" si="15"/>
        <v>2025</v>
      </c>
    </row>
    <row r="998" spans="1:13" ht="12.75" hidden="1" customHeight="1">
      <c r="A998" t="s">
        <v>901</v>
      </c>
      <c r="B998" t="s">
        <v>216</v>
      </c>
      <c r="C998" t="s">
        <v>200</v>
      </c>
      <c r="D998" t="s">
        <v>1025</v>
      </c>
      <c r="E998" s="1">
        <v>45757</v>
      </c>
      <c r="F998" s="1">
        <v>45757</v>
      </c>
      <c r="G998" s="12">
        <v>880</v>
      </c>
      <c r="H998" s="2">
        <v>0</v>
      </c>
      <c r="I998" s="2">
        <v>0</v>
      </c>
      <c r="J998" s="2">
        <v>0</v>
      </c>
      <c r="K998" s="20">
        <v>880</v>
      </c>
      <c r="L998" t="s">
        <v>794</v>
      </c>
      <c r="M998">
        <f t="shared" si="15"/>
        <v>2025</v>
      </c>
    </row>
    <row r="999" spans="1:13" ht="12.75" hidden="1" customHeight="1">
      <c r="A999" t="s">
        <v>1043</v>
      </c>
      <c r="B999" t="s">
        <v>187</v>
      </c>
      <c r="C999" t="s">
        <v>200</v>
      </c>
      <c r="D999" t="s">
        <v>1025</v>
      </c>
      <c r="E999" s="1">
        <v>45757</v>
      </c>
      <c r="F999" s="1">
        <v>45757</v>
      </c>
      <c r="G999" s="12">
        <v>880</v>
      </c>
      <c r="H999" s="2">
        <v>0</v>
      </c>
      <c r="I999" s="2">
        <v>0</v>
      </c>
      <c r="J999" s="2">
        <v>0</v>
      </c>
      <c r="K999" s="20">
        <v>880</v>
      </c>
      <c r="L999" t="s">
        <v>794</v>
      </c>
      <c r="M999">
        <f t="shared" si="15"/>
        <v>2025</v>
      </c>
    </row>
    <row r="1000" spans="1:13" ht="12.75" hidden="1" customHeight="1">
      <c r="A1000" t="s">
        <v>804</v>
      </c>
      <c r="B1000" t="s">
        <v>215</v>
      </c>
      <c r="C1000" t="s">
        <v>200</v>
      </c>
      <c r="D1000" t="s">
        <v>1025</v>
      </c>
      <c r="E1000" s="1">
        <v>45757</v>
      </c>
      <c r="F1000" s="1">
        <v>45757</v>
      </c>
      <c r="G1000" s="12">
        <v>1360</v>
      </c>
      <c r="H1000" s="2">
        <v>0</v>
      </c>
      <c r="I1000" s="2">
        <v>0</v>
      </c>
      <c r="J1000" s="2">
        <v>0</v>
      </c>
      <c r="K1000" s="20">
        <v>1360</v>
      </c>
      <c r="L1000" t="s">
        <v>794</v>
      </c>
      <c r="M1000">
        <f t="shared" si="15"/>
        <v>2025</v>
      </c>
    </row>
    <row r="1001" spans="1:13" ht="12.75" hidden="1" customHeight="1">
      <c r="A1001" t="s">
        <v>1029</v>
      </c>
      <c r="B1001" t="s">
        <v>114</v>
      </c>
      <c r="C1001" t="s">
        <v>200</v>
      </c>
      <c r="D1001" t="s">
        <v>1025</v>
      </c>
      <c r="E1001" s="1">
        <v>45757</v>
      </c>
      <c r="F1001" s="1">
        <v>45757</v>
      </c>
      <c r="G1001" s="12">
        <v>1600</v>
      </c>
      <c r="H1001" s="2">
        <v>0</v>
      </c>
      <c r="I1001" s="2">
        <v>0</v>
      </c>
      <c r="J1001" s="2">
        <v>0</v>
      </c>
      <c r="K1001" s="20">
        <v>1600</v>
      </c>
      <c r="L1001" t="s">
        <v>794</v>
      </c>
      <c r="M1001">
        <f t="shared" si="15"/>
        <v>2025</v>
      </c>
    </row>
    <row r="1002" spans="1:13" ht="12.75" hidden="1" customHeight="1">
      <c r="A1002" t="s">
        <v>1038</v>
      </c>
      <c r="B1002" t="s">
        <v>123</v>
      </c>
      <c r="C1002" t="s">
        <v>200</v>
      </c>
      <c r="D1002" t="s">
        <v>1025</v>
      </c>
      <c r="E1002" s="1">
        <v>45757</v>
      </c>
      <c r="F1002" s="1">
        <v>45757</v>
      </c>
      <c r="G1002" s="12">
        <v>1760</v>
      </c>
      <c r="H1002" s="2">
        <v>0</v>
      </c>
      <c r="I1002" s="2">
        <v>0</v>
      </c>
      <c r="J1002" s="2">
        <v>0</v>
      </c>
      <c r="K1002" s="20">
        <v>1760</v>
      </c>
      <c r="L1002" t="s">
        <v>794</v>
      </c>
      <c r="M1002">
        <f t="shared" si="15"/>
        <v>2025</v>
      </c>
    </row>
    <row r="1003" spans="1:13" ht="12.75" hidden="1" customHeight="1">
      <c r="A1003" t="s">
        <v>854</v>
      </c>
      <c r="B1003" t="s">
        <v>79</v>
      </c>
      <c r="C1003" t="s">
        <v>201</v>
      </c>
      <c r="D1003" t="s">
        <v>1025</v>
      </c>
      <c r="E1003" s="1">
        <v>45757</v>
      </c>
      <c r="F1003" s="1">
        <v>45757</v>
      </c>
      <c r="G1003" s="12">
        <v>1580</v>
      </c>
      <c r="H1003" s="2">
        <v>0</v>
      </c>
      <c r="I1003" s="2">
        <v>0</v>
      </c>
      <c r="J1003" s="2">
        <v>0</v>
      </c>
      <c r="K1003" s="20">
        <v>1580</v>
      </c>
      <c r="L1003" t="s">
        <v>794</v>
      </c>
      <c r="M1003">
        <f t="shared" si="15"/>
        <v>2025</v>
      </c>
    </row>
    <row r="1004" spans="1:13" ht="12.75" hidden="1" customHeight="1">
      <c r="A1004" t="s">
        <v>1046</v>
      </c>
      <c r="B1004" t="s">
        <v>276</v>
      </c>
      <c r="C1004" t="s">
        <v>201</v>
      </c>
      <c r="D1004" t="s">
        <v>1025</v>
      </c>
      <c r="E1004" s="1">
        <v>45757</v>
      </c>
      <c r="F1004" s="1">
        <v>45757</v>
      </c>
      <c r="G1004" s="12">
        <v>640</v>
      </c>
      <c r="H1004" s="2">
        <v>0</v>
      </c>
      <c r="I1004" s="2">
        <v>0</v>
      </c>
      <c r="J1004" s="2">
        <v>0</v>
      </c>
      <c r="K1004" s="20">
        <v>640</v>
      </c>
      <c r="L1004" t="s">
        <v>794</v>
      </c>
      <c r="M1004">
        <f t="shared" si="15"/>
        <v>2025</v>
      </c>
    </row>
    <row r="1005" spans="1:13" ht="12.75" hidden="1" customHeight="1">
      <c r="A1005" t="s">
        <v>864</v>
      </c>
      <c r="B1005" t="s">
        <v>36</v>
      </c>
      <c r="C1005" t="s">
        <v>201</v>
      </c>
      <c r="D1005" t="s">
        <v>1025</v>
      </c>
      <c r="E1005" s="1">
        <v>45757</v>
      </c>
      <c r="F1005" s="1">
        <v>45757</v>
      </c>
      <c r="G1005" s="12">
        <v>1792.2</v>
      </c>
      <c r="H1005" s="2">
        <v>0</v>
      </c>
      <c r="I1005" s="2">
        <v>0</v>
      </c>
      <c r="J1005" s="2">
        <v>0</v>
      </c>
      <c r="K1005" s="20">
        <v>1792.2</v>
      </c>
      <c r="L1005" t="s">
        <v>794</v>
      </c>
      <c r="M1005">
        <f t="shared" si="15"/>
        <v>2025</v>
      </c>
    </row>
    <row r="1006" spans="1:13" ht="12.75" hidden="1" customHeight="1">
      <c r="A1006" t="s">
        <v>865</v>
      </c>
      <c r="B1006" t="s">
        <v>76</v>
      </c>
      <c r="C1006" t="s">
        <v>201</v>
      </c>
      <c r="D1006" t="s">
        <v>1025</v>
      </c>
      <c r="E1006" s="1">
        <v>45757</v>
      </c>
      <c r="F1006" s="1">
        <v>45757</v>
      </c>
      <c r="G1006" s="12">
        <v>160</v>
      </c>
      <c r="H1006" s="2">
        <v>0</v>
      </c>
      <c r="I1006" s="2">
        <v>0</v>
      </c>
      <c r="J1006" s="2">
        <v>0</v>
      </c>
      <c r="K1006" s="20">
        <v>160</v>
      </c>
      <c r="L1006" t="s">
        <v>794</v>
      </c>
      <c r="M1006">
        <f t="shared" si="15"/>
        <v>2025</v>
      </c>
    </row>
    <row r="1007" spans="1:13" ht="12.75" hidden="1" customHeight="1">
      <c r="A1007" t="s">
        <v>859</v>
      </c>
      <c r="B1007" t="s">
        <v>264</v>
      </c>
      <c r="C1007" t="s">
        <v>200</v>
      </c>
      <c r="D1007" t="s">
        <v>1025</v>
      </c>
      <c r="E1007" s="1">
        <v>45757</v>
      </c>
      <c r="F1007" s="1">
        <v>45757</v>
      </c>
      <c r="G1007" s="12">
        <v>800</v>
      </c>
      <c r="H1007" s="2">
        <v>0</v>
      </c>
      <c r="I1007" s="2">
        <v>0</v>
      </c>
      <c r="J1007" s="2">
        <v>0</v>
      </c>
      <c r="K1007" s="20">
        <v>800</v>
      </c>
      <c r="L1007" t="s">
        <v>794</v>
      </c>
      <c r="M1007">
        <f t="shared" si="15"/>
        <v>2025</v>
      </c>
    </row>
    <row r="1008" spans="1:13" ht="12.75" hidden="1" customHeight="1">
      <c r="A1008" t="s">
        <v>1084</v>
      </c>
      <c r="B1008" t="s">
        <v>298</v>
      </c>
      <c r="C1008" t="s">
        <v>201</v>
      </c>
      <c r="D1008" t="s">
        <v>1025</v>
      </c>
      <c r="E1008" s="1">
        <v>45757</v>
      </c>
      <c r="F1008" s="1">
        <v>45757</v>
      </c>
      <c r="G1008" s="12">
        <v>960</v>
      </c>
      <c r="H1008" s="2">
        <v>0</v>
      </c>
      <c r="I1008" s="2">
        <v>0</v>
      </c>
      <c r="J1008" s="2">
        <v>0</v>
      </c>
      <c r="K1008" s="20">
        <v>960</v>
      </c>
      <c r="L1008" t="s">
        <v>794</v>
      </c>
      <c r="M1008">
        <f t="shared" si="15"/>
        <v>2025</v>
      </c>
    </row>
    <row r="1009" spans="1:13" ht="12.75" hidden="1" customHeight="1">
      <c r="A1009" t="s">
        <v>1085</v>
      </c>
      <c r="B1009" t="s">
        <v>251</v>
      </c>
      <c r="C1009" t="s">
        <v>201</v>
      </c>
      <c r="D1009" t="s">
        <v>1025</v>
      </c>
      <c r="E1009" s="1">
        <v>45757</v>
      </c>
      <c r="F1009" s="1">
        <v>45757</v>
      </c>
      <c r="G1009" s="12">
        <v>1040</v>
      </c>
      <c r="H1009" s="2">
        <v>0</v>
      </c>
      <c r="I1009" s="2">
        <v>0</v>
      </c>
      <c r="J1009" s="2">
        <v>0</v>
      </c>
      <c r="K1009" s="20">
        <v>1040</v>
      </c>
      <c r="L1009" t="s">
        <v>794</v>
      </c>
      <c r="M1009">
        <f t="shared" si="15"/>
        <v>2025</v>
      </c>
    </row>
    <row r="1010" spans="1:13" ht="12.75" hidden="1" customHeight="1">
      <c r="A1010" t="s">
        <v>1045</v>
      </c>
      <c r="B1010" t="s">
        <v>71</v>
      </c>
      <c r="C1010" t="s">
        <v>201</v>
      </c>
      <c r="D1010" t="s">
        <v>1025</v>
      </c>
      <c r="E1010" s="1">
        <v>45757</v>
      </c>
      <c r="F1010" s="1">
        <v>45757</v>
      </c>
      <c r="G1010" s="12">
        <v>1120</v>
      </c>
      <c r="H1010" s="2">
        <v>0</v>
      </c>
      <c r="I1010" s="2">
        <v>0</v>
      </c>
      <c r="J1010" s="2">
        <v>0</v>
      </c>
      <c r="K1010" s="20">
        <v>1120</v>
      </c>
      <c r="L1010" t="s">
        <v>794</v>
      </c>
      <c r="M1010">
        <f t="shared" si="15"/>
        <v>2025</v>
      </c>
    </row>
    <row r="1011" spans="1:13" ht="12.75" hidden="1" customHeight="1">
      <c r="A1011" t="s">
        <v>1086</v>
      </c>
      <c r="B1011" t="s">
        <v>450</v>
      </c>
      <c r="C1011" t="s">
        <v>201</v>
      </c>
      <c r="D1011" t="s">
        <v>1025</v>
      </c>
      <c r="E1011" s="1">
        <v>45757</v>
      </c>
      <c r="F1011" s="1">
        <v>45757</v>
      </c>
      <c r="G1011" s="12">
        <v>240</v>
      </c>
      <c r="H1011" s="2">
        <v>0</v>
      </c>
      <c r="I1011" s="2">
        <v>0</v>
      </c>
      <c r="J1011" s="2">
        <v>0</v>
      </c>
      <c r="K1011" s="20">
        <v>240</v>
      </c>
      <c r="L1011" t="s">
        <v>794</v>
      </c>
      <c r="M1011">
        <f t="shared" si="15"/>
        <v>2025</v>
      </c>
    </row>
    <row r="1012" spans="1:13" ht="12.75" hidden="1" customHeight="1">
      <c r="A1012" t="s">
        <v>875</v>
      </c>
      <c r="B1012" t="s">
        <v>115</v>
      </c>
      <c r="C1012" t="s">
        <v>201</v>
      </c>
      <c r="D1012" t="s">
        <v>1025</v>
      </c>
      <c r="E1012" s="1">
        <v>45757</v>
      </c>
      <c r="F1012" s="1">
        <v>45757</v>
      </c>
      <c r="G1012" s="12">
        <v>240</v>
      </c>
      <c r="H1012" s="2">
        <v>0</v>
      </c>
      <c r="I1012" s="2">
        <v>0</v>
      </c>
      <c r="J1012" s="2">
        <v>0</v>
      </c>
      <c r="K1012" s="20">
        <v>240</v>
      </c>
      <c r="L1012" t="s">
        <v>794</v>
      </c>
      <c r="M1012">
        <f t="shared" si="15"/>
        <v>2025</v>
      </c>
    </row>
    <row r="1013" spans="1:13" ht="12.75" hidden="1" customHeight="1">
      <c r="A1013" t="s">
        <v>1087</v>
      </c>
      <c r="B1013" t="s">
        <v>1088</v>
      </c>
      <c r="C1013" t="s">
        <v>201</v>
      </c>
      <c r="D1013" t="s">
        <v>1025</v>
      </c>
      <c r="E1013" s="1">
        <v>45757</v>
      </c>
      <c r="F1013" s="1">
        <v>45757</v>
      </c>
      <c r="G1013" s="12">
        <v>640</v>
      </c>
      <c r="H1013" s="2">
        <v>0</v>
      </c>
      <c r="I1013" s="2">
        <v>0</v>
      </c>
      <c r="J1013" s="2">
        <v>0</v>
      </c>
      <c r="K1013" s="20">
        <v>640</v>
      </c>
      <c r="L1013" t="s">
        <v>794</v>
      </c>
      <c r="M1013">
        <f t="shared" si="15"/>
        <v>2025</v>
      </c>
    </row>
    <row r="1014" spans="1:13" ht="12.75" hidden="1" customHeight="1">
      <c r="A1014" t="s">
        <v>869</v>
      </c>
      <c r="B1014" t="s">
        <v>124</v>
      </c>
      <c r="C1014" t="s">
        <v>201</v>
      </c>
      <c r="D1014" t="s">
        <v>1025</v>
      </c>
      <c r="E1014" s="1">
        <v>45757</v>
      </c>
      <c r="F1014" s="1">
        <v>45757</v>
      </c>
      <c r="G1014" s="12">
        <v>2480</v>
      </c>
      <c r="H1014" s="2">
        <v>0</v>
      </c>
      <c r="I1014" s="2">
        <v>0</v>
      </c>
      <c r="J1014" s="2">
        <v>0</v>
      </c>
      <c r="K1014" s="20">
        <v>2480</v>
      </c>
      <c r="L1014" t="s">
        <v>794</v>
      </c>
      <c r="M1014">
        <f t="shared" si="15"/>
        <v>2025</v>
      </c>
    </row>
    <row r="1015" spans="1:13" ht="12.75" hidden="1" customHeight="1">
      <c r="A1015" t="s">
        <v>867</v>
      </c>
      <c r="B1015" t="s">
        <v>207</v>
      </c>
      <c r="C1015" t="s">
        <v>200</v>
      </c>
      <c r="D1015" t="s">
        <v>1025</v>
      </c>
      <c r="E1015" s="1">
        <v>45757</v>
      </c>
      <c r="F1015" s="1">
        <v>45757</v>
      </c>
      <c r="G1015" s="12">
        <v>880</v>
      </c>
      <c r="H1015" s="2">
        <v>0</v>
      </c>
      <c r="I1015" s="2">
        <v>0</v>
      </c>
      <c r="J1015" s="2">
        <v>0</v>
      </c>
      <c r="K1015" s="20">
        <v>880</v>
      </c>
      <c r="L1015" t="s">
        <v>794</v>
      </c>
      <c r="M1015">
        <f t="shared" si="15"/>
        <v>2025</v>
      </c>
    </row>
    <row r="1016" spans="1:13" ht="12.75" hidden="1" customHeight="1">
      <c r="A1016" t="s">
        <v>1089</v>
      </c>
      <c r="B1016" t="s">
        <v>1090</v>
      </c>
      <c r="C1016" t="s">
        <v>201</v>
      </c>
      <c r="D1016" t="s">
        <v>1025</v>
      </c>
      <c r="E1016" s="1">
        <v>45757</v>
      </c>
      <c r="F1016" s="1">
        <v>45757</v>
      </c>
      <c r="G1016" s="12">
        <v>2278.4</v>
      </c>
      <c r="H1016" s="2">
        <v>0</v>
      </c>
      <c r="I1016" s="2">
        <v>0</v>
      </c>
      <c r="J1016" s="2">
        <v>0</v>
      </c>
      <c r="K1016" s="20">
        <v>2278.4</v>
      </c>
      <c r="L1016" t="s">
        <v>794</v>
      </c>
      <c r="M1016">
        <f t="shared" si="15"/>
        <v>2025</v>
      </c>
    </row>
    <row r="1017" spans="1:13" ht="12.75" hidden="1" customHeight="1">
      <c r="A1017" t="s">
        <v>855</v>
      </c>
      <c r="B1017" t="s">
        <v>20</v>
      </c>
      <c r="C1017" t="s">
        <v>201</v>
      </c>
      <c r="D1017" t="s">
        <v>1025</v>
      </c>
      <c r="E1017" s="1">
        <v>45757</v>
      </c>
      <c r="F1017" s="1">
        <v>45757</v>
      </c>
      <c r="G1017" s="12">
        <v>3500</v>
      </c>
      <c r="H1017" s="2">
        <v>0</v>
      </c>
      <c r="I1017" s="2">
        <v>0</v>
      </c>
      <c r="J1017" s="2">
        <v>0</v>
      </c>
      <c r="K1017" s="20">
        <v>3500</v>
      </c>
      <c r="L1017" t="s">
        <v>794</v>
      </c>
      <c r="M1017">
        <f t="shared" si="15"/>
        <v>2025</v>
      </c>
    </row>
    <row r="1018" spans="1:13" ht="12.75" hidden="1" customHeight="1">
      <c r="A1018" t="s">
        <v>801</v>
      </c>
      <c r="B1018" t="s">
        <v>13</v>
      </c>
      <c r="C1018" t="s">
        <v>726</v>
      </c>
      <c r="D1018" t="s">
        <v>1025</v>
      </c>
      <c r="E1018" s="1">
        <v>45757</v>
      </c>
      <c r="F1018" s="1">
        <v>45757</v>
      </c>
      <c r="G1018" s="12">
        <v>4.08</v>
      </c>
      <c r="H1018" s="2">
        <v>0</v>
      </c>
      <c r="I1018" s="2">
        <v>0</v>
      </c>
      <c r="J1018" s="2">
        <v>0</v>
      </c>
      <c r="K1018" s="20">
        <v>4.08</v>
      </c>
      <c r="L1018" t="s">
        <v>794</v>
      </c>
      <c r="M1018">
        <f t="shared" si="15"/>
        <v>2025</v>
      </c>
    </row>
    <row r="1019" spans="1:13" ht="12.75" hidden="1" customHeight="1">
      <c r="A1019" t="s">
        <v>919</v>
      </c>
      <c r="B1019" t="s">
        <v>920</v>
      </c>
      <c r="C1019" t="s">
        <v>204</v>
      </c>
      <c r="D1019" t="s">
        <v>1025</v>
      </c>
      <c r="E1019" s="1">
        <v>45758</v>
      </c>
      <c r="F1019" s="1">
        <v>45758</v>
      </c>
      <c r="G1019" s="12">
        <v>2255.4299999999998</v>
      </c>
      <c r="H1019" s="2">
        <v>0</v>
      </c>
      <c r="I1019" s="2">
        <v>0</v>
      </c>
      <c r="J1019" s="2">
        <v>0</v>
      </c>
      <c r="K1019" s="20">
        <v>2255.4299999999998</v>
      </c>
      <c r="L1019" t="s">
        <v>794</v>
      </c>
      <c r="M1019">
        <f t="shared" si="15"/>
        <v>2025</v>
      </c>
    </row>
    <row r="1020" spans="1:13" ht="12.75" hidden="1" customHeight="1">
      <c r="A1020" t="s">
        <v>850</v>
      </c>
      <c r="B1020" t="s">
        <v>105</v>
      </c>
      <c r="C1020" t="s">
        <v>384</v>
      </c>
      <c r="D1020" t="s">
        <v>1025</v>
      </c>
      <c r="E1020" s="1">
        <v>45758</v>
      </c>
      <c r="F1020" s="1">
        <v>45758</v>
      </c>
      <c r="G1020" s="12">
        <v>1303.98</v>
      </c>
      <c r="H1020" s="2">
        <v>0</v>
      </c>
      <c r="I1020" s="2">
        <v>0</v>
      </c>
      <c r="J1020" s="2">
        <v>0</v>
      </c>
      <c r="K1020" s="20">
        <v>1303.98</v>
      </c>
      <c r="L1020" t="s">
        <v>794</v>
      </c>
      <c r="M1020">
        <f t="shared" si="15"/>
        <v>2025</v>
      </c>
    </row>
    <row r="1021" spans="1:13" ht="12.75" hidden="1" customHeight="1">
      <c r="A1021" t="s">
        <v>796</v>
      </c>
      <c r="B1021" t="s">
        <v>218</v>
      </c>
      <c r="C1021" t="s">
        <v>201</v>
      </c>
      <c r="D1021" t="s">
        <v>1025</v>
      </c>
      <c r="E1021" s="1">
        <v>45758</v>
      </c>
      <c r="F1021" s="1">
        <v>45758</v>
      </c>
      <c r="G1021" s="12">
        <v>1120</v>
      </c>
      <c r="H1021" s="2">
        <v>0</v>
      </c>
      <c r="I1021" s="2">
        <v>0</v>
      </c>
      <c r="J1021" s="2">
        <v>0</v>
      </c>
      <c r="K1021" s="20">
        <v>1120</v>
      </c>
      <c r="L1021" t="s">
        <v>794</v>
      </c>
      <c r="M1021">
        <f t="shared" si="15"/>
        <v>2025</v>
      </c>
    </row>
    <row r="1022" spans="1:13" ht="12.75" hidden="1" customHeight="1">
      <c r="A1022" t="s">
        <v>878</v>
      </c>
      <c r="B1022" t="s">
        <v>32</v>
      </c>
      <c r="C1022" t="s">
        <v>200</v>
      </c>
      <c r="D1022" t="s">
        <v>1025</v>
      </c>
      <c r="E1022" s="1">
        <v>45758</v>
      </c>
      <c r="F1022" s="1">
        <v>45758</v>
      </c>
      <c r="G1022" s="12">
        <v>800</v>
      </c>
      <c r="H1022" s="2">
        <v>0</v>
      </c>
      <c r="I1022" s="2">
        <v>0</v>
      </c>
      <c r="J1022" s="2">
        <v>0</v>
      </c>
      <c r="K1022" s="20">
        <v>800</v>
      </c>
      <c r="L1022" t="s">
        <v>794</v>
      </c>
      <c r="M1022">
        <f t="shared" si="15"/>
        <v>2025</v>
      </c>
    </row>
    <row r="1023" spans="1:13" ht="12.75" hidden="1" customHeight="1">
      <c r="A1023" t="s">
        <v>919</v>
      </c>
      <c r="B1023" t="s">
        <v>920</v>
      </c>
      <c r="C1023" t="s">
        <v>732</v>
      </c>
      <c r="D1023" t="s">
        <v>1025</v>
      </c>
      <c r="E1023" s="1">
        <v>45758</v>
      </c>
      <c r="F1023" s="1">
        <v>45758</v>
      </c>
      <c r="G1023" s="12">
        <v>158.06</v>
      </c>
      <c r="H1023" s="2">
        <v>0</v>
      </c>
      <c r="I1023" s="2">
        <v>0</v>
      </c>
      <c r="J1023" s="2">
        <v>0</v>
      </c>
      <c r="K1023" s="20">
        <v>158.06</v>
      </c>
      <c r="L1023" t="s">
        <v>794</v>
      </c>
      <c r="M1023">
        <f t="shared" si="15"/>
        <v>2025</v>
      </c>
    </row>
    <row r="1024" spans="1:13" ht="12.75" hidden="1" customHeight="1">
      <c r="A1024" t="s">
        <v>1091</v>
      </c>
      <c r="B1024" t="s">
        <v>545</v>
      </c>
      <c r="C1024" t="s">
        <v>452</v>
      </c>
      <c r="D1024" t="s">
        <v>1025</v>
      </c>
      <c r="E1024" s="1">
        <v>45758</v>
      </c>
      <c r="F1024" s="1">
        <v>45758</v>
      </c>
      <c r="G1024" s="12">
        <v>99</v>
      </c>
      <c r="H1024" s="2">
        <v>0</v>
      </c>
      <c r="I1024" s="2">
        <v>0</v>
      </c>
      <c r="J1024" s="2">
        <v>0</v>
      </c>
      <c r="K1024" s="20">
        <v>99</v>
      </c>
      <c r="L1024" t="s">
        <v>794</v>
      </c>
      <c r="M1024">
        <f t="shared" si="15"/>
        <v>2025</v>
      </c>
    </row>
    <row r="1025" spans="1:13" ht="12.75" hidden="1" customHeight="1">
      <c r="A1025" t="s">
        <v>988</v>
      </c>
      <c r="B1025" t="s">
        <v>217</v>
      </c>
      <c r="C1025" t="s">
        <v>732</v>
      </c>
      <c r="D1025" t="s">
        <v>1025</v>
      </c>
      <c r="E1025" s="1">
        <v>45758</v>
      </c>
      <c r="F1025" s="1">
        <v>45758</v>
      </c>
      <c r="G1025" s="12">
        <v>30.5</v>
      </c>
      <c r="H1025" s="2">
        <v>0</v>
      </c>
      <c r="I1025" s="2">
        <v>0</v>
      </c>
      <c r="J1025" s="2">
        <v>0</v>
      </c>
      <c r="K1025" s="20">
        <v>30.5</v>
      </c>
      <c r="L1025" t="s">
        <v>794</v>
      </c>
      <c r="M1025">
        <f t="shared" si="15"/>
        <v>2025</v>
      </c>
    </row>
    <row r="1026" spans="1:13" ht="12.75" hidden="1" customHeight="1">
      <c r="A1026" t="s">
        <v>1067</v>
      </c>
      <c r="B1026" t="s">
        <v>1078</v>
      </c>
      <c r="C1026" t="s">
        <v>723</v>
      </c>
      <c r="D1026" t="s">
        <v>1025</v>
      </c>
      <c r="E1026" s="1">
        <v>45758</v>
      </c>
      <c r="F1026" s="1">
        <v>45758</v>
      </c>
      <c r="G1026" s="12">
        <v>200</v>
      </c>
      <c r="H1026" s="2">
        <v>0</v>
      </c>
      <c r="I1026" s="2">
        <v>0</v>
      </c>
      <c r="J1026" s="2">
        <v>0</v>
      </c>
      <c r="K1026" s="20">
        <v>200</v>
      </c>
      <c r="L1026" t="s">
        <v>794</v>
      </c>
      <c r="M1026">
        <f t="shared" si="15"/>
        <v>2025</v>
      </c>
    </row>
    <row r="1027" spans="1:13" ht="12.75" hidden="1" customHeight="1">
      <c r="A1027" t="s">
        <v>925</v>
      </c>
      <c r="B1027" t="s">
        <v>189</v>
      </c>
      <c r="C1027" t="s">
        <v>754</v>
      </c>
      <c r="D1027" t="s">
        <v>1025</v>
      </c>
      <c r="E1027" s="1">
        <v>45758</v>
      </c>
      <c r="F1027" s="1">
        <v>45758</v>
      </c>
      <c r="G1027" s="12">
        <v>200</v>
      </c>
      <c r="H1027" s="2">
        <v>0</v>
      </c>
      <c r="I1027" s="2">
        <v>0</v>
      </c>
      <c r="J1027" s="2">
        <v>0</v>
      </c>
      <c r="K1027" s="20">
        <v>200</v>
      </c>
      <c r="L1027" t="s">
        <v>794</v>
      </c>
      <c r="M1027">
        <f t="shared" ref="M1027:M1090" si="16">YEAR(F1027)</f>
        <v>2025</v>
      </c>
    </row>
    <row r="1028" spans="1:13" ht="12.75" hidden="1" customHeight="1">
      <c r="A1028" t="s">
        <v>1092</v>
      </c>
      <c r="B1028" t="s">
        <v>257</v>
      </c>
      <c r="C1028" t="s">
        <v>201</v>
      </c>
      <c r="D1028" t="s">
        <v>1025</v>
      </c>
      <c r="E1028" s="1">
        <v>45758</v>
      </c>
      <c r="F1028" s="1">
        <v>45758</v>
      </c>
      <c r="G1028" s="12">
        <v>800</v>
      </c>
      <c r="H1028" s="2">
        <v>0</v>
      </c>
      <c r="I1028" s="2">
        <v>0</v>
      </c>
      <c r="J1028" s="2">
        <v>0</v>
      </c>
      <c r="K1028" s="20">
        <v>800</v>
      </c>
      <c r="L1028" t="s">
        <v>794</v>
      </c>
      <c r="M1028">
        <f t="shared" si="16"/>
        <v>2025</v>
      </c>
    </row>
    <row r="1029" spans="1:13" ht="12.75" hidden="1" customHeight="1">
      <c r="A1029" t="s">
        <v>1093</v>
      </c>
      <c r="B1029" t="s">
        <v>312</v>
      </c>
      <c r="C1029" t="s">
        <v>201</v>
      </c>
      <c r="D1029" t="s">
        <v>1025</v>
      </c>
      <c r="E1029" s="1">
        <v>45758</v>
      </c>
      <c r="F1029" s="1">
        <v>45758</v>
      </c>
      <c r="G1029" s="12">
        <v>1130</v>
      </c>
      <c r="H1029" s="2">
        <v>0</v>
      </c>
      <c r="I1029" s="2">
        <v>0</v>
      </c>
      <c r="J1029" s="2">
        <v>0</v>
      </c>
      <c r="K1029" s="20">
        <v>1130</v>
      </c>
      <c r="L1029" t="s">
        <v>794</v>
      </c>
      <c r="M1029">
        <f t="shared" si="16"/>
        <v>2025</v>
      </c>
    </row>
    <row r="1030" spans="1:13" ht="12.75" hidden="1" customHeight="1">
      <c r="A1030" t="s">
        <v>1094</v>
      </c>
      <c r="B1030" t="s">
        <v>80</v>
      </c>
      <c r="C1030" t="s">
        <v>201</v>
      </c>
      <c r="D1030" t="s">
        <v>1025</v>
      </c>
      <c r="E1030" s="1">
        <v>45758</v>
      </c>
      <c r="F1030" s="1">
        <v>45758</v>
      </c>
      <c r="G1030" s="12">
        <v>2000</v>
      </c>
      <c r="H1030" s="2">
        <v>0</v>
      </c>
      <c r="I1030" s="2">
        <v>0</v>
      </c>
      <c r="J1030" s="2">
        <v>0</v>
      </c>
      <c r="K1030" s="20">
        <v>2000</v>
      </c>
      <c r="L1030" t="s">
        <v>794</v>
      </c>
      <c r="M1030">
        <f t="shared" si="16"/>
        <v>2025</v>
      </c>
    </row>
    <row r="1031" spans="1:13" ht="12.75" hidden="1" customHeight="1">
      <c r="A1031" t="s">
        <v>801</v>
      </c>
      <c r="B1031" t="s">
        <v>13</v>
      </c>
      <c r="C1031" t="s">
        <v>726</v>
      </c>
      <c r="D1031" t="s">
        <v>1025</v>
      </c>
      <c r="E1031" s="1">
        <v>45758</v>
      </c>
      <c r="F1031" s="1">
        <v>45758</v>
      </c>
      <c r="G1031" s="12">
        <v>4.08</v>
      </c>
      <c r="H1031" s="2">
        <v>0</v>
      </c>
      <c r="I1031" s="2">
        <v>0</v>
      </c>
      <c r="J1031" s="2">
        <v>0</v>
      </c>
      <c r="K1031" s="20">
        <v>4.08</v>
      </c>
      <c r="L1031" t="s">
        <v>794</v>
      </c>
      <c r="M1031">
        <f t="shared" si="16"/>
        <v>2025</v>
      </c>
    </row>
    <row r="1032" spans="1:13" ht="12.75" hidden="1" customHeight="1">
      <c r="A1032" t="s">
        <v>864</v>
      </c>
      <c r="B1032" t="s">
        <v>36</v>
      </c>
      <c r="C1032" t="s">
        <v>201</v>
      </c>
      <c r="D1032" t="s">
        <v>1025</v>
      </c>
      <c r="E1032" s="1">
        <v>45761</v>
      </c>
      <c r="F1032" s="1">
        <v>45761</v>
      </c>
      <c r="G1032" s="12">
        <v>188</v>
      </c>
      <c r="H1032" s="2">
        <v>0</v>
      </c>
      <c r="I1032" s="2">
        <v>0</v>
      </c>
      <c r="J1032" s="2">
        <v>0</v>
      </c>
      <c r="K1032" s="20">
        <v>188</v>
      </c>
      <c r="L1032" t="s">
        <v>794</v>
      </c>
      <c r="M1032">
        <f t="shared" si="16"/>
        <v>2025</v>
      </c>
    </row>
    <row r="1033" spans="1:13" ht="12.75" hidden="1" customHeight="1">
      <c r="A1033" t="s">
        <v>1095</v>
      </c>
      <c r="B1033" t="s">
        <v>460</v>
      </c>
      <c r="C1033" t="s">
        <v>438</v>
      </c>
      <c r="D1033" t="s">
        <v>1025</v>
      </c>
      <c r="E1033" s="1">
        <v>45761</v>
      </c>
      <c r="F1033" s="1">
        <v>45761</v>
      </c>
      <c r="G1033" s="12">
        <v>200</v>
      </c>
      <c r="H1033" s="2">
        <v>0</v>
      </c>
      <c r="I1033" s="2">
        <v>0</v>
      </c>
      <c r="J1033" s="2">
        <v>0</v>
      </c>
      <c r="K1033" s="20">
        <v>200</v>
      </c>
      <c r="L1033" t="s">
        <v>794</v>
      </c>
      <c r="M1033">
        <f t="shared" si="16"/>
        <v>2025</v>
      </c>
    </row>
    <row r="1034" spans="1:13" ht="12.75" hidden="1" customHeight="1">
      <c r="A1034" t="s">
        <v>1096</v>
      </c>
      <c r="B1034" t="s">
        <v>210</v>
      </c>
      <c r="C1034" t="s">
        <v>201</v>
      </c>
      <c r="D1034" t="s">
        <v>1025</v>
      </c>
      <c r="E1034" s="1">
        <v>45761</v>
      </c>
      <c r="F1034" s="1">
        <v>45761</v>
      </c>
      <c r="G1034" s="12">
        <v>720</v>
      </c>
      <c r="H1034" s="2">
        <v>0</v>
      </c>
      <c r="I1034" s="2">
        <v>0</v>
      </c>
      <c r="J1034" s="2">
        <v>0</v>
      </c>
      <c r="K1034" s="20">
        <v>720</v>
      </c>
      <c r="L1034" t="s">
        <v>794</v>
      </c>
      <c r="M1034">
        <f t="shared" si="16"/>
        <v>2025</v>
      </c>
    </row>
    <row r="1035" spans="1:13" ht="12.75" hidden="1" customHeight="1">
      <c r="A1035" t="s">
        <v>800</v>
      </c>
      <c r="B1035" t="s">
        <v>85</v>
      </c>
      <c r="C1035" t="s">
        <v>734</v>
      </c>
      <c r="D1035" t="s">
        <v>1025</v>
      </c>
      <c r="E1035" s="1">
        <v>45761</v>
      </c>
      <c r="F1035" s="1">
        <v>45761</v>
      </c>
      <c r="G1035" s="12">
        <v>290</v>
      </c>
      <c r="H1035" s="2">
        <v>0</v>
      </c>
      <c r="I1035" s="2">
        <v>0</v>
      </c>
      <c r="J1035" s="2">
        <v>0</v>
      </c>
      <c r="K1035" s="20">
        <v>290</v>
      </c>
      <c r="L1035" t="s">
        <v>794</v>
      </c>
      <c r="M1035">
        <f t="shared" si="16"/>
        <v>2025</v>
      </c>
    </row>
    <row r="1036" spans="1:13" ht="12.75" hidden="1" customHeight="1">
      <c r="A1036" t="s">
        <v>941</v>
      </c>
      <c r="B1036" t="s">
        <v>52</v>
      </c>
      <c r="C1036" t="s">
        <v>672</v>
      </c>
      <c r="D1036" t="s">
        <v>1025</v>
      </c>
      <c r="E1036" s="1">
        <v>45761</v>
      </c>
      <c r="F1036" s="1">
        <v>45761</v>
      </c>
      <c r="G1036" s="12">
        <v>1553.3600000000001</v>
      </c>
      <c r="H1036" s="2">
        <v>0</v>
      </c>
      <c r="I1036" s="2">
        <v>0</v>
      </c>
      <c r="J1036" s="2">
        <v>0</v>
      </c>
      <c r="K1036" s="20">
        <v>1553.3600000000001</v>
      </c>
      <c r="L1036" t="s">
        <v>794</v>
      </c>
      <c r="M1036">
        <f t="shared" si="16"/>
        <v>2025</v>
      </c>
    </row>
    <row r="1037" spans="1:13" ht="12.75" hidden="1" customHeight="1">
      <c r="A1037" t="s">
        <v>1097</v>
      </c>
      <c r="B1037" t="s">
        <v>414</v>
      </c>
      <c r="C1037" t="s">
        <v>137</v>
      </c>
      <c r="D1037" t="s">
        <v>1025</v>
      </c>
      <c r="E1037" s="1">
        <v>45761</v>
      </c>
      <c r="F1037" s="1">
        <v>45761</v>
      </c>
      <c r="G1037" s="12">
        <v>129.12</v>
      </c>
      <c r="H1037" s="2">
        <v>0</v>
      </c>
      <c r="I1037" s="2">
        <v>0</v>
      </c>
      <c r="J1037" s="2">
        <v>0</v>
      </c>
      <c r="K1037" s="20">
        <v>129.12</v>
      </c>
      <c r="L1037" t="s">
        <v>794</v>
      </c>
      <c r="M1037">
        <f t="shared" si="16"/>
        <v>2025</v>
      </c>
    </row>
    <row r="1038" spans="1:13" ht="12.75" hidden="1" customHeight="1">
      <c r="A1038" t="s">
        <v>1098</v>
      </c>
      <c r="B1038" t="s">
        <v>191</v>
      </c>
      <c r="C1038" t="s">
        <v>748</v>
      </c>
      <c r="D1038" t="s">
        <v>1025</v>
      </c>
      <c r="E1038" s="1">
        <v>45761</v>
      </c>
      <c r="F1038" s="1">
        <v>45761</v>
      </c>
      <c r="G1038" s="12">
        <v>2671</v>
      </c>
      <c r="H1038" s="2">
        <v>0</v>
      </c>
      <c r="I1038" s="2">
        <v>0</v>
      </c>
      <c r="J1038" s="2">
        <v>0</v>
      </c>
      <c r="K1038" s="20">
        <v>2671</v>
      </c>
      <c r="L1038" t="s">
        <v>843</v>
      </c>
      <c r="M1038">
        <f t="shared" si="16"/>
        <v>2025</v>
      </c>
    </row>
    <row r="1039" spans="1:13" ht="12.75" hidden="1" customHeight="1">
      <c r="A1039" t="s">
        <v>1082</v>
      </c>
      <c r="B1039" t="s">
        <v>429</v>
      </c>
      <c r="C1039" t="s">
        <v>201</v>
      </c>
      <c r="D1039" t="s">
        <v>1025</v>
      </c>
      <c r="E1039" s="1">
        <v>45761</v>
      </c>
      <c r="F1039" s="1">
        <v>45761</v>
      </c>
      <c r="G1039" s="12">
        <v>320</v>
      </c>
      <c r="H1039" s="2">
        <v>0</v>
      </c>
      <c r="I1039" s="2">
        <v>0</v>
      </c>
      <c r="J1039" s="2">
        <v>0</v>
      </c>
      <c r="K1039" s="20">
        <v>320</v>
      </c>
      <c r="L1039" t="s">
        <v>794</v>
      </c>
      <c r="M1039">
        <f t="shared" si="16"/>
        <v>2025</v>
      </c>
    </row>
    <row r="1040" spans="1:13" ht="12.75" hidden="1" customHeight="1">
      <c r="A1040" t="s">
        <v>805</v>
      </c>
      <c r="B1040" t="s">
        <v>17</v>
      </c>
      <c r="C1040" t="s">
        <v>713</v>
      </c>
      <c r="D1040" t="s">
        <v>1025</v>
      </c>
      <c r="E1040" s="1">
        <v>45761</v>
      </c>
      <c r="F1040" s="1">
        <v>45761</v>
      </c>
      <c r="G1040" s="12">
        <v>10491.98</v>
      </c>
      <c r="H1040" s="2">
        <v>0</v>
      </c>
      <c r="I1040" s="2">
        <v>0</v>
      </c>
      <c r="J1040" s="2">
        <v>0</v>
      </c>
      <c r="K1040" s="20">
        <v>10491.98</v>
      </c>
      <c r="L1040" t="s">
        <v>794</v>
      </c>
      <c r="M1040">
        <f t="shared" si="16"/>
        <v>2025</v>
      </c>
    </row>
    <row r="1041" spans="1:13" ht="12.75" hidden="1" customHeight="1">
      <c r="A1041" t="s">
        <v>888</v>
      </c>
      <c r="B1041" t="s">
        <v>16</v>
      </c>
      <c r="C1041" t="s">
        <v>713</v>
      </c>
      <c r="D1041" t="s">
        <v>1025</v>
      </c>
      <c r="E1041" s="1">
        <v>45761</v>
      </c>
      <c r="F1041" s="1">
        <v>45761</v>
      </c>
      <c r="G1041" s="12">
        <v>1049.2</v>
      </c>
      <c r="H1041" s="2">
        <v>0</v>
      </c>
      <c r="I1041" s="2">
        <v>0</v>
      </c>
      <c r="J1041" s="2">
        <v>0</v>
      </c>
      <c r="K1041" s="20">
        <v>1049.2</v>
      </c>
      <c r="L1041" t="s">
        <v>794</v>
      </c>
      <c r="M1041">
        <f t="shared" si="16"/>
        <v>2025</v>
      </c>
    </row>
    <row r="1042" spans="1:13" ht="12.75" hidden="1" customHeight="1">
      <c r="A1042" t="s">
        <v>892</v>
      </c>
      <c r="B1042" t="s">
        <v>110</v>
      </c>
      <c r="C1042" t="s">
        <v>733</v>
      </c>
      <c r="D1042" t="s">
        <v>1025</v>
      </c>
      <c r="E1042" s="1">
        <v>45761</v>
      </c>
      <c r="F1042" s="1">
        <v>45761</v>
      </c>
      <c r="G1042" s="12">
        <v>298</v>
      </c>
      <c r="H1042" s="2">
        <v>0</v>
      </c>
      <c r="I1042" s="2">
        <v>0</v>
      </c>
      <c r="J1042" s="2">
        <v>0</v>
      </c>
      <c r="K1042" s="20">
        <v>298</v>
      </c>
      <c r="L1042" t="s">
        <v>794</v>
      </c>
      <c r="M1042">
        <f t="shared" si="16"/>
        <v>2025</v>
      </c>
    </row>
    <row r="1043" spans="1:13" ht="12.75" hidden="1" customHeight="1">
      <c r="A1043" t="s">
        <v>1066</v>
      </c>
      <c r="B1043" t="s">
        <v>486</v>
      </c>
      <c r="C1043" t="s">
        <v>710</v>
      </c>
      <c r="D1043" t="s">
        <v>1025</v>
      </c>
      <c r="E1043" s="1">
        <v>45761</v>
      </c>
      <c r="F1043" s="1">
        <v>45761</v>
      </c>
      <c r="G1043" s="12">
        <v>114</v>
      </c>
      <c r="H1043" s="2">
        <v>0</v>
      </c>
      <c r="I1043" s="2">
        <v>0</v>
      </c>
      <c r="J1043" s="2">
        <v>0</v>
      </c>
      <c r="K1043" s="20">
        <v>114</v>
      </c>
      <c r="L1043" t="s">
        <v>794</v>
      </c>
      <c r="M1043">
        <f t="shared" si="16"/>
        <v>2025</v>
      </c>
    </row>
    <row r="1044" spans="1:13" ht="12.75" hidden="1" customHeight="1">
      <c r="A1044" t="s">
        <v>801</v>
      </c>
      <c r="B1044" t="s">
        <v>13</v>
      </c>
      <c r="C1044" t="s">
        <v>717</v>
      </c>
      <c r="D1044" t="s">
        <v>1025</v>
      </c>
      <c r="E1044" s="1">
        <v>45761</v>
      </c>
      <c r="F1044" s="1">
        <v>45761</v>
      </c>
      <c r="G1044" s="12">
        <v>5552</v>
      </c>
      <c r="H1044" s="2">
        <v>0</v>
      </c>
      <c r="I1044" s="2">
        <v>0</v>
      </c>
      <c r="J1044" s="2">
        <v>0</v>
      </c>
      <c r="K1044" s="20">
        <v>5552</v>
      </c>
      <c r="L1044" t="s">
        <v>794</v>
      </c>
      <c r="M1044">
        <f t="shared" si="16"/>
        <v>2025</v>
      </c>
    </row>
    <row r="1045" spans="1:13" ht="12.75" hidden="1" customHeight="1">
      <c r="A1045" t="s">
        <v>801</v>
      </c>
      <c r="B1045" t="s">
        <v>13</v>
      </c>
      <c r="C1045" t="s">
        <v>726</v>
      </c>
      <c r="D1045" t="s">
        <v>1025</v>
      </c>
      <c r="E1045" s="1">
        <v>45762</v>
      </c>
      <c r="F1045" s="1">
        <v>45762</v>
      </c>
      <c r="G1045" s="12">
        <v>648.94000000000005</v>
      </c>
      <c r="H1045" s="2">
        <v>0</v>
      </c>
      <c r="I1045" s="2">
        <v>0</v>
      </c>
      <c r="J1045" s="2">
        <v>0</v>
      </c>
      <c r="K1045" s="20">
        <v>648.94000000000005</v>
      </c>
      <c r="L1045" t="s">
        <v>794</v>
      </c>
      <c r="M1045">
        <f t="shared" si="16"/>
        <v>2025</v>
      </c>
    </row>
    <row r="1046" spans="1:13" ht="12.75" hidden="1" customHeight="1">
      <c r="A1046" t="s">
        <v>919</v>
      </c>
      <c r="B1046" t="s">
        <v>920</v>
      </c>
      <c r="C1046" t="s">
        <v>141</v>
      </c>
      <c r="D1046" t="s">
        <v>1025</v>
      </c>
      <c r="E1046" s="1">
        <v>45762</v>
      </c>
      <c r="F1046" s="1">
        <v>45762</v>
      </c>
      <c r="G1046" s="12">
        <v>120</v>
      </c>
      <c r="H1046" s="2">
        <v>0</v>
      </c>
      <c r="I1046" s="2">
        <v>0</v>
      </c>
      <c r="J1046" s="2">
        <v>0</v>
      </c>
      <c r="K1046" s="20">
        <v>120</v>
      </c>
      <c r="L1046" t="s">
        <v>794</v>
      </c>
      <c r="M1046">
        <f t="shared" si="16"/>
        <v>2025</v>
      </c>
    </row>
    <row r="1047" spans="1:13" ht="12.75" hidden="1" customHeight="1">
      <c r="A1047" t="s">
        <v>895</v>
      </c>
      <c r="B1047" t="s">
        <v>155</v>
      </c>
      <c r="C1047" t="s">
        <v>384</v>
      </c>
      <c r="D1047" t="s">
        <v>1025</v>
      </c>
      <c r="E1047" s="1">
        <v>45762</v>
      </c>
      <c r="F1047" s="1">
        <v>45762</v>
      </c>
      <c r="G1047" s="12">
        <v>390</v>
      </c>
      <c r="H1047" s="2">
        <v>0</v>
      </c>
      <c r="I1047" s="2">
        <v>0</v>
      </c>
      <c r="J1047" s="2">
        <v>0</v>
      </c>
      <c r="K1047" s="20">
        <v>390</v>
      </c>
      <c r="L1047" t="s">
        <v>794</v>
      </c>
      <c r="M1047">
        <f t="shared" si="16"/>
        <v>2025</v>
      </c>
    </row>
    <row r="1048" spans="1:13" ht="12.75" hidden="1" customHeight="1">
      <c r="A1048" t="s">
        <v>886</v>
      </c>
      <c r="B1048" t="s">
        <v>194</v>
      </c>
      <c r="C1048" t="s">
        <v>743</v>
      </c>
      <c r="D1048" t="s">
        <v>1025</v>
      </c>
      <c r="E1048" s="1">
        <v>45762</v>
      </c>
      <c r="F1048" s="1">
        <v>45762</v>
      </c>
      <c r="G1048" s="12">
        <v>217.76</v>
      </c>
      <c r="H1048" s="2">
        <v>0</v>
      </c>
      <c r="I1048" s="2">
        <v>0</v>
      </c>
      <c r="J1048" s="2">
        <v>0</v>
      </c>
      <c r="K1048" s="20">
        <v>217.76</v>
      </c>
      <c r="L1048" t="s">
        <v>794</v>
      </c>
      <c r="M1048">
        <f t="shared" si="16"/>
        <v>2025</v>
      </c>
    </row>
    <row r="1049" spans="1:13" ht="12.75" hidden="1" customHeight="1">
      <c r="A1049" t="s">
        <v>891</v>
      </c>
      <c r="B1049" t="s">
        <v>102</v>
      </c>
      <c r="C1049" t="s">
        <v>710</v>
      </c>
      <c r="D1049" t="s">
        <v>1025</v>
      </c>
      <c r="E1049" s="1">
        <v>45762</v>
      </c>
      <c r="F1049" s="1">
        <v>45762</v>
      </c>
      <c r="G1049" s="12">
        <v>500</v>
      </c>
      <c r="H1049" s="2">
        <v>0</v>
      </c>
      <c r="I1049" s="2">
        <v>0</v>
      </c>
      <c r="J1049" s="2">
        <v>0</v>
      </c>
      <c r="K1049" s="20">
        <v>500</v>
      </c>
      <c r="L1049" t="s">
        <v>794</v>
      </c>
      <c r="M1049">
        <f t="shared" si="16"/>
        <v>2025</v>
      </c>
    </row>
    <row r="1050" spans="1:13" ht="12.75" hidden="1" customHeight="1">
      <c r="A1050" t="s">
        <v>805</v>
      </c>
      <c r="B1050" t="s">
        <v>17</v>
      </c>
      <c r="C1050" t="s">
        <v>713</v>
      </c>
      <c r="D1050" t="s">
        <v>1025</v>
      </c>
      <c r="E1050" s="1">
        <v>45762</v>
      </c>
      <c r="F1050" s="1">
        <v>45762</v>
      </c>
      <c r="G1050" s="12">
        <v>8204.7000000000007</v>
      </c>
      <c r="H1050" s="2">
        <v>0</v>
      </c>
      <c r="I1050" s="2">
        <v>0</v>
      </c>
      <c r="J1050" s="2">
        <v>0</v>
      </c>
      <c r="K1050" s="20">
        <v>8204.7000000000007</v>
      </c>
      <c r="L1050" t="s">
        <v>794</v>
      </c>
      <c r="M1050">
        <f t="shared" si="16"/>
        <v>2025</v>
      </c>
    </row>
    <row r="1051" spans="1:13" ht="12.75" hidden="1" customHeight="1">
      <c r="A1051" t="s">
        <v>888</v>
      </c>
      <c r="B1051" t="s">
        <v>16</v>
      </c>
      <c r="C1051" t="s">
        <v>716</v>
      </c>
      <c r="D1051" t="s">
        <v>1025</v>
      </c>
      <c r="E1051" s="1">
        <v>45762</v>
      </c>
      <c r="F1051" s="1">
        <v>45762</v>
      </c>
      <c r="G1051" s="12">
        <v>21353.96</v>
      </c>
      <c r="H1051" s="2">
        <v>0</v>
      </c>
      <c r="I1051" s="2">
        <v>0</v>
      </c>
      <c r="J1051" s="2">
        <v>0</v>
      </c>
      <c r="K1051" s="20">
        <v>21353.96</v>
      </c>
      <c r="L1051" t="s">
        <v>794</v>
      </c>
      <c r="M1051">
        <f t="shared" si="16"/>
        <v>2025</v>
      </c>
    </row>
    <row r="1052" spans="1:13" ht="12.75" hidden="1" customHeight="1">
      <c r="A1052" t="s">
        <v>893</v>
      </c>
      <c r="B1052" t="s">
        <v>212</v>
      </c>
      <c r="C1052" t="s">
        <v>746</v>
      </c>
      <c r="D1052" t="s">
        <v>1025</v>
      </c>
      <c r="E1052" s="1">
        <v>45762</v>
      </c>
      <c r="F1052" s="1">
        <v>45762</v>
      </c>
      <c r="G1052" s="12">
        <v>132</v>
      </c>
      <c r="H1052" s="2">
        <v>0</v>
      </c>
      <c r="I1052" s="2">
        <v>0</v>
      </c>
      <c r="J1052" s="2">
        <v>0</v>
      </c>
      <c r="K1052" s="20">
        <v>132</v>
      </c>
      <c r="L1052" t="s">
        <v>794</v>
      </c>
      <c r="M1052">
        <f t="shared" si="16"/>
        <v>2025</v>
      </c>
    </row>
    <row r="1053" spans="1:13" ht="12.75" hidden="1" customHeight="1">
      <c r="A1053" t="s">
        <v>879</v>
      </c>
      <c r="B1053" t="s">
        <v>23</v>
      </c>
      <c r="C1053" t="s">
        <v>713</v>
      </c>
      <c r="D1053" t="s">
        <v>1025</v>
      </c>
      <c r="E1053" s="1">
        <v>45762</v>
      </c>
      <c r="F1053" s="1">
        <v>45762</v>
      </c>
      <c r="G1053" s="12">
        <v>868.6</v>
      </c>
      <c r="H1053" s="2">
        <v>0</v>
      </c>
      <c r="I1053" s="2">
        <v>0</v>
      </c>
      <c r="J1053" s="2">
        <v>0</v>
      </c>
      <c r="K1053" s="20">
        <v>868.6</v>
      </c>
      <c r="L1053" t="s">
        <v>794</v>
      </c>
      <c r="M1053">
        <f t="shared" si="16"/>
        <v>2025</v>
      </c>
    </row>
    <row r="1054" spans="1:13" ht="12.75" hidden="1" customHeight="1">
      <c r="A1054" t="s">
        <v>879</v>
      </c>
      <c r="B1054" t="s">
        <v>23</v>
      </c>
      <c r="C1054" t="s">
        <v>716</v>
      </c>
      <c r="D1054" t="s">
        <v>1025</v>
      </c>
      <c r="E1054" s="1">
        <v>45762</v>
      </c>
      <c r="F1054" s="1">
        <v>45762</v>
      </c>
      <c r="G1054" s="12">
        <v>2125</v>
      </c>
      <c r="H1054" s="2">
        <v>0</v>
      </c>
      <c r="I1054" s="2">
        <v>0</v>
      </c>
      <c r="J1054" s="2">
        <v>0</v>
      </c>
      <c r="K1054" s="20">
        <v>2125</v>
      </c>
      <c r="L1054" t="s">
        <v>794</v>
      </c>
      <c r="M1054">
        <f t="shared" si="16"/>
        <v>2025</v>
      </c>
    </row>
    <row r="1055" spans="1:13" ht="12.75" hidden="1" customHeight="1">
      <c r="A1055" t="s">
        <v>801</v>
      </c>
      <c r="B1055" t="s">
        <v>13</v>
      </c>
      <c r="C1055" t="s">
        <v>751</v>
      </c>
      <c r="D1055" t="s">
        <v>1025</v>
      </c>
      <c r="E1055" s="1">
        <v>45762</v>
      </c>
      <c r="F1055" s="1">
        <v>45762</v>
      </c>
      <c r="G1055" s="12">
        <v>222.02</v>
      </c>
      <c r="H1055" s="2">
        <v>0</v>
      </c>
      <c r="I1055" s="2">
        <v>0</v>
      </c>
      <c r="J1055" s="2">
        <v>0</v>
      </c>
      <c r="K1055" s="20">
        <v>222.02</v>
      </c>
      <c r="L1055" t="s">
        <v>794</v>
      </c>
      <c r="M1055">
        <f t="shared" si="16"/>
        <v>2025</v>
      </c>
    </row>
    <row r="1056" spans="1:13" ht="12.75" hidden="1" customHeight="1">
      <c r="A1056" t="s">
        <v>801</v>
      </c>
      <c r="B1056" t="s">
        <v>13</v>
      </c>
      <c r="C1056" t="s">
        <v>726</v>
      </c>
      <c r="D1056" t="s">
        <v>1025</v>
      </c>
      <c r="E1056" s="1">
        <v>45762</v>
      </c>
      <c r="F1056" s="1">
        <v>45762</v>
      </c>
      <c r="G1056" s="12">
        <v>4.08</v>
      </c>
      <c r="H1056" s="2">
        <v>0</v>
      </c>
      <c r="I1056" s="2">
        <v>0</v>
      </c>
      <c r="J1056" s="2">
        <v>0</v>
      </c>
      <c r="K1056" s="20">
        <v>4.08</v>
      </c>
      <c r="L1056" t="s">
        <v>794</v>
      </c>
      <c r="M1056">
        <f t="shared" si="16"/>
        <v>2025</v>
      </c>
    </row>
    <row r="1057" spans="1:13" ht="12.75" hidden="1" customHeight="1">
      <c r="A1057" t="s">
        <v>992</v>
      </c>
      <c r="B1057" t="s">
        <v>16</v>
      </c>
      <c r="C1057" t="s">
        <v>713</v>
      </c>
      <c r="D1057" t="s">
        <v>1025</v>
      </c>
      <c r="E1057" s="1">
        <v>45763</v>
      </c>
      <c r="F1057" s="1">
        <v>45763</v>
      </c>
      <c r="G1057" s="12">
        <v>7068.81</v>
      </c>
      <c r="H1057" s="2">
        <v>0</v>
      </c>
      <c r="I1057" s="2">
        <v>0</v>
      </c>
      <c r="J1057" s="2">
        <v>0</v>
      </c>
      <c r="K1057" s="20">
        <v>7068.81</v>
      </c>
      <c r="L1057" t="s">
        <v>794</v>
      </c>
      <c r="M1057">
        <f t="shared" si="16"/>
        <v>2025</v>
      </c>
    </row>
    <row r="1058" spans="1:13" ht="12.75" hidden="1" customHeight="1">
      <c r="A1058" t="s">
        <v>894</v>
      </c>
      <c r="B1058" t="s">
        <v>50</v>
      </c>
      <c r="C1058" t="s">
        <v>152</v>
      </c>
      <c r="D1058" t="s">
        <v>1025</v>
      </c>
      <c r="E1058" s="1">
        <v>45763</v>
      </c>
      <c r="F1058" s="1">
        <v>45763</v>
      </c>
      <c r="G1058" s="12">
        <v>1548.8600000000001</v>
      </c>
      <c r="H1058" s="2">
        <v>0</v>
      </c>
      <c r="I1058" s="2">
        <v>0</v>
      </c>
      <c r="J1058" s="2">
        <v>0</v>
      </c>
      <c r="K1058" s="20">
        <v>1548.8600000000001</v>
      </c>
      <c r="L1058" t="s">
        <v>794</v>
      </c>
      <c r="M1058">
        <f t="shared" si="16"/>
        <v>2025</v>
      </c>
    </row>
    <row r="1059" spans="1:13" ht="12.75" hidden="1" customHeight="1">
      <c r="A1059" t="s">
        <v>941</v>
      </c>
      <c r="B1059" t="s">
        <v>52</v>
      </c>
      <c r="C1059" t="s">
        <v>672</v>
      </c>
      <c r="D1059" t="s">
        <v>1025</v>
      </c>
      <c r="E1059" s="1">
        <v>45763</v>
      </c>
      <c r="F1059" s="1">
        <v>45763</v>
      </c>
      <c r="G1059" s="12">
        <v>1524.01</v>
      </c>
      <c r="H1059" s="2">
        <v>0</v>
      </c>
      <c r="I1059" s="2">
        <v>0</v>
      </c>
      <c r="J1059" s="2">
        <v>0</v>
      </c>
      <c r="K1059" s="20">
        <v>1524.01</v>
      </c>
      <c r="L1059" t="s">
        <v>794</v>
      </c>
      <c r="M1059">
        <f t="shared" si="16"/>
        <v>2025</v>
      </c>
    </row>
    <row r="1060" spans="1:13" ht="12.75" hidden="1" customHeight="1">
      <c r="A1060" t="s">
        <v>841</v>
      </c>
      <c r="B1060" t="s">
        <v>164</v>
      </c>
      <c r="C1060" t="s">
        <v>722</v>
      </c>
      <c r="D1060" t="s">
        <v>1025</v>
      </c>
      <c r="E1060" s="1">
        <v>45763</v>
      </c>
      <c r="F1060" s="1">
        <v>45763</v>
      </c>
      <c r="G1060" s="12">
        <v>354.01</v>
      </c>
      <c r="H1060" s="2">
        <v>0</v>
      </c>
      <c r="I1060" s="2">
        <v>0</v>
      </c>
      <c r="J1060" s="2">
        <v>0</v>
      </c>
      <c r="K1060" s="20">
        <v>354.01</v>
      </c>
      <c r="L1060" t="s">
        <v>794</v>
      </c>
      <c r="M1060">
        <f t="shared" si="16"/>
        <v>2025</v>
      </c>
    </row>
    <row r="1061" spans="1:13" ht="12.75" hidden="1" customHeight="1">
      <c r="A1061" t="s">
        <v>921</v>
      </c>
      <c r="B1061" t="s">
        <v>184</v>
      </c>
      <c r="C1061" t="s">
        <v>483</v>
      </c>
      <c r="D1061" t="s">
        <v>1025</v>
      </c>
      <c r="E1061" s="1">
        <v>45751</v>
      </c>
      <c r="F1061" s="1">
        <v>45763</v>
      </c>
      <c r="G1061" s="12">
        <v>41.980000000000004</v>
      </c>
      <c r="H1061" s="2">
        <v>0</v>
      </c>
      <c r="I1061" s="2">
        <v>0</v>
      </c>
      <c r="J1061" s="2">
        <v>0</v>
      </c>
      <c r="K1061" s="20">
        <v>41.980000000000004</v>
      </c>
      <c r="L1061" t="s">
        <v>794</v>
      </c>
      <c r="M1061">
        <f t="shared" si="16"/>
        <v>2025</v>
      </c>
    </row>
    <row r="1062" spans="1:13" ht="12.75" hidden="1" customHeight="1">
      <c r="A1062" t="s">
        <v>1009</v>
      </c>
      <c r="B1062" t="s">
        <v>62</v>
      </c>
      <c r="C1062" t="s">
        <v>141</v>
      </c>
      <c r="D1062" t="s">
        <v>1025</v>
      </c>
      <c r="E1062" s="1">
        <v>45763</v>
      </c>
      <c r="F1062" s="1">
        <v>45763</v>
      </c>
      <c r="G1062" s="12">
        <v>40</v>
      </c>
      <c r="H1062" s="2">
        <v>0</v>
      </c>
      <c r="I1062" s="2">
        <v>0</v>
      </c>
      <c r="J1062" s="2">
        <v>0</v>
      </c>
      <c r="K1062" s="20">
        <v>40</v>
      </c>
      <c r="L1062" t="s">
        <v>794</v>
      </c>
      <c r="M1062">
        <f t="shared" si="16"/>
        <v>2025</v>
      </c>
    </row>
    <row r="1063" spans="1:13" ht="12.75" hidden="1" customHeight="1">
      <c r="A1063" t="s">
        <v>818</v>
      </c>
      <c r="B1063" t="s">
        <v>30</v>
      </c>
      <c r="C1063" t="s">
        <v>141</v>
      </c>
      <c r="D1063" t="s">
        <v>1025</v>
      </c>
      <c r="E1063" s="1">
        <v>45763</v>
      </c>
      <c r="F1063" s="1">
        <v>45763</v>
      </c>
      <c r="G1063" s="12">
        <v>218</v>
      </c>
      <c r="H1063" s="2">
        <v>0</v>
      </c>
      <c r="I1063" s="2">
        <v>0</v>
      </c>
      <c r="J1063" s="2">
        <v>0</v>
      </c>
      <c r="K1063" s="20">
        <v>218</v>
      </c>
      <c r="L1063" t="s">
        <v>794</v>
      </c>
      <c r="M1063">
        <f t="shared" si="16"/>
        <v>2025</v>
      </c>
    </row>
    <row r="1064" spans="1:13" ht="12.75" hidden="1" customHeight="1">
      <c r="A1064" t="s">
        <v>1099</v>
      </c>
      <c r="B1064" t="s">
        <v>377</v>
      </c>
      <c r="C1064" t="s">
        <v>139</v>
      </c>
      <c r="D1064" t="s">
        <v>1025</v>
      </c>
      <c r="E1064" s="1">
        <v>45763</v>
      </c>
      <c r="F1064" s="1">
        <v>45763</v>
      </c>
      <c r="G1064" s="12">
        <v>81.600000000000009</v>
      </c>
      <c r="H1064" s="2">
        <v>0</v>
      </c>
      <c r="I1064" s="2">
        <v>0</v>
      </c>
      <c r="J1064" s="2">
        <v>0</v>
      </c>
      <c r="K1064" s="20">
        <v>81.600000000000009</v>
      </c>
      <c r="L1064" t="s">
        <v>794</v>
      </c>
      <c r="M1064">
        <f t="shared" si="16"/>
        <v>2025</v>
      </c>
    </row>
    <row r="1065" spans="1:13" ht="12.75" hidden="1" customHeight="1">
      <c r="A1065" t="s">
        <v>1099</v>
      </c>
      <c r="B1065" t="s">
        <v>377</v>
      </c>
      <c r="C1065" t="s">
        <v>138</v>
      </c>
      <c r="D1065" t="s">
        <v>1025</v>
      </c>
      <c r="E1065" s="1">
        <v>45763</v>
      </c>
      <c r="F1065" s="1">
        <v>45763</v>
      </c>
      <c r="G1065" s="12">
        <v>32.32</v>
      </c>
      <c r="H1065" s="2">
        <v>0</v>
      </c>
      <c r="I1065" s="2">
        <v>0</v>
      </c>
      <c r="J1065" s="2">
        <v>0</v>
      </c>
      <c r="K1065" s="20">
        <v>32.32</v>
      </c>
      <c r="L1065" t="s">
        <v>794</v>
      </c>
      <c r="M1065">
        <f t="shared" si="16"/>
        <v>2025</v>
      </c>
    </row>
    <row r="1066" spans="1:13" ht="12.75" hidden="1" customHeight="1">
      <c r="A1066" t="s">
        <v>1100</v>
      </c>
      <c r="B1066" t="s">
        <v>591</v>
      </c>
      <c r="C1066" t="s">
        <v>723</v>
      </c>
      <c r="D1066" t="s">
        <v>1025</v>
      </c>
      <c r="E1066" s="1">
        <v>45751</v>
      </c>
      <c r="F1066" s="1">
        <v>45763</v>
      </c>
      <c r="G1066" s="12">
        <v>60</v>
      </c>
      <c r="H1066" s="2">
        <v>0</v>
      </c>
      <c r="I1066" s="2">
        <v>0</v>
      </c>
      <c r="J1066" s="2">
        <v>0</v>
      </c>
      <c r="K1066" s="20">
        <v>60</v>
      </c>
      <c r="L1066" t="s">
        <v>794</v>
      </c>
      <c r="M1066">
        <f t="shared" si="16"/>
        <v>2025</v>
      </c>
    </row>
    <row r="1067" spans="1:13" ht="12.75" hidden="1" customHeight="1">
      <c r="A1067" t="s">
        <v>1101</v>
      </c>
      <c r="B1067" t="s">
        <v>584</v>
      </c>
      <c r="C1067" t="s">
        <v>646</v>
      </c>
      <c r="D1067" t="s">
        <v>1025</v>
      </c>
      <c r="E1067" s="1">
        <v>45748</v>
      </c>
      <c r="F1067" s="1">
        <v>45763</v>
      </c>
      <c r="G1067" s="12">
        <v>4</v>
      </c>
      <c r="H1067" s="2">
        <v>0</v>
      </c>
      <c r="I1067" s="2">
        <v>0</v>
      </c>
      <c r="J1067" s="2">
        <v>0</v>
      </c>
      <c r="K1067" s="20">
        <v>4</v>
      </c>
      <c r="L1067" t="s">
        <v>794</v>
      </c>
      <c r="M1067">
        <f t="shared" si="16"/>
        <v>2025</v>
      </c>
    </row>
    <row r="1068" spans="1:13" ht="12.75" hidden="1" customHeight="1">
      <c r="A1068" t="s">
        <v>921</v>
      </c>
      <c r="B1068" t="s">
        <v>184</v>
      </c>
      <c r="C1068" t="s">
        <v>483</v>
      </c>
      <c r="D1068" t="s">
        <v>1025</v>
      </c>
      <c r="E1068" s="1">
        <v>45748</v>
      </c>
      <c r="F1068" s="1">
        <v>45763</v>
      </c>
      <c r="G1068" s="12">
        <v>45.980000000000004</v>
      </c>
      <c r="H1068" s="2">
        <v>0</v>
      </c>
      <c r="I1068" s="2">
        <v>0</v>
      </c>
      <c r="J1068" s="2">
        <v>0</v>
      </c>
      <c r="K1068" s="20">
        <v>45.980000000000004</v>
      </c>
      <c r="L1068" t="s">
        <v>794</v>
      </c>
      <c r="M1068">
        <f t="shared" si="16"/>
        <v>2025</v>
      </c>
    </row>
    <row r="1069" spans="1:13" ht="12.75" hidden="1" customHeight="1">
      <c r="A1069" t="s">
        <v>898</v>
      </c>
      <c r="B1069" t="s">
        <v>353</v>
      </c>
      <c r="C1069" t="s">
        <v>761</v>
      </c>
      <c r="D1069" t="s">
        <v>1025</v>
      </c>
      <c r="E1069" s="1">
        <v>45748</v>
      </c>
      <c r="F1069" s="1">
        <v>45763</v>
      </c>
      <c r="G1069" s="12">
        <v>87</v>
      </c>
      <c r="H1069" s="2">
        <v>0</v>
      </c>
      <c r="I1069" s="2">
        <v>0</v>
      </c>
      <c r="J1069" s="2">
        <v>0</v>
      </c>
      <c r="K1069" s="20">
        <v>87</v>
      </c>
      <c r="L1069" t="s">
        <v>794</v>
      </c>
      <c r="M1069">
        <f t="shared" si="16"/>
        <v>2025</v>
      </c>
    </row>
    <row r="1070" spans="1:13" ht="12.75" hidden="1" customHeight="1">
      <c r="A1070" t="s">
        <v>1102</v>
      </c>
      <c r="B1070" t="s">
        <v>507</v>
      </c>
      <c r="C1070" t="s">
        <v>647</v>
      </c>
      <c r="D1070" t="s">
        <v>1025</v>
      </c>
      <c r="E1070" s="1">
        <v>45749</v>
      </c>
      <c r="F1070" s="1">
        <v>45763</v>
      </c>
      <c r="G1070" s="12">
        <v>98</v>
      </c>
      <c r="H1070" s="2">
        <v>0</v>
      </c>
      <c r="I1070" s="2">
        <v>0</v>
      </c>
      <c r="J1070" s="2">
        <v>0</v>
      </c>
      <c r="K1070" s="20">
        <v>98</v>
      </c>
      <c r="L1070" t="s">
        <v>794</v>
      </c>
      <c r="M1070">
        <f t="shared" si="16"/>
        <v>2025</v>
      </c>
    </row>
    <row r="1071" spans="1:13" ht="12.75" hidden="1" customHeight="1">
      <c r="A1071" t="s">
        <v>1067</v>
      </c>
      <c r="B1071" t="s">
        <v>1078</v>
      </c>
      <c r="C1071" t="s">
        <v>140</v>
      </c>
      <c r="D1071" t="s">
        <v>1025</v>
      </c>
      <c r="E1071" s="1">
        <v>45748</v>
      </c>
      <c r="F1071" s="1">
        <v>45763</v>
      </c>
      <c r="G1071" s="12">
        <v>60</v>
      </c>
      <c r="H1071" s="2">
        <v>0</v>
      </c>
      <c r="I1071" s="2">
        <v>0</v>
      </c>
      <c r="J1071" s="2">
        <v>0</v>
      </c>
      <c r="K1071" s="20">
        <v>60</v>
      </c>
      <c r="L1071" t="s">
        <v>794</v>
      </c>
      <c r="M1071">
        <f t="shared" si="16"/>
        <v>2025</v>
      </c>
    </row>
    <row r="1072" spans="1:13" ht="12.75" hidden="1" customHeight="1">
      <c r="A1072" t="s">
        <v>925</v>
      </c>
      <c r="B1072" t="s">
        <v>189</v>
      </c>
      <c r="C1072" t="s">
        <v>139</v>
      </c>
      <c r="D1072" t="s">
        <v>1025</v>
      </c>
      <c r="E1072" s="1">
        <v>45748</v>
      </c>
      <c r="F1072" s="1">
        <v>45763</v>
      </c>
      <c r="G1072" s="12">
        <v>100</v>
      </c>
      <c r="H1072" s="2">
        <v>0</v>
      </c>
      <c r="I1072" s="2">
        <v>0</v>
      </c>
      <c r="J1072" s="2">
        <v>0</v>
      </c>
      <c r="K1072" s="20">
        <v>100</v>
      </c>
      <c r="L1072" t="s">
        <v>794</v>
      </c>
      <c r="M1072">
        <f t="shared" si="16"/>
        <v>2025</v>
      </c>
    </row>
    <row r="1073" spans="1:13" ht="12.75" hidden="1" customHeight="1">
      <c r="A1073" t="s">
        <v>1074</v>
      </c>
      <c r="B1073" t="s">
        <v>570</v>
      </c>
      <c r="C1073" t="s">
        <v>754</v>
      </c>
      <c r="D1073" t="s">
        <v>1025</v>
      </c>
      <c r="E1073" s="1">
        <v>45748</v>
      </c>
      <c r="F1073" s="1">
        <v>45763</v>
      </c>
      <c r="G1073" s="12">
        <v>50</v>
      </c>
      <c r="H1073" s="2">
        <v>0</v>
      </c>
      <c r="I1073" s="2">
        <v>0</v>
      </c>
      <c r="J1073" s="2">
        <v>0</v>
      </c>
      <c r="K1073" s="20">
        <v>50</v>
      </c>
      <c r="L1073" t="s">
        <v>794</v>
      </c>
      <c r="M1073">
        <f t="shared" si="16"/>
        <v>2025</v>
      </c>
    </row>
    <row r="1074" spans="1:13" ht="12.75" hidden="1" customHeight="1">
      <c r="A1074" t="s">
        <v>890</v>
      </c>
      <c r="B1074" t="s">
        <v>247</v>
      </c>
      <c r="C1074" t="s">
        <v>142</v>
      </c>
      <c r="D1074" t="s">
        <v>1025</v>
      </c>
      <c r="E1074" s="1">
        <v>45750</v>
      </c>
      <c r="F1074" s="1">
        <v>45763</v>
      </c>
      <c r="G1074" s="12">
        <v>35</v>
      </c>
      <c r="H1074" s="2">
        <v>0</v>
      </c>
      <c r="I1074" s="2">
        <v>0</v>
      </c>
      <c r="J1074" s="2">
        <v>0</v>
      </c>
      <c r="K1074" s="20">
        <v>35</v>
      </c>
      <c r="L1074" t="s">
        <v>794</v>
      </c>
      <c r="M1074">
        <f t="shared" si="16"/>
        <v>2025</v>
      </c>
    </row>
    <row r="1075" spans="1:13" ht="12.75" hidden="1" customHeight="1">
      <c r="A1075" t="s">
        <v>921</v>
      </c>
      <c r="B1075" t="s">
        <v>184</v>
      </c>
      <c r="C1075" t="s">
        <v>483</v>
      </c>
      <c r="D1075" t="s">
        <v>1025</v>
      </c>
      <c r="E1075" s="1">
        <v>45751</v>
      </c>
      <c r="F1075" s="1">
        <v>45763</v>
      </c>
      <c r="G1075" s="12">
        <v>41.980000000000004</v>
      </c>
      <c r="H1075" s="2">
        <v>0</v>
      </c>
      <c r="I1075" s="2">
        <v>0</v>
      </c>
      <c r="J1075" s="2">
        <v>0</v>
      </c>
      <c r="K1075" s="20">
        <v>41.980000000000004</v>
      </c>
      <c r="L1075" t="s">
        <v>794</v>
      </c>
      <c r="M1075">
        <f t="shared" si="16"/>
        <v>2025</v>
      </c>
    </row>
    <row r="1076" spans="1:13" ht="12.75" hidden="1" customHeight="1">
      <c r="A1076" t="s">
        <v>961</v>
      </c>
      <c r="B1076" t="s">
        <v>41</v>
      </c>
      <c r="C1076" t="s">
        <v>733</v>
      </c>
      <c r="D1076" t="s">
        <v>1025</v>
      </c>
      <c r="E1076" s="1">
        <v>45751</v>
      </c>
      <c r="F1076" s="1">
        <v>45763</v>
      </c>
      <c r="G1076" s="12">
        <v>60</v>
      </c>
      <c r="H1076" s="2">
        <v>0</v>
      </c>
      <c r="I1076" s="2">
        <v>0</v>
      </c>
      <c r="J1076" s="2">
        <v>0</v>
      </c>
      <c r="K1076" s="20">
        <v>60</v>
      </c>
      <c r="L1076" t="s">
        <v>794</v>
      </c>
      <c r="M1076">
        <f t="shared" si="16"/>
        <v>2025</v>
      </c>
    </row>
    <row r="1077" spans="1:13" ht="12.75" hidden="1" customHeight="1">
      <c r="A1077" t="s">
        <v>1009</v>
      </c>
      <c r="B1077" t="s">
        <v>62</v>
      </c>
      <c r="C1077" t="s">
        <v>137</v>
      </c>
      <c r="D1077" t="s">
        <v>1025</v>
      </c>
      <c r="E1077" s="1">
        <v>45751</v>
      </c>
      <c r="F1077" s="1">
        <v>45763</v>
      </c>
      <c r="G1077" s="12">
        <v>1668</v>
      </c>
      <c r="H1077" s="2">
        <v>0</v>
      </c>
      <c r="I1077" s="2">
        <v>0</v>
      </c>
      <c r="J1077" s="2">
        <v>0</v>
      </c>
      <c r="K1077" s="20">
        <v>1668</v>
      </c>
      <c r="L1077" t="s">
        <v>794</v>
      </c>
      <c r="M1077">
        <f t="shared" si="16"/>
        <v>2025</v>
      </c>
    </row>
    <row r="1078" spans="1:13" ht="12.75" hidden="1" customHeight="1">
      <c r="A1078" t="s">
        <v>981</v>
      </c>
      <c r="B1078" t="s">
        <v>55</v>
      </c>
      <c r="C1078" t="s">
        <v>99</v>
      </c>
      <c r="D1078" t="s">
        <v>1025</v>
      </c>
      <c r="E1078" s="1">
        <v>45751</v>
      </c>
      <c r="F1078" s="1">
        <v>45763</v>
      </c>
      <c r="G1078" s="12">
        <v>500</v>
      </c>
      <c r="H1078" s="2">
        <v>0</v>
      </c>
      <c r="I1078" s="2">
        <v>0</v>
      </c>
      <c r="J1078" s="2">
        <v>0</v>
      </c>
      <c r="K1078" s="20">
        <v>500</v>
      </c>
      <c r="L1078" t="s">
        <v>794</v>
      </c>
      <c r="M1078">
        <f t="shared" si="16"/>
        <v>2025</v>
      </c>
    </row>
    <row r="1079" spans="1:13" ht="12.75" hidden="1" customHeight="1">
      <c r="A1079" t="s">
        <v>1103</v>
      </c>
      <c r="B1079" t="s">
        <v>471</v>
      </c>
      <c r="C1079" t="s">
        <v>140</v>
      </c>
      <c r="D1079" t="s">
        <v>1025</v>
      </c>
      <c r="E1079" s="1">
        <v>45757</v>
      </c>
      <c r="F1079" s="1">
        <v>45763</v>
      </c>
      <c r="G1079" s="12">
        <v>30</v>
      </c>
      <c r="H1079" s="2">
        <v>0</v>
      </c>
      <c r="I1079" s="2">
        <v>0</v>
      </c>
      <c r="J1079" s="2">
        <v>0</v>
      </c>
      <c r="K1079" s="20">
        <v>30</v>
      </c>
      <c r="L1079" t="s">
        <v>794</v>
      </c>
      <c r="M1079">
        <f t="shared" si="16"/>
        <v>2025</v>
      </c>
    </row>
    <row r="1080" spans="1:13" ht="12.75" hidden="1" customHeight="1">
      <c r="A1080" t="s">
        <v>1099</v>
      </c>
      <c r="B1080" t="s">
        <v>377</v>
      </c>
      <c r="C1080" t="s">
        <v>139</v>
      </c>
      <c r="D1080" t="s">
        <v>1025</v>
      </c>
      <c r="E1080" s="1">
        <v>45758</v>
      </c>
      <c r="F1080" s="1">
        <v>45763</v>
      </c>
      <c r="G1080" s="12">
        <v>102</v>
      </c>
      <c r="H1080" s="2">
        <v>0</v>
      </c>
      <c r="I1080" s="2">
        <v>0</v>
      </c>
      <c r="J1080" s="2">
        <v>0</v>
      </c>
      <c r="K1080" s="20">
        <v>102</v>
      </c>
      <c r="L1080" t="s">
        <v>794</v>
      </c>
      <c r="M1080">
        <f t="shared" si="16"/>
        <v>2025</v>
      </c>
    </row>
    <row r="1081" spans="1:13" ht="12.75" hidden="1" customHeight="1">
      <c r="A1081" t="s">
        <v>1099</v>
      </c>
      <c r="B1081" t="s">
        <v>377</v>
      </c>
      <c r="C1081" t="s">
        <v>138</v>
      </c>
      <c r="D1081" t="s">
        <v>1025</v>
      </c>
      <c r="E1081" s="1">
        <v>45758</v>
      </c>
      <c r="F1081" s="1">
        <v>45763</v>
      </c>
      <c r="G1081" s="12">
        <v>40.4</v>
      </c>
      <c r="H1081" s="2">
        <v>0</v>
      </c>
      <c r="I1081" s="2">
        <v>0</v>
      </c>
      <c r="J1081" s="2">
        <v>0</v>
      </c>
      <c r="K1081" s="20">
        <v>40.4</v>
      </c>
      <c r="L1081" t="s">
        <v>794</v>
      </c>
      <c r="M1081">
        <f t="shared" si="16"/>
        <v>2025</v>
      </c>
    </row>
    <row r="1082" spans="1:13" ht="12.75" hidden="1" customHeight="1">
      <c r="A1082" t="s">
        <v>1104</v>
      </c>
      <c r="B1082" t="s">
        <v>53</v>
      </c>
      <c r="C1082" t="s">
        <v>138</v>
      </c>
      <c r="D1082" t="s">
        <v>1025</v>
      </c>
      <c r="E1082" s="1">
        <v>45758</v>
      </c>
      <c r="F1082" s="1">
        <v>45763</v>
      </c>
      <c r="G1082" s="12">
        <v>242</v>
      </c>
      <c r="H1082" s="2">
        <v>0</v>
      </c>
      <c r="I1082" s="2">
        <v>0</v>
      </c>
      <c r="J1082" s="2">
        <v>0</v>
      </c>
      <c r="K1082" s="20">
        <v>242</v>
      </c>
      <c r="L1082" t="s">
        <v>794</v>
      </c>
      <c r="M1082">
        <f t="shared" si="16"/>
        <v>2025</v>
      </c>
    </row>
    <row r="1083" spans="1:13" ht="12.75" hidden="1" customHeight="1">
      <c r="A1083" t="s">
        <v>1009</v>
      </c>
      <c r="B1083" t="s">
        <v>62</v>
      </c>
      <c r="C1083" t="s">
        <v>141</v>
      </c>
      <c r="D1083" t="s">
        <v>1025</v>
      </c>
      <c r="E1083" s="1">
        <v>45757</v>
      </c>
      <c r="F1083" s="1">
        <v>45763</v>
      </c>
      <c r="G1083" s="12">
        <v>440</v>
      </c>
      <c r="H1083" s="2">
        <v>0</v>
      </c>
      <c r="I1083" s="2">
        <v>0</v>
      </c>
      <c r="J1083" s="2">
        <v>0</v>
      </c>
      <c r="K1083" s="20">
        <v>440</v>
      </c>
      <c r="L1083" t="s">
        <v>794</v>
      </c>
      <c r="M1083">
        <f t="shared" si="16"/>
        <v>2025</v>
      </c>
    </row>
    <row r="1084" spans="1:13" ht="12.75" hidden="1" customHeight="1">
      <c r="A1084" t="s">
        <v>818</v>
      </c>
      <c r="B1084" t="s">
        <v>30</v>
      </c>
      <c r="C1084" t="s">
        <v>141</v>
      </c>
      <c r="D1084" t="s">
        <v>1025</v>
      </c>
      <c r="E1084" s="1">
        <v>45757</v>
      </c>
      <c r="F1084" s="1">
        <v>45763</v>
      </c>
      <c r="G1084" s="12">
        <v>600</v>
      </c>
      <c r="H1084" s="2">
        <v>0</v>
      </c>
      <c r="I1084" s="2">
        <v>0</v>
      </c>
      <c r="J1084" s="2">
        <v>0</v>
      </c>
      <c r="K1084" s="20">
        <v>600</v>
      </c>
      <c r="L1084" t="s">
        <v>794</v>
      </c>
      <c r="M1084">
        <f t="shared" si="16"/>
        <v>2025</v>
      </c>
    </row>
    <row r="1085" spans="1:13" ht="12.75" hidden="1" customHeight="1">
      <c r="A1085" t="s">
        <v>1105</v>
      </c>
      <c r="B1085" t="s">
        <v>84</v>
      </c>
      <c r="C1085" t="s">
        <v>140</v>
      </c>
      <c r="D1085" t="s">
        <v>1025</v>
      </c>
      <c r="E1085" s="1">
        <v>45752</v>
      </c>
      <c r="F1085" s="1">
        <v>45763</v>
      </c>
      <c r="G1085" s="12">
        <v>30</v>
      </c>
      <c r="H1085" s="2">
        <v>0</v>
      </c>
      <c r="I1085" s="2">
        <v>0</v>
      </c>
      <c r="J1085" s="2">
        <v>0</v>
      </c>
      <c r="K1085" s="20">
        <v>30</v>
      </c>
      <c r="L1085" t="s">
        <v>794</v>
      </c>
      <c r="M1085">
        <f t="shared" si="16"/>
        <v>2025</v>
      </c>
    </row>
    <row r="1086" spans="1:13" ht="12.75" hidden="1" customHeight="1">
      <c r="A1086" t="s">
        <v>1105</v>
      </c>
      <c r="B1086" t="s">
        <v>84</v>
      </c>
      <c r="C1086" t="s">
        <v>140</v>
      </c>
      <c r="D1086" t="s">
        <v>1025</v>
      </c>
      <c r="E1086" s="1">
        <v>45752</v>
      </c>
      <c r="F1086" s="1">
        <v>45763</v>
      </c>
      <c r="G1086" s="12">
        <v>30</v>
      </c>
      <c r="H1086" s="2">
        <v>0</v>
      </c>
      <c r="I1086" s="2">
        <v>0</v>
      </c>
      <c r="J1086" s="2">
        <v>0</v>
      </c>
      <c r="K1086" s="20">
        <v>30</v>
      </c>
      <c r="L1086" t="s">
        <v>794</v>
      </c>
      <c r="M1086">
        <f t="shared" si="16"/>
        <v>2025</v>
      </c>
    </row>
    <row r="1087" spans="1:13" ht="12.75" hidden="1" customHeight="1">
      <c r="A1087" t="s">
        <v>1103</v>
      </c>
      <c r="B1087" t="s">
        <v>471</v>
      </c>
      <c r="C1087" t="s">
        <v>140</v>
      </c>
      <c r="D1087" t="s">
        <v>1106</v>
      </c>
      <c r="E1087" s="1">
        <v>45387</v>
      </c>
      <c r="F1087" s="1">
        <v>45763</v>
      </c>
      <c r="G1087" s="12">
        <v>30</v>
      </c>
      <c r="H1087" s="2">
        <v>0</v>
      </c>
      <c r="I1087" s="2">
        <v>0</v>
      </c>
      <c r="J1087" s="2">
        <v>0</v>
      </c>
      <c r="K1087" s="20">
        <v>30</v>
      </c>
      <c r="L1087" t="s">
        <v>794</v>
      </c>
      <c r="M1087">
        <f t="shared" si="16"/>
        <v>2025</v>
      </c>
    </row>
    <row r="1088" spans="1:13" ht="12.75" hidden="1" customHeight="1">
      <c r="A1088" t="s">
        <v>1103</v>
      </c>
      <c r="B1088" t="s">
        <v>471</v>
      </c>
      <c r="C1088" t="s">
        <v>140</v>
      </c>
      <c r="D1088" t="s">
        <v>1025</v>
      </c>
      <c r="E1088" s="1">
        <v>45752</v>
      </c>
      <c r="F1088" s="1">
        <v>45763</v>
      </c>
      <c r="G1088" s="12">
        <v>30</v>
      </c>
      <c r="H1088" s="2">
        <v>0</v>
      </c>
      <c r="I1088" s="2">
        <v>0</v>
      </c>
      <c r="J1088" s="2">
        <v>0</v>
      </c>
      <c r="K1088" s="20">
        <v>30</v>
      </c>
      <c r="L1088" t="s">
        <v>794</v>
      </c>
      <c r="M1088">
        <f t="shared" si="16"/>
        <v>2025</v>
      </c>
    </row>
    <row r="1089" spans="1:13" ht="12.75" hidden="1" customHeight="1">
      <c r="A1089" t="s">
        <v>1105</v>
      </c>
      <c r="B1089" t="s">
        <v>84</v>
      </c>
      <c r="C1089" t="s">
        <v>140</v>
      </c>
      <c r="D1089" t="s">
        <v>1025</v>
      </c>
      <c r="E1089" s="1">
        <v>45754</v>
      </c>
      <c r="F1089" s="1">
        <v>45763</v>
      </c>
      <c r="G1089" s="12">
        <v>30</v>
      </c>
      <c r="H1089" s="2">
        <v>0</v>
      </c>
      <c r="I1089" s="2">
        <v>0</v>
      </c>
      <c r="J1089" s="2">
        <v>0</v>
      </c>
      <c r="K1089" s="20">
        <v>30</v>
      </c>
      <c r="L1089" t="s">
        <v>794</v>
      </c>
      <c r="M1089">
        <f t="shared" si="16"/>
        <v>2025</v>
      </c>
    </row>
    <row r="1090" spans="1:13" ht="12.75" hidden="1" customHeight="1">
      <c r="A1090" t="s">
        <v>812</v>
      </c>
      <c r="B1090" t="s">
        <v>31</v>
      </c>
      <c r="C1090" t="s">
        <v>141</v>
      </c>
      <c r="D1090" t="s">
        <v>1025</v>
      </c>
      <c r="E1090" s="1">
        <v>45750</v>
      </c>
      <c r="F1090" s="1">
        <v>45763</v>
      </c>
      <c r="G1090" s="12">
        <v>40</v>
      </c>
      <c r="H1090" s="2">
        <v>0</v>
      </c>
      <c r="I1090" s="2">
        <v>0</v>
      </c>
      <c r="J1090" s="2">
        <v>0</v>
      </c>
      <c r="K1090" s="20">
        <v>40</v>
      </c>
      <c r="L1090" t="s">
        <v>794</v>
      </c>
      <c r="M1090">
        <f t="shared" si="16"/>
        <v>2025</v>
      </c>
    </row>
    <row r="1091" spans="1:13" ht="12.75" hidden="1" customHeight="1">
      <c r="A1091" t="s">
        <v>812</v>
      </c>
      <c r="B1091" t="s">
        <v>31</v>
      </c>
      <c r="C1091" t="s">
        <v>141</v>
      </c>
      <c r="D1091" t="s">
        <v>1025</v>
      </c>
      <c r="E1091" s="1">
        <v>45754</v>
      </c>
      <c r="F1091" s="1">
        <v>45763</v>
      </c>
      <c r="G1091" s="12">
        <v>36</v>
      </c>
      <c r="H1091" s="2">
        <v>0</v>
      </c>
      <c r="I1091" s="2">
        <v>0</v>
      </c>
      <c r="J1091" s="2">
        <v>0</v>
      </c>
      <c r="K1091" s="20">
        <v>36</v>
      </c>
      <c r="L1091" t="s">
        <v>794</v>
      </c>
      <c r="M1091">
        <f t="shared" ref="M1091:M1154" si="17">YEAR(F1091)</f>
        <v>2025</v>
      </c>
    </row>
    <row r="1092" spans="1:13" ht="12.75" hidden="1" customHeight="1">
      <c r="A1092" t="s">
        <v>818</v>
      </c>
      <c r="B1092" t="s">
        <v>30</v>
      </c>
      <c r="C1092" t="s">
        <v>141</v>
      </c>
      <c r="D1092" t="s">
        <v>1025</v>
      </c>
      <c r="E1092" s="1">
        <v>45754</v>
      </c>
      <c r="F1092" s="1">
        <v>45763</v>
      </c>
      <c r="G1092" s="12">
        <v>40</v>
      </c>
      <c r="H1092" s="2">
        <v>0</v>
      </c>
      <c r="I1092" s="2">
        <v>0</v>
      </c>
      <c r="J1092" s="2">
        <v>0</v>
      </c>
      <c r="K1092" s="20">
        <v>40</v>
      </c>
      <c r="L1092" t="s">
        <v>794</v>
      </c>
      <c r="M1092">
        <f t="shared" si="17"/>
        <v>2025</v>
      </c>
    </row>
    <row r="1093" spans="1:13" ht="12.75" hidden="1" customHeight="1">
      <c r="A1093" t="s">
        <v>812</v>
      </c>
      <c r="B1093" t="s">
        <v>31</v>
      </c>
      <c r="C1093" t="s">
        <v>141</v>
      </c>
      <c r="D1093" t="s">
        <v>1025</v>
      </c>
      <c r="E1093" s="1">
        <v>45754</v>
      </c>
      <c r="F1093" s="1">
        <v>45763</v>
      </c>
      <c r="G1093" s="12">
        <v>226</v>
      </c>
      <c r="H1093" s="2">
        <v>0</v>
      </c>
      <c r="I1093" s="2">
        <v>0</v>
      </c>
      <c r="J1093" s="2">
        <v>0</v>
      </c>
      <c r="K1093" s="20">
        <v>226</v>
      </c>
      <c r="L1093" t="s">
        <v>794</v>
      </c>
      <c r="M1093">
        <f t="shared" si="17"/>
        <v>2025</v>
      </c>
    </row>
    <row r="1094" spans="1:13" ht="12.75" hidden="1" customHeight="1">
      <c r="A1094" t="s">
        <v>810</v>
      </c>
      <c r="B1094" t="s">
        <v>54</v>
      </c>
      <c r="C1094" t="s">
        <v>141</v>
      </c>
      <c r="D1094" t="s">
        <v>1025</v>
      </c>
      <c r="E1094" s="1">
        <v>45754</v>
      </c>
      <c r="F1094" s="1">
        <v>45763</v>
      </c>
      <c r="G1094" s="12">
        <v>340</v>
      </c>
      <c r="H1094" s="2">
        <v>0</v>
      </c>
      <c r="I1094" s="2">
        <v>0</v>
      </c>
      <c r="J1094" s="2">
        <v>0</v>
      </c>
      <c r="K1094" s="20">
        <v>340</v>
      </c>
      <c r="L1094" t="s">
        <v>794</v>
      </c>
      <c r="M1094">
        <f t="shared" si="17"/>
        <v>2025</v>
      </c>
    </row>
    <row r="1095" spans="1:13" ht="12.75" hidden="1" customHeight="1">
      <c r="A1095" t="s">
        <v>890</v>
      </c>
      <c r="B1095" t="s">
        <v>247</v>
      </c>
      <c r="C1095" t="s">
        <v>558</v>
      </c>
      <c r="D1095" t="s">
        <v>1025</v>
      </c>
      <c r="E1095" s="1">
        <v>45757</v>
      </c>
      <c r="F1095" s="1">
        <v>45763</v>
      </c>
      <c r="G1095" s="12">
        <v>19</v>
      </c>
      <c r="H1095" s="2">
        <v>0</v>
      </c>
      <c r="I1095" s="2">
        <v>0</v>
      </c>
      <c r="J1095" s="2">
        <v>0</v>
      </c>
      <c r="K1095" s="20">
        <v>19</v>
      </c>
      <c r="L1095" t="s">
        <v>794</v>
      </c>
      <c r="M1095">
        <f t="shared" si="17"/>
        <v>2025</v>
      </c>
    </row>
    <row r="1096" spans="1:13" ht="12.75" hidden="1" customHeight="1">
      <c r="A1096" t="s">
        <v>912</v>
      </c>
      <c r="B1096" t="s">
        <v>260</v>
      </c>
      <c r="C1096" t="s">
        <v>141</v>
      </c>
      <c r="D1096" t="s">
        <v>1025</v>
      </c>
      <c r="E1096" s="1">
        <v>45757</v>
      </c>
      <c r="F1096" s="1">
        <v>45763</v>
      </c>
      <c r="G1096" s="12">
        <v>600</v>
      </c>
      <c r="H1096" s="2">
        <v>0</v>
      </c>
      <c r="I1096" s="2">
        <v>0</v>
      </c>
      <c r="J1096" s="2">
        <v>0</v>
      </c>
      <c r="K1096" s="20">
        <v>600</v>
      </c>
      <c r="L1096" t="s">
        <v>794</v>
      </c>
      <c r="M1096">
        <f t="shared" si="17"/>
        <v>2025</v>
      </c>
    </row>
    <row r="1097" spans="1:13" ht="12.75" hidden="1" customHeight="1">
      <c r="A1097" t="s">
        <v>1107</v>
      </c>
      <c r="B1097" t="s">
        <v>31</v>
      </c>
      <c r="C1097" t="s">
        <v>141</v>
      </c>
      <c r="D1097" t="s">
        <v>1025</v>
      </c>
      <c r="E1097" s="1">
        <v>45757</v>
      </c>
      <c r="F1097" s="1">
        <v>45763</v>
      </c>
      <c r="G1097" s="12">
        <v>1240</v>
      </c>
      <c r="H1097" s="2">
        <v>0</v>
      </c>
      <c r="I1097" s="2">
        <v>0</v>
      </c>
      <c r="J1097" s="2">
        <v>0</v>
      </c>
      <c r="K1097" s="20">
        <v>1240</v>
      </c>
      <c r="L1097" t="s">
        <v>794</v>
      </c>
      <c r="M1097">
        <f t="shared" si="17"/>
        <v>2025</v>
      </c>
    </row>
    <row r="1098" spans="1:13" ht="12.75" hidden="1" customHeight="1">
      <c r="A1098" t="s">
        <v>957</v>
      </c>
      <c r="B1098" t="s">
        <v>39</v>
      </c>
      <c r="C1098" t="s">
        <v>141</v>
      </c>
      <c r="D1098" t="s">
        <v>1025</v>
      </c>
      <c r="E1098" s="1">
        <v>45757</v>
      </c>
      <c r="F1098" s="1">
        <v>45763</v>
      </c>
      <c r="G1098" s="12">
        <v>250</v>
      </c>
      <c r="H1098" s="2">
        <v>0</v>
      </c>
      <c r="I1098" s="2">
        <v>0</v>
      </c>
      <c r="J1098" s="2">
        <v>0</v>
      </c>
      <c r="K1098" s="20">
        <v>250</v>
      </c>
      <c r="L1098" t="s">
        <v>794</v>
      </c>
      <c r="M1098">
        <f t="shared" si="17"/>
        <v>2025</v>
      </c>
    </row>
    <row r="1099" spans="1:13" ht="12.75" hidden="1" customHeight="1">
      <c r="A1099" t="s">
        <v>1103</v>
      </c>
      <c r="B1099" t="s">
        <v>471</v>
      </c>
      <c r="C1099" t="s">
        <v>140</v>
      </c>
      <c r="D1099" t="s">
        <v>1025</v>
      </c>
      <c r="E1099" s="1">
        <v>45756</v>
      </c>
      <c r="F1099" s="1">
        <v>45763</v>
      </c>
      <c r="G1099" s="12">
        <v>90</v>
      </c>
      <c r="H1099" s="2">
        <v>0</v>
      </c>
      <c r="I1099" s="2">
        <v>0</v>
      </c>
      <c r="J1099" s="2">
        <v>0</v>
      </c>
      <c r="K1099" s="20">
        <v>90</v>
      </c>
      <c r="L1099" t="s">
        <v>794</v>
      </c>
      <c r="M1099">
        <f t="shared" si="17"/>
        <v>2025</v>
      </c>
    </row>
    <row r="1100" spans="1:13" ht="12.75" hidden="1" customHeight="1">
      <c r="A1100" t="s">
        <v>810</v>
      </c>
      <c r="B1100" t="s">
        <v>54</v>
      </c>
      <c r="C1100" t="s">
        <v>141</v>
      </c>
      <c r="D1100" t="s">
        <v>1025</v>
      </c>
      <c r="E1100" s="1">
        <v>45757</v>
      </c>
      <c r="F1100" s="1">
        <v>45763</v>
      </c>
      <c r="G1100" s="12">
        <v>1250</v>
      </c>
      <c r="H1100" s="2">
        <v>0</v>
      </c>
      <c r="I1100" s="2">
        <v>0</v>
      </c>
      <c r="J1100" s="2">
        <v>0</v>
      </c>
      <c r="K1100" s="20">
        <v>1250</v>
      </c>
      <c r="L1100" t="s">
        <v>794</v>
      </c>
      <c r="M1100">
        <f t="shared" si="17"/>
        <v>2025</v>
      </c>
    </row>
    <row r="1101" spans="1:13" ht="12.75" hidden="1" customHeight="1">
      <c r="A1101" t="s">
        <v>1105</v>
      </c>
      <c r="B1101" t="s">
        <v>84</v>
      </c>
      <c r="C1101" t="s">
        <v>140</v>
      </c>
      <c r="D1101" t="s">
        <v>1025</v>
      </c>
      <c r="E1101" s="1">
        <v>45756</v>
      </c>
      <c r="F1101" s="1">
        <v>45763</v>
      </c>
      <c r="G1101" s="12">
        <v>120</v>
      </c>
      <c r="H1101" s="2">
        <v>0</v>
      </c>
      <c r="I1101" s="2">
        <v>0</v>
      </c>
      <c r="J1101" s="2">
        <v>0</v>
      </c>
      <c r="K1101" s="20">
        <v>120</v>
      </c>
      <c r="L1101" t="s">
        <v>794</v>
      </c>
      <c r="M1101">
        <f t="shared" si="17"/>
        <v>2025</v>
      </c>
    </row>
    <row r="1102" spans="1:13" ht="12.75" hidden="1" customHeight="1">
      <c r="A1102" t="s">
        <v>1108</v>
      </c>
      <c r="B1102" t="s">
        <v>328</v>
      </c>
      <c r="C1102" t="s">
        <v>483</v>
      </c>
      <c r="D1102" t="s">
        <v>1025</v>
      </c>
      <c r="E1102" s="1">
        <v>45762</v>
      </c>
      <c r="F1102" s="1">
        <v>45763</v>
      </c>
      <c r="G1102" s="12">
        <v>8.7799999999999994</v>
      </c>
      <c r="H1102" s="2">
        <v>0</v>
      </c>
      <c r="I1102" s="2">
        <v>0</v>
      </c>
      <c r="J1102" s="2">
        <v>0</v>
      </c>
      <c r="K1102" s="20">
        <v>8.7799999999999994</v>
      </c>
      <c r="L1102" t="s">
        <v>794</v>
      </c>
      <c r="M1102">
        <f t="shared" si="17"/>
        <v>2025</v>
      </c>
    </row>
    <row r="1103" spans="1:13" ht="12.75" hidden="1" customHeight="1">
      <c r="A1103" t="s">
        <v>921</v>
      </c>
      <c r="B1103" t="s">
        <v>184</v>
      </c>
      <c r="C1103" t="s">
        <v>483</v>
      </c>
      <c r="D1103" t="s">
        <v>1025</v>
      </c>
      <c r="E1103" s="1">
        <v>45756</v>
      </c>
      <c r="F1103" s="1">
        <v>45763</v>
      </c>
      <c r="G1103" s="12">
        <v>23.900000000000002</v>
      </c>
      <c r="H1103" s="2">
        <v>0</v>
      </c>
      <c r="I1103" s="2">
        <v>0</v>
      </c>
      <c r="J1103" s="2">
        <v>0</v>
      </c>
      <c r="K1103" s="20">
        <v>23.900000000000002</v>
      </c>
      <c r="L1103" t="s">
        <v>794</v>
      </c>
      <c r="M1103">
        <f t="shared" si="17"/>
        <v>2025</v>
      </c>
    </row>
    <row r="1104" spans="1:13" ht="12.75" hidden="1" customHeight="1">
      <c r="A1104" t="s">
        <v>878</v>
      </c>
      <c r="B1104" t="s">
        <v>32</v>
      </c>
      <c r="C1104" t="s">
        <v>721</v>
      </c>
      <c r="D1104" t="s">
        <v>1025</v>
      </c>
      <c r="E1104" s="1">
        <v>45763</v>
      </c>
      <c r="F1104" s="1">
        <v>45763</v>
      </c>
      <c r="G1104" s="12">
        <v>150</v>
      </c>
      <c r="H1104" s="2">
        <v>0</v>
      </c>
      <c r="I1104" s="2">
        <v>0</v>
      </c>
      <c r="J1104" s="2">
        <v>0</v>
      </c>
      <c r="K1104" s="20">
        <v>150</v>
      </c>
      <c r="L1104" t="s">
        <v>794</v>
      </c>
      <c r="M1104">
        <f t="shared" si="17"/>
        <v>2025</v>
      </c>
    </row>
    <row r="1105" spans="1:13" ht="12.75" hidden="1" customHeight="1">
      <c r="A1105" t="s">
        <v>801</v>
      </c>
      <c r="B1105" t="s">
        <v>13</v>
      </c>
      <c r="C1105" t="s">
        <v>726</v>
      </c>
      <c r="D1105" t="s">
        <v>1025</v>
      </c>
      <c r="E1105" s="1">
        <v>45763</v>
      </c>
      <c r="F1105" s="1">
        <v>45763</v>
      </c>
      <c r="G1105" s="12">
        <v>6.12</v>
      </c>
      <c r="H1105" s="2">
        <v>0</v>
      </c>
      <c r="I1105" s="2">
        <v>0</v>
      </c>
      <c r="J1105" s="2">
        <v>0</v>
      </c>
      <c r="K1105" s="20">
        <v>6.12</v>
      </c>
      <c r="L1105" t="s">
        <v>794</v>
      </c>
      <c r="M1105">
        <f t="shared" si="17"/>
        <v>2025</v>
      </c>
    </row>
    <row r="1106" spans="1:13" ht="12.75" hidden="1" customHeight="1">
      <c r="A1106" t="s">
        <v>1109</v>
      </c>
      <c r="B1106" t="s">
        <v>82</v>
      </c>
      <c r="C1106" t="s">
        <v>719</v>
      </c>
      <c r="D1106" t="s">
        <v>1025</v>
      </c>
      <c r="E1106" s="1">
        <v>45764</v>
      </c>
      <c r="F1106" s="1">
        <v>45764</v>
      </c>
      <c r="G1106" s="12">
        <v>338.54</v>
      </c>
      <c r="H1106" s="2">
        <v>0</v>
      </c>
      <c r="I1106" s="2">
        <v>0</v>
      </c>
      <c r="J1106" s="2">
        <v>0</v>
      </c>
      <c r="K1106" s="20">
        <v>338.54</v>
      </c>
      <c r="L1106" t="s">
        <v>794</v>
      </c>
      <c r="M1106">
        <f t="shared" si="17"/>
        <v>2025</v>
      </c>
    </row>
    <row r="1107" spans="1:13" ht="12.75" hidden="1" customHeight="1">
      <c r="A1107" t="s">
        <v>940</v>
      </c>
      <c r="B1107" t="s">
        <v>29</v>
      </c>
      <c r="C1107" t="s">
        <v>206</v>
      </c>
      <c r="D1107" t="s">
        <v>1025</v>
      </c>
      <c r="E1107" s="1">
        <v>45764</v>
      </c>
      <c r="F1107" s="1">
        <v>45764</v>
      </c>
      <c r="G1107" s="12">
        <v>1711.5</v>
      </c>
      <c r="H1107" s="2">
        <v>0</v>
      </c>
      <c r="I1107" s="2">
        <v>0</v>
      </c>
      <c r="J1107" s="2">
        <v>0</v>
      </c>
      <c r="K1107" s="20">
        <v>1711.5</v>
      </c>
      <c r="L1107" t="s">
        <v>794</v>
      </c>
      <c r="M1107">
        <f t="shared" si="17"/>
        <v>2025</v>
      </c>
    </row>
    <row r="1108" spans="1:13" ht="12.75" hidden="1" customHeight="1">
      <c r="A1108" t="s">
        <v>940</v>
      </c>
      <c r="B1108" t="s">
        <v>29</v>
      </c>
      <c r="C1108" t="s">
        <v>206</v>
      </c>
      <c r="D1108" t="s">
        <v>1025</v>
      </c>
      <c r="E1108" s="1">
        <v>45764</v>
      </c>
      <c r="F1108" s="1">
        <v>45764</v>
      </c>
      <c r="G1108" s="12">
        <v>1630.8</v>
      </c>
      <c r="H1108" s="2">
        <v>0</v>
      </c>
      <c r="I1108" s="2">
        <v>0</v>
      </c>
      <c r="J1108" s="2">
        <v>0</v>
      </c>
      <c r="K1108" s="20">
        <v>1630.8</v>
      </c>
      <c r="L1108" t="s">
        <v>794</v>
      </c>
      <c r="M1108">
        <f t="shared" si="17"/>
        <v>2025</v>
      </c>
    </row>
    <row r="1109" spans="1:13" ht="12.75" hidden="1" customHeight="1">
      <c r="A1109" t="s">
        <v>940</v>
      </c>
      <c r="B1109" t="s">
        <v>29</v>
      </c>
      <c r="C1109" t="s">
        <v>206</v>
      </c>
      <c r="D1109" t="s">
        <v>1025</v>
      </c>
      <c r="E1109" s="1">
        <v>45764</v>
      </c>
      <c r="F1109" s="1">
        <v>45764</v>
      </c>
      <c r="G1109" s="12">
        <v>1369.2</v>
      </c>
      <c r="H1109" s="2">
        <v>0</v>
      </c>
      <c r="I1109" s="2">
        <v>0</v>
      </c>
      <c r="J1109" s="2">
        <v>0</v>
      </c>
      <c r="K1109" s="20">
        <v>1369.2</v>
      </c>
      <c r="L1109" t="s">
        <v>794</v>
      </c>
      <c r="M1109">
        <f t="shared" si="17"/>
        <v>2025</v>
      </c>
    </row>
    <row r="1110" spans="1:13" ht="12.75" hidden="1" customHeight="1">
      <c r="A1110" t="s">
        <v>940</v>
      </c>
      <c r="B1110" t="s">
        <v>29</v>
      </c>
      <c r="C1110" t="s">
        <v>206</v>
      </c>
      <c r="D1110" t="s">
        <v>1025</v>
      </c>
      <c r="E1110" s="1">
        <v>45764</v>
      </c>
      <c r="F1110" s="1">
        <v>45764</v>
      </c>
      <c r="G1110" s="12">
        <v>1288.5</v>
      </c>
      <c r="H1110" s="2">
        <v>0</v>
      </c>
      <c r="I1110" s="2">
        <v>0</v>
      </c>
      <c r="J1110" s="2">
        <v>0</v>
      </c>
      <c r="K1110" s="20">
        <v>1288.5</v>
      </c>
      <c r="L1110" t="s">
        <v>794</v>
      </c>
      <c r="M1110">
        <f t="shared" si="17"/>
        <v>2025</v>
      </c>
    </row>
    <row r="1111" spans="1:13" ht="12.75" hidden="1" customHeight="1">
      <c r="A1111" t="s">
        <v>867</v>
      </c>
      <c r="B1111" t="s">
        <v>171</v>
      </c>
      <c r="C1111" t="s">
        <v>732</v>
      </c>
      <c r="D1111" t="s">
        <v>1025</v>
      </c>
      <c r="E1111" s="1">
        <v>45764</v>
      </c>
      <c r="F1111" s="1">
        <v>45764</v>
      </c>
      <c r="G1111" s="12">
        <v>57.61</v>
      </c>
      <c r="H1111" s="2">
        <v>0</v>
      </c>
      <c r="I1111" s="2">
        <v>0</v>
      </c>
      <c r="J1111" s="2">
        <v>0</v>
      </c>
      <c r="K1111" s="20">
        <v>57.61</v>
      </c>
      <c r="L1111" t="s">
        <v>794</v>
      </c>
      <c r="M1111">
        <f t="shared" si="17"/>
        <v>2025</v>
      </c>
    </row>
    <row r="1112" spans="1:13" ht="12.75" hidden="1" customHeight="1">
      <c r="A1112" t="s">
        <v>867</v>
      </c>
      <c r="B1112" t="s">
        <v>171</v>
      </c>
      <c r="C1112" t="s">
        <v>204</v>
      </c>
      <c r="D1112" t="s">
        <v>1025</v>
      </c>
      <c r="E1112" s="1">
        <v>45764</v>
      </c>
      <c r="F1112" s="1">
        <v>45764</v>
      </c>
      <c r="G1112" s="12">
        <v>840.46</v>
      </c>
      <c r="H1112" s="2">
        <v>0</v>
      </c>
      <c r="I1112" s="2">
        <v>0</v>
      </c>
      <c r="J1112" s="2">
        <v>0</v>
      </c>
      <c r="K1112" s="20">
        <v>840.46</v>
      </c>
      <c r="L1112" t="s">
        <v>794</v>
      </c>
      <c r="M1112">
        <f t="shared" si="17"/>
        <v>2025</v>
      </c>
    </row>
    <row r="1113" spans="1:13" ht="12.75" hidden="1" customHeight="1">
      <c r="A1113" t="s">
        <v>1110</v>
      </c>
      <c r="B1113" t="s">
        <v>590</v>
      </c>
      <c r="C1113" t="s">
        <v>765</v>
      </c>
      <c r="D1113" t="s">
        <v>1025</v>
      </c>
      <c r="E1113" s="1">
        <v>45764</v>
      </c>
      <c r="F1113" s="1">
        <v>45764</v>
      </c>
      <c r="G1113" s="12">
        <v>60</v>
      </c>
      <c r="H1113" s="2">
        <v>0</v>
      </c>
      <c r="I1113" s="2">
        <v>0</v>
      </c>
      <c r="J1113" s="2">
        <v>0</v>
      </c>
      <c r="K1113" s="20">
        <v>60</v>
      </c>
      <c r="L1113" t="s">
        <v>794</v>
      </c>
      <c r="M1113">
        <f t="shared" si="17"/>
        <v>2025</v>
      </c>
    </row>
    <row r="1114" spans="1:13" ht="12.75" hidden="1" customHeight="1">
      <c r="A1114" t="s">
        <v>905</v>
      </c>
      <c r="B1114" t="s">
        <v>15</v>
      </c>
      <c r="C1114" t="s">
        <v>715</v>
      </c>
      <c r="D1114" t="s">
        <v>1025</v>
      </c>
      <c r="E1114" s="1">
        <v>45769</v>
      </c>
      <c r="F1114" s="1">
        <v>45769</v>
      </c>
      <c r="G1114" s="12">
        <v>15697.64</v>
      </c>
      <c r="H1114" s="2">
        <v>0</v>
      </c>
      <c r="I1114" s="2">
        <v>0</v>
      </c>
      <c r="J1114" s="2">
        <v>0</v>
      </c>
      <c r="K1114" s="20">
        <v>15697.64</v>
      </c>
      <c r="L1114" t="s">
        <v>794</v>
      </c>
      <c r="M1114">
        <f t="shared" si="17"/>
        <v>2025</v>
      </c>
    </row>
    <row r="1115" spans="1:13" ht="12.75" hidden="1" customHeight="1">
      <c r="A1115" t="s">
        <v>822</v>
      </c>
      <c r="B1115" t="s">
        <v>101</v>
      </c>
      <c r="C1115" t="s">
        <v>201</v>
      </c>
      <c r="D1115" t="s">
        <v>1025</v>
      </c>
      <c r="E1115" s="1">
        <v>45757</v>
      </c>
      <c r="F1115" s="1">
        <v>45769</v>
      </c>
      <c r="G1115" s="12">
        <v>480</v>
      </c>
      <c r="H1115" s="2">
        <v>0</v>
      </c>
      <c r="I1115" s="2">
        <v>0</v>
      </c>
      <c r="J1115" s="2">
        <v>0</v>
      </c>
      <c r="K1115" s="20">
        <v>480</v>
      </c>
      <c r="L1115" t="s">
        <v>794</v>
      </c>
      <c r="M1115">
        <f t="shared" si="17"/>
        <v>2025</v>
      </c>
    </row>
    <row r="1116" spans="1:13" ht="12.75" hidden="1" customHeight="1">
      <c r="A1116" t="s">
        <v>1068</v>
      </c>
      <c r="B1116" t="s">
        <v>22</v>
      </c>
      <c r="C1116" t="s">
        <v>717</v>
      </c>
      <c r="D1116" t="s">
        <v>1025</v>
      </c>
      <c r="E1116" s="1">
        <v>45769</v>
      </c>
      <c r="F1116" s="1">
        <v>45769</v>
      </c>
      <c r="G1116" s="12">
        <v>2890</v>
      </c>
      <c r="H1116" s="2">
        <v>0</v>
      </c>
      <c r="I1116" s="2">
        <v>0</v>
      </c>
      <c r="J1116" s="2">
        <v>0</v>
      </c>
      <c r="K1116" s="20">
        <v>2890</v>
      </c>
      <c r="L1116" t="s">
        <v>794</v>
      </c>
      <c r="M1116">
        <f t="shared" si="17"/>
        <v>2025</v>
      </c>
    </row>
    <row r="1117" spans="1:13" ht="12.75" hidden="1" customHeight="1">
      <c r="A1117" t="s">
        <v>827</v>
      </c>
      <c r="B1117" t="s">
        <v>53</v>
      </c>
      <c r="C1117" t="s">
        <v>723</v>
      </c>
      <c r="D1117" t="s">
        <v>1025</v>
      </c>
      <c r="E1117" s="1">
        <v>45751</v>
      </c>
      <c r="F1117" s="1">
        <v>45770</v>
      </c>
      <c r="G1117" s="12">
        <v>250</v>
      </c>
      <c r="H1117" s="2">
        <v>0</v>
      </c>
      <c r="I1117" s="2">
        <v>0</v>
      </c>
      <c r="J1117" s="2">
        <v>0</v>
      </c>
      <c r="K1117" s="20">
        <v>250</v>
      </c>
      <c r="L1117" t="s">
        <v>794</v>
      </c>
      <c r="M1117">
        <f t="shared" si="17"/>
        <v>2025</v>
      </c>
    </row>
    <row r="1118" spans="1:13" ht="12.75" hidden="1" customHeight="1">
      <c r="A1118" t="s">
        <v>801</v>
      </c>
      <c r="B1118" t="s">
        <v>13</v>
      </c>
      <c r="C1118" t="s">
        <v>726</v>
      </c>
      <c r="D1118" t="s">
        <v>1025</v>
      </c>
      <c r="E1118" s="1">
        <v>45770</v>
      </c>
      <c r="F1118" s="1">
        <v>45770</v>
      </c>
      <c r="G1118" s="12">
        <v>2.04</v>
      </c>
      <c r="H1118" s="2">
        <v>0</v>
      </c>
      <c r="I1118" s="2">
        <v>0</v>
      </c>
      <c r="J1118" s="2">
        <v>0</v>
      </c>
      <c r="K1118" s="20">
        <v>2.04</v>
      </c>
      <c r="L1118" t="s">
        <v>794</v>
      </c>
      <c r="M1118">
        <f t="shared" si="17"/>
        <v>2025</v>
      </c>
    </row>
    <row r="1119" spans="1:13" ht="12.75" hidden="1" customHeight="1">
      <c r="A1119" t="s">
        <v>1010</v>
      </c>
      <c r="B1119" t="s">
        <v>42</v>
      </c>
      <c r="C1119" t="s">
        <v>728</v>
      </c>
      <c r="D1119" t="s">
        <v>1025</v>
      </c>
      <c r="E1119" s="1">
        <v>45771</v>
      </c>
      <c r="F1119" s="1">
        <v>45771</v>
      </c>
      <c r="G1119" s="12">
        <v>33.85</v>
      </c>
      <c r="H1119" s="2">
        <v>0</v>
      </c>
      <c r="I1119" s="2">
        <v>0</v>
      </c>
      <c r="J1119" s="2">
        <v>0</v>
      </c>
      <c r="K1119" s="20">
        <v>33.85</v>
      </c>
      <c r="L1119" t="s">
        <v>794</v>
      </c>
      <c r="M1119">
        <f t="shared" si="17"/>
        <v>2025</v>
      </c>
    </row>
    <row r="1120" spans="1:13" ht="12.75" hidden="1" customHeight="1">
      <c r="A1120" t="s">
        <v>930</v>
      </c>
      <c r="B1120" t="s">
        <v>473</v>
      </c>
      <c r="C1120" t="s">
        <v>491</v>
      </c>
      <c r="D1120" t="s">
        <v>1025</v>
      </c>
      <c r="E1120" s="1">
        <v>45771</v>
      </c>
      <c r="F1120" s="1">
        <v>45771</v>
      </c>
      <c r="G1120" s="12">
        <v>41.800000000000004</v>
      </c>
      <c r="H1120" s="2">
        <v>0</v>
      </c>
      <c r="I1120" s="2">
        <v>0</v>
      </c>
      <c r="J1120" s="2">
        <v>0</v>
      </c>
      <c r="K1120" s="20">
        <v>41.800000000000004</v>
      </c>
      <c r="L1120" t="s">
        <v>794</v>
      </c>
      <c r="M1120">
        <f t="shared" si="17"/>
        <v>2025</v>
      </c>
    </row>
    <row r="1121" spans="1:13" ht="12.75" hidden="1" customHeight="1">
      <c r="A1121" t="s">
        <v>849</v>
      </c>
      <c r="B1121" t="s">
        <v>283</v>
      </c>
      <c r="C1121" t="s">
        <v>722</v>
      </c>
      <c r="D1121" t="s">
        <v>1025</v>
      </c>
      <c r="E1121" s="1">
        <v>45771</v>
      </c>
      <c r="F1121" s="1">
        <v>45771</v>
      </c>
      <c r="G1121" s="12">
        <v>99</v>
      </c>
      <c r="H1121" s="2">
        <v>0</v>
      </c>
      <c r="I1121" s="2">
        <v>0</v>
      </c>
      <c r="J1121" s="2">
        <v>0</v>
      </c>
      <c r="K1121" s="20">
        <v>99</v>
      </c>
      <c r="L1121" t="s">
        <v>794</v>
      </c>
      <c r="M1121">
        <f t="shared" si="17"/>
        <v>2025</v>
      </c>
    </row>
    <row r="1122" spans="1:13" ht="12.75" hidden="1" customHeight="1">
      <c r="A1122" t="s">
        <v>909</v>
      </c>
      <c r="B1122" t="s">
        <v>97</v>
      </c>
      <c r="C1122" t="s">
        <v>717</v>
      </c>
      <c r="D1122" t="s">
        <v>1025</v>
      </c>
      <c r="E1122" s="1">
        <v>45771</v>
      </c>
      <c r="F1122" s="1">
        <v>45771</v>
      </c>
      <c r="G1122" s="12">
        <v>2000</v>
      </c>
      <c r="H1122" s="2">
        <v>0</v>
      </c>
      <c r="I1122" s="2">
        <v>0</v>
      </c>
      <c r="J1122" s="2">
        <v>0</v>
      </c>
      <c r="K1122" s="20">
        <v>2000</v>
      </c>
      <c r="L1122" t="s">
        <v>794</v>
      </c>
      <c r="M1122">
        <f t="shared" si="17"/>
        <v>2025</v>
      </c>
    </row>
    <row r="1123" spans="1:13" ht="12.75" hidden="1" customHeight="1">
      <c r="A1123" t="s">
        <v>905</v>
      </c>
      <c r="B1123" t="s">
        <v>15</v>
      </c>
      <c r="C1123" t="s">
        <v>727</v>
      </c>
      <c r="D1123" t="s">
        <v>1025</v>
      </c>
      <c r="E1123" s="1">
        <v>45771</v>
      </c>
      <c r="F1123" s="1">
        <v>45771</v>
      </c>
      <c r="G1123" s="12">
        <v>4260.6499999999996</v>
      </c>
      <c r="H1123" s="2">
        <v>0</v>
      </c>
      <c r="I1123" s="2">
        <v>0</v>
      </c>
      <c r="J1123" s="2">
        <v>0</v>
      </c>
      <c r="K1123" s="20">
        <v>4260.6499999999996</v>
      </c>
      <c r="L1123" t="s">
        <v>794</v>
      </c>
      <c r="M1123">
        <f t="shared" si="17"/>
        <v>2025</v>
      </c>
    </row>
    <row r="1124" spans="1:13" ht="12.75" hidden="1" customHeight="1">
      <c r="A1124" t="s">
        <v>801</v>
      </c>
      <c r="B1124" t="s">
        <v>13</v>
      </c>
      <c r="C1124" t="s">
        <v>726</v>
      </c>
      <c r="D1124" t="s">
        <v>1025</v>
      </c>
      <c r="E1124" s="1">
        <v>45772</v>
      </c>
      <c r="F1124" s="1">
        <v>45772</v>
      </c>
      <c r="G1124" s="12">
        <v>9.14</v>
      </c>
      <c r="H1124" s="2">
        <v>0</v>
      </c>
      <c r="I1124" s="2">
        <v>0</v>
      </c>
      <c r="J1124" s="2">
        <v>0</v>
      </c>
      <c r="K1124" s="20">
        <v>9.14</v>
      </c>
      <c r="L1124" t="s">
        <v>794</v>
      </c>
      <c r="M1124">
        <f t="shared" si="17"/>
        <v>2025</v>
      </c>
    </row>
    <row r="1125" spans="1:13" ht="12.75" hidden="1" customHeight="1">
      <c r="A1125" t="s">
        <v>801</v>
      </c>
      <c r="B1125" t="s">
        <v>13</v>
      </c>
      <c r="C1125" t="s">
        <v>718</v>
      </c>
      <c r="D1125" t="s">
        <v>1025</v>
      </c>
      <c r="E1125" s="1">
        <v>45773</v>
      </c>
      <c r="F1125" s="1">
        <v>45773</v>
      </c>
      <c r="G1125" s="12">
        <v>9558.2100000000009</v>
      </c>
      <c r="H1125" s="2">
        <v>0</v>
      </c>
      <c r="I1125" s="2">
        <v>0</v>
      </c>
      <c r="J1125" s="2">
        <v>0</v>
      </c>
      <c r="K1125" s="20">
        <v>9558.2100000000009</v>
      </c>
      <c r="L1125" t="s">
        <v>794</v>
      </c>
      <c r="M1125">
        <f t="shared" si="17"/>
        <v>2025</v>
      </c>
    </row>
    <row r="1126" spans="1:13" ht="12.75" hidden="1" customHeight="1">
      <c r="A1126" t="s">
        <v>801</v>
      </c>
      <c r="B1126" t="s">
        <v>13</v>
      </c>
      <c r="C1126" t="s">
        <v>718</v>
      </c>
      <c r="D1126" t="s">
        <v>1025</v>
      </c>
      <c r="E1126" s="1">
        <v>45773</v>
      </c>
      <c r="F1126" s="1">
        <v>45773</v>
      </c>
      <c r="G1126" s="12">
        <v>12348.880000000001</v>
      </c>
      <c r="H1126" s="2">
        <v>0</v>
      </c>
      <c r="I1126" s="2">
        <v>0</v>
      </c>
      <c r="J1126" s="2">
        <v>0</v>
      </c>
      <c r="K1126" s="20">
        <v>12348.880000000001</v>
      </c>
      <c r="L1126" t="s">
        <v>843</v>
      </c>
      <c r="M1126">
        <f t="shared" si="17"/>
        <v>2025</v>
      </c>
    </row>
    <row r="1127" spans="1:13" ht="12.75" hidden="1" customHeight="1">
      <c r="A1127" t="s">
        <v>801</v>
      </c>
      <c r="B1127" t="s">
        <v>13</v>
      </c>
      <c r="C1127" t="s">
        <v>717</v>
      </c>
      <c r="D1127" t="s">
        <v>1025</v>
      </c>
      <c r="E1127" s="1">
        <v>45775</v>
      </c>
      <c r="F1127" s="1">
        <v>45775</v>
      </c>
      <c r="G1127" s="12">
        <v>736.76</v>
      </c>
      <c r="H1127" s="2">
        <v>0</v>
      </c>
      <c r="I1127" s="2">
        <v>0</v>
      </c>
      <c r="J1127" s="2">
        <v>0</v>
      </c>
      <c r="K1127" s="20">
        <v>736.76</v>
      </c>
      <c r="L1127" t="s">
        <v>794</v>
      </c>
      <c r="M1127">
        <f t="shared" si="17"/>
        <v>2025</v>
      </c>
    </row>
    <row r="1128" spans="1:13" ht="12.75" hidden="1" customHeight="1">
      <c r="A1128" t="s">
        <v>812</v>
      </c>
      <c r="B1128" t="s">
        <v>31</v>
      </c>
      <c r="C1128" t="s">
        <v>141</v>
      </c>
      <c r="D1128" t="s">
        <v>1025</v>
      </c>
      <c r="E1128" s="1">
        <v>45775</v>
      </c>
      <c r="F1128" s="1">
        <v>45775</v>
      </c>
      <c r="G1128" s="12">
        <v>226</v>
      </c>
      <c r="H1128" s="2">
        <v>0</v>
      </c>
      <c r="I1128" s="2">
        <v>0</v>
      </c>
      <c r="J1128" s="2">
        <v>0</v>
      </c>
      <c r="K1128" s="20">
        <v>226</v>
      </c>
      <c r="L1128" t="s">
        <v>794</v>
      </c>
      <c r="M1128">
        <f t="shared" si="17"/>
        <v>2025</v>
      </c>
    </row>
    <row r="1129" spans="1:13" ht="12.75" hidden="1" customHeight="1">
      <c r="A1129" t="s">
        <v>801</v>
      </c>
      <c r="B1129" t="s">
        <v>13</v>
      </c>
      <c r="C1129" t="s">
        <v>726</v>
      </c>
      <c r="D1129" t="s">
        <v>1025</v>
      </c>
      <c r="E1129" s="1">
        <v>45775</v>
      </c>
      <c r="F1129" s="1">
        <v>45775</v>
      </c>
      <c r="G1129" s="12">
        <v>4.08</v>
      </c>
      <c r="H1129" s="2">
        <v>0</v>
      </c>
      <c r="I1129" s="2">
        <v>0</v>
      </c>
      <c r="J1129" s="2">
        <v>0</v>
      </c>
      <c r="K1129" s="20">
        <v>4.08</v>
      </c>
      <c r="L1129" t="s">
        <v>794</v>
      </c>
      <c r="M1129">
        <f t="shared" si="17"/>
        <v>2025</v>
      </c>
    </row>
    <row r="1130" spans="1:13" ht="12.75" hidden="1" customHeight="1">
      <c r="A1130" t="s">
        <v>801</v>
      </c>
      <c r="B1130" t="s">
        <v>13</v>
      </c>
      <c r="C1130" t="s">
        <v>717</v>
      </c>
      <c r="D1130" t="s">
        <v>1025</v>
      </c>
      <c r="E1130" s="1">
        <v>45775</v>
      </c>
      <c r="F1130" s="1">
        <v>45775</v>
      </c>
      <c r="G1130" s="12">
        <v>1761.63</v>
      </c>
      <c r="H1130" s="2">
        <v>0</v>
      </c>
      <c r="I1130" s="2">
        <v>0</v>
      </c>
      <c r="J1130" s="2">
        <v>0</v>
      </c>
      <c r="K1130" s="20">
        <v>1761.63</v>
      </c>
      <c r="L1130" t="s">
        <v>794</v>
      </c>
      <c r="M1130">
        <f t="shared" si="17"/>
        <v>2025</v>
      </c>
    </row>
    <row r="1131" spans="1:13" ht="12.75" hidden="1" customHeight="1">
      <c r="A1131" t="s">
        <v>1111</v>
      </c>
      <c r="B1131" t="s">
        <v>144</v>
      </c>
      <c r="C1131" t="s">
        <v>139</v>
      </c>
      <c r="D1131" t="s">
        <v>1025</v>
      </c>
      <c r="E1131" s="1">
        <v>45772</v>
      </c>
      <c r="F1131" s="1">
        <v>45776</v>
      </c>
      <c r="G1131" s="12">
        <v>60</v>
      </c>
      <c r="H1131" s="2">
        <v>0</v>
      </c>
      <c r="I1131" s="2">
        <v>0</v>
      </c>
      <c r="J1131" s="2">
        <v>0</v>
      </c>
      <c r="K1131" s="20">
        <v>60</v>
      </c>
      <c r="L1131" t="s">
        <v>794</v>
      </c>
      <c r="M1131">
        <f t="shared" si="17"/>
        <v>2025</v>
      </c>
    </row>
    <row r="1132" spans="1:13" ht="12.75" hidden="1" customHeight="1">
      <c r="A1132" t="s">
        <v>1105</v>
      </c>
      <c r="B1132" t="s">
        <v>84</v>
      </c>
      <c r="C1132" t="s">
        <v>140</v>
      </c>
      <c r="D1132" t="s">
        <v>1025</v>
      </c>
      <c r="E1132" s="1">
        <v>45775</v>
      </c>
      <c r="F1132" s="1">
        <v>45776</v>
      </c>
      <c r="G1132" s="12">
        <v>5.6000000000000005</v>
      </c>
      <c r="H1132" s="2">
        <v>0</v>
      </c>
      <c r="I1132" s="2">
        <v>0</v>
      </c>
      <c r="J1132" s="2">
        <v>0</v>
      </c>
      <c r="K1132" s="20">
        <v>5.6000000000000005</v>
      </c>
      <c r="L1132" t="s">
        <v>794</v>
      </c>
      <c r="M1132">
        <f t="shared" si="17"/>
        <v>2025</v>
      </c>
    </row>
    <row r="1133" spans="1:13" ht="12.75" hidden="1" customHeight="1">
      <c r="A1133" t="s">
        <v>1112</v>
      </c>
      <c r="B1133" t="s">
        <v>68</v>
      </c>
      <c r="C1133" t="s">
        <v>140</v>
      </c>
      <c r="D1133" t="s">
        <v>1025</v>
      </c>
      <c r="E1133" s="1">
        <v>45772</v>
      </c>
      <c r="F1133" s="1">
        <v>45776</v>
      </c>
      <c r="G1133" s="12">
        <v>60</v>
      </c>
      <c r="H1133" s="2">
        <v>0</v>
      </c>
      <c r="I1133" s="2">
        <v>0</v>
      </c>
      <c r="J1133" s="2">
        <v>0</v>
      </c>
      <c r="K1133" s="20">
        <v>60</v>
      </c>
      <c r="L1133" t="s">
        <v>794</v>
      </c>
      <c r="M1133">
        <f t="shared" si="17"/>
        <v>2025</v>
      </c>
    </row>
    <row r="1134" spans="1:13" ht="12.75" hidden="1" customHeight="1">
      <c r="A1134" t="s">
        <v>1112</v>
      </c>
      <c r="B1134" t="s">
        <v>68</v>
      </c>
      <c r="C1134" t="s">
        <v>140</v>
      </c>
      <c r="D1134" t="s">
        <v>1025</v>
      </c>
      <c r="E1134" s="1">
        <v>45775</v>
      </c>
      <c r="F1134" s="1">
        <v>45776</v>
      </c>
      <c r="G1134" s="12">
        <v>30</v>
      </c>
      <c r="H1134" s="2">
        <v>0</v>
      </c>
      <c r="I1134" s="2">
        <v>0</v>
      </c>
      <c r="J1134" s="2">
        <v>0</v>
      </c>
      <c r="K1134" s="20">
        <v>30</v>
      </c>
      <c r="L1134" t="s">
        <v>1113</v>
      </c>
      <c r="M1134">
        <f t="shared" si="17"/>
        <v>2025</v>
      </c>
    </row>
    <row r="1135" spans="1:13" ht="12.75" hidden="1" customHeight="1">
      <c r="A1135" t="s">
        <v>809</v>
      </c>
      <c r="B1135" t="s">
        <v>91</v>
      </c>
      <c r="C1135" t="s">
        <v>139</v>
      </c>
      <c r="D1135" t="s">
        <v>1025</v>
      </c>
      <c r="E1135" s="1">
        <v>45772</v>
      </c>
      <c r="F1135" s="1">
        <v>45776</v>
      </c>
      <c r="G1135" s="12">
        <v>15</v>
      </c>
      <c r="H1135" s="2">
        <v>0</v>
      </c>
      <c r="I1135" s="2">
        <v>0</v>
      </c>
      <c r="J1135" s="2">
        <v>0</v>
      </c>
      <c r="K1135" s="20">
        <v>15</v>
      </c>
      <c r="L1135" t="s">
        <v>794</v>
      </c>
      <c r="M1135">
        <f t="shared" si="17"/>
        <v>2025</v>
      </c>
    </row>
    <row r="1136" spans="1:13" ht="12.75" hidden="1" customHeight="1">
      <c r="A1136" t="s">
        <v>1111</v>
      </c>
      <c r="B1136" t="s">
        <v>144</v>
      </c>
      <c r="C1136" t="s">
        <v>139</v>
      </c>
      <c r="D1136" t="s">
        <v>1025</v>
      </c>
      <c r="E1136" s="1">
        <v>45775</v>
      </c>
      <c r="F1136" s="1">
        <v>45776</v>
      </c>
      <c r="G1136" s="12">
        <v>40.800000000000004</v>
      </c>
      <c r="H1136" s="2">
        <v>0</v>
      </c>
      <c r="I1136" s="2">
        <v>0</v>
      </c>
      <c r="J1136" s="2">
        <v>0</v>
      </c>
      <c r="K1136" s="20">
        <v>40.800000000000004</v>
      </c>
      <c r="L1136" t="s">
        <v>1114</v>
      </c>
      <c r="M1136">
        <f t="shared" si="17"/>
        <v>2025</v>
      </c>
    </row>
    <row r="1137" spans="1:13" ht="12.75" hidden="1" customHeight="1">
      <c r="A1137" t="s">
        <v>1112</v>
      </c>
      <c r="B1137" t="s">
        <v>68</v>
      </c>
      <c r="C1137" t="s">
        <v>140</v>
      </c>
      <c r="D1137" t="s">
        <v>1025</v>
      </c>
      <c r="E1137" s="1">
        <v>45775</v>
      </c>
      <c r="F1137" s="1">
        <v>45776</v>
      </c>
      <c r="G1137" s="12">
        <v>60</v>
      </c>
      <c r="H1137" s="2">
        <v>0</v>
      </c>
      <c r="I1137" s="2">
        <v>0</v>
      </c>
      <c r="J1137" s="2">
        <v>0</v>
      </c>
      <c r="K1137" s="20">
        <v>60</v>
      </c>
      <c r="L1137" t="s">
        <v>794</v>
      </c>
      <c r="M1137">
        <f t="shared" si="17"/>
        <v>2025</v>
      </c>
    </row>
    <row r="1138" spans="1:13" ht="12.75" hidden="1" customHeight="1">
      <c r="A1138" t="s">
        <v>1099</v>
      </c>
      <c r="B1138" t="s">
        <v>377</v>
      </c>
      <c r="C1138" t="s">
        <v>138</v>
      </c>
      <c r="D1138" t="s">
        <v>1025</v>
      </c>
      <c r="E1138" s="1">
        <v>45756</v>
      </c>
      <c r="F1138" s="1">
        <v>45776</v>
      </c>
      <c r="G1138" s="12">
        <v>16.16</v>
      </c>
      <c r="H1138" s="2">
        <v>0</v>
      </c>
      <c r="I1138" s="2">
        <v>0</v>
      </c>
      <c r="J1138" s="2">
        <v>0</v>
      </c>
      <c r="K1138" s="20">
        <v>16.16</v>
      </c>
      <c r="L1138" t="s">
        <v>794</v>
      </c>
      <c r="M1138">
        <f t="shared" si="17"/>
        <v>2025</v>
      </c>
    </row>
    <row r="1139" spans="1:13" ht="12.75" hidden="1" customHeight="1">
      <c r="A1139" t="s">
        <v>1099</v>
      </c>
      <c r="B1139" t="s">
        <v>377</v>
      </c>
      <c r="C1139" t="s">
        <v>139</v>
      </c>
      <c r="D1139" t="s">
        <v>1025</v>
      </c>
      <c r="E1139" s="1">
        <v>45756</v>
      </c>
      <c r="F1139" s="1">
        <v>45776</v>
      </c>
      <c r="G1139" s="12">
        <v>40.800000000000004</v>
      </c>
      <c r="H1139" s="2">
        <v>0</v>
      </c>
      <c r="I1139" s="2">
        <v>0</v>
      </c>
      <c r="J1139" s="2">
        <v>0</v>
      </c>
      <c r="K1139" s="20">
        <v>40.800000000000004</v>
      </c>
      <c r="L1139" t="s">
        <v>794</v>
      </c>
      <c r="M1139">
        <f t="shared" si="17"/>
        <v>2025</v>
      </c>
    </row>
    <row r="1140" spans="1:13" ht="12.75" hidden="1" customHeight="1">
      <c r="A1140" t="s">
        <v>1105</v>
      </c>
      <c r="B1140" t="s">
        <v>84</v>
      </c>
      <c r="C1140" t="s">
        <v>139</v>
      </c>
      <c r="D1140" t="s">
        <v>1025</v>
      </c>
      <c r="E1140" s="1">
        <v>45770</v>
      </c>
      <c r="F1140" s="1">
        <v>45776</v>
      </c>
      <c r="G1140" s="12">
        <v>54</v>
      </c>
      <c r="H1140" s="2">
        <v>0</v>
      </c>
      <c r="I1140" s="2">
        <v>0</v>
      </c>
      <c r="J1140" s="2">
        <v>0</v>
      </c>
      <c r="K1140" s="20">
        <v>54</v>
      </c>
      <c r="L1140" t="s">
        <v>794</v>
      </c>
      <c r="M1140">
        <f t="shared" si="17"/>
        <v>2025</v>
      </c>
    </row>
    <row r="1141" spans="1:13" ht="12.75" hidden="1" customHeight="1">
      <c r="A1141" t="s">
        <v>1115</v>
      </c>
      <c r="B1141" t="s">
        <v>348</v>
      </c>
      <c r="C1141" t="s">
        <v>140</v>
      </c>
      <c r="D1141" t="s">
        <v>1025</v>
      </c>
      <c r="E1141" s="1">
        <v>45771</v>
      </c>
      <c r="F1141" s="1">
        <v>45776</v>
      </c>
      <c r="G1141" s="12">
        <v>30</v>
      </c>
      <c r="H1141" s="2">
        <v>0</v>
      </c>
      <c r="I1141" s="2">
        <v>0</v>
      </c>
      <c r="J1141" s="2">
        <v>0</v>
      </c>
      <c r="K1141" s="20">
        <v>30</v>
      </c>
      <c r="L1141" t="s">
        <v>794</v>
      </c>
      <c r="M1141">
        <f t="shared" si="17"/>
        <v>2025</v>
      </c>
    </row>
    <row r="1142" spans="1:13" ht="12.75" hidden="1" customHeight="1">
      <c r="A1142" t="s">
        <v>1115</v>
      </c>
      <c r="B1142" t="s">
        <v>348</v>
      </c>
      <c r="C1142" t="s">
        <v>140</v>
      </c>
      <c r="D1142" t="s">
        <v>1025</v>
      </c>
      <c r="E1142" s="1">
        <v>45770</v>
      </c>
      <c r="F1142" s="1">
        <v>45776</v>
      </c>
      <c r="G1142" s="12">
        <v>30</v>
      </c>
      <c r="H1142" s="2">
        <v>0</v>
      </c>
      <c r="I1142" s="2">
        <v>0</v>
      </c>
      <c r="J1142" s="2">
        <v>0</v>
      </c>
      <c r="K1142" s="20">
        <v>30</v>
      </c>
      <c r="L1142" t="s">
        <v>794</v>
      </c>
      <c r="M1142">
        <f t="shared" si="17"/>
        <v>2025</v>
      </c>
    </row>
    <row r="1143" spans="1:13" ht="12.75" hidden="1" customHeight="1">
      <c r="A1143" t="s">
        <v>1115</v>
      </c>
      <c r="B1143" t="s">
        <v>348</v>
      </c>
      <c r="C1143" t="s">
        <v>140</v>
      </c>
      <c r="D1143" t="s">
        <v>1025</v>
      </c>
      <c r="E1143" s="1">
        <v>45771</v>
      </c>
      <c r="F1143" s="1">
        <v>45776</v>
      </c>
      <c r="G1143" s="12">
        <v>30</v>
      </c>
      <c r="H1143" s="2">
        <v>0</v>
      </c>
      <c r="I1143" s="2">
        <v>0</v>
      </c>
      <c r="J1143" s="2">
        <v>0</v>
      </c>
      <c r="K1143" s="20">
        <v>30</v>
      </c>
      <c r="L1143" t="s">
        <v>794</v>
      </c>
      <c r="M1143">
        <f t="shared" si="17"/>
        <v>2025</v>
      </c>
    </row>
    <row r="1144" spans="1:13" ht="12.75" hidden="1" customHeight="1">
      <c r="A1144" t="s">
        <v>924</v>
      </c>
      <c r="B1144" t="s">
        <v>87</v>
      </c>
      <c r="C1144" t="s">
        <v>140</v>
      </c>
      <c r="D1144" t="s">
        <v>1025</v>
      </c>
      <c r="E1144" s="1">
        <v>45771</v>
      </c>
      <c r="F1144" s="1">
        <v>45776</v>
      </c>
      <c r="G1144" s="12">
        <v>20</v>
      </c>
      <c r="H1144" s="2">
        <v>0</v>
      </c>
      <c r="I1144" s="2">
        <v>0</v>
      </c>
      <c r="J1144" s="2">
        <v>0</v>
      </c>
      <c r="K1144" s="20">
        <v>20</v>
      </c>
      <c r="L1144" t="s">
        <v>794</v>
      </c>
      <c r="M1144">
        <f t="shared" si="17"/>
        <v>2025</v>
      </c>
    </row>
    <row r="1145" spans="1:13" ht="12.75" hidden="1" customHeight="1">
      <c r="A1145" t="s">
        <v>924</v>
      </c>
      <c r="B1145" t="s">
        <v>87</v>
      </c>
      <c r="C1145" t="s">
        <v>140</v>
      </c>
      <c r="D1145" t="s">
        <v>1025</v>
      </c>
      <c r="E1145" s="1">
        <v>45769</v>
      </c>
      <c r="F1145" s="1">
        <v>45776</v>
      </c>
      <c r="G1145" s="12">
        <v>30</v>
      </c>
      <c r="H1145" s="2">
        <v>0</v>
      </c>
      <c r="I1145" s="2">
        <v>0</v>
      </c>
      <c r="J1145" s="2">
        <v>0</v>
      </c>
      <c r="K1145" s="20">
        <v>30</v>
      </c>
      <c r="L1145" t="s">
        <v>794</v>
      </c>
      <c r="M1145">
        <f t="shared" si="17"/>
        <v>2025</v>
      </c>
    </row>
    <row r="1146" spans="1:13" ht="12.75" hidden="1" customHeight="1">
      <c r="A1146" t="s">
        <v>924</v>
      </c>
      <c r="B1146" t="s">
        <v>87</v>
      </c>
      <c r="C1146" t="s">
        <v>140</v>
      </c>
      <c r="D1146" t="s">
        <v>1025</v>
      </c>
      <c r="E1146" s="1">
        <v>45770</v>
      </c>
      <c r="F1146" s="1">
        <v>45776</v>
      </c>
      <c r="G1146" s="12">
        <v>30</v>
      </c>
      <c r="H1146" s="2">
        <v>0</v>
      </c>
      <c r="I1146" s="2">
        <v>0</v>
      </c>
      <c r="J1146" s="2">
        <v>0</v>
      </c>
      <c r="K1146" s="20">
        <v>30</v>
      </c>
      <c r="L1146" t="s">
        <v>794</v>
      </c>
      <c r="M1146">
        <f t="shared" si="17"/>
        <v>2025</v>
      </c>
    </row>
    <row r="1147" spans="1:13" ht="12.75" hidden="1" customHeight="1">
      <c r="A1147" t="s">
        <v>1112</v>
      </c>
      <c r="B1147" t="s">
        <v>68</v>
      </c>
      <c r="C1147" t="s">
        <v>140</v>
      </c>
      <c r="D1147" t="s">
        <v>1025</v>
      </c>
      <c r="E1147" s="1">
        <v>45770</v>
      </c>
      <c r="F1147" s="1">
        <v>45776</v>
      </c>
      <c r="G1147" s="12">
        <v>50</v>
      </c>
      <c r="H1147" s="2">
        <v>0</v>
      </c>
      <c r="I1147" s="2">
        <v>0</v>
      </c>
      <c r="J1147" s="2">
        <v>0</v>
      </c>
      <c r="K1147" s="20">
        <v>50</v>
      </c>
      <c r="L1147" t="s">
        <v>794</v>
      </c>
      <c r="M1147">
        <f t="shared" si="17"/>
        <v>2025</v>
      </c>
    </row>
    <row r="1148" spans="1:13" ht="12.75" hidden="1" customHeight="1">
      <c r="A1148" t="s">
        <v>1111</v>
      </c>
      <c r="B1148" t="s">
        <v>144</v>
      </c>
      <c r="C1148" t="s">
        <v>140</v>
      </c>
      <c r="D1148" t="s">
        <v>1025</v>
      </c>
      <c r="E1148" s="1">
        <v>45770</v>
      </c>
      <c r="F1148" s="1">
        <v>45776</v>
      </c>
      <c r="G1148" s="12">
        <v>90</v>
      </c>
      <c r="H1148" s="2">
        <v>0</v>
      </c>
      <c r="I1148" s="2">
        <v>0</v>
      </c>
      <c r="J1148" s="2">
        <v>0</v>
      </c>
      <c r="K1148" s="20">
        <v>90</v>
      </c>
      <c r="L1148" t="s">
        <v>794</v>
      </c>
      <c r="M1148">
        <f t="shared" si="17"/>
        <v>2025</v>
      </c>
    </row>
    <row r="1149" spans="1:13" ht="12.75" hidden="1" customHeight="1">
      <c r="A1149" t="s">
        <v>1099</v>
      </c>
      <c r="B1149" t="s">
        <v>377</v>
      </c>
      <c r="C1149" t="s">
        <v>138</v>
      </c>
      <c r="D1149" t="s">
        <v>1025</v>
      </c>
      <c r="E1149" s="1">
        <v>45768</v>
      </c>
      <c r="F1149" s="1">
        <v>45776</v>
      </c>
      <c r="G1149" s="12">
        <v>32.32</v>
      </c>
      <c r="H1149" s="2">
        <v>0</v>
      </c>
      <c r="I1149" s="2">
        <v>0</v>
      </c>
      <c r="J1149" s="2">
        <v>0</v>
      </c>
      <c r="K1149" s="20">
        <v>32.32</v>
      </c>
      <c r="L1149" t="s">
        <v>794</v>
      </c>
      <c r="M1149">
        <f t="shared" si="17"/>
        <v>2025</v>
      </c>
    </row>
    <row r="1150" spans="1:13" ht="12.75" hidden="1" customHeight="1">
      <c r="A1150" t="s">
        <v>1099</v>
      </c>
      <c r="B1150" t="s">
        <v>377</v>
      </c>
      <c r="C1150" t="s">
        <v>139</v>
      </c>
      <c r="D1150" t="s">
        <v>1025</v>
      </c>
      <c r="E1150" s="1">
        <v>45768</v>
      </c>
      <c r="F1150" s="1">
        <v>45776</v>
      </c>
      <c r="G1150" s="12">
        <v>81.600000000000009</v>
      </c>
      <c r="H1150" s="2">
        <v>0</v>
      </c>
      <c r="I1150" s="2">
        <v>0</v>
      </c>
      <c r="J1150" s="2">
        <v>0</v>
      </c>
      <c r="K1150" s="20">
        <v>81.600000000000009</v>
      </c>
      <c r="L1150" t="s">
        <v>794</v>
      </c>
      <c r="M1150">
        <f t="shared" si="17"/>
        <v>2025</v>
      </c>
    </row>
    <row r="1151" spans="1:13" ht="12.75" hidden="1" customHeight="1">
      <c r="A1151" t="s">
        <v>981</v>
      </c>
      <c r="B1151" t="s">
        <v>55</v>
      </c>
      <c r="C1151" t="s">
        <v>558</v>
      </c>
      <c r="D1151" t="s">
        <v>1025</v>
      </c>
      <c r="E1151" s="1">
        <v>45764</v>
      </c>
      <c r="F1151" s="1">
        <v>45776</v>
      </c>
      <c r="G1151" s="12">
        <v>200</v>
      </c>
      <c r="H1151" s="2">
        <v>0</v>
      </c>
      <c r="I1151" s="2">
        <v>0</v>
      </c>
      <c r="J1151" s="2">
        <v>0</v>
      </c>
      <c r="K1151" s="20">
        <v>200</v>
      </c>
      <c r="L1151" t="s">
        <v>794</v>
      </c>
      <c r="M1151">
        <f t="shared" si="17"/>
        <v>2025</v>
      </c>
    </row>
    <row r="1152" spans="1:13" ht="12.75" hidden="1" customHeight="1">
      <c r="A1152" t="s">
        <v>981</v>
      </c>
      <c r="B1152" t="s">
        <v>55</v>
      </c>
      <c r="C1152" t="s">
        <v>745</v>
      </c>
      <c r="D1152" t="s">
        <v>1025</v>
      </c>
      <c r="E1152" s="1">
        <v>45764</v>
      </c>
      <c r="F1152" s="1">
        <v>45776</v>
      </c>
      <c r="G1152" s="12">
        <v>500</v>
      </c>
      <c r="H1152" s="2">
        <v>0</v>
      </c>
      <c r="I1152" s="2">
        <v>0</v>
      </c>
      <c r="J1152" s="2">
        <v>0</v>
      </c>
      <c r="K1152" s="20">
        <v>500</v>
      </c>
      <c r="L1152" t="s">
        <v>794</v>
      </c>
      <c r="M1152">
        <f t="shared" si="17"/>
        <v>2025</v>
      </c>
    </row>
    <row r="1153" spans="1:13" ht="12.75" hidden="1" customHeight="1">
      <c r="A1153" t="s">
        <v>812</v>
      </c>
      <c r="B1153" t="s">
        <v>31</v>
      </c>
      <c r="C1153" t="s">
        <v>723</v>
      </c>
      <c r="D1153" t="s">
        <v>1025</v>
      </c>
      <c r="E1153" s="1">
        <v>45771</v>
      </c>
      <c r="F1153" s="1">
        <v>45776</v>
      </c>
      <c r="G1153" s="12">
        <v>50</v>
      </c>
      <c r="H1153" s="2">
        <v>0</v>
      </c>
      <c r="I1153" s="2">
        <v>0</v>
      </c>
      <c r="J1153" s="2">
        <v>0</v>
      </c>
      <c r="K1153" s="20">
        <v>50</v>
      </c>
      <c r="L1153" t="s">
        <v>794</v>
      </c>
      <c r="M1153">
        <f t="shared" si="17"/>
        <v>2025</v>
      </c>
    </row>
    <row r="1154" spans="1:13" ht="12.75" hidden="1" customHeight="1">
      <c r="A1154" t="s">
        <v>925</v>
      </c>
      <c r="B1154" t="s">
        <v>189</v>
      </c>
      <c r="C1154" t="s">
        <v>754</v>
      </c>
      <c r="D1154" t="s">
        <v>1025</v>
      </c>
      <c r="E1154" s="1">
        <v>45775</v>
      </c>
      <c r="F1154" s="1">
        <v>45776</v>
      </c>
      <c r="G1154" s="12">
        <v>200</v>
      </c>
      <c r="H1154" s="2">
        <v>0</v>
      </c>
      <c r="I1154" s="2">
        <v>0</v>
      </c>
      <c r="J1154" s="2">
        <v>0</v>
      </c>
      <c r="K1154" s="20">
        <v>200</v>
      </c>
      <c r="L1154" t="s">
        <v>794</v>
      </c>
      <c r="M1154">
        <f t="shared" si="17"/>
        <v>2025</v>
      </c>
    </row>
    <row r="1155" spans="1:13" ht="12.75" hidden="1" customHeight="1">
      <c r="A1155" t="s">
        <v>966</v>
      </c>
      <c r="B1155" t="s">
        <v>1116</v>
      </c>
      <c r="C1155" t="s">
        <v>723</v>
      </c>
      <c r="D1155" t="s">
        <v>1025</v>
      </c>
      <c r="E1155" s="1">
        <v>45763</v>
      </c>
      <c r="F1155" s="1">
        <v>45776</v>
      </c>
      <c r="G1155" s="12">
        <v>26</v>
      </c>
      <c r="H1155" s="2">
        <v>0</v>
      </c>
      <c r="I1155" s="2">
        <v>0</v>
      </c>
      <c r="J1155" s="2">
        <v>0</v>
      </c>
      <c r="K1155" s="20">
        <v>26</v>
      </c>
      <c r="L1155" t="s">
        <v>794</v>
      </c>
      <c r="M1155">
        <f t="shared" ref="M1155:M1218" si="18">YEAR(F1155)</f>
        <v>2025</v>
      </c>
    </row>
    <row r="1156" spans="1:13" ht="12.75" hidden="1" customHeight="1">
      <c r="A1156" t="s">
        <v>898</v>
      </c>
      <c r="B1156" t="s">
        <v>353</v>
      </c>
      <c r="C1156" t="s">
        <v>761</v>
      </c>
      <c r="D1156" t="s">
        <v>1025</v>
      </c>
      <c r="E1156" s="1">
        <v>45770</v>
      </c>
      <c r="F1156" s="1">
        <v>45776</v>
      </c>
      <c r="G1156" s="12">
        <v>91.3</v>
      </c>
      <c r="H1156" s="2">
        <v>0</v>
      </c>
      <c r="I1156" s="2">
        <v>0</v>
      </c>
      <c r="J1156" s="2">
        <v>0</v>
      </c>
      <c r="K1156" s="20">
        <v>91.3</v>
      </c>
      <c r="L1156" t="s">
        <v>794</v>
      </c>
      <c r="M1156">
        <f t="shared" si="18"/>
        <v>2025</v>
      </c>
    </row>
    <row r="1157" spans="1:13" ht="12.75" hidden="1" customHeight="1">
      <c r="A1157" t="s">
        <v>1108</v>
      </c>
      <c r="B1157" t="s">
        <v>328</v>
      </c>
      <c r="C1157" t="s">
        <v>483</v>
      </c>
      <c r="D1157" t="s">
        <v>1025</v>
      </c>
      <c r="E1157" s="1">
        <v>45770</v>
      </c>
      <c r="F1157" s="1">
        <v>45776</v>
      </c>
      <c r="G1157" s="12">
        <v>26.990000000000002</v>
      </c>
      <c r="H1157" s="2">
        <v>0</v>
      </c>
      <c r="I1157" s="2">
        <v>0</v>
      </c>
      <c r="J1157" s="2">
        <v>0</v>
      </c>
      <c r="K1157" s="20">
        <v>26.990000000000002</v>
      </c>
      <c r="L1157" t="s">
        <v>794</v>
      </c>
      <c r="M1157">
        <f t="shared" si="18"/>
        <v>2025</v>
      </c>
    </row>
    <row r="1158" spans="1:13" ht="12.75" hidden="1" customHeight="1">
      <c r="A1158" t="s">
        <v>1117</v>
      </c>
      <c r="B1158" t="s">
        <v>428</v>
      </c>
      <c r="C1158" t="s">
        <v>710</v>
      </c>
      <c r="D1158" t="s">
        <v>1025</v>
      </c>
      <c r="E1158" s="1">
        <v>45763</v>
      </c>
      <c r="F1158" s="1">
        <v>45776</v>
      </c>
      <c r="G1158" s="12">
        <v>30</v>
      </c>
      <c r="H1158" s="2">
        <v>0</v>
      </c>
      <c r="I1158" s="2">
        <v>0</v>
      </c>
      <c r="J1158" s="2">
        <v>0</v>
      </c>
      <c r="K1158" s="20">
        <v>30</v>
      </c>
      <c r="L1158" t="s">
        <v>794</v>
      </c>
      <c r="M1158">
        <f t="shared" si="18"/>
        <v>2025</v>
      </c>
    </row>
    <row r="1159" spans="1:13" ht="12.75" hidden="1" customHeight="1">
      <c r="A1159" t="s">
        <v>902</v>
      </c>
      <c r="B1159" t="s">
        <v>561</v>
      </c>
      <c r="C1159" t="s">
        <v>483</v>
      </c>
      <c r="D1159" t="s">
        <v>1025</v>
      </c>
      <c r="E1159" s="1">
        <v>45770</v>
      </c>
      <c r="F1159" s="1">
        <v>45776</v>
      </c>
      <c r="G1159" s="12">
        <v>24.990000000000002</v>
      </c>
      <c r="H1159" s="2">
        <v>0</v>
      </c>
      <c r="I1159" s="2">
        <v>0</v>
      </c>
      <c r="J1159" s="2">
        <v>0</v>
      </c>
      <c r="K1159" s="20">
        <v>24.990000000000002</v>
      </c>
      <c r="L1159" t="s">
        <v>794</v>
      </c>
      <c r="M1159">
        <f t="shared" si="18"/>
        <v>2025</v>
      </c>
    </row>
    <row r="1160" spans="1:13" ht="12.75" hidden="1" customHeight="1">
      <c r="A1160" t="s">
        <v>921</v>
      </c>
      <c r="B1160" t="s">
        <v>184</v>
      </c>
      <c r="C1160" t="s">
        <v>483</v>
      </c>
      <c r="D1160" t="s">
        <v>1025</v>
      </c>
      <c r="E1160" s="1">
        <v>45775</v>
      </c>
      <c r="F1160" s="1">
        <v>45776</v>
      </c>
      <c r="G1160" s="12">
        <v>91.960000000000008</v>
      </c>
      <c r="H1160" s="2">
        <v>0</v>
      </c>
      <c r="I1160" s="2">
        <v>0</v>
      </c>
      <c r="J1160" s="2">
        <v>0</v>
      </c>
      <c r="K1160" s="20">
        <v>91.960000000000008</v>
      </c>
      <c r="L1160" t="s">
        <v>794</v>
      </c>
      <c r="M1160">
        <f t="shared" si="18"/>
        <v>2025</v>
      </c>
    </row>
    <row r="1161" spans="1:13" ht="12.75" hidden="1" customHeight="1">
      <c r="A1161" t="s">
        <v>1115</v>
      </c>
      <c r="B1161" t="s">
        <v>348</v>
      </c>
      <c r="C1161" t="s">
        <v>140</v>
      </c>
      <c r="D1161" t="s">
        <v>1025</v>
      </c>
      <c r="E1161" s="1">
        <v>45776</v>
      </c>
      <c r="F1161" s="1">
        <v>45776</v>
      </c>
      <c r="G1161" s="12">
        <v>30</v>
      </c>
      <c r="H1161" s="2">
        <v>0</v>
      </c>
      <c r="I1161" s="2">
        <v>0</v>
      </c>
      <c r="J1161" s="2">
        <v>0</v>
      </c>
      <c r="K1161" s="20">
        <v>30</v>
      </c>
      <c r="L1161" t="s">
        <v>794</v>
      </c>
      <c r="M1161">
        <f t="shared" si="18"/>
        <v>2025</v>
      </c>
    </row>
    <row r="1162" spans="1:13" ht="12.75" hidden="1" customHeight="1">
      <c r="A1162" t="s">
        <v>924</v>
      </c>
      <c r="B1162" t="s">
        <v>87</v>
      </c>
      <c r="C1162" t="s">
        <v>140</v>
      </c>
      <c r="D1162" t="s">
        <v>1025</v>
      </c>
      <c r="E1162" s="1">
        <v>45776</v>
      </c>
      <c r="F1162" s="1">
        <v>45776</v>
      </c>
      <c r="G1162" s="12">
        <v>30</v>
      </c>
      <c r="H1162" s="2">
        <v>0</v>
      </c>
      <c r="I1162" s="2">
        <v>0</v>
      </c>
      <c r="J1162" s="2">
        <v>0</v>
      </c>
      <c r="K1162" s="20">
        <v>30</v>
      </c>
      <c r="L1162" t="s">
        <v>794</v>
      </c>
      <c r="M1162">
        <f t="shared" si="18"/>
        <v>2025</v>
      </c>
    </row>
    <row r="1163" spans="1:13" ht="12.75" hidden="1" customHeight="1">
      <c r="A1163" t="s">
        <v>961</v>
      </c>
      <c r="B1163" t="s">
        <v>41</v>
      </c>
      <c r="C1163" t="s">
        <v>733</v>
      </c>
      <c r="D1163" t="s">
        <v>1025</v>
      </c>
      <c r="E1163" s="1">
        <v>45776</v>
      </c>
      <c r="F1163" s="1">
        <v>45776</v>
      </c>
      <c r="G1163" s="12">
        <v>47.43</v>
      </c>
      <c r="H1163" s="2">
        <v>0</v>
      </c>
      <c r="I1163" s="2">
        <v>0</v>
      </c>
      <c r="J1163" s="2">
        <v>0</v>
      </c>
      <c r="K1163" s="20">
        <v>47.43</v>
      </c>
      <c r="L1163" t="s">
        <v>794</v>
      </c>
      <c r="M1163">
        <f t="shared" si="18"/>
        <v>2025</v>
      </c>
    </row>
    <row r="1164" spans="1:13" ht="12.75" hidden="1" customHeight="1">
      <c r="A1164" t="s">
        <v>801</v>
      </c>
      <c r="B1164" t="s">
        <v>13</v>
      </c>
      <c r="C1164" t="s">
        <v>726</v>
      </c>
      <c r="D1164" t="s">
        <v>1025</v>
      </c>
      <c r="E1164" s="1">
        <v>45776</v>
      </c>
      <c r="F1164" s="1">
        <v>45776</v>
      </c>
      <c r="G1164" s="12">
        <v>10.200000000000001</v>
      </c>
      <c r="H1164" s="2">
        <v>0</v>
      </c>
      <c r="I1164" s="2">
        <v>0</v>
      </c>
      <c r="J1164" s="2">
        <v>0</v>
      </c>
      <c r="K1164" s="20">
        <v>10.200000000000001</v>
      </c>
      <c r="L1164" t="s">
        <v>794</v>
      </c>
      <c r="M1164">
        <f t="shared" si="18"/>
        <v>2025</v>
      </c>
    </row>
    <row r="1165" spans="1:13" ht="12.75" hidden="1" customHeight="1">
      <c r="A1165" t="s">
        <v>814</v>
      </c>
      <c r="B1165" t="s">
        <v>143</v>
      </c>
      <c r="C1165" t="s">
        <v>139</v>
      </c>
      <c r="D1165" t="s">
        <v>1025</v>
      </c>
      <c r="E1165" s="1">
        <v>45777</v>
      </c>
      <c r="F1165" s="1">
        <v>45777</v>
      </c>
      <c r="G1165" s="12">
        <v>26.7</v>
      </c>
      <c r="H1165" s="2">
        <v>0</v>
      </c>
      <c r="I1165" s="2">
        <v>0</v>
      </c>
      <c r="J1165" s="2">
        <v>0</v>
      </c>
      <c r="K1165" s="20">
        <v>26.7</v>
      </c>
      <c r="L1165" t="s">
        <v>794</v>
      </c>
      <c r="M1165">
        <f t="shared" si="18"/>
        <v>2025</v>
      </c>
    </row>
    <row r="1166" spans="1:13" ht="12.75" hidden="1" customHeight="1">
      <c r="A1166" t="s">
        <v>1010</v>
      </c>
      <c r="B1166" t="s">
        <v>42</v>
      </c>
      <c r="C1166" t="s">
        <v>728</v>
      </c>
      <c r="D1166" t="s">
        <v>1025</v>
      </c>
      <c r="E1166" s="1">
        <v>45777</v>
      </c>
      <c r="F1166" s="1">
        <v>45777</v>
      </c>
      <c r="G1166" s="12">
        <v>33.69</v>
      </c>
      <c r="H1166" s="2">
        <v>0</v>
      </c>
      <c r="I1166" s="2">
        <v>0</v>
      </c>
      <c r="J1166" s="2">
        <v>0</v>
      </c>
      <c r="K1166" s="20">
        <v>33.69</v>
      </c>
      <c r="L1166" t="s">
        <v>794</v>
      </c>
      <c r="M1166">
        <f t="shared" si="18"/>
        <v>2025</v>
      </c>
    </row>
    <row r="1167" spans="1:13" ht="12.75" hidden="1" customHeight="1">
      <c r="A1167" t="s">
        <v>1073</v>
      </c>
      <c r="B1167" t="s">
        <v>150</v>
      </c>
      <c r="C1167" t="s">
        <v>139</v>
      </c>
      <c r="D1167" t="s">
        <v>1025</v>
      </c>
      <c r="E1167" s="1">
        <v>45777</v>
      </c>
      <c r="F1167" s="1">
        <v>45777</v>
      </c>
      <c r="G1167" s="12">
        <v>271.39999999999998</v>
      </c>
      <c r="H1167" s="2">
        <v>0</v>
      </c>
      <c r="I1167" s="2">
        <v>0</v>
      </c>
      <c r="J1167" s="2">
        <v>0</v>
      </c>
      <c r="K1167" s="20">
        <v>271.39999999999998</v>
      </c>
      <c r="L1167" t="s">
        <v>794</v>
      </c>
      <c r="M1167">
        <f t="shared" si="18"/>
        <v>2025</v>
      </c>
    </row>
    <row r="1168" spans="1:13" ht="12.75" hidden="1" customHeight="1">
      <c r="A1168" t="s">
        <v>868</v>
      </c>
      <c r="B1168" t="s">
        <v>255</v>
      </c>
      <c r="C1168" t="s">
        <v>139</v>
      </c>
      <c r="D1168" t="s">
        <v>1025</v>
      </c>
      <c r="E1168" s="1">
        <v>45777</v>
      </c>
      <c r="F1168" s="1">
        <v>45777</v>
      </c>
      <c r="G1168" s="12">
        <v>470.8</v>
      </c>
      <c r="H1168" s="2">
        <v>0</v>
      </c>
      <c r="I1168" s="2">
        <v>0</v>
      </c>
      <c r="J1168" s="2">
        <v>0</v>
      </c>
      <c r="K1168" s="20">
        <v>470.8</v>
      </c>
      <c r="L1168" t="s">
        <v>794</v>
      </c>
      <c r="M1168">
        <f t="shared" si="18"/>
        <v>2025</v>
      </c>
    </row>
    <row r="1169" spans="1:13" ht="12.75" hidden="1" customHeight="1">
      <c r="A1169" t="s">
        <v>839</v>
      </c>
      <c r="B1169" t="s">
        <v>26</v>
      </c>
      <c r="C1169" t="s">
        <v>139</v>
      </c>
      <c r="D1169" t="s">
        <v>1025</v>
      </c>
      <c r="E1169" s="1">
        <v>45777</v>
      </c>
      <c r="F1169" s="1">
        <v>45777</v>
      </c>
      <c r="G1169" s="12">
        <v>7960.5</v>
      </c>
      <c r="H1169" s="2">
        <v>0</v>
      </c>
      <c r="I1169" s="2">
        <v>0</v>
      </c>
      <c r="J1169" s="2">
        <v>0</v>
      </c>
      <c r="K1169" s="20">
        <v>7960.5</v>
      </c>
      <c r="L1169" t="s">
        <v>794</v>
      </c>
      <c r="M1169">
        <f t="shared" si="18"/>
        <v>2025</v>
      </c>
    </row>
    <row r="1170" spans="1:13" ht="12.75" hidden="1" customHeight="1">
      <c r="A1170" t="s">
        <v>1115</v>
      </c>
      <c r="B1170" t="s">
        <v>348</v>
      </c>
      <c r="C1170" t="s">
        <v>140</v>
      </c>
      <c r="D1170" t="s">
        <v>1025</v>
      </c>
      <c r="E1170" s="1">
        <v>45777</v>
      </c>
      <c r="F1170" s="1">
        <v>45777</v>
      </c>
      <c r="G1170" s="12">
        <v>30</v>
      </c>
      <c r="H1170" s="2">
        <v>0</v>
      </c>
      <c r="I1170" s="2">
        <v>0</v>
      </c>
      <c r="J1170" s="2">
        <v>0</v>
      </c>
      <c r="K1170" s="20">
        <v>30</v>
      </c>
      <c r="L1170" t="s">
        <v>794</v>
      </c>
      <c r="M1170">
        <f t="shared" si="18"/>
        <v>2025</v>
      </c>
    </row>
    <row r="1171" spans="1:13" ht="12.75" hidden="1" customHeight="1">
      <c r="A1171" t="s">
        <v>924</v>
      </c>
      <c r="B1171" t="s">
        <v>87</v>
      </c>
      <c r="C1171" t="s">
        <v>140</v>
      </c>
      <c r="D1171" t="s">
        <v>1025</v>
      </c>
      <c r="E1171" s="1">
        <v>45777</v>
      </c>
      <c r="F1171" s="1">
        <v>45777</v>
      </c>
      <c r="G1171" s="12">
        <v>30</v>
      </c>
      <c r="H1171" s="2">
        <v>0</v>
      </c>
      <c r="I1171" s="2">
        <v>0</v>
      </c>
      <c r="J1171" s="2">
        <v>0</v>
      </c>
      <c r="K1171" s="20">
        <v>30</v>
      </c>
      <c r="L1171" t="s">
        <v>794</v>
      </c>
      <c r="M1171">
        <f t="shared" si="18"/>
        <v>2025</v>
      </c>
    </row>
    <row r="1172" spans="1:13" ht="12.75" hidden="1" customHeight="1">
      <c r="A1172" t="s">
        <v>806</v>
      </c>
      <c r="B1172" t="s">
        <v>19</v>
      </c>
      <c r="C1172" t="s">
        <v>99</v>
      </c>
      <c r="D1172" t="s">
        <v>1025</v>
      </c>
      <c r="E1172" s="1">
        <v>45777</v>
      </c>
      <c r="F1172" s="1">
        <v>45777</v>
      </c>
      <c r="G1172" s="12">
        <v>202</v>
      </c>
      <c r="H1172" s="2">
        <v>0</v>
      </c>
      <c r="I1172" s="2">
        <v>0</v>
      </c>
      <c r="J1172" s="2">
        <v>0</v>
      </c>
      <c r="K1172" s="20">
        <v>202</v>
      </c>
      <c r="L1172" t="s">
        <v>794</v>
      </c>
      <c r="M1172">
        <f t="shared" si="18"/>
        <v>2025</v>
      </c>
    </row>
    <row r="1173" spans="1:13" ht="12.75" hidden="1" customHeight="1">
      <c r="A1173" t="s">
        <v>839</v>
      </c>
      <c r="B1173" t="s">
        <v>44</v>
      </c>
      <c r="C1173" t="s">
        <v>722</v>
      </c>
      <c r="D1173" t="s">
        <v>1025</v>
      </c>
      <c r="E1173" s="1">
        <v>45777</v>
      </c>
      <c r="F1173" s="1">
        <v>45777</v>
      </c>
      <c r="G1173" s="12">
        <v>991.79000000000008</v>
      </c>
      <c r="H1173" s="2">
        <v>0</v>
      </c>
      <c r="I1173" s="2">
        <v>0</v>
      </c>
      <c r="J1173" s="2">
        <v>0</v>
      </c>
      <c r="K1173" s="20">
        <v>991.79000000000008</v>
      </c>
      <c r="L1173" t="s">
        <v>794</v>
      </c>
      <c r="M1173">
        <f t="shared" si="18"/>
        <v>2025</v>
      </c>
    </row>
    <row r="1174" spans="1:13" ht="12.75" hidden="1" customHeight="1">
      <c r="A1174" t="s">
        <v>839</v>
      </c>
      <c r="B1174" t="s">
        <v>44</v>
      </c>
      <c r="C1174" t="s">
        <v>722</v>
      </c>
      <c r="D1174" t="s">
        <v>1025</v>
      </c>
      <c r="E1174" s="1">
        <v>45777</v>
      </c>
      <c r="F1174" s="1">
        <v>45777</v>
      </c>
      <c r="G1174" s="12">
        <v>883.45</v>
      </c>
      <c r="H1174" s="2">
        <v>0</v>
      </c>
      <c r="I1174" s="2">
        <v>0</v>
      </c>
      <c r="J1174" s="2">
        <v>0</v>
      </c>
      <c r="K1174" s="20">
        <v>883.45</v>
      </c>
      <c r="L1174" t="s">
        <v>794</v>
      </c>
      <c r="M1174">
        <f t="shared" si="18"/>
        <v>2025</v>
      </c>
    </row>
    <row r="1175" spans="1:13" ht="12.75" hidden="1" customHeight="1">
      <c r="A1175" t="s">
        <v>905</v>
      </c>
      <c r="B1175" t="s">
        <v>15</v>
      </c>
      <c r="C1175" t="s">
        <v>715</v>
      </c>
      <c r="D1175" t="s">
        <v>1025</v>
      </c>
      <c r="E1175" s="1">
        <v>45777</v>
      </c>
      <c r="F1175" s="1">
        <v>45777</v>
      </c>
      <c r="G1175" s="12">
        <v>664.49</v>
      </c>
      <c r="H1175" s="2">
        <v>0</v>
      </c>
      <c r="I1175" s="2">
        <v>0</v>
      </c>
      <c r="J1175" s="2">
        <v>0</v>
      </c>
      <c r="K1175" s="20">
        <v>664.49</v>
      </c>
      <c r="L1175" t="s">
        <v>794</v>
      </c>
      <c r="M1175">
        <f t="shared" si="18"/>
        <v>2025</v>
      </c>
    </row>
    <row r="1176" spans="1:13" ht="12.75" hidden="1" customHeight="1">
      <c r="A1176" t="s">
        <v>801</v>
      </c>
      <c r="B1176" t="s">
        <v>13</v>
      </c>
      <c r="C1176" t="s">
        <v>726</v>
      </c>
      <c r="D1176" t="s">
        <v>1025</v>
      </c>
      <c r="E1176" s="1">
        <v>45777</v>
      </c>
      <c r="F1176" s="1">
        <v>45777</v>
      </c>
      <c r="G1176" s="12">
        <v>6.12</v>
      </c>
      <c r="H1176" s="2">
        <v>0</v>
      </c>
      <c r="I1176" s="2">
        <v>0</v>
      </c>
      <c r="J1176" s="2">
        <v>0</v>
      </c>
      <c r="K1176" s="20">
        <v>6.12</v>
      </c>
      <c r="L1176" t="s">
        <v>794</v>
      </c>
      <c r="M1176">
        <f t="shared" si="18"/>
        <v>2025</v>
      </c>
    </row>
    <row r="1177" spans="1:13" ht="12.75" hidden="1" customHeight="1">
      <c r="A1177" t="s">
        <v>896</v>
      </c>
      <c r="B1177" t="s">
        <v>293</v>
      </c>
      <c r="C1177" t="s">
        <v>733</v>
      </c>
      <c r="D1177" t="s">
        <v>1025</v>
      </c>
      <c r="E1177" s="1">
        <v>45777</v>
      </c>
      <c r="F1177" s="1">
        <v>45777</v>
      </c>
      <c r="G1177" s="12">
        <v>124.26</v>
      </c>
      <c r="H1177" s="2">
        <v>0</v>
      </c>
      <c r="I1177" s="2">
        <v>0</v>
      </c>
      <c r="J1177" s="2">
        <v>0</v>
      </c>
      <c r="K1177" s="20">
        <v>124.26</v>
      </c>
      <c r="L1177" t="s">
        <v>794</v>
      </c>
      <c r="M1177">
        <f t="shared" si="18"/>
        <v>2025</v>
      </c>
    </row>
    <row r="1178" spans="1:13" ht="12.75" hidden="1" customHeight="1">
      <c r="A1178" t="s">
        <v>924</v>
      </c>
      <c r="B1178" t="s">
        <v>87</v>
      </c>
      <c r="C1178" t="s">
        <v>139</v>
      </c>
      <c r="D1178" t="s">
        <v>1118</v>
      </c>
      <c r="E1178" s="1">
        <v>45779</v>
      </c>
      <c r="F1178" s="1">
        <v>45779</v>
      </c>
      <c r="G1178" s="12">
        <v>428.40000000000003</v>
      </c>
      <c r="H1178" s="2">
        <v>0</v>
      </c>
      <c r="I1178" s="2">
        <v>0</v>
      </c>
      <c r="J1178" s="2">
        <v>0</v>
      </c>
      <c r="K1178" s="20">
        <v>428.40000000000003</v>
      </c>
      <c r="L1178" t="s">
        <v>794</v>
      </c>
      <c r="M1178">
        <f t="shared" si="18"/>
        <v>2025</v>
      </c>
    </row>
    <row r="1179" spans="1:13" ht="12.75" hidden="1" customHeight="1">
      <c r="A1179" t="s">
        <v>950</v>
      </c>
      <c r="B1179" t="s">
        <v>951</v>
      </c>
      <c r="C1179" t="s">
        <v>138</v>
      </c>
      <c r="D1179" t="s">
        <v>1118</v>
      </c>
      <c r="E1179" s="1">
        <v>45779</v>
      </c>
      <c r="F1179" s="1">
        <v>45779</v>
      </c>
      <c r="G1179" s="12">
        <v>242.4</v>
      </c>
      <c r="H1179" s="2">
        <v>0</v>
      </c>
      <c r="I1179" s="2">
        <v>0</v>
      </c>
      <c r="J1179" s="2">
        <v>0</v>
      </c>
      <c r="K1179" s="20">
        <v>242.4</v>
      </c>
      <c r="L1179" t="s">
        <v>794</v>
      </c>
      <c r="M1179">
        <f t="shared" si="18"/>
        <v>2025</v>
      </c>
    </row>
    <row r="1180" spans="1:13" ht="12.75" hidden="1" customHeight="1">
      <c r="A1180" t="s">
        <v>1119</v>
      </c>
      <c r="B1180" t="s">
        <v>496</v>
      </c>
      <c r="C1180" t="s">
        <v>452</v>
      </c>
      <c r="D1180" t="s">
        <v>1118</v>
      </c>
      <c r="E1180" s="1">
        <v>45779</v>
      </c>
      <c r="F1180" s="1">
        <v>45779</v>
      </c>
      <c r="G1180" s="12">
        <v>149</v>
      </c>
      <c r="H1180" s="2">
        <v>0</v>
      </c>
      <c r="I1180" s="2">
        <v>0</v>
      </c>
      <c r="J1180" s="2">
        <v>0</v>
      </c>
      <c r="K1180" s="20">
        <v>149</v>
      </c>
      <c r="L1180" t="s">
        <v>794</v>
      </c>
      <c r="M1180">
        <f t="shared" si="18"/>
        <v>2025</v>
      </c>
    </row>
    <row r="1181" spans="1:13" ht="12.75" hidden="1" customHeight="1">
      <c r="A1181" t="s">
        <v>1115</v>
      </c>
      <c r="B1181" t="s">
        <v>348</v>
      </c>
      <c r="C1181" t="s">
        <v>139</v>
      </c>
      <c r="D1181" t="s">
        <v>1118</v>
      </c>
      <c r="E1181" s="1">
        <v>45779</v>
      </c>
      <c r="F1181" s="1">
        <v>45779</v>
      </c>
      <c r="G1181" s="12">
        <v>428.40000000000003</v>
      </c>
      <c r="H1181" s="2">
        <v>0</v>
      </c>
      <c r="I1181" s="2">
        <v>0</v>
      </c>
      <c r="J1181" s="2">
        <v>0</v>
      </c>
      <c r="K1181" s="20">
        <v>428.40000000000003</v>
      </c>
      <c r="L1181" t="s">
        <v>794</v>
      </c>
      <c r="M1181">
        <f t="shared" si="18"/>
        <v>2025</v>
      </c>
    </row>
    <row r="1182" spans="1:13" ht="12.75" hidden="1" customHeight="1">
      <c r="A1182" t="s">
        <v>940</v>
      </c>
      <c r="B1182" t="s">
        <v>302</v>
      </c>
      <c r="C1182" t="s">
        <v>743</v>
      </c>
      <c r="D1182" t="s">
        <v>1118</v>
      </c>
      <c r="E1182" s="1">
        <v>45779</v>
      </c>
      <c r="F1182" s="1">
        <v>45779</v>
      </c>
      <c r="G1182" s="12">
        <v>252.28</v>
      </c>
      <c r="H1182" s="2">
        <v>0</v>
      </c>
      <c r="I1182" s="2">
        <v>0</v>
      </c>
      <c r="J1182" s="2">
        <v>0</v>
      </c>
      <c r="K1182" s="20">
        <v>252.28</v>
      </c>
      <c r="L1182" t="s">
        <v>794</v>
      </c>
      <c r="M1182">
        <f t="shared" si="18"/>
        <v>2025</v>
      </c>
    </row>
    <row r="1183" spans="1:13" ht="12.75" hidden="1" customHeight="1">
      <c r="A1183" t="s">
        <v>1120</v>
      </c>
      <c r="B1183" t="s">
        <v>345</v>
      </c>
      <c r="C1183" t="s">
        <v>558</v>
      </c>
      <c r="D1183" t="s">
        <v>1118</v>
      </c>
      <c r="E1183" s="1">
        <v>45779</v>
      </c>
      <c r="F1183" s="1">
        <v>45779</v>
      </c>
      <c r="G1183" s="12">
        <v>802.01</v>
      </c>
      <c r="H1183" s="2">
        <v>0</v>
      </c>
      <c r="I1183" s="2">
        <v>0</v>
      </c>
      <c r="J1183" s="2">
        <v>0</v>
      </c>
      <c r="K1183" s="20">
        <v>802.01</v>
      </c>
      <c r="L1183" t="s">
        <v>794</v>
      </c>
      <c r="M1183">
        <f t="shared" si="18"/>
        <v>2025</v>
      </c>
    </row>
    <row r="1184" spans="1:13" ht="12.75" hidden="1" customHeight="1">
      <c r="A1184" t="s">
        <v>992</v>
      </c>
      <c r="B1184" t="s">
        <v>16</v>
      </c>
      <c r="C1184" t="s">
        <v>713</v>
      </c>
      <c r="D1184" t="s">
        <v>1118</v>
      </c>
      <c r="E1184" s="1">
        <v>45779</v>
      </c>
      <c r="F1184" s="1">
        <v>45779</v>
      </c>
      <c r="G1184" s="12">
        <v>2413.4299999999998</v>
      </c>
      <c r="H1184" s="2">
        <v>0</v>
      </c>
      <c r="I1184" s="2">
        <v>0</v>
      </c>
      <c r="J1184" s="2">
        <v>0</v>
      </c>
      <c r="K1184" s="20">
        <v>2413.4299999999998</v>
      </c>
      <c r="L1184" t="s">
        <v>794</v>
      </c>
      <c r="M1184">
        <f t="shared" si="18"/>
        <v>2025</v>
      </c>
    </row>
    <row r="1185" spans="1:13" ht="12.75" hidden="1" customHeight="1">
      <c r="A1185" t="s">
        <v>839</v>
      </c>
      <c r="B1185" t="s">
        <v>26</v>
      </c>
      <c r="C1185" t="s">
        <v>138</v>
      </c>
      <c r="D1185" t="s">
        <v>1118</v>
      </c>
      <c r="E1185" s="1">
        <v>45779</v>
      </c>
      <c r="F1185" s="1">
        <v>45779</v>
      </c>
      <c r="G1185" s="12">
        <v>5332.8</v>
      </c>
      <c r="H1185" s="2">
        <v>0</v>
      </c>
      <c r="I1185" s="2">
        <v>0</v>
      </c>
      <c r="J1185" s="2">
        <v>0</v>
      </c>
      <c r="K1185" s="20">
        <v>5332.8</v>
      </c>
      <c r="L1185" t="s">
        <v>794</v>
      </c>
      <c r="M1185">
        <f t="shared" si="18"/>
        <v>2025</v>
      </c>
    </row>
    <row r="1186" spans="1:13" ht="12.75" hidden="1" customHeight="1">
      <c r="A1186" t="s">
        <v>1108</v>
      </c>
      <c r="B1186" t="s">
        <v>328</v>
      </c>
      <c r="C1186" t="s">
        <v>483</v>
      </c>
      <c r="D1186" t="s">
        <v>1118</v>
      </c>
      <c r="E1186" s="1">
        <v>45779</v>
      </c>
      <c r="F1186" s="1">
        <v>45779</v>
      </c>
      <c r="G1186" s="12">
        <v>31.18</v>
      </c>
      <c r="H1186" s="2">
        <v>0</v>
      </c>
      <c r="I1186" s="2">
        <v>0</v>
      </c>
      <c r="J1186" s="2">
        <v>0</v>
      </c>
      <c r="K1186" s="20">
        <v>31.18</v>
      </c>
      <c r="L1186" t="s">
        <v>794</v>
      </c>
      <c r="M1186">
        <f t="shared" si="18"/>
        <v>2025</v>
      </c>
    </row>
    <row r="1187" spans="1:13" ht="12.75" hidden="1" customHeight="1">
      <c r="A1187" t="s">
        <v>1111</v>
      </c>
      <c r="B1187" t="s">
        <v>144</v>
      </c>
      <c r="C1187" t="s">
        <v>733</v>
      </c>
      <c r="D1187" t="s">
        <v>1118</v>
      </c>
      <c r="E1187" s="1">
        <v>45779</v>
      </c>
      <c r="F1187" s="1">
        <v>45779</v>
      </c>
      <c r="G1187" s="12">
        <v>64.400000000000006</v>
      </c>
      <c r="H1187" s="2">
        <v>0</v>
      </c>
      <c r="I1187" s="2">
        <v>0</v>
      </c>
      <c r="J1187" s="2">
        <v>0</v>
      </c>
      <c r="K1187" s="20">
        <v>64.400000000000006</v>
      </c>
      <c r="L1187" t="s">
        <v>794</v>
      </c>
      <c r="M1187">
        <f t="shared" si="18"/>
        <v>2025</v>
      </c>
    </row>
    <row r="1188" spans="1:13" ht="12.75" hidden="1" customHeight="1">
      <c r="A1188" t="s">
        <v>819</v>
      </c>
      <c r="B1188" t="s">
        <v>38</v>
      </c>
      <c r="C1188" t="s">
        <v>733</v>
      </c>
      <c r="D1188" t="s">
        <v>1118</v>
      </c>
      <c r="E1188" s="1">
        <v>45779</v>
      </c>
      <c r="F1188" s="1">
        <v>45779</v>
      </c>
      <c r="G1188" s="12">
        <v>72.98</v>
      </c>
      <c r="H1188" s="2">
        <v>0</v>
      </c>
      <c r="I1188" s="2">
        <v>0</v>
      </c>
      <c r="J1188" s="2">
        <v>0</v>
      </c>
      <c r="K1188" s="20">
        <v>72.98</v>
      </c>
      <c r="L1188" t="s">
        <v>794</v>
      </c>
      <c r="M1188">
        <f t="shared" si="18"/>
        <v>2025</v>
      </c>
    </row>
    <row r="1189" spans="1:13" ht="12.75" hidden="1" customHeight="1">
      <c r="A1189" t="s">
        <v>1004</v>
      </c>
      <c r="B1189" t="s">
        <v>57</v>
      </c>
      <c r="C1189" t="s">
        <v>138</v>
      </c>
      <c r="D1189" t="s">
        <v>1118</v>
      </c>
      <c r="E1189" s="1">
        <v>45779</v>
      </c>
      <c r="F1189" s="1">
        <v>45779</v>
      </c>
      <c r="G1189" s="12">
        <v>242.4</v>
      </c>
      <c r="H1189" s="2">
        <v>0</v>
      </c>
      <c r="I1189" s="2">
        <v>0</v>
      </c>
      <c r="J1189" s="2">
        <v>0</v>
      </c>
      <c r="K1189" s="20">
        <v>242.4</v>
      </c>
      <c r="L1189" t="s">
        <v>794</v>
      </c>
      <c r="M1189">
        <f t="shared" si="18"/>
        <v>2025</v>
      </c>
    </row>
    <row r="1190" spans="1:13" ht="12.75" hidden="1" customHeight="1">
      <c r="A1190" t="s">
        <v>801</v>
      </c>
      <c r="B1190" t="s">
        <v>13</v>
      </c>
      <c r="C1190" t="s">
        <v>726</v>
      </c>
      <c r="D1190" t="s">
        <v>1118</v>
      </c>
      <c r="E1190" s="1">
        <v>45779</v>
      </c>
      <c r="F1190" s="1">
        <v>45779</v>
      </c>
      <c r="G1190" s="12">
        <v>10.200000000000001</v>
      </c>
      <c r="H1190" s="2">
        <v>0</v>
      </c>
      <c r="I1190" s="2">
        <v>0</v>
      </c>
      <c r="J1190" s="2">
        <v>0</v>
      </c>
      <c r="K1190" s="20">
        <v>10.200000000000001</v>
      </c>
      <c r="L1190" t="s">
        <v>794</v>
      </c>
      <c r="M1190">
        <f t="shared" si="18"/>
        <v>2025</v>
      </c>
    </row>
    <row r="1191" spans="1:13" ht="12.75" hidden="1" customHeight="1">
      <c r="A1191" t="s">
        <v>801</v>
      </c>
      <c r="B1191" t="s">
        <v>13</v>
      </c>
      <c r="C1191" t="s">
        <v>717</v>
      </c>
      <c r="D1191" t="s">
        <v>1118</v>
      </c>
      <c r="E1191" s="1">
        <v>45779</v>
      </c>
      <c r="F1191" s="1">
        <v>45779</v>
      </c>
      <c r="G1191" s="12">
        <v>4.62</v>
      </c>
      <c r="H1191" s="2">
        <v>0</v>
      </c>
      <c r="I1191" s="2">
        <v>0</v>
      </c>
      <c r="J1191" s="2">
        <v>0</v>
      </c>
      <c r="K1191" s="20">
        <v>4.62</v>
      </c>
      <c r="L1191" t="s">
        <v>794</v>
      </c>
      <c r="M1191">
        <f t="shared" si="18"/>
        <v>2025</v>
      </c>
    </row>
    <row r="1192" spans="1:13" ht="12.75" hidden="1" customHeight="1">
      <c r="A1192" t="s">
        <v>801</v>
      </c>
      <c r="B1192" t="s">
        <v>13</v>
      </c>
      <c r="C1192" t="s">
        <v>740</v>
      </c>
      <c r="D1192" t="s">
        <v>1118</v>
      </c>
      <c r="E1192" s="1">
        <v>45779</v>
      </c>
      <c r="F1192" s="1">
        <v>45779</v>
      </c>
      <c r="G1192" s="12">
        <v>98.4</v>
      </c>
      <c r="H1192" s="2">
        <v>0</v>
      </c>
      <c r="I1192" s="2">
        <v>0</v>
      </c>
      <c r="J1192" s="2">
        <v>0</v>
      </c>
      <c r="K1192" s="20">
        <v>98.4</v>
      </c>
      <c r="L1192" t="s">
        <v>794</v>
      </c>
      <c r="M1192">
        <f t="shared" si="18"/>
        <v>2025</v>
      </c>
    </row>
    <row r="1193" spans="1:13" ht="12.75" hidden="1" customHeight="1">
      <c r="A1193" t="s">
        <v>992</v>
      </c>
      <c r="B1193" t="s">
        <v>277</v>
      </c>
      <c r="C1193" t="s">
        <v>99</v>
      </c>
      <c r="D1193" t="s">
        <v>1118</v>
      </c>
      <c r="E1193" s="1">
        <v>45780</v>
      </c>
      <c r="F1193" s="1">
        <v>45780</v>
      </c>
      <c r="G1193" s="12">
        <v>34.5</v>
      </c>
      <c r="H1193" s="2">
        <v>0</v>
      </c>
      <c r="I1193" s="2">
        <v>0</v>
      </c>
      <c r="J1193" s="2">
        <v>0</v>
      </c>
      <c r="K1193" s="20">
        <v>34.5</v>
      </c>
      <c r="L1193" t="s">
        <v>794</v>
      </c>
      <c r="M1193">
        <f t="shared" si="18"/>
        <v>2025</v>
      </c>
    </row>
    <row r="1194" spans="1:13" ht="12.75" hidden="1" customHeight="1">
      <c r="A1194" t="s">
        <v>992</v>
      </c>
      <c r="B1194" t="s">
        <v>277</v>
      </c>
      <c r="C1194" t="s">
        <v>99</v>
      </c>
      <c r="D1194" t="s">
        <v>1118</v>
      </c>
      <c r="E1194" s="1">
        <v>45780</v>
      </c>
      <c r="F1194" s="1">
        <v>45780</v>
      </c>
      <c r="G1194" s="12">
        <v>16.899999999999999</v>
      </c>
      <c r="H1194" s="2">
        <v>0</v>
      </c>
      <c r="I1194" s="2">
        <v>0</v>
      </c>
      <c r="J1194" s="2">
        <v>0</v>
      </c>
      <c r="K1194" s="20">
        <v>16.899999999999999</v>
      </c>
      <c r="L1194" t="s">
        <v>794</v>
      </c>
      <c r="M1194">
        <f t="shared" si="18"/>
        <v>2025</v>
      </c>
    </row>
    <row r="1195" spans="1:13" ht="12.75" hidden="1" customHeight="1">
      <c r="A1195" t="s">
        <v>801</v>
      </c>
      <c r="B1195" t="s">
        <v>13</v>
      </c>
      <c r="C1195" t="s">
        <v>740</v>
      </c>
      <c r="D1195" t="s">
        <v>1118</v>
      </c>
      <c r="E1195" s="1">
        <v>45782</v>
      </c>
      <c r="F1195" s="1">
        <v>45782</v>
      </c>
      <c r="G1195" s="12">
        <v>208.97</v>
      </c>
      <c r="H1195" s="2">
        <v>0</v>
      </c>
      <c r="I1195" s="2">
        <v>0</v>
      </c>
      <c r="J1195" s="2">
        <v>0</v>
      </c>
      <c r="K1195" s="20">
        <v>208.97</v>
      </c>
      <c r="L1195" t="s">
        <v>794</v>
      </c>
      <c r="M1195">
        <f t="shared" si="18"/>
        <v>2025</v>
      </c>
    </row>
    <row r="1196" spans="1:13" ht="12.75" hidden="1" customHeight="1">
      <c r="A1196" t="s">
        <v>801</v>
      </c>
      <c r="B1196" t="s">
        <v>13</v>
      </c>
      <c r="C1196" t="s">
        <v>726</v>
      </c>
      <c r="D1196" t="s">
        <v>1118</v>
      </c>
      <c r="E1196" s="1">
        <v>45782</v>
      </c>
      <c r="F1196" s="1">
        <v>45782</v>
      </c>
      <c r="G1196" s="12">
        <v>2.04</v>
      </c>
      <c r="H1196" s="2">
        <v>0</v>
      </c>
      <c r="I1196" s="2">
        <v>0</v>
      </c>
      <c r="J1196" s="2">
        <v>0</v>
      </c>
      <c r="K1196" s="20">
        <v>2.04</v>
      </c>
      <c r="L1196" t="s">
        <v>794</v>
      </c>
      <c r="M1196">
        <f t="shared" si="18"/>
        <v>2025</v>
      </c>
    </row>
    <row r="1197" spans="1:13" ht="12.75" hidden="1" customHeight="1">
      <c r="A1197" t="s">
        <v>801</v>
      </c>
      <c r="B1197" t="s">
        <v>13</v>
      </c>
      <c r="C1197" t="s">
        <v>751</v>
      </c>
      <c r="D1197" t="s">
        <v>1118</v>
      </c>
      <c r="E1197" s="1">
        <v>45782</v>
      </c>
      <c r="F1197" s="1">
        <v>45782</v>
      </c>
      <c r="G1197" s="12">
        <v>135.52000000000001</v>
      </c>
      <c r="H1197" s="2">
        <v>0</v>
      </c>
      <c r="I1197" s="2">
        <v>0</v>
      </c>
      <c r="J1197" s="2">
        <v>0</v>
      </c>
      <c r="K1197" s="20">
        <v>135.52000000000001</v>
      </c>
      <c r="L1197" t="s">
        <v>794</v>
      </c>
      <c r="M1197">
        <f t="shared" si="18"/>
        <v>2025</v>
      </c>
    </row>
    <row r="1198" spans="1:13" ht="12.75" hidden="1" customHeight="1">
      <c r="A1198" t="s">
        <v>801</v>
      </c>
      <c r="B1198" t="s">
        <v>13</v>
      </c>
      <c r="C1198" t="s">
        <v>717</v>
      </c>
      <c r="D1198" t="s">
        <v>1118</v>
      </c>
      <c r="E1198" s="1">
        <v>45782</v>
      </c>
      <c r="F1198" s="1">
        <v>45782</v>
      </c>
      <c r="G1198" s="12">
        <v>4107.29</v>
      </c>
      <c r="H1198" s="2">
        <v>0</v>
      </c>
      <c r="I1198" s="2">
        <v>0</v>
      </c>
      <c r="J1198" s="2">
        <v>0</v>
      </c>
      <c r="K1198" s="20">
        <v>4107.29</v>
      </c>
      <c r="L1198" t="s">
        <v>794</v>
      </c>
      <c r="M1198">
        <f t="shared" si="18"/>
        <v>2025</v>
      </c>
    </row>
    <row r="1199" spans="1:13" ht="12.75" hidden="1" customHeight="1">
      <c r="A1199" t="s">
        <v>801</v>
      </c>
      <c r="B1199" t="s">
        <v>13</v>
      </c>
      <c r="C1199" t="s">
        <v>739</v>
      </c>
      <c r="D1199" t="s">
        <v>1118</v>
      </c>
      <c r="E1199" s="1">
        <v>45782</v>
      </c>
      <c r="F1199" s="1">
        <v>45782</v>
      </c>
      <c r="G1199" s="12">
        <v>278.5</v>
      </c>
      <c r="H1199" s="2">
        <v>0</v>
      </c>
      <c r="I1199" s="2">
        <v>0</v>
      </c>
      <c r="J1199" s="2">
        <v>0</v>
      </c>
      <c r="K1199" s="20">
        <v>278.5</v>
      </c>
      <c r="L1199" t="s">
        <v>794</v>
      </c>
      <c r="M1199">
        <f t="shared" si="18"/>
        <v>2025</v>
      </c>
    </row>
    <row r="1200" spans="1:13" ht="12.75" hidden="1" customHeight="1">
      <c r="A1200" t="s">
        <v>801</v>
      </c>
      <c r="B1200" t="s">
        <v>13</v>
      </c>
      <c r="C1200" t="s">
        <v>739</v>
      </c>
      <c r="D1200" t="s">
        <v>1118</v>
      </c>
      <c r="E1200" s="1">
        <v>45782</v>
      </c>
      <c r="F1200" s="1">
        <v>45782</v>
      </c>
      <c r="G1200" s="12">
        <v>0.73</v>
      </c>
      <c r="H1200" s="2">
        <v>0</v>
      </c>
      <c r="I1200" s="2">
        <v>0</v>
      </c>
      <c r="J1200" s="2">
        <v>0</v>
      </c>
      <c r="K1200" s="20">
        <v>0.73</v>
      </c>
      <c r="L1200" t="s">
        <v>794</v>
      </c>
      <c r="M1200">
        <f t="shared" si="18"/>
        <v>2025</v>
      </c>
    </row>
    <row r="1201" spans="1:13" ht="12.75" hidden="1" customHeight="1">
      <c r="A1201" t="s">
        <v>801</v>
      </c>
      <c r="B1201" t="s">
        <v>13</v>
      </c>
      <c r="C1201" t="s">
        <v>739</v>
      </c>
      <c r="D1201" t="s">
        <v>1118</v>
      </c>
      <c r="E1201" s="1">
        <v>45782</v>
      </c>
      <c r="F1201" s="1">
        <v>45782</v>
      </c>
      <c r="G1201" s="12">
        <v>277.2</v>
      </c>
      <c r="H1201" s="2">
        <v>0</v>
      </c>
      <c r="I1201" s="2">
        <v>0</v>
      </c>
      <c r="J1201" s="2">
        <v>0</v>
      </c>
      <c r="K1201" s="20">
        <v>277.2</v>
      </c>
      <c r="L1201" t="s">
        <v>794</v>
      </c>
      <c r="M1201">
        <f t="shared" si="18"/>
        <v>2025</v>
      </c>
    </row>
    <row r="1202" spans="1:13" ht="12.75" hidden="1" customHeight="1">
      <c r="A1202" t="s">
        <v>810</v>
      </c>
      <c r="B1202" t="s">
        <v>54</v>
      </c>
      <c r="C1202" t="s">
        <v>141</v>
      </c>
      <c r="D1202" t="s">
        <v>1118</v>
      </c>
      <c r="E1202" s="1">
        <v>45782</v>
      </c>
      <c r="F1202" s="1">
        <v>45782</v>
      </c>
      <c r="G1202" s="12">
        <v>98</v>
      </c>
      <c r="H1202" s="2">
        <v>0</v>
      </c>
      <c r="I1202" s="2">
        <v>0</v>
      </c>
      <c r="J1202" s="2">
        <v>0</v>
      </c>
      <c r="K1202" s="20">
        <v>98</v>
      </c>
      <c r="L1202" t="s">
        <v>794</v>
      </c>
      <c r="M1202">
        <f t="shared" si="18"/>
        <v>2025</v>
      </c>
    </row>
    <row r="1203" spans="1:13" ht="12.75" hidden="1" customHeight="1">
      <c r="A1203" t="s">
        <v>814</v>
      </c>
      <c r="B1203" t="s">
        <v>56</v>
      </c>
      <c r="C1203" t="s">
        <v>398</v>
      </c>
      <c r="D1203" t="s">
        <v>1118</v>
      </c>
      <c r="E1203" s="1">
        <v>45782</v>
      </c>
      <c r="F1203" s="1">
        <v>45782</v>
      </c>
      <c r="G1203" s="12">
        <v>70</v>
      </c>
      <c r="H1203" s="2">
        <v>0</v>
      </c>
      <c r="I1203" s="2">
        <v>0</v>
      </c>
      <c r="J1203" s="2">
        <v>0</v>
      </c>
      <c r="K1203" s="20">
        <v>70</v>
      </c>
      <c r="L1203" t="s">
        <v>794</v>
      </c>
      <c r="M1203">
        <f t="shared" si="18"/>
        <v>2025</v>
      </c>
    </row>
    <row r="1204" spans="1:13" ht="12.75" hidden="1" customHeight="1">
      <c r="A1204" t="s">
        <v>818</v>
      </c>
      <c r="B1204" t="s">
        <v>30</v>
      </c>
      <c r="C1204" t="s">
        <v>141</v>
      </c>
      <c r="D1204" t="s">
        <v>1118</v>
      </c>
      <c r="E1204" s="1">
        <v>45782</v>
      </c>
      <c r="F1204" s="1">
        <v>45782</v>
      </c>
      <c r="G1204" s="12">
        <v>218</v>
      </c>
      <c r="H1204" s="2">
        <v>0</v>
      </c>
      <c r="I1204" s="2">
        <v>0</v>
      </c>
      <c r="J1204" s="2">
        <v>0</v>
      </c>
      <c r="K1204" s="20">
        <v>218</v>
      </c>
      <c r="L1204" t="s">
        <v>794</v>
      </c>
      <c r="M1204">
        <f t="shared" si="18"/>
        <v>2025</v>
      </c>
    </row>
    <row r="1205" spans="1:13" ht="12.75" hidden="1" customHeight="1">
      <c r="A1205" t="s">
        <v>812</v>
      </c>
      <c r="B1205" t="s">
        <v>31</v>
      </c>
      <c r="C1205" t="s">
        <v>141</v>
      </c>
      <c r="D1205" t="s">
        <v>1118</v>
      </c>
      <c r="E1205" s="1">
        <v>45782</v>
      </c>
      <c r="F1205" s="1">
        <v>45782</v>
      </c>
      <c r="G1205" s="12">
        <v>226</v>
      </c>
      <c r="H1205" s="2">
        <v>0</v>
      </c>
      <c r="I1205" s="2">
        <v>0</v>
      </c>
      <c r="J1205" s="2">
        <v>0</v>
      </c>
      <c r="K1205" s="20">
        <v>226</v>
      </c>
      <c r="L1205" t="s">
        <v>794</v>
      </c>
      <c r="M1205">
        <f t="shared" si="18"/>
        <v>2025</v>
      </c>
    </row>
    <row r="1206" spans="1:13" ht="12.75" hidden="1" customHeight="1">
      <c r="A1206" t="s">
        <v>907</v>
      </c>
      <c r="B1206" t="s">
        <v>291</v>
      </c>
      <c r="C1206" t="s">
        <v>483</v>
      </c>
      <c r="D1206" t="s">
        <v>1118</v>
      </c>
      <c r="E1206" s="1">
        <v>45782</v>
      </c>
      <c r="F1206" s="1">
        <v>45782</v>
      </c>
      <c r="G1206" s="12">
        <v>57.6</v>
      </c>
      <c r="H1206" s="2">
        <v>0</v>
      </c>
      <c r="I1206" s="2">
        <v>0</v>
      </c>
      <c r="J1206" s="2">
        <v>0</v>
      </c>
      <c r="K1206" s="20">
        <v>57.6</v>
      </c>
      <c r="L1206" t="s">
        <v>794</v>
      </c>
      <c r="M1206">
        <f t="shared" si="18"/>
        <v>2025</v>
      </c>
    </row>
    <row r="1207" spans="1:13" ht="12.75" hidden="1" customHeight="1">
      <c r="A1207" t="s">
        <v>1121</v>
      </c>
      <c r="B1207" t="s">
        <v>295</v>
      </c>
      <c r="C1207" t="s">
        <v>142</v>
      </c>
      <c r="D1207" t="s">
        <v>1118</v>
      </c>
      <c r="E1207" s="1">
        <v>45782</v>
      </c>
      <c r="F1207" s="1">
        <v>45782</v>
      </c>
      <c r="G1207" s="12">
        <v>35</v>
      </c>
      <c r="H1207" s="2">
        <v>0</v>
      </c>
      <c r="I1207" s="2">
        <v>0</v>
      </c>
      <c r="J1207" s="2">
        <v>0</v>
      </c>
      <c r="K1207" s="20">
        <v>35</v>
      </c>
      <c r="L1207" t="s">
        <v>794</v>
      </c>
      <c r="M1207">
        <f t="shared" si="18"/>
        <v>2025</v>
      </c>
    </row>
    <row r="1208" spans="1:13" ht="12.75" hidden="1" customHeight="1">
      <c r="A1208" t="s">
        <v>808</v>
      </c>
      <c r="B1208" t="s">
        <v>154</v>
      </c>
      <c r="C1208" t="s">
        <v>693</v>
      </c>
      <c r="D1208" t="s">
        <v>1118</v>
      </c>
      <c r="E1208" s="1">
        <v>45782</v>
      </c>
      <c r="F1208" s="1">
        <v>45782</v>
      </c>
      <c r="G1208" s="12">
        <v>440</v>
      </c>
      <c r="H1208" s="2">
        <v>0</v>
      </c>
      <c r="I1208" s="2">
        <v>0</v>
      </c>
      <c r="J1208" s="2">
        <v>0</v>
      </c>
      <c r="K1208" s="20">
        <v>440</v>
      </c>
      <c r="L1208" t="s">
        <v>794</v>
      </c>
      <c r="M1208">
        <f t="shared" si="18"/>
        <v>2025</v>
      </c>
    </row>
    <row r="1209" spans="1:13" ht="12.75" hidden="1" customHeight="1">
      <c r="A1209" t="s">
        <v>921</v>
      </c>
      <c r="B1209" t="s">
        <v>184</v>
      </c>
      <c r="C1209" t="s">
        <v>483</v>
      </c>
      <c r="D1209" t="s">
        <v>1118</v>
      </c>
      <c r="E1209" s="1">
        <v>45782</v>
      </c>
      <c r="F1209" s="1">
        <v>45782</v>
      </c>
      <c r="G1209" s="12">
        <v>91.960000000000008</v>
      </c>
      <c r="H1209" s="2">
        <v>0</v>
      </c>
      <c r="I1209" s="2">
        <v>0</v>
      </c>
      <c r="J1209" s="2">
        <v>0</v>
      </c>
      <c r="K1209" s="20">
        <v>91.960000000000008</v>
      </c>
      <c r="L1209" t="s">
        <v>794</v>
      </c>
      <c r="M1209">
        <f t="shared" si="18"/>
        <v>2025</v>
      </c>
    </row>
    <row r="1210" spans="1:13" ht="12.75" hidden="1" customHeight="1">
      <c r="A1210" t="s">
        <v>921</v>
      </c>
      <c r="B1210" t="s">
        <v>184</v>
      </c>
      <c r="C1210" t="s">
        <v>483</v>
      </c>
      <c r="D1210" t="s">
        <v>1025</v>
      </c>
      <c r="E1210" s="1">
        <v>45776</v>
      </c>
      <c r="F1210" s="1">
        <v>45782</v>
      </c>
      <c r="G1210" s="12">
        <v>51.4</v>
      </c>
      <c r="H1210" s="2">
        <v>0</v>
      </c>
      <c r="I1210" s="2">
        <v>0</v>
      </c>
      <c r="J1210" s="2">
        <v>0</v>
      </c>
      <c r="K1210" s="20">
        <v>51.4</v>
      </c>
      <c r="L1210" t="s">
        <v>794</v>
      </c>
      <c r="M1210">
        <f t="shared" si="18"/>
        <v>2025</v>
      </c>
    </row>
    <row r="1211" spans="1:13" ht="12.75" hidden="1" customHeight="1">
      <c r="A1211" t="s">
        <v>801</v>
      </c>
      <c r="B1211" t="s">
        <v>13</v>
      </c>
      <c r="C1211" t="s">
        <v>726</v>
      </c>
      <c r="D1211" t="s">
        <v>1118</v>
      </c>
      <c r="E1211" s="1">
        <v>45782</v>
      </c>
      <c r="F1211" s="1">
        <v>45782</v>
      </c>
      <c r="G1211" s="12">
        <v>40.800000000000004</v>
      </c>
      <c r="H1211" s="2">
        <v>0</v>
      </c>
      <c r="I1211" s="2">
        <v>0</v>
      </c>
      <c r="J1211" s="2">
        <v>0</v>
      </c>
      <c r="K1211" s="20">
        <v>40.800000000000004</v>
      </c>
      <c r="L1211" t="s">
        <v>794</v>
      </c>
      <c r="M1211">
        <f t="shared" si="18"/>
        <v>2025</v>
      </c>
    </row>
    <row r="1212" spans="1:13" ht="12.75" hidden="1" customHeight="1">
      <c r="A1212" t="s">
        <v>801</v>
      </c>
      <c r="B1212" t="s">
        <v>13</v>
      </c>
      <c r="C1212" t="s">
        <v>739</v>
      </c>
      <c r="D1212" t="s">
        <v>1118</v>
      </c>
      <c r="E1212" s="1">
        <v>45782</v>
      </c>
      <c r="F1212" s="1">
        <v>45782</v>
      </c>
      <c r="G1212" s="12">
        <v>79.19</v>
      </c>
      <c r="H1212" s="2">
        <v>0</v>
      </c>
      <c r="I1212" s="2">
        <v>0</v>
      </c>
      <c r="J1212" s="2">
        <v>0</v>
      </c>
      <c r="K1212" s="20">
        <v>79.19</v>
      </c>
      <c r="L1212" t="s">
        <v>794</v>
      </c>
      <c r="M1212">
        <f t="shared" si="18"/>
        <v>2025</v>
      </c>
    </row>
    <row r="1213" spans="1:13" ht="12.75" hidden="1" customHeight="1">
      <c r="A1213" t="s">
        <v>801</v>
      </c>
      <c r="B1213" t="s">
        <v>13</v>
      </c>
      <c r="C1213" t="s">
        <v>740</v>
      </c>
      <c r="D1213" t="s">
        <v>1118</v>
      </c>
      <c r="E1213" s="1">
        <v>45782</v>
      </c>
      <c r="F1213" s="1">
        <v>45782</v>
      </c>
      <c r="G1213" s="12">
        <v>108.36</v>
      </c>
      <c r="H1213" s="2">
        <v>0</v>
      </c>
      <c r="I1213" s="2">
        <v>0</v>
      </c>
      <c r="J1213" s="2">
        <v>0</v>
      </c>
      <c r="K1213" s="20">
        <v>108.36</v>
      </c>
      <c r="L1213" t="s">
        <v>794</v>
      </c>
      <c r="M1213">
        <f t="shared" si="18"/>
        <v>2025</v>
      </c>
    </row>
    <row r="1214" spans="1:13" ht="12.75" hidden="1" customHeight="1">
      <c r="A1214" t="s">
        <v>1122</v>
      </c>
      <c r="B1214" t="s">
        <v>494</v>
      </c>
      <c r="C1214" t="s">
        <v>452</v>
      </c>
      <c r="D1214" t="s">
        <v>1118</v>
      </c>
      <c r="E1214" s="1">
        <v>45782</v>
      </c>
      <c r="F1214" s="1">
        <v>45782</v>
      </c>
      <c r="G1214" s="12">
        <v>149</v>
      </c>
      <c r="H1214" s="2">
        <v>0</v>
      </c>
      <c r="I1214" s="2">
        <v>0</v>
      </c>
      <c r="J1214" s="2">
        <v>0</v>
      </c>
      <c r="K1214" s="20">
        <v>149</v>
      </c>
      <c r="L1214" t="s">
        <v>794</v>
      </c>
      <c r="M1214">
        <f t="shared" si="18"/>
        <v>2025</v>
      </c>
    </row>
    <row r="1215" spans="1:13" ht="12.75" hidden="1" customHeight="1">
      <c r="A1215" t="s">
        <v>801</v>
      </c>
      <c r="B1215" t="s">
        <v>13</v>
      </c>
      <c r="C1215" t="s">
        <v>726</v>
      </c>
      <c r="D1215" t="s">
        <v>1118</v>
      </c>
      <c r="E1215" s="1">
        <v>45783</v>
      </c>
      <c r="F1215" s="1">
        <v>45783</v>
      </c>
      <c r="G1215" s="12">
        <v>6.12</v>
      </c>
      <c r="H1215" s="2">
        <v>0</v>
      </c>
      <c r="I1215" s="2">
        <v>0</v>
      </c>
      <c r="J1215" s="2">
        <v>0</v>
      </c>
      <c r="K1215" s="20">
        <v>6.12</v>
      </c>
      <c r="L1215" t="s">
        <v>794</v>
      </c>
      <c r="M1215">
        <f t="shared" si="18"/>
        <v>2025</v>
      </c>
    </row>
    <row r="1216" spans="1:13" ht="12.75" hidden="1" customHeight="1">
      <c r="A1216" t="s">
        <v>947</v>
      </c>
      <c r="B1216" t="s">
        <v>162</v>
      </c>
      <c r="C1216" t="s">
        <v>204</v>
      </c>
      <c r="D1216" t="s">
        <v>1118</v>
      </c>
      <c r="E1216" s="1">
        <v>45783</v>
      </c>
      <c r="F1216" s="1">
        <v>45783</v>
      </c>
      <c r="G1216" s="12">
        <v>1317.8500000000001</v>
      </c>
      <c r="H1216" s="2">
        <v>0</v>
      </c>
      <c r="I1216" s="2">
        <v>0</v>
      </c>
      <c r="J1216" s="2">
        <v>0</v>
      </c>
      <c r="K1216" s="20">
        <v>1317.8500000000001</v>
      </c>
      <c r="L1216" t="s">
        <v>794</v>
      </c>
      <c r="M1216">
        <f t="shared" si="18"/>
        <v>2025</v>
      </c>
    </row>
    <row r="1217" spans="1:13" ht="12.75" hidden="1" customHeight="1">
      <c r="A1217" t="s">
        <v>836</v>
      </c>
      <c r="B1217" t="s">
        <v>262</v>
      </c>
      <c r="C1217" t="s">
        <v>138</v>
      </c>
      <c r="D1217" t="s">
        <v>1118</v>
      </c>
      <c r="E1217" s="1">
        <v>45783</v>
      </c>
      <c r="F1217" s="1">
        <v>45783</v>
      </c>
      <c r="G1217" s="12">
        <v>242.4</v>
      </c>
      <c r="H1217" s="2">
        <v>0</v>
      </c>
      <c r="I1217" s="2">
        <v>0</v>
      </c>
      <c r="J1217" s="2">
        <v>0</v>
      </c>
      <c r="K1217" s="20">
        <v>242.4</v>
      </c>
      <c r="L1217" t="s">
        <v>794</v>
      </c>
      <c r="M1217">
        <f t="shared" si="18"/>
        <v>2025</v>
      </c>
    </row>
    <row r="1218" spans="1:13" ht="12.75" hidden="1" customHeight="1">
      <c r="A1218" t="s">
        <v>836</v>
      </c>
      <c r="B1218" t="s">
        <v>262</v>
      </c>
      <c r="C1218" t="s">
        <v>139</v>
      </c>
      <c r="D1218" t="s">
        <v>1118</v>
      </c>
      <c r="E1218" s="1">
        <v>45783</v>
      </c>
      <c r="F1218" s="1">
        <v>45783</v>
      </c>
      <c r="G1218" s="12">
        <v>354</v>
      </c>
      <c r="H1218" s="2">
        <v>0</v>
      </c>
      <c r="I1218" s="2">
        <v>0</v>
      </c>
      <c r="J1218" s="2">
        <v>0</v>
      </c>
      <c r="K1218" s="20">
        <v>354</v>
      </c>
      <c r="L1218" t="s">
        <v>794</v>
      </c>
      <c r="M1218">
        <f t="shared" si="18"/>
        <v>2025</v>
      </c>
    </row>
    <row r="1219" spans="1:13" ht="12.75" hidden="1" customHeight="1">
      <c r="A1219" t="s">
        <v>837</v>
      </c>
      <c r="B1219" t="s">
        <v>58</v>
      </c>
      <c r="C1219" t="s">
        <v>206</v>
      </c>
      <c r="D1219" t="s">
        <v>1118</v>
      </c>
      <c r="E1219" s="1">
        <v>45783</v>
      </c>
      <c r="F1219" s="1">
        <v>45783</v>
      </c>
      <c r="G1219" s="12">
        <v>1915.32</v>
      </c>
      <c r="H1219" s="2">
        <v>0</v>
      </c>
      <c r="I1219" s="2">
        <v>0</v>
      </c>
      <c r="J1219" s="2">
        <v>0</v>
      </c>
      <c r="K1219" s="20">
        <v>1915.32</v>
      </c>
      <c r="L1219" t="s">
        <v>794</v>
      </c>
      <c r="M1219">
        <f t="shared" ref="M1219:M1282" si="19">YEAR(F1219)</f>
        <v>2025</v>
      </c>
    </row>
    <row r="1220" spans="1:13" ht="12.75" hidden="1" customHeight="1">
      <c r="A1220" t="s">
        <v>939</v>
      </c>
      <c r="B1220" t="s">
        <v>72</v>
      </c>
      <c r="C1220" t="s">
        <v>722</v>
      </c>
      <c r="D1220" t="s">
        <v>1118</v>
      </c>
      <c r="E1220" s="1">
        <v>45783</v>
      </c>
      <c r="F1220" s="1">
        <v>45783</v>
      </c>
      <c r="G1220" s="12">
        <v>1409.45</v>
      </c>
      <c r="H1220" s="2">
        <v>0</v>
      </c>
      <c r="I1220" s="2">
        <v>0</v>
      </c>
      <c r="J1220" s="2">
        <v>0</v>
      </c>
      <c r="K1220" s="20">
        <v>1409.45</v>
      </c>
      <c r="L1220" t="s">
        <v>794</v>
      </c>
      <c r="M1220">
        <f t="shared" si="19"/>
        <v>2025</v>
      </c>
    </row>
    <row r="1221" spans="1:13" ht="12.75" hidden="1" customHeight="1">
      <c r="A1221" t="s">
        <v>912</v>
      </c>
      <c r="B1221" t="s">
        <v>260</v>
      </c>
      <c r="C1221" t="s">
        <v>141</v>
      </c>
      <c r="D1221" t="s">
        <v>1118</v>
      </c>
      <c r="E1221" s="1">
        <v>45783</v>
      </c>
      <c r="F1221" s="1">
        <v>45783</v>
      </c>
      <c r="G1221" s="12">
        <v>440</v>
      </c>
      <c r="H1221" s="2">
        <v>0</v>
      </c>
      <c r="I1221" s="2">
        <v>0</v>
      </c>
      <c r="J1221" s="2">
        <v>0</v>
      </c>
      <c r="K1221" s="20">
        <v>440</v>
      </c>
      <c r="L1221" t="s">
        <v>794</v>
      </c>
      <c r="M1221">
        <f t="shared" si="19"/>
        <v>2025</v>
      </c>
    </row>
    <row r="1222" spans="1:13" ht="12.75" hidden="1" customHeight="1">
      <c r="A1222" t="s">
        <v>1009</v>
      </c>
      <c r="B1222" t="s">
        <v>62</v>
      </c>
      <c r="C1222" t="s">
        <v>491</v>
      </c>
      <c r="D1222" t="s">
        <v>1118</v>
      </c>
      <c r="E1222" s="1">
        <v>45783</v>
      </c>
      <c r="F1222" s="1">
        <v>45783</v>
      </c>
      <c r="G1222" s="12">
        <v>27</v>
      </c>
      <c r="H1222" s="2">
        <v>0</v>
      </c>
      <c r="I1222" s="2">
        <v>0</v>
      </c>
      <c r="J1222" s="2">
        <v>0</v>
      </c>
      <c r="K1222" s="20">
        <v>27</v>
      </c>
      <c r="L1222" t="s">
        <v>794</v>
      </c>
      <c r="M1222">
        <f t="shared" si="19"/>
        <v>2025</v>
      </c>
    </row>
    <row r="1223" spans="1:13" ht="12.75" hidden="1" customHeight="1">
      <c r="A1223" t="s">
        <v>1108</v>
      </c>
      <c r="B1223" t="s">
        <v>328</v>
      </c>
      <c r="C1223" t="s">
        <v>483</v>
      </c>
      <c r="D1223" t="s">
        <v>1118</v>
      </c>
      <c r="E1223" s="1">
        <v>45783</v>
      </c>
      <c r="F1223" s="1">
        <v>45783</v>
      </c>
      <c r="G1223" s="12">
        <v>34.81</v>
      </c>
      <c r="H1223" s="2">
        <v>0</v>
      </c>
      <c r="I1223" s="2">
        <v>0</v>
      </c>
      <c r="J1223" s="2">
        <v>0</v>
      </c>
      <c r="K1223" s="20">
        <v>34.81</v>
      </c>
      <c r="L1223" t="s">
        <v>794</v>
      </c>
      <c r="M1223">
        <f t="shared" si="19"/>
        <v>2025</v>
      </c>
    </row>
    <row r="1224" spans="1:13" ht="12.75" hidden="1" customHeight="1">
      <c r="A1224" t="s">
        <v>940</v>
      </c>
      <c r="B1224" t="s">
        <v>29</v>
      </c>
      <c r="C1224" t="s">
        <v>206</v>
      </c>
      <c r="D1224" t="s">
        <v>1118</v>
      </c>
      <c r="E1224" s="1">
        <v>45783</v>
      </c>
      <c r="F1224" s="1">
        <v>45783</v>
      </c>
      <c r="G1224" s="12">
        <v>1802.1000000000001</v>
      </c>
      <c r="H1224" s="2">
        <v>0</v>
      </c>
      <c r="I1224" s="2">
        <v>0</v>
      </c>
      <c r="J1224" s="2">
        <v>0</v>
      </c>
      <c r="K1224" s="20">
        <v>1802.1000000000001</v>
      </c>
      <c r="L1224" t="s">
        <v>794</v>
      </c>
      <c r="M1224">
        <f t="shared" si="19"/>
        <v>2025</v>
      </c>
    </row>
    <row r="1225" spans="1:13" ht="12.75" hidden="1" customHeight="1">
      <c r="A1225" t="s">
        <v>940</v>
      </c>
      <c r="B1225" t="s">
        <v>29</v>
      </c>
      <c r="C1225" t="s">
        <v>206</v>
      </c>
      <c r="D1225" t="s">
        <v>1118</v>
      </c>
      <c r="E1225" s="1">
        <v>45783</v>
      </c>
      <c r="F1225" s="1">
        <v>45783</v>
      </c>
      <c r="G1225" s="12">
        <v>792</v>
      </c>
      <c r="H1225" s="2">
        <v>0</v>
      </c>
      <c r="I1225" s="2">
        <v>0</v>
      </c>
      <c r="J1225" s="2">
        <v>0</v>
      </c>
      <c r="K1225" s="20">
        <v>792</v>
      </c>
      <c r="L1225" t="s">
        <v>794</v>
      </c>
      <c r="M1225">
        <f t="shared" si="19"/>
        <v>2025</v>
      </c>
    </row>
    <row r="1226" spans="1:13" ht="12.75" hidden="1" customHeight="1">
      <c r="A1226" t="s">
        <v>940</v>
      </c>
      <c r="B1226" t="s">
        <v>29</v>
      </c>
      <c r="C1226" t="s">
        <v>206</v>
      </c>
      <c r="D1226" t="s">
        <v>1118</v>
      </c>
      <c r="E1226" s="1">
        <v>45783</v>
      </c>
      <c r="F1226" s="1">
        <v>45783</v>
      </c>
      <c r="G1226" s="12">
        <v>1208</v>
      </c>
      <c r="H1226" s="2">
        <v>0</v>
      </c>
      <c r="I1226" s="2">
        <v>0</v>
      </c>
      <c r="J1226" s="2">
        <v>0</v>
      </c>
      <c r="K1226" s="20">
        <v>1208</v>
      </c>
      <c r="L1226" t="s">
        <v>794</v>
      </c>
      <c r="M1226">
        <f t="shared" si="19"/>
        <v>2025</v>
      </c>
    </row>
    <row r="1227" spans="1:13" ht="12.75" hidden="1" customHeight="1">
      <c r="A1227" t="s">
        <v>940</v>
      </c>
      <c r="B1227" t="s">
        <v>29</v>
      </c>
      <c r="C1227" t="s">
        <v>206</v>
      </c>
      <c r="D1227" t="s">
        <v>1118</v>
      </c>
      <c r="E1227" s="1">
        <v>45783</v>
      </c>
      <c r="F1227" s="1">
        <v>45783</v>
      </c>
      <c r="G1227" s="12">
        <v>1197.9000000000001</v>
      </c>
      <c r="H1227" s="2">
        <v>0</v>
      </c>
      <c r="I1227" s="2">
        <v>0</v>
      </c>
      <c r="J1227" s="2">
        <v>0</v>
      </c>
      <c r="K1227" s="20">
        <v>1197.9000000000001</v>
      </c>
      <c r="L1227" t="s">
        <v>794</v>
      </c>
      <c r="M1227">
        <f t="shared" si="19"/>
        <v>2025</v>
      </c>
    </row>
    <row r="1228" spans="1:13" ht="12.75" hidden="1" customHeight="1">
      <c r="A1228" t="s">
        <v>801</v>
      </c>
      <c r="B1228" t="s">
        <v>13</v>
      </c>
      <c r="C1228" t="s">
        <v>726</v>
      </c>
      <c r="D1228" t="s">
        <v>1118</v>
      </c>
      <c r="E1228" s="1">
        <v>45783</v>
      </c>
      <c r="F1228" s="1">
        <v>45783</v>
      </c>
      <c r="G1228" s="12">
        <v>65.28</v>
      </c>
      <c r="H1228" s="2">
        <v>0</v>
      </c>
      <c r="I1228" s="2">
        <v>0</v>
      </c>
      <c r="J1228" s="2">
        <v>0</v>
      </c>
      <c r="K1228" s="20">
        <v>65.28</v>
      </c>
      <c r="L1228" t="s">
        <v>794</v>
      </c>
      <c r="M1228">
        <f t="shared" si="19"/>
        <v>2025</v>
      </c>
    </row>
    <row r="1229" spans="1:13" ht="12.75" hidden="1" customHeight="1">
      <c r="A1229" t="s">
        <v>952</v>
      </c>
      <c r="B1229" t="s">
        <v>27</v>
      </c>
      <c r="C1229" t="s">
        <v>137</v>
      </c>
      <c r="D1229" t="s">
        <v>1025</v>
      </c>
      <c r="E1229" s="1">
        <v>45784</v>
      </c>
      <c r="F1229" s="1">
        <v>45784</v>
      </c>
      <c r="G1229" s="12">
        <v>340</v>
      </c>
      <c r="H1229" s="2">
        <v>0</v>
      </c>
      <c r="I1229" s="2">
        <v>0</v>
      </c>
      <c r="J1229" s="2">
        <v>0</v>
      </c>
      <c r="K1229" s="20">
        <v>340</v>
      </c>
      <c r="L1229" t="s">
        <v>794</v>
      </c>
      <c r="M1229">
        <f t="shared" si="19"/>
        <v>2025</v>
      </c>
    </row>
    <row r="1230" spans="1:13" ht="12.75" hidden="1" customHeight="1">
      <c r="A1230" t="s">
        <v>922</v>
      </c>
      <c r="B1230" t="s">
        <v>149</v>
      </c>
      <c r="C1230" t="s">
        <v>137</v>
      </c>
      <c r="D1230" t="s">
        <v>1118</v>
      </c>
      <c r="E1230" s="1">
        <v>45784</v>
      </c>
      <c r="F1230" s="1">
        <v>45784</v>
      </c>
      <c r="G1230" s="12">
        <v>1318</v>
      </c>
      <c r="H1230" s="2">
        <v>0</v>
      </c>
      <c r="I1230" s="2">
        <v>0</v>
      </c>
      <c r="J1230" s="2">
        <v>0</v>
      </c>
      <c r="K1230" s="20">
        <v>1318</v>
      </c>
      <c r="L1230" t="s">
        <v>794</v>
      </c>
      <c r="M1230">
        <f t="shared" si="19"/>
        <v>2025</v>
      </c>
    </row>
    <row r="1231" spans="1:13" ht="12.75" hidden="1" customHeight="1">
      <c r="A1231" t="s">
        <v>827</v>
      </c>
      <c r="B1231" t="s">
        <v>53</v>
      </c>
      <c r="C1231" t="s">
        <v>137</v>
      </c>
      <c r="D1231" t="s">
        <v>1118</v>
      </c>
      <c r="E1231" s="1">
        <v>45784</v>
      </c>
      <c r="F1231" s="1">
        <v>45784</v>
      </c>
      <c r="G1231" s="12">
        <v>1616</v>
      </c>
      <c r="H1231" s="2">
        <v>0</v>
      </c>
      <c r="I1231" s="2">
        <v>0</v>
      </c>
      <c r="J1231" s="2">
        <v>0</v>
      </c>
      <c r="K1231" s="20">
        <v>1616</v>
      </c>
      <c r="L1231" t="s">
        <v>794</v>
      </c>
      <c r="M1231">
        <f t="shared" si="19"/>
        <v>2025</v>
      </c>
    </row>
    <row r="1232" spans="1:13" ht="12.75" hidden="1" customHeight="1">
      <c r="A1232" t="s">
        <v>1029</v>
      </c>
      <c r="B1232" t="s">
        <v>114</v>
      </c>
      <c r="C1232" t="s">
        <v>137</v>
      </c>
      <c r="D1232" t="s">
        <v>1118</v>
      </c>
      <c r="E1232" s="1">
        <v>45784</v>
      </c>
      <c r="F1232" s="1">
        <v>45784</v>
      </c>
      <c r="G1232" s="12">
        <v>1491</v>
      </c>
      <c r="H1232" s="2">
        <v>0</v>
      </c>
      <c r="I1232" s="2">
        <v>0</v>
      </c>
      <c r="J1232" s="2">
        <v>0</v>
      </c>
      <c r="K1232" s="20">
        <v>1491</v>
      </c>
      <c r="L1232" t="s">
        <v>794</v>
      </c>
      <c r="M1232">
        <f t="shared" si="19"/>
        <v>2025</v>
      </c>
    </row>
    <row r="1233" spans="1:13" ht="12.75" hidden="1" customHeight="1">
      <c r="A1233" t="s">
        <v>1072</v>
      </c>
      <c r="B1233" t="s">
        <v>177</v>
      </c>
      <c r="C1233" t="s">
        <v>137</v>
      </c>
      <c r="D1233" t="s">
        <v>1118</v>
      </c>
      <c r="E1233" s="1">
        <v>45784</v>
      </c>
      <c r="F1233" s="1">
        <v>45784</v>
      </c>
      <c r="G1233" s="12">
        <v>1422</v>
      </c>
      <c r="H1233" s="2">
        <v>0</v>
      </c>
      <c r="I1233" s="2">
        <v>0</v>
      </c>
      <c r="J1233" s="2">
        <v>0</v>
      </c>
      <c r="K1233" s="20">
        <v>1422</v>
      </c>
      <c r="L1233" t="s">
        <v>794</v>
      </c>
      <c r="M1233">
        <f t="shared" si="19"/>
        <v>2025</v>
      </c>
    </row>
    <row r="1234" spans="1:13" ht="12.75" hidden="1" customHeight="1">
      <c r="A1234" t="s">
        <v>1002</v>
      </c>
      <c r="B1234" t="s">
        <v>39</v>
      </c>
      <c r="C1234" t="s">
        <v>137</v>
      </c>
      <c r="D1234" t="s">
        <v>1118</v>
      </c>
      <c r="E1234" s="1">
        <v>45784</v>
      </c>
      <c r="F1234" s="1">
        <v>45784</v>
      </c>
      <c r="G1234" s="12">
        <v>1411</v>
      </c>
      <c r="H1234" s="2">
        <v>0</v>
      </c>
      <c r="I1234" s="2">
        <v>0</v>
      </c>
      <c r="J1234" s="2">
        <v>0</v>
      </c>
      <c r="K1234" s="20">
        <v>1411</v>
      </c>
      <c r="L1234" t="s">
        <v>794</v>
      </c>
      <c r="M1234">
        <f t="shared" si="19"/>
        <v>2025</v>
      </c>
    </row>
    <row r="1235" spans="1:13" ht="12.75" hidden="1" customHeight="1">
      <c r="A1235" t="s">
        <v>1000</v>
      </c>
      <c r="B1235" t="s">
        <v>31</v>
      </c>
      <c r="C1235" t="s">
        <v>137</v>
      </c>
      <c r="D1235" t="s">
        <v>1118</v>
      </c>
      <c r="E1235" s="1">
        <v>45784</v>
      </c>
      <c r="F1235" s="1">
        <v>45784</v>
      </c>
      <c r="G1235" s="12">
        <v>1748</v>
      </c>
      <c r="H1235" s="2">
        <v>0</v>
      </c>
      <c r="I1235" s="2">
        <v>0</v>
      </c>
      <c r="J1235" s="2">
        <v>0</v>
      </c>
      <c r="K1235" s="20">
        <v>1748</v>
      </c>
      <c r="L1235" t="s">
        <v>794</v>
      </c>
      <c r="M1235">
        <f t="shared" si="19"/>
        <v>2025</v>
      </c>
    </row>
    <row r="1236" spans="1:13" ht="12.75" hidden="1" customHeight="1">
      <c r="A1236" t="s">
        <v>856</v>
      </c>
      <c r="B1236" t="s">
        <v>379</v>
      </c>
      <c r="C1236" t="s">
        <v>137</v>
      </c>
      <c r="D1236" t="s">
        <v>1118</v>
      </c>
      <c r="E1236" s="1">
        <v>45784</v>
      </c>
      <c r="F1236" s="1">
        <v>45784</v>
      </c>
      <c r="G1236" s="12">
        <v>115.8</v>
      </c>
      <c r="H1236" s="2">
        <v>0</v>
      </c>
      <c r="I1236" s="2">
        <v>0</v>
      </c>
      <c r="J1236" s="2">
        <v>0</v>
      </c>
      <c r="K1236" s="20">
        <v>115.8</v>
      </c>
      <c r="L1236" t="s">
        <v>794</v>
      </c>
      <c r="M1236">
        <f t="shared" si="19"/>
        <v>2025</v>
      </c>
    </row>
    <row r="1237" spans="1:13" ht="12.75" hidden="1" customHeight="1">
      <c r="A1237" t="s">
        <v>948</v>
      </c>
      <c r="B1237" t="s">
        <v>51</v>
      </c>
      <c r="C1237" t="s">
        <v>744</v>
      </c>
      <c r="D1237" t="s">
        <v>1118</v>
      </c>
      <c r="E1237" s="1">
        <v>45784</v>
      </c>
      <c r="F1237" s="1">
        <v>45784</v>
      </c>
      <c r="G1237" s="12">
        <v>955.98</v>
      </c>
      <c r="H1237" s="2">
        <v>0</v>
      </c>
      <c r="I1237" s="2">
        <v>0</v>
      </c>
      <c r="J1237" s="2">
        <v>0</v>
      </c>
      <c r="K1237" s="20">
        <v>955.98</v>
      </c>
      <c r="L1237" t="s">
        <v>794</v>
      </c>
      <c r="M1237">
        <f t="shared" si="19"/>
        <v>2025</v>
      </c>
    </row>
    <row r="1238" spans="1:13" ht="12.75" hidden="1" customHeight="1">
      <c r="A1238" t="s">
        <v>1030</v>
      </c>
      <c r="B1238" t="s">
        <v>1031</v>
      </c>
      <c r="C1238" t="s">
        <v>137</v>
      </c>
      <c r="D1238" t="s">
        <v>1118</v>
      </c>
      <c r="E1238" s="1">
        <v>45784</v>
      </c>
      <c r="F1238" s="1">
        <v>45784</v>
      </c>
      <c r="G1238" s="12">
        <v>1690</v>
      </c>
      <c r="H1238" s="2">
        <v>0</v>
      </c>
      <c r="I1238" s="2">
        <v>0</v>
      </c>
      <c r="J1238" s="2">
        <v>0</v>
      </c>
      <c r="K1238" s="20">
        <v>1690</v>
      </c>
      <c r="L1238" t="s">
        <v>794</v>
      </c>
      <c r="M1238">
        <f t="shared" si="19"/>
        <v>2025</v>
      </c>
    </row>
    <row r="1239" spans="1:13" ht="12.75" hidden="1" customHeight="1">
      <c r="A1239" t="s">
        <v>948</v>
      </c>
      <c r="B1239" t="s">
        <v>51</v>
      </c>
      <c r="C1239" t="s">
        <v>137</v>
      </c>
      <c r="D1239" t="s">
        <v>1118</v>
      </c>
      <c r="E1239" s="1">
        <v>45784</v>
      </c>
      <c r="F1239" s="1">
        <v>45784</v>
      </c>
      <c r="G1239" s="12">
        <v>2202</v>
      </c>
      <c r="H1239" s="2">
        <v>0</v>
      </c>
      <c r="I1239" s="2">
        <v>0</v>
      </c>
      <c r="J1239" s="2">
        <v>0</v>
      </c>
      <c r="K1239" s="20">
        <v>2202</v>
      </c>
      <c r="L1239" t="s">
        <v>794</v>
      </c>
      <c r="M1239">
        <f t="shared" si="19"/>
        <v>2025</v>
      </c>
    </row>
    <row r="1240" spans="1:13" ht="12.75" hidden="1" customHeight="1">
      <c r="A1240" t="s">
        <v>868</v>
      </c>
      <c r="B1240" t="s">
        <v>255</v>
      </c>
      <c r="C1240" t="s">
        <v>137</v>
      </c>
      <c r="D1240" t="s">
        <v>1118</v>
      </c>
      <c r="E1240" s="1">
        <v>45784</v>
      </c>
      <c r="F1240" s="1">
        <v>45784</v>
      </c>
      <c r="G1240" s="12">
        <v>900</v>
      </c>
      <c r="H1240" s="2">
        <v>0</v>
      </c>
      <c r="I1240" s="2">
        <v>0</v>
      </c>
      <c r="J1240" s="2">
        <v>0</v>
      </c>
      <c r="K1240" s="20">
        <v>900</v>
      </c>
      <c r="L1240" t="s">
        <v>794</v>
      </c>
      <c r="M1240">
        <f t="shared" si="19"/>
        <v>2025</v>
      </c>
    </row>
    <row r="1241" spans="1:13" ht="12.75" hidden="1" customHeight="1">
      <c r="A1241" t="s">
        <v>853</v>
      </c>
      <c r="B1241" t="s">
        <v>330</v>
      </c>
      <c r="C1241" t="s">
        <v>137</v>
      </c>
      <c r="D1241" t="s">
        <v>1118</v>
      </c>
      <c r="E1241" s="1">
        <v>45784</v>
      </c>
      <c r="F1241" s="1">
        <v>45784</v>
      </c>
      <c r="G1241" s="12">
        <v>972</v>
      </c>
      <c r="H1241" s="2">
        <v>0</v>
      </c>
      <c r="I1241" s="2">
        <v>0</v>
      </c>
      <c r="J1241" s="2">
        <v>0</v>
      </c>
      <c r="K1241" s="20">
        <v>972</v>
      </c>
      <c r="L1241" t="s">
        <v>794</v>
      </c>
      <c r="M1241">
        <f t="shared" si="19"/>
        <v>2025</v>
      </c>
    </row>
    <row r="1242" spans="1:13" ht="12.75" hidden="1" customHeight="1">
      <c r="A1242" t="s">
        <v>878</v>
      </c>
      <c r="B1242" t="s">
        <v>108</v>
      </c>
      <c r="C1242" t="s">
        <v>137</v>
      </c>
      <c r="D1242" t="s">
        <v>1118</v>
      </c>
      <c r="E1242" s="1">
        <v>45784</v>
      </c>
      <c r="F1242" s="1">
        <v>45784</v>
      </c>
      <c r="G1242" s="12">
        <v>1036.8</v>
      </c>
      <c r="H1242" s="2">
        <v>0</v>
      </c>
      <c r="I1242" s="2">
        <v>0</v>
      </c>
      <c r="J1242" s="2">
        <v>0</v>
      </c>
      <c r="K1242" s="20">
        <v>1036.8</v>
      </c>
      <c r="L1242" t="s">
        <v>794</v>
      </c>
      <c r="M1242">
        <f t="shared" si="19"/>
        <v>2025</v>
      </c>
    </row>
    <row r="1243" spans="1:13" ht="12.75" hidden="1" customHeight="1">
      <c r="A1243" t="s">
        <v>1075</v>
      </c>
      <c r="B1243" t="s">
        <v>219</v>
      </c>
      <c r="C1243" t="s">
        <v>137</v>
      </c>
      <c r="D1243" t="s">
        <v>1118</v>
      </c>
      <c r="E1243" s="1">
        <v>45784</v>
      </c>
      <c r="F1243" s="1">
        <v>45784</v>
      </c>
      <c r="G1243" s="12">
        <v>1493</v>
      </c>
      <c r="H1243" s="2">
        <v>0</v>
      </c>
      <c r="I1243" s="2">
        <v>0</v>
      </c>
      <c r="J1243" s="2">
        <v>0</v>
      </c>
      <c r="K1243" s="20">
        <v>1493</v>
      </c>
      <c r="L1243" t="s">
        <v>794</v>
      </c>
      <c r="M1243">
        <f t="shared" si="19"/>
        <v>2025</v>
      </c>
    </row>
    <row r="1244" spans="1:13" ht="12.75" hidden="1" customHeight="1">
      <c r="A1244" t="s">
        <v>1076</v>
      </c>
      <c r="B1244" t="s">
        <v>188</v>
      </c>
      <c r="C1244" t="s">
        <v>137</v>
      </c>
      <c r="D1244" t="s">
        <v>1118</v>
      </c>
      <c r="E1244" s="1">
        <v>45784</v>
      </c>
      <c r="F1244" s="1">
        <v>45784</v>
      </c>
      <c r="G1244" s="12">
        <v>1621</v>
      </c>
      <c r="H1244" s="2">
        <v>0</v>
      </c>
      <c r="I1244" s="2">
        <v>0</v>
      </c>
      <c r="J1244" s="2">
        <v>0</v>
      </c>
      <c r="K1244" s="20">
        <v>1621</v>
      </c>
      <c r="L1244" t="s">
        <v>794</v>
      </c>
      <c r="M1244">
        <f t="shared" si="19"/>
        <v>2025</v>
      </c>
    </row>
    <row r="1245" spans="1:13" ht="12.75" hidden="1" customHeight="1">
      <c r="A1245" t="s">
        <v>916</v>
      </c>
      <c r="B1245" t="s">
        <v>198</v>
      </c>
      <c r="C1245" t="s">
        <v>137</v>
      </c>
      <c r="D1245" t="s">
        <v>1118</v>
      </c>
      <c r="E1245" s="1">
        <v>45784</v>
      </c>
      <c r="F1245" s="1">
        <v>45784</v>
      </c>
      <c r="G1245" s="12">
        <v>1541</v>
      </c>
      <c r="H1245" s="2">
        <v>0</v>
      </c>
      <c r="I1245" s="2">
        <v>0</v>
      </c>
      <c r="J1245" s="2">
        <v>0</v>
      </c>
      <c r="K1245" s="20">
        <v>1541</v>
      </c>
      <c r="L1245" t="s">
        <v>794</v>
      </c>
      <c r="M1245">
        <f t="shared" si="19"/>
        <v>2025</v>
      </c>
    </row>
    <row r="1246" spans="1:13" ht="12.75" hidden="1" customHeight="1">
      <c r="A1246" t="s">
        <v>858</v>
      </c>
      <c r="B1246" t="s">
        <v>47</v>
      </c>
      <c r="C1246" t="s">
        <v>137</v>
      </c>
      <c r="D1246" t="s">
        <v>1118</v>
      </c>
      <c r="E1246" s="1">
        <v>45784</v>
      </c>
      <c r="F1246" s="1">
        <v>45784</v>
      </c>
      <c r="G1246" s="12">
        <v>1722</v>
      </c>
      <c r="H1246" s="2">
        <v>0</v>
      </c>
      <c r="I1246" s="2">
        <v>0</v>
      </c>
      <c r="J1246" s="2">
        <v>0</v>
      </c>
      <c r="K1246" s="20">
        <v>1722</v>
      </c>
      <c r="L1246" t="s">
        <v>794</v>
      </c>
      <c r="M1246">
        <f t="shared" si="19"/>
        <v>2025</v>
      </c>
    </row>
    <row r="1247" spans="1:13" ht="12.75" hidden="1" customHeight="1">
      <c r="A1247" t="s">
        <v>814</v>
      </c>
      <c r="B1247" t="s">
        <v>143</v>
      </c>
      <c r="C1247" t="s">
        <v>137</v>
      </c>
      <c r="D1247" t="s">
        <v>1118</v>
      </c>
      <c r="E1247" s="1">
        <v>45784</v>
      </c>
      <c r="F1247" s="1">
        <v>45784</v>
      </c>
      <c r="G1247" s="12">
        <v>1519</v>
      </c>
      <c r="H1247" s="2">
        <v>0</v>
      </c>
      <c r="I1247" s="2">
        <v>0</v>
      </c>
      <c r="J1247" s="2">
        <v>0</v>
      </c>
      <c r="K1247" s="20">
        <v>1519</v>
      </c>
      <c r="L1247" t="s">
        <v>794</v>
      </c>
      <c r="M1247">
        <f t="shared" si="19"/>
        <v>2025</v>
      </c>
    </row>
    <row r="1248" spans="1:13" ht="12.75" hidden="1" customHeight="1">
      <c r="A1248" t="s">
        <v>923</v>
      </c>
      <c r="B1248" t="s">
        <v>90</v>
      </c>
      <c r="C1248" t="s">
        <v>137</v>
      </c>
      <c r="D1248" t="s">
        <v>1118</v>
      </c>
      <c r="E1248" s="1">
        <v>45784</v>
      </c>
      <c r="F1248" s="1">
        <v>45784</v>
      </c>
      <c r="G1248" s="12">
        <v>2251</v>
      </c>
      <c r="H1248" s="2">
        <v>0</v>
      </c>
      <c r="I1248" s="2">
        <v>0</v>
      </c>
      <c r="J1248" s="2">
        <v>0</v>
      </c>
      <c r="K1248" s="20">
        <v>2251</v>
      </c>
      <c r="L1248" t="s">
        <v>794</v>
      </c>
      <c r="M1248">
        <f t="shared" si="19"/>
        <v>2025</v>
      </c>
    </row>
    <row r="1249" spans="1:13" ht="12.75" hidden="1" customHeight="1">
      <c r="A1249" t="s">
        <v>1123</v>
      </c>
      <c r="B1249" t="s">
        <v>1124</v>
      </c>
      <c r="C1249" t="s">
        <v>137</v>
      </c>
      <c r="D1249" t="s">
        <v>1118</v>
      </c>
      <c r="E1249" s="1">
        <v>45784</v>
      </c>
      <c r="F1249" s="1">
        <v>45784</v>
      </c>
      <c r="G1249" s="12">
        <v>1573</v>
      </c>
      <c r="H1249" s="2">
        <v>0</v>
      </c>
      <c r="I1249" s="2">
        <v>0</v>
      </c>
      <c r="J1249" s="2">
        <v>0</v>
      </c>
      <c r="K1249" s="20">
        <v>1573</v>
      </c>
      <c r="L1249" t="s">
        <v>794</v>
      </c>
      <c r="M1249">
        <f t="shared" si="19"/>
        <v>2025</v>
      </c>
    </row>
    <row r="1250" spans="1:13" ht="12.75" hidden="1" customHeight="1">
      <c r="A1250" t="s">
        <v>864</v>
      </c>
      <c r="B1250" t="s">
        <v>918</v>
      </c>
      <c r="C1250" t="s">
        <v>137</v>
      </c>
      <c r="D1250" t="s">
        <v>1118</v>
      </c>
      <c r="E1250" s="1">
        <v>45784</v>
      </c>
      <c r="F1250" s="1">
        <v>45784</v>
      </c>
      <c r="G1250" s="12">
        <v>2148</v>
      </c>
      <c r="H1250" s="2">
        <v>0</v>
      </c>
      <c r="I1250" s="2">
        <v>0</v>
      </c>
      <c r="J1250" s="2">
        <v>0</v>
      </c>
      <c r="K1250" s="20">
        <v>2148</v>
      </c>
      <c r="L1250" t="s">
        <v>794</v>
      </c>
      <c r="M1250">
        <f t="shared" si="19"/>
        <v>2025</v>
      </c>
    </row>
    <row r="1251" spans="1:13" ht="12.75" hidden="1" customHeight="1">
      <c r="A1251" t="s">
        <v>836</v>
      </c>
      <c r="B1251" t="s">
        <v>37</v>
      </c>
      <c r="C1251" t="s">
        <v>137</v>
      </c>
      <c r="D1251" t="s">
        <v>1118</v>
      </c>
      <c r="E1251" s="1">
        <v>45784</v>
      </c>
      <c r="F1251" s="1">
        <v>45784</v>
      </c>
      <c r="G1251" s="12">
        <v>1580.6000000000001</v>
      </c>
      <c r="H1251" s="2">
        <v>0</v>
      </c>
      <c r="I1251" s="2">
        <v>0</v>
      </c>
      <c r="J1251" s="2">
        <v>0</v>
      </c>
      <c r="K1251" s="20">
        <v>1580.6000000000001</v>
      </c>
      <c r="L1251" t="s">
        <v>794</v>
      </c>
      <c r="M1251">
        <f t="shared" si="19"/>
        <v>2025</v>
      </c>
    </row>
    <row r="1252" spans="1:13" ht="12.75" hidden="1" customHeight="1">
      <c r="A1252" t="s">
        <v>1009</v>
      </c>
      <c r="B1252" t="s">
        <v>62</v>
      </c>
      <c r="C1252" t="s">
        <v>137</v>
      </c>
      <c r="D1252" t="s">
        <v>1118</v>
      </c>
      <c r="E1252" s="1">
        <v>45784</v>
      </c>
      <c r="F1252" s="1">
        <v>45784</v>
      </c>
      <c r="G1252" s="12">
        <v>1387</v>
      </c>
      <c r="H1252" s="2">
        <v>0</v>
      </c>
      <c r="I1252" s="2">
        <v>0</v>
      </c>
      <c r="J1252" s="2">
        <v>0</v>
      </c>
      <c r="K1252" s="20">
        <v>1387</v>
      </c>
      <c r="L1252" t="s">
        <v>794</v>
      </c>
      <c r="M1252">
        <f t="shared" si="19"/>
        <v>2025</v>
      </c>
    </row>
    <row r="1253" spans="1:13" ht="12.75" hidden="1" customHeight="1">
      <c r="A1253" t="s">
        <v>825</v>
      </c>
      <c r="B1253" t="s">
        <v>46</v>
      </c>
      <c r="C1253" t="s">
        <v>137</v>
      </c>
      <c r="D1253" t="s">
        <v>1118</v>
      </c>
      <c r="E1253" s="1">
        <v>45784</v>
      </c>
      <c r="F1253" s="1">
        <v>45784</v>
      </c>
      <c r="G1253" s="12">
        <v>1493</v>
      </c>
      <c r="H1253" s="2">
        <v>0</v>
      </c>
      <c r="I1253" s="2">
        <v>0</v>
      </c>
      <c r="J1253" s="2">
        <v>0</v>
      </c>
      <c r="K1253" s="20">
        <v>1493</v>
      </c>
      <c r="L1253" t="s">
        <v>794</v>
      </c>
      <c r="M1253">
        <f t="shared" si="19"/>
        <v>2025</v>
      </c>
    </row>
    <row r="1254" spans="1:13" ht="12.75" hidden="1" customHeight="1">
      <c r="A1254" t="s">
        <v>1111</v>
      </c>
      <c r="B1254" t="s">
        <v>144</v>
      </c>
      <c r="C1254" t="s">
        <v>137</v>
      </c>
      <c r="D1254" t="s">
        <v>1118</v>
      </c>
      <c r="E1254" s="1">
        <v>45784</v>
      </c>
      <c r="F1254" s="1">
        <v>45784</v>
      </c>
      <c r="G1254" s="12">
        <v>821.4</v>
      </c>
      <c r="H1254" s="2">
        <v>0</v>
      </c>
      <c r="I1254" s="2">
        <v>0</v>
      </c>
      <c r="J1254" s="2">
        <v>0</v>
      </c>
      <c r="K1254" s="20">
        <v>821.4</v>
      </c>
      <c r="L1254" t="s">
        <v>794</v>
      </c>
      <c r="M1254">
        <f t="shared" si="19"/>
        <v>2025</v>
      </c>
    </row>
    <row r="1255" spans="1:13" ht="12.75" hidden="1" customHeight="1">
      <c r="A1255" t="s">
        <v>1125</v>
      </c>
      <c r="B1255" t="s">
        <v>150</v>
      </c>
      <c r="C1255" t="s">
        <v>137</v>
      </c>
      <c r="D1255" t="s">
        <v>1118</v>
      </c>
      <c r="E1255" s="1">
        <v>45784</v>
      </c>
      <c r="F1255" s="1">
        <v>45784</v>
      </c>
      <c r="G1255" s="12">
        <v>900</v>
      </c>
      <c r="H1255" s="2">
        <v>0</v>
      </c>
      <c r="I1255" s="2">
        <v>0</v>
      </c>
      <c r="J1255" s="2">
        <v>0</v>
      </c>
      <c r="K1255" s="20">
        <v>900</v>
      </c>
      <c r="L1255" t="s">
        <v>794</v>
      </c>
      <c r="M1255">
        <f t="shared" si="19"/>
        <v>2025</v>
      </c>
    </row>
    <row r="1256" spans="1:13" ht="12.75" hidden="1" customHeight="1">
      <c r="A1256" t="s">
        <v>1126</v>
      </c>
      <c r="B1256" t="s">
        <v>268</v>
      </c>
      <c r="C1256" t="s">
        <v>137</v>
      </c>
      <c r="D1256" t="s">
        <v>1118</v>
      </c>
      <c r="E1256" s="1">
        <v>45784</v>
      </c>
      <c r="F1256" s="1">
        <v>45784</v>
      </c>
      <c r="G1256" s="12">
        <v>1728</v>
      </c>
      <c r="H1256" s="2">
        <v>0</v>
      </c>
      <c r="I1256" s="2">
        <v>0</v>
      </c>
      <c r="J1256" s="2">
        <v>0</v>
      </c>
      <c r="K1256" s="20">
        <v>1728</v>
      </c>
      <c r="L1256" t="s">
        <v>794</v>
      </c>
      <c r="M1256">
        <f t="shared" si="19"/>
        <v>2025</v>
      </c>
    </row>
    <row r="1257" spans="1:13" ht="12.75" hidden="1" customHeight="1">
      <c r="A1257" t="s">
        <v>1112</v>
      </c>
      <c r="B1257" t="s">
        <v>68</v>
      </c>
      <c r="C1257" t="s">
        <v>137</v>
      </c>
      <c r="D1257" t="s">
        <v>1118</v>
      </c>
      <c r="E1257" s="1">
        <v>45784</v>
      </c>
      <c r="F1257" s="1">
        <v>45784</v>
      </c>
      <c r="G1257" s="12">
        <v>210</v>
      </c>
      <c r="H1257" s="2">
        <v>0</v>
      </c>
      <c r="I1257" s="2">
        <v>0</v>
      </c>
      <c r="J1257" s="2">
        <v>0</v>
      </c>
      <c r="K1257" s="20">
        <v>210</v>
      </c>
      <c r="L1257" t="s">
        <v>794</v>
      </c>
      <c r="M1257">
        <f t="shared" si="19"/>
        <v>2025</v>
      </c>
    </row>
    <row r="1258" spans="1:13" ht="12.75" hidden="1" customHeight="1">
      <c r="A1258" t="s">
        <v>801</v>
      </c>
      <c r="B1258" t="s">
        <v>13</v>
      </c>
      <c r="C1258" t="s">
        <v>726</v>
      </c>
      <c r="D1258" t="s">
        <v>1118</v>
      </c>
      <c r="E1258" s="1">
        <v>45784</v>
      </c>
      <c r="F1258" s="1">
        <v>45784</v>
      </c>
      <c r="G1258" s="12">
        <v>942.48</v>
      </c>
      <c r="H1258" s="2">
        <v>0</v>
      </c>
      <c r="I1258" s="2">
        <v>0</v>
      </c>
      <c r="J1258" s="2">
        <v>0</v>
      </c>
      <c r="K1258" s="20">
        <v>942.48</v>
      </c>
      <c r="L1258" t="s">
        <v>794</v>
      </c>
      <c r="M1258">
        <f t="shared" si="19"/>
        <v>2025</v>
      </c>
    </row>
    <row r="1259" spans="1:13" ht="12.75" hidden="1" customHeight="1">
      <c r="A1259" t="s">
        <v>1026</v>
      </c>
      <c r="B1259" t="s">
        <v>166</v>
      </c>
      <c r="C1259" t="s">
        <v>137</v>
      </c>
      <c r="D1259" t="s">
        <v>1118</v>
      </c>
      <c r="E1259" s="1">
        <v>45785</v>
      </c>
      <c r="F1259" s="1">
        <v>45785</v>
      </c>
      <c r="G1259" s="12">
        <v>1660</v>
      </c>
      <c r="H1259" s="2">
        <v>0</v>
      </c>
      <c r="I1259" s="2">
        <v>0</v>
      </c>
      <c r="J1259" s="2">
        <v>0</v>
      </c>
      <c r="K1259" s="20">
        <v>1660</v>
      </c>
      <c r="L1259" t="s">
        <v>794</v>
      </c>
      <c r="M1259">
        <f t="shared" si="19"/>
        <v>2025</v>
      </c>
    </row>
    <row r="1260" spans="1:13" ht="12.75" hidden="1" customHeight="1">
      <c r="A1260" t="s">
        <v>801</v>
      </c>
      <c r="B1260" t="s">
        <v>13</v>
      </c>
      <c r="C1260" t="s">
        <v>726</v>
      </c>
      <c r="D1260" t="s">
        <v>1118</v>
      </c>
      <c r="E1260" s="1">
        <v>45785</v>
      </c>
      <c r="F1260" s="1">
        <v>45785</v>
      </c>
      <c r="G1260" s="12">
        <v>4.08</v>
      </c>
      <c r="H1260" s="2">
        <v>0</v>
      </c>
      <c r="I1260" s="2">
        <v>0</v>
      </c>
      <c r="J1260" s="2">
        <v>0</v>
      </c>
      <c r="K1260" s="20">
        <v>4.08</v>
      </c>
      <c r="L1260" t="s">
        <v>794</v>
      </c>
      <c r="M1260">
        <f t="shared" si="19"/>
        <v>2025</v>
      </c>
    </row>
    <row r="1261" spans="1:13" ht="12.75" hidden="1" customHeight="1">
      <c r="A1261" t="s">
        <v>907</v>
      </c>
      <c r="B1261" t="s">
        <v>291</v>
      </c>
      <c r="C1261" t="s">
        <v>483</v>
      </c>
      <c r="D1261" t="s">
        <v>1118</v>
      </c>
      <c r="E1261" s="1">
        <v>45785</v>
      </c>
      <c r="F1261" s="1">
        <v>45785</v>
      </c>
      <c r="G1261" s="12">
        <v>6.78</v>
      </c>
      <c r="H1261" s="2">
        <v>0</v>
      </c>
      <c r="I1261" s="2">
        <v>0</v>
      </c>
      <c r="J1261" s="2">
        <v>0</v>
      </c>
      <c r="K1261" s="20">
        <v>6.78</v>
      </c>
      <c r="L1261" t="s">
        <v>794</v>
      </c>
      <c r="M1261">
        <f t="shared" si="19"/>
        <v>2025</v>
      </c>
    </row>
    <row r="1262" spans="1:13" ht="12.75" hidden="1" customHeight="1">
      <c r="A1262" t="s">
        <v>1121</v>
      </c>
      <c r="B1262" t="s">
        <v>295</v>
      </c>
      <c r="C1262" t="s">
        <v>142</v>
      </c>
      <c r="D1262" t="s">
        <v>1118</v>
      </c>
      <c r="E1262" s="1">
        <v>45785</v>
      </c>
      <c r="F1262" s="1">
        <v>45785</v>
      </c>
      <c r="G1262" s="12">
        <v>35</v>
      </c>
      <c r="H1262" s="2">
        <v>0</v>
      </c>
      <c r="I1262" s="2">
        <v>0</v>
      </c>
      <c r="J1262" s="2">
        <v>0</v>
      </c>
      <c r="K1262" s="20">
        <v>35</v>
      </c>
      <c r="L1262" t="s">
        <v>794</v>
      </c>
      <c r="M1262">
        <f t="shared" si="19"/>
        <v>2025</v>
      </c>
    </row>
    <row r="1263" spans="1:13" ht="12.75" hidden="1" customHeight="1">
      <c r="A1263" t="s">
        <v>1121</v>
      </c>
      <c r="B1263" t="s">
        <v>295</v>
      </c>
      <c r="C1263" t="s">
        <v>142</v>
      </c>
      <c r="D1263" t="s">
        <v>1118</v>
      </c>
      <c r="E1263" s="1">
        <v>45785</v>
      </c>
      <c r="F1263" s="1">
        <v>45785</v>
      </c>
      <c r="G1263" s="12">
        <v>35</v>
      </c>
      <c r="H1263" s="2">
        <v>0</v>
      </c>
      <c r="I1263" s="2">
        <v>0</v>
      </c>
      <c r="J1263" s="2">
        <v>0</v>
      </c>
      <c r="K1263" s="20">
        <v>35</v>
      </c>
      <c r="L1263" t="s">
        <v>794</v>
      </c>
      <c r="M1263">
        <f t="shared" si="19"/>
        <v>2025</v>
      </c>
    </row>
    <row r="1264" spans="1:13" ht="12.75" hidden="1" customHeight="1">
      <c r="A1264" t="s">
        <v>1105</v>
      </c>
      <c r="B1264" t="s">
        <v>84</v>
      </c>
      <c r="C1264" t="s">
        <v>137</v>
      </c>
      <c r="D1264" t="s">
        <v>1118</v>
      </c>
      <c r="E1264" s="1">
        <v>45785</v>
      </c>
      <c r="F1264" s="1">
        <v>45785</v>
      </c>
      <c r="G1264" s="12">
        <v>270</v>
      </c>
      <c r="H1264" s="2">
        <v>0</v>
      </c>
      <c r="I1264" s="2">
        <v>0</v>
      </c>
      <c r="J1264" s="2">
        <v>0</v>
      </c>
      <c r="K1264" s="20">
        <v>270</v>
      </c>
      <c r="L1264" t="s">
        <v>794</v>
      </c>
      <c r="M1264">
        <f t="shared" si="19"/>
        <v>2025</v>
      </c>
    </row>
    <row r="1265" spans="1:13" ht="12.75" hidden="1" customHeight="1">
      <c r="A1265" t="s">
        <v>981</v>
      </c>
      <c r="B1265" t="s">
        <v>55</v>
      </c>
      <c r="C1265" t="s">
        <v>99</v>
      </c>
      <c r="D1265" t="s">
        <v>1118</v>
      </c>
      <c r="E1265" s="1">
        <v>45785</v>
      </c>
      <c r="F1265" s="1">
        <v>45785</v>
      </c>
      <c r="G1265" s="12">
        <v>290</v>
      </c>
      <c r="H1265" s="2">
        <v>0</v>
      </c>
      <c r="I1265" s="2">
        <v>0</v>
      </c>
      <c r="J1265" s="2">
        <v>0</v>
      </c>
      <c r="K1265" s="20">
        <v>290</v>
      </c>
      <c r="L1265" t="s">
        <v>794</v>
      </c>
      <c r="M1265">
        <f t="shared" si="19"/>
        <v>2025</v>
      </c>
    </row>
    <row r="1266" spans="1:13" ht="12.75" hidden="1" customHeight="1">
      <c r="A1266" t="s">
        <v>801</v>
      </c>
      <c r="B1266" t="s">
        <v>13</v>
      </c>
      <c r="C1266" t="s">
        <v>726</v>
      </c>
      <c r="D1266" t="s">
        <v>908</v>
      </c>
      <c r="E1266" s="1">
        <v>45785</v>
      </c>
      <c r="F1266" s="1">
        <v>45785</v>
      </c>
      <c r="G1266" s="12">
        <v>104.04</v>
      </c>
      <c r="H1266" s="2">
        <v>0</v>
      </c>
      <c r="I1266" s="2">
        <v>0</v>
      </c>
      <c r="J1266" s="2">
        <v>0</v>
      </c>
      <c r="K1266" s="20">
        <v>104.04</v>
      </c>
      <c r="L1266" t="s">
        <v>794</v>
      </c>
      <c r="M1266">
        <f t="shared" si="19"/>
        <v>2025</v>
      </c>
    </row>
    <row r="1267" spans="1:13" ht="12.75" hidden="1" customHeight="1">
      <c r="A1267" t="s">
        <v>848</v>
      </c>
      <c r="B1267" t="s">
        <v>14</v>
      </c>
      <c r="C1267" t="s">
        <v>714</v>
      </c>
      <c r="D1267" t="s">
        <v>1118</v>
      </c>
      <c r="E1267" s="1">
        <v>45786</v>
      </c>
      <c r="F1267" s="1">
        <v>45786</v>
      </c>
      <c r="G1267" s="12">
        <v>29955.31</v>
      </c>
      <c r="H1267" s="2">
        <v>0</v>
      </c>
      <c r="I1267" s="2">
        <v>0</v>
      </c>
      <c r="J1267" s="2">
        <v>0</v>
      </c>
      <c r="K1267" s="20">
        <v>29955.31</v>
      </c>
      <c r="L1267" t="s">
        <v>794</v>
      </c>
      <c r="M1267">
        <f t="shared" si="19"/>
        <v>2025</v>
      </c>
    </row>
    <row r="1268" spans="1:13" ht="12.75" hidden="1" customHeight="1">
      <c r="A1268" t="s">
        <v>845</v>
      </c>
      <c r="B1268" t="s">
        <v>112</v>
      </c>
      <c r="C1268" t="s">
        <v>729</v>
      </c>
      <c r="D1268" t="s">
        <v>1118</v>
      </c>
      <c r="E1268" s="1">
        <v>45786</v>
      </c>
      <c r="F1268" s="1">
        <v>45786</v>
      </c>
      <c r="G1268" s="12">
        <v>2546.87</v>
      </c>
      <c r="H1268" s="2">
        <v>0</v>
      </c>
      <c r="I1268" s="2">
        <v>0</v>
      </c>
      <c r="J1268" s="2">
        <v>0</v>
      </c>
      <c r="K1268" s="20">
        <v>2546.87</v>
      </c>
      <c r="L1268" t="s">
        <v>794</v>
      </c>
      <c r="M1268">
        <f t="shared" si="19"/>
        <v>2025</v>
      </c>
    </row>
    <row r="1269" spans="1:13" ht="12.75" hidden="1" customHeight="1">
      <c r="A1269" t="s">
        <v>801</v>
      </c>
      <c r="B1269" t="s">
        <v>13</v>
      </c>
      <c r="C1269" t="s">
        <v>726</v>
      </c>
      <c r="D1269" t="s">
        <v>1118</v>
      </c>
      <c r="E1269" s="1">
        <v>45786</v>
      </c>
      <c r="F1269" s="1">
        <v>45786</v>
      </c>
      <c r="G1269" s="12">
        <v>63.24</v>
      </c>
      <c r="H1269" s="2">
        <v>0</v>
      </c>
      <c r="I1269" s="2">
        <v>0</v>
      </c>
      <c r="J1269" s="2">
        <v>0</v>
      </c>
      <c r="K1269" s="20">
        <v>63.24</v>
      </c>
      <c r="L1269" t="s">
        <v>794</v>
      </c>
      <c r="M1269">
        <f t="shared" si="19"/>
        <v>2025</v>
      </c>
    </row>
    <row r="1270" spans="1:13" ht="12.75" hidden="1" customHeight="1">
      <c r="A1270" t="s">
        <v>807</v>
      </c>
      <c r="B1270" t="s">
        <v>366</v>
      </c>
      <c r="C1270" t="s">
        <v>491</v>
      </c>
      <c r="D1270" t="s">
        <v>1118</v>
      </c>
      <c r="E1270" s="1">
        <v>45786</v>
      </c>
      <c r="F1270" s="1">
        <v>45786</v>
      </c>
      <c r="G1270" s="12">
        <v>27</v>
      </c>
      <c r="H1270" s="2">
        <v>0</v>
      </c>
      <c r="I1270" s="2">
        <v>0</v>
      </c>
      <c r="J1270" s="2">
        <v>0</v>
      </c>
      <c r="K1270" s="20">
        <v>27</v>
      </c>
      <c r="L1270" t="s">
        <v>794</v>
      </c>
      <c r="M1270">
        <f t="shared" si="19"/>
        <v>2025</v>
      </c>
    </row>
    <row r="1271" spans="1:13" ht="12.75" hidden="1" customHeight="1">
      <c r="A1271" t="s">
        <v>992</v>
      </c>
      <c r="B1271" t="s">
        <v>277</v>
      </c>
      <c r="C1271" t="s">
        <v>99</v>
      </c>
      <c r="D1271" t="s">
        <v>1118</v>
      </c>
      <c r="E1271" s="1">
        <v>45786</v>
      </c>
      <c r="F1271" s="1">
        <v>45786</v>
      </c>
      <c r="G1271" s="12">
        <v>39.980000000000004</v>
      </c>
      <c r="H1271" s="2">
        <v>0</v>
      </c>
      <c r="I1271" s="2">
        <v>0</v>
      </c>
      <c r="J1271" s="2">
        <v>0</v>
      </c>
      <c r="K1271" s="20">
        <v>39.980000000000004</v>
      </c>
      <c r="L1271" t="s">
        <v>794</v>
      </c>
      <c r="M1271">
        <f t="shared" si="19"/>
        <v>2025</v>
      </c>
    </row>
    <row r="1272" spans="1:13" ht="12.75" hidden="1" customHeight="1">
      <c r="A1272" t="s">
        <v>924</v>
      </c>
      <c r="B1272" t="s">
        <v>87</v>
      </c>
      <c r="C1272" t="s">
        <v>137</v>
      </c>
      <c r="D1272" t="s">
        <v>1118</v>
      </c>
      <c r="E1272" s="1">
        <v>45786</v>
      </c>
      <c r="F1272" s="1">
        <v>45786</v>
      </c>
      <c r="G1272" s="12">
        <v>211.8</v>
      </c>
      <c r="H1272" s="2">
        <v>0</v>
      </c>
      <c r="I1272" s="2">
        <v>0</v>
      </c>
      <c r="J1272" s="2">
        <v>0</v>
      </c>
      <c r="K1272" s="20">
        <v>211.8</v>
      </c>
      <c r="L1272" t="s">
        <v>794</v>
      </c>
      <c r="M1272">
        <f t="shared" si="19"/>
        <v>2025</v>
      </c>
    </row>
    <row r="1273" spans="1:13" ht="12.75" hidden="1" customHeight="1">
      <c r="A1273" t="s">
        <v>864</v>
      </c>
      <c r="B1273" t="s">
        <v>36</v>
      </c>
      <c r="C1273" t="s">
        <v>201</v>
      </c>
      <c r="D1273" t="s">
        <v>1118</v>
      </c>
      <c r="E1273" s="1">
        <v>45786</v>
      </c>
      <c r="F1273" s="1">
        <v>45786</v>
      </c>
      <c r="G1273" s="12">
        <v>1600</v>
      </c>
      <c r="H1273" s="2">
        <v>0</v>
      </c>
      <c r="I1273" s="2">
        <v>0</v>
      </c>
      <c r="J1273" s="2">
        <v>0</v>
      </c>
      <c r="K1273" s="20">
        <v>1600</v>
      </c>
      <c r="L1273" t="s">
        <v>794</v>
      </c>
      <c r="M1273">
        <f t="shared" si="19"/>
        <v>2025</v>
      </c>
    </row>
    <row r="1274" spans="1:13" ht="12.75" hidden="1" customHeight="1">
      <c r="A1274" t="s">
        <v>981</v>
      </c>
      <c r="B1274" t="s">
        <v>55</v>
      </c>
      <c r="C1274" t="s">
        <v>99</v>
      </c>
      <c r="D1274" t="s">
        <v>1118</v>
      </c>
      <c r="E1274" s="1">
        <v>45786</v>
      </c>
      <c r="F1274" s="1">
        <v>45786</v>
      </c>
      <c r="G1274" s="12">
        <v>930</v>
      </c>
      <c r="H1274" s="2">
        <v>0</v>
      </c>
      <c r="I1274" s="2">
        <v>0</v>
      </c>
      <c r="J1274" s="2">
        <v>0</v>
      </c>
      <c r="K1274" s="20">
        <v>930</v>
      </c>
      <c r="L1274" t="s">
        <v>794</v>
      </c>
      <c r="M1274">
        <f t="shared" si="19"/>
        <v>2025</v>
      </c>
    </row>
    <row r="1275" spans="1:13" ht="12.75" hidden="1" customHeight="1">
      <c r="A1275" t="s">
        <v>1084</v>
      </c>
      <c r="B1275" t="s">
        <v>298</v>
      </c>
      <c r="C1275" t="s">
        <v>201</v>
      </c>
      <c r="D1275" t="s">
        <v>1118</v>
      </c>
      <c r="E1275" s="1">
        <v>45786</v>
      </c>
      <c r="F1275" s="1">
        <v>45786</v>
      </c>
      <c r="G1275" s="12">
        <v>340</v>
      </c>
      <c r="H1275" s="2">
        <v>0</v>
      </c>
      <c r="I1275" s="2">
        <v>0</v>
      </c>
      <c r="J1275" s="2">
        <v>0</v>
      </c>
      <c r="K1275" s="20">
        <v>340</v>
      </c>
      <c r="L1275" t="s">
        <v>794</v>
      </c>
      <c r="M1275">
        <f t="shared" si="19"/>
        <v>2025</v>
      </c>
    </row>
    <row r="1276" spans="1:13" ht="12.75" hidden="1" customHeight="1">
      <c r="A1276" t="s">
        <v>855</v>
      </c>
      <c r="B1276" t="s">
        <v>20</v>
      </c>
      <c r="C1276" t="s">
        <v>201</v>
      </c>
      <c r="D1276" t="s">
        <v>1118</v>
      </c>
      <c r="E1276" s="1">
        <v>45786</v>
      </c>
      <c r="F1276" s="1">
        <v>45786</v>
      </c>
      <c r="G1276" s="12">
        <v>3500</v>
      </c>
      <c r="H1276" s="2">
        <v>0</v>
      </c>
      <c r="I1276" s="2">
        <v>0</v>
      </c>
      <c r="J1276" s="2">
        <v>0</v>
      </c>
      <c r="K1276" s="20">
        <v>3500</v>
      </c>
      <c r="L1276" t="s">
        <v>794</v>
      </c>
      <c r="M1276">
        <f t="shared" si="19"/>
        <v>2025</v>
      </c>
    </row>
    <row r="1277" spans="1:13" ht="12.75" hidden="1" customHeight="1">
      <c r="A1277" t="s">
        <v>1089</v>
      </c>
      <c r="B1277" t="s">
        <v>1090</v>
      </c>
      <c r="C1277" t="s">
        <v>201</v>
      </c>
      <c r="D1277" t="s">
        <v>1118</v>
      </c>
      <c r="E1277" s="1">
        <v>45786</v>
      </c>
      <c r="F1277" s="1">
        <v>45786</v>
      </c>
      <c r="G1277" s="12">
        <v>1680</v>
      </c>
      <c r="H1277" s="2">
        <v>0</v>
      </c>
      <c r="I1277" s="2">
        <v>0</v>
      </c>
      <c r="J1277" s="2">
        <v>0</v>
      </c>
      <c r="K1277" s="20">
        <v>1680</v>
      </c>
      <c r="L1277" t="s">
        <v>794</v>
      </c>
      <c r="M1277">
        <f t="shared" si="19"/>
        <v>2025</v>
      </c>
    </row>
    <row r="1278" spans="1:13" ht="12.75" hidden="1" customHeight="1">
      <c r="A1278" t="s">
        <v>870</v>
      </c>
      <c r="B1278" t="s">
        <v>119</v>
      </c>
      <c r="C1278" t="s">
        <v>201</v>
      </c>
      <c r="D1278" t="s">
        <v>1118</v>
      </c>
      <c r="E1278" s="1">
        <v>45786</v>
      </c>
      <c r="F1278" s="1">
        <v>45786</v>
      </c>
      <c r="G1278" s="12">
        <v>1120</v>
      </c>
      <c r="H1278" s="2">
        <v>0</v>
      </c>
      <c r="I1278" s="2">
        <v>0</v>
      </c>
      <c r="J1278" s="2">
        <v>0</v>
      </c>
      <c r="K1278" s="20">
        <v>1120</v>
      </c>
      <c r="L1278" t="s">
        <v>794</v>
      </c>
      <c r="M1278">
        <f t="shared" si="19"/>
        <v>2025</v>
      </c>
    </row>
    <row r="1279" spans="1:13" ht="12.75" hidden="1" customHeight="1">
      <c r="A1279" t="s">
        <v>1045</v>
      </c>
      <c r="B1279" t="s">
        <v>71</v>
      </c>
      <c r="C1279" t="s">
        <v>201</v>
      </c>
      <c r="D1279" t="s">
        <v>1118</v>
      </c>
      <c r="E1279" s="1">
        <v>45786</v>
      </c>
      <c r="F1279" s="1">
        <v>45786</v>
      </c>
      <c r="G1279" s="12">
        <v>640</v>
      </c>
      <c r="H1279" s="2">
        <v>0</v>
      </c>
      <c r="I1279" s="2">
        <v>0</v>
      </c>
      <c r="J1279" s="2">
        <v>0</v>
      </c>
      <c r="K1279" s="20">
        <v>640</v>
      </c>
      <c r="L1279" t="s">
        <v>794</v>
      </c>
      <c r="M1279">
        <f t="shared" si="19"/>
        <v>2025</v>
      </c>
    </row>
    <row r="1280" spans="1:13" ht="12.75" hidden="1" customHeight="1">
      <c r="A1280" t="s">
        <v>980</v>
      </c>
      <c r="B1280" t="s">
        <v>246</v>
      </c>
      <c r="C1280" t="s">
        <v>398</v>
      </c>
      <c r="D1280" t="s">
        <v>1118</v>
      </c>
      <c r="E1280" s="1">
        <v>45786</v>
      </c>
      <c r="F1280" s="1">
        <v>45786</v>
      </c>
      <c r="G1280" s="12">
        <v>363.75</v>
      </c>
      <c r="H1280" s="2">
        <v>0</v>
      </c>
      <c r="I1280" s="2">
        <v>0</v>
      </c>
      <c r="J1280" s="2">
        <v>0</v>
      </c>
      <c r="K1280" s="20">
        <v>363.75</v>
      </c>
      <c r="L1280" t="s">
        <v>794</v>
      </c>
      <c r="M1280">
        <f t="shared" si="19"/>
        <v>2025</v>
      </c>
    </row>
    <row r="1281" spans="1:13" ht="12.75" hidden="1" customHeight="1">
      <c r="A1281" t="s">
        <v>844</v>
      </c>
      <c r="B1281" t="s">
        <v>18</v>
      </c>
      <c r="C1281" t="s">
        <v>719</v>
      </c>
      <c r="D1281" t="s">
        <v>1118</v>
      </c>
      <c r="E1281" s="1">
        <v>45786</v>
      </c>
      <c r="F1281" s="1">
        <v>45786</v>
      </c>
      <c r="G1281" s="12">
        <v>11573.58</v>
      </c>
      <c r="H1281" s="2">
        <v>0</v>
      </c>
      <c r="I1281" s="2">
        <v>0</v>
      </c>
      <c r="J1281" s="2">
        <v>0</v>
      </c>
      <c r="K1281" s="20">
        <v>11573.58</v>
      </c>
      <c r="L1281" t="s">
        <v>794</v>
      </c>
      <c r="M1281">
        <f t="shared" si="19"/>
        <v>2025</v>
      </c>
    </row>
    <row r="1282" spans="1:13" ht="12.75" hidden="1" customHeight="1">
      <c r="A1282" t="s">
        <v>995</v>
      </c>
      <c r="B1282" t="s">
        <v>122</v>
      </c>
      <c r="C1282" t="s">
        <v>735</v>
      </c>
      <c r="D1282" t="s">
        <v>1118</v>
      </c>
      <c r="E1282" s="1">
        <v>45786</v>
      </c>
      <c r="F1282" s="1">
        <v>45786</v>
      </c>
      <c r="G1282" s="12">
        <v>605</v>
      </c>
      <c r="H1282" s="2">
        <v>0</v>
      </c>
      <c r="I1282" s="2">
        <v>0</v>
      </c>
      <c r="J1282" s="2">
        <v>0</v>
      </c>
      <c r="K1282" s="20">
        <v>605</v>
      </c>
      <c r="L1282" t="s">
        <v>794</v>
      </c>
      <c r="M1282">
        <f t="shared" si="19"/>
        <v>2025</v>
      </c>
    </row>
    <row r="1283" spans="1:13" ht="12.75" hidden="1" customHeight="1">
      <c r="A1283" t="s">
        <v>879</v>
      </c>
      <c r="B1283" t="s">
        <v>23</v>
      </c>
      <c r="C1283" t="s">
        <v>716</v>
      </c>
      <c r="D1283" t="s">
        <v>1118</v>
      </c>
      <c r="E1283" s="1">
        <v>45786</v>
      </c>
      <c r="F1283" s="1">
        <v>45786</v>
      </c>
      <c r="G1283" s="12">
        <v>971.61</v>
      </c>
      <c r="H1283" s="2">
        <v>0</v>
      </c>
      <c r="I1283" s="2">
        <v>0</v>
      </c>
      <c r="J1283" s="2">
        <v>0</v>
      </c>
      <c r="K1283" s="20">
        <v>971.61</v>
      </c>
      <c r="L1283" t="s">
        <v>794</v>
      </c>
      <c r="M1283">
        <f t="shared" ref="M1283:M1346" si="20">YEAR(F1283)</f>
        <v>2025</v>
      </c>
    </row>
    <row r="1284" spans="1:13" ht="12.75" hidden="1" customHeight="1">
      <c r="A1284" t="s">
        <v>847</v>
      </c>
      <c r="B1284" t="s">
        <v>169</v>
      </c>
      <c r="C1284" t="s">
        <v>722</v>
      </c>
      <c r="D1284" t="s">
        <v>1118</v>
      </c>
      <c r="E1284" s="1">
        <v>45786</v>
      </c>
      <c r="F1284" s="1">
        <v>45786</v>
      </c>
      <c r="G1284" s="12">
        <v>221.3</v>
      </c>
      <c r="H1284" s="2">
        <v>0</v>
      </c>
      <c r="I1284" s="2">
        <v>0</v>
      </c>
      <c r="J1284" s="2">
        <v>0</v>
      </c>
      <c r="K1284" s="20">
        <v>221.3</v>
      </c>
      <c r="L1284" t="s">
        <v>794</v>
      </c>
      <c r="M1284">
        <f t="shared" si="20"/>
        <v>2025</v>
      </c>
    </row>
    <row r="1285" spans="1:13" ht="12.75" hidden="1" customHeight="1">
      <c r="A1285" t="s">
        <v>801</v>
      </c>
      <c r="B1285" t="s">
        <v>13</v>
      </c>
      <c r="C1285" t="s">
        <v>726</v>
      </c>
      <c r="D1285" t="s">
        <v>1118</v>
      </c>
      <c r="E1285" s="1">
        <v>45786</v>
      </c>
      <c r="F1285" s="1">
        <v>45786</v>
      </c>
      <c r="G1285" s="12">
        <v>104.04</v>
      </c>
      <c r="H1285" s="2">
        <v>0</v>
      </c>
      <c r="I1285" s="2">
        <v>0</v>
      </c>
      <c r="J1285" s="2">
        <v>0</v>
      </c>
      <c r="K1285" s="20">
        <v>104.04</v>
      </c>
      <c r="L1285" t="s">
        <v>794</v>
      </c>
      <c r="M1285">
        <f t="shared" si="20"/>
        <v>2025</v>
      </c>
    </row>
    <row r="1286" spans="1:13" ht="12.75" hidden="1" customHeight="1">
      <c r="A1286" t="s">
        <v>1035</v>
      </c>
      <c r="B1286" t="s">
        <v>184</v>
      </c>
      <c r="C1286" t="s">
        <v>483</v>
      </c>
      <c r="D1286" t="s">
        <v>1118</v>
      </c>
      <c r="E1286" s="1">
        <v>45787</v>
      </c>
      <c r="F1286" s="1">
        <v>45789</v>
      </c>
      <c r="G1286" s="12">
        <v>45.980000000000004</v>
      </c>
      <c r="H1286" s="2">
        <v>0</v>
      </c>
      <c r="I1286" s="2">
        <v>0</v>
      </c>
      <c r="J1286" s="2">
        <v>0</v>
      </c>
      <c r="K1286" s="20">
        <v>45.980000000000004</v>
      </c>
      <c r="L1286" t="s">
        <v>794</v>
      </c>
      <c r="M1286">
        <f t="shared" si="20"/>
        <v>2025</v>
      </c>
    </row>
    <row r="1287" spans="1:13" ht="12.75" hidden="1" customHeight="1">
      <c r="A1287" t="s">
        <v>1127</v>
      </c>
      <c r="B1287" t="s">
        <v>334</v>
      </c>
      <c r="C1287" t="s">
        <v>200</v>
      </c>
      <c r="D1287" t="s">
        <v>1118</v>
      </c>
      <c r="E1287" s="1">
        <v>45789</v>
      </c>
      <c r="F1287" s="1">
        <v>45789</v>
      </c>
      <c r="G1287" s="12">
        <v>760</v>
      </c>
      <c r="H1287" s="2">
        <v>0</v>
      </c>
      <c r="I1287" s="2">
        <v>0</v>
      </c>
      <c r="J1287" s="2">
        <v>0</v>
      </c>
      <c r="K1287" s="20">
        <v>760</v>
      </c>
      <c r="L1287" t="s">
        <v>794</v>
      </c>
      <c r="M1287">
        <f t="shared" si="20"/>
        <v>2025</v>
      </c>
    </row>
    <row r="1288" spans="1:13" ht="12.75" hidden="1" customHeight="1">
      <c r="A1288" t="s">
        <v>1127</v>
      </c>
      <c r="B1288" t="s">
        <v>334</v>
      </c>
      <c r="C1288" t="s">
        <v>201</v>
      </c>
      <c r="D1288" t="s">
        <v>1118</v>
      </c>
      <c r="E1288" s="1">
        <v>45789</v>
      </c>
      <c r="F1288" s="1">
        <v>45789</v>
      </c>
      <c r="G1288" s="12">
        <v>160</v>
      </c>
      <c r="H1288" s="2">
        <v>0</v>
      </c>
      <c r="I1288" s="2">
        <v>0</v>
      </c>
      <c r="J1288" s="2">
        <v>0</v>
      </c>
      <c r="K1288" s="20">
        <v>160</v>
      </c>
      <c r="L1288" t="s">
        <v>794</v>
      </c>
      <c r="M1288">
        <f t="shared" si="20"/>
        <v>2025</v>
      </c>
    </row>
    <row r="1289" spans="1:13" ht="12.75" hidden="1" customHeight="1">
      <c r="A1289" t="s">
        <v>1128</v>
      </c>
      <c r="B1289" t="s">
        <v>595</v>
      </c>
      <c r="C1289" t="s">
        <v>139</v>
      </c>
      <c r="D1289" t="s">
        <v>1118</v>
      </c>
      <c r="E1289" s="1">
        <v>45789</v>
      </c>
      <c r="F1289" s="1">
        <v>45789</v>
      </c>
      <c r="G1289" s="12">
        <v>20.400000000000002</v>
      </c>
      <c r="H1289" s="2">
        <v>0</v>
      </c>
      <c r="I1289" s="2">
        <v>0</v>
      </c>
      <c r="J1289" s="2">
        <v>0</v>
      </c>
      <c r="K1289" s="20">
        <v>20.400000000000002</v>
      </c>
      <c r="L1289" t="s">
        <v>794</v>
      </c>
      <c r="M1289">
        <f t="shared" si="20"/>
        <v>2025</v>
      </c>
    </row>
    <row r="1290" spans="1:13" ht="12.75" hidden="1" customHeight="1">
      <c r="A1290" t="s">
        <v>1043</v>
      </c>
      <c r="B1290" t="s">
        <v>187</v>
      </c>
      <c r="C1290" t="s">
        <v>200</v>
      </c>
      <c r="D1290" t="s">
        <v>1118</v>
      </c>
      <c r="E1290" s="1">
        <v>45789</v>
      </c>
      <c r="F1290" s="1">
        <v>45789</v>
      </c>
      <c r="G1290" s="12">
        <v>880</v>
      </c>
      <c r="H1290" s="2">
        <v>0</v>
      </c>
      <c r="I1290" s="2">
        <v>0</v>
      </c>
      <c r="J1290" s="2">
        <v>0</v>
      </c>
      <c r="K1290" s="20">
        <v>880</v>
      </c>
      <c r="L1290" t="s">
        <v>794</v>
      </c>
      <c r="M1290">
        <f t="shared" si="20"/>
        <v>2025</v>
      </c>
    </row>
    <row r="1291" spans="1:13" ht="12.75" hidden="1" customHeight="1">
      <c r="A1291" t="s">
        <v>1038</v>
      </c>
      <c r="B1291" t="s">
        <v>123</v>
      </c>
      <c r="C1291" t="s">
        <v>200</v>
      </c>
      <c r="D1291" t="s">
        <v>1118</v>
      </c>
      <c r="E1291" s="1">
        <v>45789</v>
      </c>
      <c r="F1291" s="1">
        <v>45789</v>
      </c>
      <c r="G1291" s="12">
        <v>2080</v>
      </c>
      <c r="H1291" s="2">
        <v>0</v>
      </c>
      <c r="I1291" s="2">
        <v>0</v>
      </c>
      <c r="J1291" s="2">
        <v>0</v>
      </c>
      <c r="K1291" s="20">
        <v>2080</v>
      </c>
      <c r="L1291" t="s">
        <v>794</v>
      </c>
      <c r="M1291">
        <f t="shared" si="20"/>
        <v>2025</v>
      </c>
    </row>
    <row r="1292" spans="1:13" ht="12.75" hidden="1" customHeight="1">
      <c r="A1292" t="s">
        <v>802</v>
      </c>
      <c r="B1292" t="s">
        <v>103</v>
      </c>
      <c r="C1292" t="s">
        <v>200</v>
      </c>
      <c r="D1292" t="s">
        <v>1118</v>
      </c>
      <c r="E1292" s="1">
        <v>45789</v>
      </c>
      <c r="F1292" s="1">
        <v>45789</v>
      </c>
      <c r="G1292" s="12">
        <v>2000</v>
      </c>
      <c r="H1292" s="2">
        <v>0</v>
      </c>
      <c r="I1292" s="2">
        <v>0</v>
      </c>
      <c r="J1292" s="2">
        <v>0</v>
      </c>
      <c r="K1292" s="20">
        <v>2000</v>
      </c>
      <c r="L1292" t="s">
        <v>794</v>
      </c>
      <c r="M1292">
        <f t="shared" si="20"/>
        <v>2025</v>
      </c>
    </row>
    <row r="1293" spans="1:13" ht="12.75" hidden="1" customHeight="1">
      <c r="A1293" t="s">
        <v>861</v>
      </c>
      <c r="B1293" t="s">
        <v>163</v>
      </c>
      <c r="C1293" t="s">
        <v>200</v>
      </c>
      <c r="D1293" t="s">
        <v>1118</v>
      </c>
      <c r="E1293" s="1">
        <v>45789</v>
      </c>
      <c r="F1293" s="1">
        <v>45789</v>
      </c>
      <c r="G1293" s="12">
        <v>2920</v>
      </c>
      <c r="H1293" s="2">
        <v>0</v>
      </c>
      <c r="I1293" s="2">
        <v>0</v>
      </c>
      <c r="J1293" s="2">
        <v>0</v>
      </c>
      <c r="K1293" s="20">
        <v>2920</v>
      </c>
      <c r="L1293" t="s">
        <v>794</v>
      </c>
      <c r="M1293">
        <f t="shared" si="20"/>
        <v>2025</v>
      </c>
    </row>
    <row r="1294" spans="1:13" ht="12.75" hidden="1" customHeight="1">
      <c r="A1294" t="s">
        <v>948</v>
      </c>
      <c r="B1294" t="s">
        <v>51</v>
      </c>
      <c r="C1294" t="s">
        <v>200</v>
      </c>
      <c r="D1294" t="s">
        <v>1118</v>
      </c>
      <c r="E1294" s="1">
        <v>45789</v>
      </c>
      <c r="F1294" s="1">
        <v>45789</v>
      </c>
      <c r="G1294" s="12">
        <v>2160</v>
      </c>
      <c r="H1294" s="2">
        <v>0</v>
      </c>
      <c r="I1294" s="2">
        <v>0</v>
      </c>
      <c r="J1294" s="2">
        <v>0</v>
      </c>
      <c r="K1294" s="20">
        <v>2160</v>
      </c>
      <c r="L1294" t="s">
        <v>794</v>
      </c>
      <c r="M1294">
        <f t="shared" si="20"/>
        <v>2025</v>
      </c>
    </row>
    <row r="1295" spans="1:13" ht="12.75" hidden="1" customHeight="1">
      <c r="A1295" t="s">
        <v>802</v>
      </c>
      <c r="B1295" t="s">
        <v>103</v>
      </c>
      <c r="C1295" t="s">
        <v>200</v>
      </c>
      <c r="D1295" t="s">
        <v>1118</v>
      </c>
      <c r="E1295" s="1">
        <v>45789</v>
      </c>
      <c r="F1295" s="1">
        <v>45789</v>
      </c>
      <c r="G1295" s="12">
        <v>1360</v>
      </c>
      <c r="H1295" s="2">
        <v>0</v>
      </c>
      <c r="I1295" s="2">
        <v>0</v>
      </c>
      <c r="J1295" s="2">
        <v>0</v>
      </c>
      <c r="K1295" s="20">
        <v>1360</v>
      </c>
      <c r="L1295" t="s">
        <v>794</v>
      </c>
      <c r="M1295">
        <f t="shared" si="20"/>
        <v>2025</v>
      </c>
    </row>
    <row r="1296" spans="1:13" ht="12.75" hidden="1" customHeight="1">
      <c r="A1296" t="s">
        <v>972</v>
      </c>
      <c r="B1296" t="s">
        <v>973</v>
      </c>
      <c r="C1296" t="s">
        <v>200</v>
      </c>
      <c r="D1296" t="s">
        <v>1118</v>
      </c>
      <c r="E1296" s="1">
        <v>45789</v>
      </c>
      <c r="F1296" s="1">
        <v>45789</v>
      </c>
      <c r="G1296" s="12">
        <v>480</v>
      </c>
      <c r="H1296" s="2">
        <v>0</v>
      </c>
      <c r="I1296" s="2">
        <v>0</v>
      </c>
      <c r="J1296" s="2">
        <v>0</v>
      </c>
      <c r="K1296" s="20">
        <v>480</v>
      </c>
      <c r="L1296" t="s">
        <v>794</v>
      </c>
      <c r="M1296">
        <f t="shared" si="20"/>
        <v>2025</v>
      </c>
    </row>
    <row r="1297" spans="1:13" ht="12.75" hidden="1" customHeight="1">
      <c r="A1297" t="s">
        <v>1129</v>
      </c>
      <c r="B1297" t="s">
        <v>320</v>
      </c>
      <c r="C1297" t="s">
        <v>200</v>
      </c>
      <c r="D1297" t="s">
        <v>1118</v>
      </c>
      <c r="E1297" s="1">
        <v>45789</v>
      </c>
      <c r="F1297" s="1">
        <v>45789</v>
      </c>
      <c r="G1297" s="12">
        <v>1040</v>
      </c>
      <c r="H1297" s="2">
        <v>0</v>
      </c>
      <c r="I1297" s="2">
        <v>0</v>
      </c>
      <c r="J1297" s="2">
        <v>0</v>
      </c>
      <c r="K1297" s="20">
        <v>1040</v>
      </c>
      <c r="L1297" t="s">
        <v>794</v>
      </c>
      <c r="M1297">
        <f t="shared" si="20"/>
        <v>2025</v>
      </c>
    </row>
    <row r="1298" spans="1:13" ht="12.75" hidden="1" customHeight="1">
      <c r="A1298" t="s">
        <v>1037</v>
      </c>
      <c r="B1298" t="s">
        <v>129</v>
      </c>
      <c r="C1298" t="s">
        <v>200</v>
      </c>
      <c r="D1298" t="s">
        <v>1118</v>
      </c>
      <c r="E1298" s="1">
        <v>45789</v>
      </c>
      <c r="F1298" s="1">
        <v>45789</v>
      </c>
      <c r="G1298" s="12">
        <v>2880</v>
      </c>
      <c r="H1298" s="2">
        <v>0</v>
      </c>
      <c r="I1298" s="2">
        <v>0</v>
      </c>
      <c r="J1298" s="2">
        <v>0</v>
      </c>
      <c r="K1298" s="20">
        <v>2880</v>
      </c>
      <c r="L1298" t="s">
        <v>794</v>
      </c>
      <c r="M1298">
        <f t="shared" si="20"/>
        <v>2025</v>
      </c>
    </row>
    <row r="1299" spans="1:13" ht="12.75" hidden="1" customHeight="1">
      <c r="A1299" t="s">
        <v>801</v>
      </c>
      <c r="B1299" t="s">
        <v>13</v>
      </c>
      <c r="C1299" t="s">
        <v>726</v>
      </c>
      <c r="D1299" t="s">
        <v>1118</v>
      </c>
      <c r="E1299" s="1">
        <v>45789</v>
      </c>
      <c r="F1299" s="1">
        <v>45789</v>
      </c>
      <c r="G1299" s="12">
        <v>11.18</v>
      </c>
      <c r="H1299" s="2">
        <v>0</v>
      </c>
      <c r="I1299" s="2">
        <v>0</v>
      </c>
      <c r="J1299" s="2">
        <v>0</v>
      </c>
      <c r="K1299" s="20">
        <v>11.18</v>
      </c>
      <c r="L1299" t="s">
        <v>794</v>
      </c>
      <c r="M1299">
        <f t="shared" si="20"/>
        <v>2025</v>
      </c>
    </row>
    <row r="1300" spans="1:13" ht="12.75" hidden="1" customHeight="1">
      <c r="A1300" t="s">
        <v>826</v>
      </c>
      <c r="B1300" t="s">
        <v>21</v>
      </c>
      <c r="C1300" t="s">
        <v>141</v>
      </c>
      <c r="D1300" t="s">
        <v>1118</v>
      </c>
      <c r="E1300" s="1">
        <v>45786</v>
      </c>
      <c r="F1300" s="1">
        <v>45789</v>
      </c>
      <c r="G1300" s="12">
        <v>3920</v>
      </c>
      <c r="H1300" s="2">
        <v>0</v>
      </c>
      <c r="I1300" s="2">
        <v>0</v>
      </c>
      <c r="J1300" s="2">
        <v>0</v>
      </c>
      <c r="K1300" s="20">
        <v>3920</v>
      </c>
      <c r="L1300" t="s">
        <v>794</v>
      </c>
      <c r="M1300">
        <f t="shared" si="20"/>
        <v>2025</v>
      </c>
    </row>
    <row r="1301" spans="1:13" ht="12.75" hidden="1" customHeight="1">
      <c r="A1301" t="s">
        <v>810</v>
      </c>
      <c r="B1301" t="s">
        <v>54</v>
      </c>
      <c r="C1301" t="s">
        <v>141</v>
      </c>
      <c r="D1301" t="s">
        <v>1118</v>
      </c>
      <c r="E1301" s="1">
        <v>45786</v>
      </c>
      <c r="F1301" s="1">
        <v>45789</v>
      </c>
      <c r="G1301" s="12">
        <v>760</v>
      </c>
      <c r="H1301" s="2">
        <v>0</v>
      </c>
      <c r="I1301" s="2">
        <v>0</v>
      </c>
      <c r="J1301" s="2">
        <v>0</v>
      </c>
      <c r="K1301" s="20">
        <v>760</v>
      </c>
      <c r="L1301" t="s">
        <v>794</v>
      </c>
      <c r="M1301">
        <f t="shared" si="20"/>
        <v>2025</v>
      </c>
    </row>
    <row r="1302" spans="1:13" ht="12.75" hidden="1" customHeight="1">
      <c r="A1302" t="s">
        <v>812</v>
      </c>
      <c r="B1302" t="s">
        <v>31</v>
      </c>
      <c r="C1302" t="s">
        <v>141</v>
      </c>
      <c r="D1302" t="s">
        <v>1118</v>
      </c>
      <c r="E1302" s="1">
        <v>45786</v>
      </c>
      <c r="F1302" s="1">
        <v>45789</v>
      </c>
      <c r="G1302" s="12">
        <v>1900</v>
      </c>
      <c r="H1302" s="2">
        <v>0</v>
      </c>
      <c r="I1302" s="2">
        <v>0</v>
      </c>
      <c r="J1302" s="2">
        <v>0</v>
      </c>
      <c r="K1302" s="20">
        <v>1900</v>
      </c>
      <c r="L1302" t="s">
        <v>794</v>
      </c>
      <c r="M1302">
        <f t="shared" si="20"/>
        <v>2025</v>
      </c>
    </row>
    <row r="1303" spans="1:13" ht="12.75" hidden="1" customHeight="1">
      <c r="A1303" t="s">
        <v>957</v>
      </c>
      <c r="B1303" t="s">
        <v>39</v>
      </c>
      <c r="C1303" t="s">
        <v>141</v>
      </c>
      <c r="D1303" t="s">
        <v>1118</v>
      </c>
      <c r="E1303" s="1">
        <v>45786</v>
      </c>
      <c r="F1303" s="1">
        <v>45789</v>
      </c>
      <c r="G1303" s="12">
        <v>300</v>
      </c>
      <c r="H1303" s="2">
        <v>0</v>
      </c>
      <c r="I1303" s="2">
        <v>0</v>
      </c>
      <c r="J1303" s="2">
        <v>0</v>
      </c>
      <c r="K1303" s="20">
        <v>300</v>
      </c>
      <c r="L1303" t="s">
        <v>794</v>
      </c>
      <c r="M1303">
        <f t="shared" si="20"/>
        <v>2025</v>
      </c>
    </row>
    <row r="1304" spans="1:13" ht="12.75" hidden="1" customHeight="1">
      <c r="A1304" t="s">
        <v>818</v>
      </c>
      <c r="B1304" t="s">
        <v>30</v>
      </c>
      <c r="C1304" t="s">
        <v>141</v>
      </c>
      <c r="D1304" t="s">
        <v>1118</v>
      </c>
      <c r="E1304" s="1">
        <v>45786</v>
      </c>
      <c r="F1304" s="1">
        <v>45789</v>
      </c>
      <c r="G1304" s="12">
        <v>800</v>
      </c>
      <c r="H1304" s="2">
        <v>0</v>
      </c>
      <c r="I1304" s="2">
        <v>0</v>
      </c>
      <c r="J1304" s="2">
        <v>0</v>
      </c>
      <c r="K1304" s="20">
        <v>800</v>
      </c>
      <c r="L1304" t="s">
        <v>794</v>
      </c>
      <c r="M1304">
        <f t="shared" si="20"/>
        <v>2025</v>
      </c>
    </row>
    <row r="1305" spans="1:13" ht="12.75" hidden="1" customHeight="1">
      <c r="A1305" t="s">
        <v>1009</v>
      </c>
      <c r="B1305" t="s">
        <v>62</v>
      </c>
      <c r="C1305" t="s">
        <v>141</v>
      </c>
      <c r="D1305" t="s">
        <v>1118</v>
      </c>
      <c r="E1305" s="1">
        <v>45786</v>
      </c>
      <c r="F1305" s="1">
        <v>45789</v>
      </c>
      <c r="G1305" s="12">
        <v>440</v>
      </c>
      <c r="H1305" s="2">
        <v>0</v>
      </c>
      <c r="I1305" s="2">
        <v>0</v>
      </c>
      <c r="J1305" s="2">
        <v>0</v>
      </c>
      <c r="K1305" s="20">
        <v>440</v>
      </c>
      <c r="L1305" t="s">
        <v>794</v>
      </c>
      <c r="M1305">
        <f t="shared" si="20"/>
        <v>2025</v>
      </c>
    </row>
    <row r="1306" spans="1:13" ht="12.75" hidden="1" customHeight="1">
      <c r="A1306" t="s">
        <v>1099</v>
      </c>
      <c r="B1306" t="s">
        <v>377</v>
      </c>
      <c r="C1306" t="s">
        <v>141</v>
      </c>
      <c r="D1306" t="s">
        <v>1118</v>
      </c>
      <c r="E1306" s="1">
        <v>45784</v>
      </c>
      <c r="F1306" s="1">
        <v>45789</v>
      </c>
      <c r="G1306" s="12">
        <v>200</v>
      </c>
      <c r="H1306" s="2">
        <v>0</v>
      </c>
      <c r="I1306" s="2">
        <v>0</v>
      </c>
      <c r="J1306" s="2">
        <v>0</v>
      </c>
      <c r="K1306" s="20">
        <v>200</v>
      </c>
      <c r="L1306" t="s">
        <v>794</v>
      </c>
      <c r="M1306">
        <f t="shared" si="20"/>
        <v>2025</v>
      </c>
    </row>
    <row r="1307" spans="1:13" ht="12.75" hidden="1" customHeight="1">
      <c r="A1307" t="s">
        <v>1033</v>
      </c>
      <c r="B1307" t="s">
        <v>555</v>
      </c>
      <c r="C1307" t="s">
        <v>491</v>
      </c>
      <c r="D1307" t="s">
        <v>1118</v>
      </c>
      <c r="E1307" s="1">
        <v>45786</v>
      </c>
      <c r="F1307" s="1">
        <v>45789</v>
      </c>
      <c r="G1307" s="12">
        <v>27</v>
      </c>
      <c r="H1307" s="2">
        <v>0</v>
      </c>
      <c r="I1307" s="2">
        <v>0</v>
      </c>
      <c r="J1307" s="2">
        <v>0</v>
      </c>
      <c r="K1307" s="20">
        <v>27</v>
      </c>
      <c r="L1307" t="s">
        <v>794</v>
      </c>
      <c r="M1307">
        <f t="shared" si="20"/>
        <v>2025</v>
      </c>
    </row>
    <row r="1308" spans="1:13" ht="12.75" hidden="1" customHeight="1">
      <c r="A1308" t="s">
        <v>1104</v>
      </c>
      <c r="B1308" t="s">
        <v>53</v>
      </c>
      <c r="C1308" t="s">
        <v>749</v>
      </c>
      <c r="D1308" t="s">
        <v>1118</v>
      </c>
      <c r="E1308" s="1">
        <v>45789</v>
      </c>
      <c r="F1308" s="1">
        <v>45789</v>
      </c>
      <c r="G1308" s="12">
        <v>276.7</v>
      </c>
      <c r="H1308" s="2">
        <v>0</v>
      </c>
      <c r="I1308" s="2">
        <v>0</v>
      </c>
      <c r="J1308" s="2">
        <v>0</v>
      </c>
      <c r="K1308" s="20">
        <v>276.7</v>
      </c>
      <c r="L1308" t="s">
        <v>794</v>
      </c>
      <c r="M1308">
        <f t="shared" si="20"/>
        <v>2025</v>
      </c>
    </row>
    <row r="1309" spans="1:13" ht="12.75" hidden="1" customHeight="1">
      <c r="A1309" t="s">
        <v>1033</v>
      </c>
      <c r="B1309" t="s">
        <v>555</v>
      </c>
      <c r="C1309" t="s">
        <v>491</v>
      </c>
      <c r="D1309" t="s">
        <v>1118</v>
      </c>
      <c r="E1309" s="1">
        <v>45789</v>
      </c>
      <c r="F1309" s="1">
        <v>45789</v>
      </c>
      <c r="G1309" s="12">
        <v>27</v>
      </c>
      <c r="H1309" s="2">
        <v>0</v>
      </c>
      <c r="I1309" s="2">
        <v>0</v>
      </c>
      <c r="J1309" s="2">
        <v>0</v>
      </c>
      <c r="K1309" s="20">
        <v>27</v>
      </c>
      <c r="L1309" t="s">
        <v>794</v>
      </c>
      <c r="M1309">
        <f t="shared" si="20"/>
        <v>2025</v>
      </c>
    </row>
    <row r="1310" spans="1:13" ht="12.75" hidden="1" customHeight="1">
      <c r="A1310" t="s">
        <v>811</v>
      </c>
      <c r="B1310" t="s">
        <v>39</v>
      </c>
      <c r="C1310" t="s">
        <v>141</v>
      </c>
      <c r="D1310" t="s">
        <v>1118</v>
      </c>
      <c r="E1310" s="1">
        <v>45789</v>
      </c>
      <c r="F1310" s="1">
        <v>45789</v>
      </c>
      <c r="G1310" s="12">
        <v>36</v>
      </c>
      <c r="H1310" s="2">
        <v>0</v>
      </c>
      <c r="I1310" s="2">
        <v>0</v>
      </c>
      <c r="J1310" s="2">
        <v>0</v>
      </c>
      <c r="K1310" s="20">
        <v>36</v>
      </c>
      <c r="L1310" t="s">
        <v>794</v>
      </c>
      <c r="M1310">
        <f t="shared" si="20"/>
        <v>2025</v>
      </c>
    </row>
    <row r="1311" spans="1:13" ht="12.75" hidden="1" customHeight="1">
      <c r="A1311" t="s">
        <v>810</v>
      </c>
      <c r="B1311" t="s">
        <v>54</v>
      </c>
      <c r="C1311" t="s">
        <v>141</v>
      </c>
      <c r="D1311" t="s">
        <v>1118</v>
      </c>
      <c r="E1311" s="1">
        <v>45789</v>
      </c>
      <c r="F1311" s="1">
        <v>45789</v>
      </c>
      <c r="G1311" s="12">
        <v>66</v>
      </c>
      <c r="H1311" s="2">
        <v>0</v>
      </c>
      <c r="I1311" s="2">
        <v>0</v>
      </c>
      <c r="J1311" s="2">
        <v>0</v>
      </c>
      <c r="K1311" s="20">
        <v>66</v>
      </c>
      <c r="L1311" t="s">
        <v>794</v>
      </c>
      <c r="M1311">
        <f t="shared" si="20"/>
        <v>2025</v>
      </c>
    </row>
    <row r="1312" spans="1:13" ht="12.75" hidden="1" customHeight="1">
      <c r="A1312" t="s">
        <v>812</v>
      </c>
      <c r="B1312" t="s">
        <v>31</v>
      </c>
      <c r="C1312" t="s">
        <v>141</v>
      </c>
      <c r="D1312" t="s">
        <v>1118</v>
      </c>
      <c r="E1312" s="1">
        <v>45789</v>
      </c>
      <c r="F1312" s="1">
        <v>45789</v>
      </c>
      <c r="G1312" s="12">
        <v>286</v>
      </c>
      <c r="H1312" s="2">
        <v>0</v>
      </c>
      <c r="I1312" s="2">
        <v>0</v>
      </c>
      <c r="J1312" s="2">
        <v>0</v>
      </c>
      <c r="K1312" s="20">
        <v>286</v>
      </c>
      <c r="L1312" t="s">
        <v>794</v>
      </c>
      <c r="M1312">
        <f t="shared" si="20"/>
        <v>2025</v>
      </c>
    </row>
    <row r="1313" spans="1:13" ht="12.75" hidden="1" customHeight="1">
      <c r="A1313" t="s">
        <v>866</v>
      </c>
      <c r="B1313" t="s">
        <v>78</v>
      </c>
      <c r="C1313" t="s">
        <v>200</v>
      </c>
      <c r="D1313" t="s">
        <v>1118</v>
      </c>
      <c r="E1313" s="1">
        <v>45789</v>
      </c>
      <c r="F1313" s="1">
        <v>45789</v>
      </c>
      <c r="G1313" s="12">
        <v>2420.8000000000002</v>
      </c>
      <c r="H1313" s="2">
        <v>0</v>
      </c>
      <c r="I1313" s="2">
        <v>0</v>
      </c>
      <c r="J1313" s="2">
        <v>0</v>
      </c>
      <c r="K1313" s="20">
        <v>2420.8000000000002</v>
      </c>
      <c r="L1313" t="s">
        <v>794</v>
      </c>
      <c r="M1313">
        <f t="shared" si="20"/>
        <v>2025</v>
      </c>
    </row>
    <row r="1314" spans="1:13" ht="12.75" hidden="1" customHeight="1">
      <c r="A1314" t="s">
        <v>1130</v>
      </c>
      <c r="B1314" t="s">
        <v>127</v>
      </c>
      <c r="C1314" t="s">
        <v>200</v>
      </c>
      <c r="D1314" t="s">
        <v>1118</v>
      </c>
      <c r="E1314" s="1">
        <v>45789</v>
      </c>
      <c r="F1314" s="1">
        <v>45789</v>
      </c>
      <c r="G1314" s="12">
        <v>1600</v>
      </c>
      <c r="H1314" s="2">
        <v>0</v>
      </c>
      <c r="I1314" s="2">
        <v>0</v>
      </c>
      <c r="J1314" s="2">
        <v>0</v>
      </c>
      <c r="K1314" s="20">
        <v>1600</v>
      </c>
      <c r="L1314" t="s">
        <v>794</v>
      </c>
      <c r="M1314">
        <f t="shared" si="20"/>
        <v>2025</v>
      </c>
    </row>
    <row r="1315" spans="1:13" ht="12.75" hidden="1" customHeight="1">
      <c r="A1315" t="s">
        <v>860</v>
      </c>
      <c r="B1315" t="s">
        <v>95</v>
      </c>
      <c r="C1315" t="s">
        <v>200</v>
      </c>
      <c r="D1315" t="s">
        <v>1118</v>
      </c>
      <c r="E1315" s="1">
        <v>45789</v>
      </c>
      <c r="F1315" s="1">
        <v>45789</v>
      </c>
      <c r="G1315" s="12">
        <v>2240</v>
      </c>
      <c r="H1315" s="2">
        <v>0</v>
      </c>
      <c r="I1315" s="2">
        <v>0</v>
      </c>
      <c r="J1315" s="2">
        <v>0</v>
      </c>
      <c r="K1315" s="20">
        <v>2240</v>
      </c>
      <c r="L1315" t="s">
        <v>794</v>
      </c>
      <c r="M1315">
        <f t="shared" si="20"/>
        <v>2025</v>
      </c>
    </row>
    <row r="1316" spans="1:13" ht="12.75" hidden="1" customHeight="1">
      <c r="A1316" t="s">
        <v>882</v>
      </c>
      <c r="B1316" t="s">
        <v>34</v>
      </c>
      <c r="C1316" t="s">
        <v>200</v>
      </c>
      <c r="D1316" t="s">
        <v>1118</v>
      </c>
      <c r="E1316" s="1">
        <v>45789</v>
      </c>
      <c r="F1316" s="1">
        <v>45789</v>
      </c>
      <c r="G1316" s="12">
        <v>1680</v>
      </c>
      <c r="H1316" s="2">
        <v>0</v>
      </c>
      <c r="I1316" s="2">
        <v>0</v>
      </c>
      <c r="J1316" s="2">
        <v>0</v>
      </c>
      <c r="K1316" s="20">
        <v>1680</v>
      </c>
      <c r="L1316" t="s">
        <v>794</v>
      </c>
      <c r="M1316">
        <f t="shared" si="20"/>
        <v>2025</v>
      </c>
    </row>
    <row r="1317" spans="1:13" ht="12.75" hidden="1" customHeight="1">
      <c r="A1317" t="s">
        <v>1049</v>
      </c>
      <c r="B1317" t="s">
        <v>216</v>
      </c>
      <c r="C1317" t="s">
        <v>200</v>
      </c>
      <c r="D1317" t="s">
        <v>1118</v>
      </c>
      <c r="E1317" s="1">
        <v>45789</v>
      </c>
      <c r="F1317" s="1">
        <v>45789</v>
      </c>
      <c r="G1317" s="12">
        <v>960</v>
      </c>
      <c r="H1317" s="2">
        <v>0</v>
      </c>
      <c r="I1317" s="2">
        <v>0</v>
      </c>
      <c r="J1317" s="2">
        <v>0</v>
      </c>
      <c r="K1317" s="20">
        <v>960</v>
      </c>
      <c r="L1317" t="s">
        <v>794</v>
      </c>
      <c r="M1317">
        <f t="shared" si="20"/>
        <v>2025</v>
      </c>
    </row>
    <row r="1318" spans="1:13" ht="12.75" hidden="1" customHeight="1">
      <c r="A1318" t="s">
        <v>856</v>
      </c>
      <c r="B1318" t="s">
        <v>170</v>
      </c>
      <c r="C1318" t="s">
        <v>200</v>
      </c>
      <c r="D1318" t="s">
        <v>1118</v>
      </c>
      <c r="E1318" s="1">
        <v>45789</v>
      </c>
      <c r="F1318" s="1">
        <v>45789</v>
      </c>
      <c r="G1318" s="12">
        <v>1040</v>
      </c>
      <c r="H1318" s="2">
        <v>0</v>
      </c>
      <c r="I1318" s="2">
        <v>0</v>
      </c>
      <c r="J1318" s="2">
        <v>0</v>
      </c>
      <c r="K1318" s="20">
        <v>1040</v>
      </c>
      <c r="L1318" t="s">
        <v>794</v>
      </c>
      <c r="M1318">
        <f t="shared" si="20"/>
        <v>2025</v>
      </c>
    </row>
    <row r="1319" spans="1:13" ht="12.75" hidden="1" customHeight="1">
      <c r="A1319" t="s">
        <v>870</v>
      </c>
      <c r="B1319" t="s">
        <v>119</v>
      </c>
      <c r="C1319" t="s">
        <v>200</v>
      </c>
      <c r="D1319" t="s">
        <v>1118</v>
      </c>
      <c r="E1319" s="1">
        <v>45789</v>
      </c>
      <c r="F1319" s="1">
        <v>45789</v>
      </c>
      <c r="G1319" s="12">
        <v>2000</v>
      </c>
      <c r="H1319" s="2">
        <v>0</v>
      </c>
      <c r="I1319" s="2">
        <v>0</v>
      </c>
      <c r="J1319" s="2">
        <v>0</v>
      </c>
      <c r="K1319" s="20">
        <v>2000</v>
      </c>
      <c r="L1319" t="s">
        <v>794</v>
      </c>
      <c r="M1319">
        <f t="shared" si="20"/>
        <v>2025</v>
      </c>
    </row>
    <row r="1320" spans="1:13" ht="12.75" hidden="1" customHeight="1">
      <c r="A1320" t="s">
        <v>985</v>
      </c>
      <c r="B1320" t="s">
        <v>301</v>
      </c>
      <c r="C1320" t="s">
        <v>200</v>
      </c>
      <c r="D1320" t="s">
        <v>1118</v>
      </c>
      <c r="E1320" s="1">
        <v>45789</v>
      </c>
      <c r="F1320" s="1">
        <v>45789</v>
      </c>
      <c r="G1320" s="12">
        <v>720</v>
      </c>
      <c r="H1320" s="2">
        <v>0</v>
      </c>
      <c r="I1320" s="2">
        <v>0</v>
      </c>
      <c r="J1320" s="2">
        <v>0</v>
      </c>
      <c r="K1320" s="20">
        <v>720</v>
      </c>
      <c r="L1320" t="s">
        <v>794</v>
      </c>
      <c r="M1320">
        <f t="shared" si="20"/>
        <v>2025</v>
      </c>
    </row>
    <row r="1321" spans="1:13" ht="12.75" hidden="1" customHeight="1">
      <c r="A1321" t="s">
        <v>961</v>
      </c>
      <c r="B1321" t="s">
        <v>41</v>
      </c>
      <c r="C1321" t="s">
        <v>200</v>
      </c>
      <c r="D1321" t="s">
        <v>1118</v>
      </c>
      <c r="E1321" s="1">
        <v>45789</v>
      </c>
      <c r="F1321" s="1">
        <v>45789</v>
      </c>
      <c r="G1321" s="12">
        <v>1280</v>
      </c>
      <c r="H1321" s="2">
        <v>0</v>
      </c>
      <c r="I1321" s="2">
        <v>0</v>
      </c>
      <c r="J1321" s="2">
        <v>0</v>
      </c>
      <c r="K1321" s="20">
        <v>1280</v>
      </c>
      <c r="L1321" t="s">
        <v>794</v>
      </c>
      <c r="M1321">
        <f t="shared" si="20"/>
        <v>2025</v>
      </c>
    </row>
    <row r="1322" spans="1:13" ht="12.75" hidden="1" customHeight="1">
      <c r="A1322" t="s">
        <v>1052</v>
      </c>
      <c r="B1322" t="s">
        <v>251</v>
      </c>
      <c r="C1322" t="s">
        <v>200</v>
      </c>
      <c r="D1322" t="s">
        <v>1118</v>
      </c>
      <c r="E1322" s="1">
        <v>45790</v>
      </c>
      <c r="F1322" s="1">
        <v>45790</v>
      </c>
      <c r="G1322" s="12">
        <v>740</v>
      </c>
      <c r="H1322" s="2">
        <v>0</v>
      </c>
      <c r="I1322" s="2">
        <v>0</v>
      </c>
      <c r="J1322" s="2">
        <v>0</v>
      </c>
      <c r="K1322" s="20">
        <v>740</v>
      </c>
      <c r="L1322" t="s">
        <v>794</v>
      </c>
      <c r="M1322">
        <f t="shared" si="20"/>
        <v>2025</v>
      </c>
    </row>
    <row r="1323" spans="1:13" ht="12.75" hidden="1" customHeight="1">
      <c r="A1323" t="s">
        <v>1040</v>
      </c>
      <c r="B1323" t="s">
        <v>1041</v>
      </c>
      <c r="C1323" t="s">
        <v>200</v>
      </c>
      <c r="D1323" t="s">
        <v>1118</v>
      </c>
      <c r="E1323" s="1">
        <v>45790</v>
      </c>
      <c r="F1323" s="1">
        <v>45790</v>
      </c>
      <c r="G1323" s="12">
        <v>60</v>
      </c>
      <c r="H1323" s="2">
        <v>0</v>
      </c>
      <c r="I1323" s="2">
        <v>0</v>
      </c>
      <c r="J1323" s="2">
        <v>0</v>
      </c>
      <c r="K1323" s="20">
        <v>60</v>
      </c>
      <c r="L1323" t="s">
        <v>794</v>
      </c>
      <c r="M1323">
        <f t="shared" si="20"/>
        <v>2025</v>
      </c>
    </row>
    <row r="1324" spans="1:13" ht="12.75" hidden="1" customHeight="1">
      <c r="A1324" t="s">
        <v>801</v>
      </c>
      <c r="B1324" t="s">
        <v>13</v>
      </c>
      <c r="C1324" t="s">
        <v>726</v>
      </c>
      <c r="D1324" t="s">
        <v>1118</v>
      </c>
      <c r="E1324" s="1">
        <v>45790</v>
      </c>
      <c r="F1324" s="1">
        <v>45790</v>
      </c>
      <c r="G1324" s="12">
        <v>1124.22</v>
      </c>
      <c r="H1324" s="2">
        <v>0</v>
      </c>
      <c r="I1324" s="2">
        <v>0</v>
      </c>
      <c r="J1324" s="2">
        <v>0</v>
      </c>
      <c r="K1324" s="20">
        <v>1124.22</v>
      </c>
      <c r="L1324" t="s">
        <v>794</v>
      </c>
      <c r="M1324">
        <f t="shared" si="20"/>
        <v>2025</v>
      </c>
    </row>
    <row r="1325" spans="1:13" ht="12.75" hidden="1" customHeight="1">
      <c r="A1325" t="s">
        <v>1108</v>
      </c>
      <c r="B1325" t="s">
        <v>328</v>
      </c>
      <c r="C1325" t="s">
        <v>483</v>
      </c>
      <c r="D1325" t="s">
        <v>1118</v>
      </c>
      <c r="E1325" s="1">
        <v>45790</v>
      </c>
      <c r="F1325" s="1">
        <v>45790</v>
      </c>
      <c r="G1325" s="12">
        <v>30.18</v>
      </c>
      <c r="H1325" s="2">
        <v>0</v>
      </c>
      <c r="I1325" s="2">
        <v>0</v>
      </c>
      <c r="J1325" s="2">
        <v>0</v>
      </c>
      <c r="K1325" s="20">
        <v>30.18</v>
      </c>
      <c r="L1325" t="s">
        <v>794</v>
      </c>
      <c r="M1325">
        <f t="shared" si="20"/>
        <v>2025</v>
      </c>
    </row>
    <row r="1326" spans="1:13" ht="12.75" hidden="1" customHeight="1">
      <c r="A1326" t="s">
        <v>921</v>
      </c>
      <c r="B1326" t="s">
        <v>184</v>
      </c>
      <c r="C1326" t="s">
        <v>483</v>
      </c>
      <c r="D1326" t="s">
        <v>1118</v>
      </c>
      <c r="E1326" s="1">
        <v>45790</v>
      </c>
      <c r="F1326" s="1">
        <v>45790</v>
      </c>
      <c r="G1326" s="12">
        <v>45.980000000000004</v>
      </c>
      <c r="H1326" s="2">
        <v>0</v>
      </c>
      <c r="I1326" s="2">
        <v>0</v>
      </c>
      <c r="J1326" s="2">
        <v>0</v>
      </c>
      <c r="K1326" s="20">
        <v>45.980000000000004</v>
      </c>
      <c r="L1326" t="s">
        <v>794</v>
      </c>
      <c r="M1326">
        <f t="shared" si="20"/>
        <v>2025</v>
      </c>
    </row>
    <row r="1327" spans="1:13" ht="12.75" hidden="1" customHeight="1">
      <c r="A1327" t="s">
        <v>1007</v>
      </c>
      <c r="B1327" t="s">
        <v>355</v>
      </c>
      <c r="C1327" t="s">
        <v>140</v>
      </c>
      <c r="D1327" t="s">
        <v>1118</v>
      </c>
      <c r="E1327" s="1">
        <v>45790</v>
      </c>
      <c r="F1327" s="1">
        <v>45790</v>
      </c>
      <c r="G1327" s="12">
        <v>30</v>
      </c>
      <c r="H1327" s="2">
        <v>0</v>
      </c>
      <c r="I1327" s="2">
        <v>0</v>
      </c>
      <c r="J1327" s="2">
        <v>0</v>
      </c>
      <c r="K1327" s="20">
        <v>30</v>
      </c>
      <c r="L1327" t="s">
        <v>794</v>
      </c>
      <c r="M1327">
        <f t="shared" si="20"/>
        <v>2025</v>
      </c>
    </row>
    <row r="1328" spans="1:13" ht="12.75" hidden="1" customHeight="1">
      <c r="A1328" t="s">
        <v>1115</v>
      </c>
      <c r="B1328" t="s">
        <v>348</v>
      </c>
      <c r="C1328" t="s">
        <v>137</v>
      </c>
      <c r="D1328" t="s">
        <v>1118</v>
      </c>
      <c r="E1328" s="1">
        <v>45790</v>
      </c>
      <c r="F1328" s="1">
        <v>45790</v>
      </c>
      <c r="G1328" s="12">
        <v>211.84</v>
      </c>
      <c r="H1328" s="2">
        <v>0</v>
      </c>
      <c r="I1328" s="2">
        <v>0</v>
      </c>
      <c r="J1328" s="2">
        <v>0</v>
      </c>
      <c r="K1328" s="20">
        <v>211.84</v>
      </c>
      <c r="L1328" t="s">
        <v>794</v>
      </c>
      <c r="M1328">
        <f t="shared" si="20"/>
        <v>2025</v>
      </c>
    </row>
    <row r="1329" spans="1:13" ht="12.75" hidden="1" customHeight="1">
      <c r="A1329" t="s">
        <v>867</v>
      </c>
      <c r="B1329" t="s">
        <v>207</v>
      </c>
      <c r="C1329" t="s">
        <v>200</v>
      </c>
      <c r="D1329" t="s">
        <v>1118</v>
      </c>
      <c r="E1329" s="1">
        <v>45790</v>
      </c>
      <c r="F1329" s="1">
        <v>45790</v>
      </c>
      <c r="G1329" s="12">
        <v>60</v>
      </c>
      <c r="H1329" s="2">
        <v>0</v>
      </c>
      <c r="I1329" s="2">
        <v>0</v>
      </c>
      <c r="J1329" s="2">
        <v>0</v>
      </c>
      <c r="K1329" s="20">
        <v>60</v>
      </c>
      <c r="L1329" t="s">
        <v>794</v>
      </c>
      <c r="M1329">
        <f t="shared" si="20"/>
        <v>2025</v>
      </c>
    </row>
    <row r="1330" spans="1:13" ht="12.75" hidden="1" customHeight="1">
      <c r="A1330" t="s">
        <v>1131</v>
      </c>
      <c r="B1330" t="s">
        <v>81</v>
      </c>
      <c r="C1330" t="s">
        <v>183</v>
      </c>
      <c r="D1330" t="s">
        <v>1118</v>
      </c>
      <c r="E1330" s="1">
        <v>45790</v>
      </c>
      <c r="F1330" s="1">
        <v>45790</v>
      </c>
      <c r="G1330" s="12">
        <v>3640</v>
      </c>
      <c r="H1330" s="2">
        <v>0</v>
      </c>
      <c r="I1330" s="2">
        <v>0</v>
      </c>
      <c r="J1330" s="2">
        <v>0</v>
      </c>
      <c r="K1330" s="20">
        <v>3640</v>
      </c>
      <c r="L1330" t="s">
        <v>794</v>
      </c>
      <c r="M1330">
        <f t="shared" si="20"/>
        <v>2025</v>
      </c>
    </row>
    <row r="1331" spans="1:13" ht="12.75" hidden="1" customHeight="1">
      <c r="A1331" t="s">
        <v>876</v>
      </c>
      <c r="B1331" t="s">
        <v>74</v>
      </c>
      <c r="C1331" t="s">
        <v>723</v>
      </c>
      <c r="D1331" t="s">
        <v>1118</v>
      </c>
      <c r="E1331" s="1">
        <v>45790</v>
      </c>
      <c r="F1331" s="1">
        <v>45790</v>
      </c>
      <c r="G1331" s="12">
        <v>3036</v>
      </c>
      <c r="H1331" s="2">
        <v>0</v>
      </c>
      <c r="I1331" s="2">
        <v>0</v>
      </c>
      <c r="J1331" s="2">
        <v>0</v>
      </c>
      <c r="K1331" s="20">
        <v>3036</v>
      </c>
      <c r="L1331" t="s">
        <v>794</v>
      </c>
      <c r="M1331">
        <f t="shared" si="20"/>
        <v>2025</v>
      </c>
    </row>
    <row r="1332" spans="1:13" ht="12.75" hidden="1" customHeight="1">
      <c r="A1332" t="s">
        <v>801</v>
      </c>
      <c r="B1332" t="s">
        <v>13</v>
      </c>
      <c r="C1332" t="s">
        <v>726</v>
      </c>
      <c r="D1332" t="s">
        <v>1118</v>
      </c>
      <c r="E1332" s="1">
        <v>45790</v>
      </c>
      <c r="F1332" s="1">
        <v>45790</v>
      </c>
      <c r="G1332" s="12">
        <v>2.04</v>
      </c>
      <c r="H1332" s="2">
        <v>0</v>
      </c>
      <c r="I1332" s="2">
        <v>0</v>
      </c>
      <c r="J1332" s="2">
        <v>0</v>
      </c>
      <c r="K1332" s="20">
        <v>2.04</v>
      </c>
      <c r="L1332" t="s">
        <v>794</v>
      </c>
      <c r="M1332">
        <f t="shared" si="20"/>
        <v>2025</v>
      </c>
    </row>
    <row r="1333" spans="1:13" ht="12.75" hidden="1" customHeight="1">
      <c r="A1333" t="s">
        <v>1128</v>
      </c>
      <c r="B1333" t="s">
        <v>595</v>
      </c>
      <c r="C1333" t="s">
        <v>140</v>
      </c>
      <c r="D1333" t="s">
        <v>1118</v>
      </c>
      <c r="E1333" s="1">
        <v>45791</v>
      </c>
      <c r="F1333" s="1">
        <v>45791</v>
      </c>
      <c r="G1333" s="12">
        <v>30</v>
      </c>
      <c r="H1333" s="2">
        <v>0</v>
      </c>
      <c r="I1333" s="2">
        <v>0</v>
      </c>
      <c r="J1333" s="2">
        <v>0</v>
      </c>
      <c r="K1333" s="20">
        <v>30</v>
      </c>
      <c r="L1333" t="s">
        <v>794</v>
      </c>
      <c r="M1333">
        <f t="shared" si="20"/>
        <v>2025</v>
      </c>
    </row>
    <row r="1334" spans="1:13" ht="12.75" hidden="1" customHeight="1">
      <c r="A1334" t="s">
        <v>1132</v>
      </c>
      <c r="B1334" t="s">
        <v>493</v>
      </c>
      <c r="C1334" t="s">
        <v>452</v>
      </c>
      <c r="D1334" t="s">
        <v>1118</v>
      </c>
      <c r="E1334" s="1">
        <v>45791</v>
      </c>
      <c r="F1334" s="1">
        <v>45791</v>
      </c>
      <c r="G1334" s="12">
        <v>150</v>
      </c>
      <c r="H1334" s="2">
        <v>0</v>
      </c>
      <c r="I1334" s="2">
        <v>0</v>
      </c>
      <c r="J1334" s="2">
        <v>0</v>
      </c>
      <c r="K1334" s="20">
        <v>150</v>
      </c>
      <c r="L1334" t="s">
        <v>794</v>
      </c>
      <c r="M1334">
        <f t="shared" si="20"/>
        <v>2025</v>
      </c>
    </row>
    <row r="1335" spans="1:13" ht="12.75" hidden="1" customHeight="1">
      <c r="A1335" t="s">
        <v>979</v>
      </c>
      <c r="B1335" t="s">
        <v>126</v>
      </c>
      <c r="C1335" t="s">
        <v>200</v>
      </c>
      <c r="D1335" t="s">
        <v>1118</v>
      </c>
      <c r="E1335" s="1">
        <v>45791</v>
      </c>
      <c r="F1335" s="1">
        <v>45791</v>
      </c>
      <c r="G1335" s="12">
        <v>1120</v>
      </c>
      <c r="H1335" s="2">
        <v>0</v>
      </c>
      <c r="I1335" s="2">
        <v>0</v>
      </c>
      <c r="J1335" s="2">
        <v>0</v>
      </c>
      <c r="K1335" s="20">
        <v>1120</v>
      </c>
      <c r="L1335" t="s">
        <v>794</v>
      </c>
      <c r="M1335">
        <f t="shared" si="20"/>
        <v>2025</v>
      </c>
    </row>
    <row r="1336" spans="1:13" ht="12.75" hidden="1" customHeight="1">
      <c r="A1336" t="s">
        <v>1133</v>
      </c>
      <c r="B1336" t="s">
        <v>85</v>
      </c>
      <c r="C1336" t="s">
        <v>734</v>
      </c>
      <c r="D1336" t="s">
        <v>1118</v>
      </c>
      <c r="E1336" s="1">
        <v>45791</v>
      </c>
      <c r="F1336" s="1">
        <v>45791</v>
      </c>
      <c r="G1336" s="12">
        <v>301</v>
      </c>
      <c r="H1336" s="2">
        <v>0</v>
      </c>
      <c r="I1336" s="2">
        <v>0</v>
      </c>
      <c r="J1336" s="2">
        <v>0</v>
      </c>
      <c r="K1336" s="20">
        <v>301</v>
      </c>
      <c r="L1336" t="s">
        <v>794</v>
      </c>
      <c r="M1336">
        <f t="shared" si="20"/>
        <v>2025</v>
      </c>
    </row>
    <row r="1337" spans="1:13" ht="12.75" hidden="1" customHeight="1">
      <c r="A1337" t="s">
        <v>801</v>
      </c>
      <c r="B1337" t="s">
        <v>13</v>
      </c>
      <c r="C1337" t="s">
        <v>726</v>
      </c>
      <c r="D1337" t="s">
        <v>1118</v>
      </c>
      <c r="E1337" s="1">
        <v>45791</v>
      </c>
      <c r="F1337" s="1">
        <v>45791</v>
      </c>
      <c r="G1337" s="12">
        <v>18.28</v>
      </c>
      <c r="H1337" s="2">
        <v>0</v>
      </c>
      <c r="I1337" s="2">
        <v>0</v>
      </c>
      <c r="J1337" s="2">
        <v>0</v>
      </c>
      <c r="K1337" s="20">
        <v>18.28</v>
      </c>
      <c r="L1337" t="s">
        <v>794</v>
      </c>
      <c r="M1337">
        <f t="shared" si="20"/>
        <v>2025</v>
      </c>
    </row>
    <row r="1338" spans="1:13" ht="12.75" hidden="1" customHeight="1">
      <c r="A1338" t="s">
        <v>801</v>
      </c>
      <c r="B1338" t="s">
        <v>13</v>
      </c>
      <c r="C1338" t="s">
        <v>726</v>
      </c>
      <c r="D1338" t="s">
        <v>1118</v>
      </c>
      <c r="E1338" s="1">
        <v>45791</v>
      </c>
      <c r="F1338" s="1">
        <v>45791</v>
      </c>
      <c r="G1338" s="12">
        <v>8.16</v>
      </c>
      <c r="H1338" s="2">
        <v>0</v>
      </c>
      <c r="I1338" s="2">
        <v>0</v>
      </c>
      <c r="J1338" s="2">
        <v>0</v>
      </c>
      <c r="K1338" s="20">
        <v>8.16</v>
      </c>
      <c r="L1338" t="s">
        <v>794</v>
      </c>
      <c r="M1338">
        <f t="shared" si="20"/>
        <v>2025</v>
      </c>
    </row>
    <row r="1339" spans="1:13" ht="12.75" hidden="1" customHeight="1">
      <c r="A1339" t="s">
        <v>801</v>
      </c>
      <c r="B1339" t="s">
        <v>13</v>
      </c>
      <c r="C1339" t="s">
        <v>717</v>
      </c>
      <c r="D1339" t="s">
        <v>1118</v>
      </c>
      <c r="E1339" s="1">
        <v>45791</v>
      </c>
      <c r="F1339" s="1">
        <v>45791</v>
      </c>
      <c r="G1339" s="12">
        <v>5552</v>
      </c>
      <c r="H1339" s="2">
        <v>0</v>
      </c>
      <c r="I1339" s="2">
        <v>0</v>
      </c>
      <c r="J1339" s="2">
        <v>0</v>
      </c>
      <c r="K1339" s="20">
        <v>5552</v>
      </c>
      <c r="L1339" t="s">
        <v>794</v>
      </c>
      <c r="M1339">
        <f t="shared" si="20"/>
        <v>2025</v>
      </c>
    </row>
    <row r="1340" spans="1:13" ht="12.75" hidden="1" customHeight="1">
      <c r="A1340" t="s">
        <v>878</v>
      </c>
      <c r="B1340" t="s">
        <v>32</v>
      </c>
      <c r="C1340" t="s">
        <v>200</v>
      </c>
      <c r="D1340" t="s">
        <v>1118</v>
      </c>
      <c r="E1340" s="1">
        <v>45792</v>
      </c>
      <c r="F1340" s="1">
        <v>45792</v>
      </c>
      <c r="G1340" s="12">
        <v>1040</v>
      </c>
      <c r="H1340" s="2">
        <v>0</v>
      </c>
      <c r="I1340" s="2">
        <v>0</v>
      </c>
      <c r="J1340" s="2">
        <v>0</v>
      </c>
      <c r="K1340" s="20">
        <v>1040</v>
      </c>
      <c r="L1340" t="s">
        <v>794</v>
      </c>
      <c r="M1340">
        <f t="shared" si="20"/>
        <v>2025</v>
      </c>
    </row>
    <row r="1341" spans="1:13" ht="12.75" hidden="1" customHeight="1">
      <c r="A1341" t="s">
        <v>888</v>
      </c>
      <c r="B1341" t="s">
        <v>16</v>
      </c>
      <c r="C1341" t="s">
        <v>716</v>
      </c>
      <c r="D1341" t="s">
        <v>1118</v>
      </c>
      <c r="E1341" s="1">
        <v>45792</v>
      </c>
      <c r="F1341" s="1">
        <v>45792</v>
      </c>
      <c r="G1341" s="12">
        <v>23147.16</v>
      </c>
      <c r="H1341" s="2">
        <v>0</v>
      </c>
      <c r="I1341" s="2">
        <v>0</v>
      </c>
      <c r="J1341" s="2">
        <v>0</v>
      </c>
      <c r="K1341" s="20">
        <v>23147.16</v>
      </c>
      <c r="L1341" t="s">
        <v>794</v>
      </c>
      <c r="M1341">
        <f t="shared" si="20"/>
        <v>2025</v>
      </c>
    </row>
    <row r="1342" spans="1:13" ht="12.75" hidden="1" customHeight="1">
      <c r="A1342" t="s">
        <v>1134</v>
      </c>
      <c r="B1342" t="s">
        <v>33</v>
      </c>
      <c r="C1342" t="s">
        <v>138</v>
      </c>
      <c r="D1342" t="s">
        <v>1118</v>
      </c>
      <c r="E1342" s="1">
        <v>45792</v>
      </c>
      <c r="F1342" s="1">
        <v>45792</v>
      </c>
      <c r="G1342" s="12">
        <v>265.2</v>
      </c>
      <c r="H1342" s="2">
        <v>0</v>
      </c>
      <c r="I1342" s="2">
        <v>0</v>
      </c>
      <c r="J1342" s="2">
        <v>0</v>
      </c>
      <c r="K1342" s="20">
        <v>265.2</v>
      </c>
      <c r="L1342" t="s">
        <v>794</v>
      </c>
      <c r="M1342">
        <f t="shared" si="20"/>
        <v>2025</v>
      </c>
    </row>
    <row r="1343" spans="1:13" ht="12.75" hidden="1" customHeight="1">
      <c r="A1343" t="s">
        <v>879</v>
      </c>
      <c r="B1343" t="s">
        <v>23</v>
      </c>
      <c r="C1343" t="s">
        <v>713</v>
      </c>
      <c r="D1343" t="s">
        <v>1118</v>
      </c>
      <c r="E1343" s="1">
        <v>45792</v>
      </c>
      <c r="F1343" s="1">
        <v>45792</v>
      </c>
      <c r="G1343" s="12">
        <v>700</v>
      </c>
      <c r="H1343" s="2">
        <v>0</v>
      </c>
      <c r="I1343" s="2">
        <v>0</v>
      </c>
      <c r="J1343" s="2">
        <v>0</v>
      </c>
      <c r="K1343" s="20">
        <v>700</v>
      </c>
      <c r="L1343" t="s">
        <v>794</v>
      </c>
      <c r="M1343">
        <f t="shared" si="20"/>
        <v>2025</v>
      </c>
    </row>
    <row r="1344" spans="1:13" ht="12.75" hidden="1" customHeight="1">
      <c r="A1344" t="s">
        <v>886</v>
      </c>
      <c r="B1344" t="s">
        <v>194</v>
      </c>
      <c r="C1344" t="s">
        <v>743</v>
      </c>
      <c r="D1344" t="s">
        <v>1118</v>
      </c>
      <c r="E1344" s="1">
        <v>45792</v>
      </c>
      <c r="F1344" s="1">
        <v>45792</v>
      </c>
      <c r="G1344" s="12">
        <v>217.76</v>
      </c>
      <c r="H1344" s="2">
        <v>0</v>
      </c>
      <c r="I1344" s="2">
        <v>0</v>
      </c>
      <c r="J1344" s="2">
        <v>0</v>
      </c>
      <c r="K1344" s="20">
        <v>217.76</v>
      </c>
      <c r="L1344" t="s">
        <v>794</v>
      </c>
      <c r="M1344">
        <f t="shared" si="20"/>
        <v>2025</v>
      </c>
    </row>
    <row r="1345" spans="1:13" ht="12.75" hidden="1" customHeight="1">
      <c r="A1345" t="s">
        <v>879</v>
      </c>
      <c r="B1345" t="s">
        <v>23</v>
      </c>
      <c r="C1345" t="s">
        <v>716</v>
      </c>
      <c r="D1345" t="s">
        <v>1118</v>
      </c>
      <c r="E1345" s="1">
        <v>45792</v>
      </c>
      <c r="F1345" s="1">
        <v>45792</v>
      </c>
      <c r="G1345" s="12">
        <v>1943.22</v>
      </c>
      <c r="H1345" s="2">
        <v>0</v>
      </c>
      <c r="I1345" s="2">
        <v>0</v>
      </c>
      <c r="J1345" s="2">
        <v>0</v>
      </c>
      <c r="K1345" s="20">
        <v>1943.22</v>
      </c>
      <c r="L1345" t="s">
        <v>794</v>
      </c>
      <c r="M1345">
        <f t="shared" si="20"/>
        <v>2025</v>
      </c>
    </row>
    <row r="1346" spans="1:13" ht="12.75" hidden="1" customHeight="1">
      <c r="A1346" t="s">
        <v>893</v>
      </c>
      <c r="B1346" t="s">
        <v>212</v>
      </c>
      <c r="C1346" t="s">
        <v>746</v>
      </c>
      <c r="D1346" t="s">
        <v>1118</v>
      </c>
      <c r="E1346" s="1">
        <v>45792</v>
      </c>
      <c r="F1346" s="1">
        <v>45792</v>
      </c>
      <c r="G1346" s="12">
        <v>377.82</v>
      </c>
      <c r="H1346" s="2">
        <v>0</v>
      </c>
      <c r="I1346" s="2">
        <v>0</v>
      </c>
      <c r="J1346" s="2">
        <v>0</v>
      </c>
      <c r="K1346" s="20">
        <v>377.82</v>
      </c>
      <c r="L1346" t="s">
        <v>794</v>
      </c>
      <c r="M1346">
        <f t="shared" si="20"/>
        <v>2025</v>
      </c>
    </row>
    <row r="1347" spans="1:13" ht="12.75" hidden="1" customHeight="1">
      <c r="A1347" t="s">
        <v>801</v>
      </c>
      <c r="B1347" t="s">
        <v>13</v>
      </c>
      <c r="C1347" t="s">
        <v>717</v>
      </c>
      <c r="D1347" t="s">
        <v>1118</v>
      </c>
      <c r="E1347" s="1">
        <v>45792</v>
      </c>
      <c r="F1347" s="1">
        <v>45792</v>
      </c>
      <c r="G1347" s="12">
        <v>222.02</v>
      </c>
      <c r="H1347" s="2">
        <v>0</v>
      </c>
      <c r="I1347" s="2">
        <v>0</v>
      </c>
      <c r="J1347" s="2">
        <v>0</v>
      </c>
      <c r="K1347" s="20">
        <v>222.02</v>
      </c>
      <c r="L1347" t="s">
        <v>794</v>
      </c>
      <c r="M1347">
        <f t="shared" ref="M1347:M1410" si="21">YEAR(F1347)</f>
        <v>2025</v>
      </c>
    </row>
    <row r="1348" spans="1:13" ht="12.75" hidden="1" customHeight="1">
      <c r="A1348" t="s">
        <v>862</v>
      </c>
      <c r="B1348" t="s">
        <v>563</v>
      </c>
      <c r="C1348" t="s">
        <v>452</v>
      </c>
      <c r="D1348" t="s">
        <v>1118</v>
      </c>
      <c r="E1348" s="1">
        <v>45793</v>
      </c>
      <c r="F1348" s="1">
        <v>45793</v>
      </c>
      <c r="G1348" s="12">
        <v>79</v>
      </c>
      <c r="H1348" s="2">
        <v>0</v>
      </c>
      <c r="I1348" s="2">
        <v>0</v>
      </c>
      <c r="J1348" s="2">
        <v>0</v>
      </c>
      <c r="K1348" s="20">
        <v>79</v>
      </c>
      <c r="L1348" t="s">
        <v>794</v>
      </c>
      <c r="M1348">
        <f t="shared" si="21"/>
        <v>2025</v>
      </c>
    </row>
    <row r="1349" spans="1:13" ht="12.75" hidden="1" customHeight="1">
      <c r="A1349" t="s">
        <v>941</v>
      </c>
      <c r="B1349" t="s">
        <v>52</v>
      </c>
      <c r="C1349" t="s">
        <v>672</v>
      </c>
      <c r="D1349" t="s">
        <v>1118</v>
      </c>
      <c r="E1349" s="1">
        <v>45793</v>
      </c>
      <c r="F1349" s="1">
        <v>45793</v>
      </c>
      <c r="G1349" s="12">
        <v>1524.01</v>
      </c>
      <c r="H1349" s="2">
        <v>0</v>
      </c>
      <c r="I1349" s="2">
        <v>0</v>
      </c>
      <c r="J1349" s="2">
        <v>0</v>
      </c>
      <c r="K1349" s="20">
        <v>1524.01</v>
      </c>
      <c r="L1349" t="s">
        <v>794</v>
      </c>
      <c r="M1349">
        <f t="shared" si="21"/>
        <v>2025</v>
      </c>
    </row>
    <row r="1350" spans="1:13" ht="12.75" hidden="1" customHeight="1">
      <c r="A1350" t="s">
        <v>1058</v>
      </c>
      <c r="B1350" t="s">
        <v>155</v>
      </c>
      <c r="C1350" t="s">
        <v>384</v>
      </c>
      <c r="D1350" t="s">
        <v>1118</v>
      </c>
      <c r="E1350" s="1">
        <v>45793</v>
      </c>
      <c r="F1350" s="1">
        <v>45793</v>
      </c>
      <c r="G1350" s="12">
        <v>391.29</v>
      </c>
      <c r="H1350" s="2">
        <v>0</v>
      </c>
      <c r="I1350" s="2">
        <v>0</v>
      </c>
      <c r="J1350" s="2">
        <v>0</v>
      </c>
      <c r="K1350" s="20">
        <v>391.29</v>
      </c>
      <c r="L1350" t="s">
        <v>794</v>
      </c>
      <c r="M1350">
        <f t="shared" si="21"/>
        <v>2025</v>
      </c>
    </row>
    <row r="1351" spans="1:13" ht="12.75" hidden="1" customHeight="1">
      <c r="A1351" t="s">
        <v>1133</v>
      </c>
      <c r="B1351" t="s">
        <v>85</v>
      </c>
      <c r="C1351" t="s">
        <v>734</v>
      </c>
      <c r="D1351" t="s">
        <v>1118</v>
      </c>
      <c r="E1351" s="1">
        <v>45793</v>
      </c>
      <c r="F1351" s="1">
        <v>45793</v>
      </c>
      <c r="G1351" s="12">
        <v>900</v>
      </c>
      <c r="H1351" s="2">
        <v>0</v>
      </c>
      <c r="I1351" s="2">
        <v>0</v>
      </c>
      <c r="J1351" s="2">
        <v>0</v>
      </c>
      <c r="K1351" s="20">
        <v>900</v>
      </c>
      <c r="L1351" t="s">
        <v>794</v>
      </c>
      <c r="M1351">
        <f t="shared" si="21"/>
        <v>2025</v>
      </c>
    </row>
    <row r="1352" spans="1:13" ht="12.75" hidden="1" customHeight="1">
      <c r="A1352" t="s">
        <v>891</v>
      </c>
      <c r="B1352" t="s">
        <v>102</v>
      </c>
      <c r="C1352" t="s">
        <v>710</v>
      </c>
      <c r="D1352" t="s">
        <v>1118</v>
      </c>
      <c r="E1352" s="1">
        <v>45793</v>
      </c>
      <c r="F1352" s="1">
        <v>45793</v>
      </c>
      <c r="G1352" s="12">
        <v>537</v>
      </c>
      <c r="H1352" s="2">
        <v>0</v>
      </c>
      <c r="I1352" s="2">
        <v>0</v>
      </c>
      <c r="J1352" s="2">
        <v>0</v>
      </c>
      <c r="K1352" s="20">
        <v>537</v>
      </c>
      <c r="L1352" t="s">
        <v>794</v>
      </c>
      <c r="M1352">
        <f t="shared" si="21"/>
        <v>2025</v>
      </c>
    </row>
    <row r="1353" spans="1:13" ht="12.75" hidden="1" customHeight="1">
      <c r="A1353" t="s">
        <v>894</v>
      </c>
      <c r="B1353" t="s">
        <v>50</v>
      </c>
      <c r="C1353" t="s">
        <v>152</v>
      </c>
      <c r="D1353" t="s">
        <v>1118</v>
      </c>
      <c r="E1353" s="1">
        <v>45793</v>
      </c>
      <c r="F1353" s="1">
        <v>45793</v>
      </c>
      <c r="G1353" s="12">
        <v>1548.8600000000001</v>
      </c>
      <c r="H1353" s="2">
        <v>0</v>
      </c>
      <c r="I1353" s="2">
        <v>0</v>
      </c>
      <c r="J1353" s="2">
        <v>0</v>
      </c>
      <c r="K1353" s="20">
        <v>1548.8600000000001</v>
      </c>
      <c r="L1353" t="s">
        <v>794</v>
      </c>
      <c r="M1353">
        <f t="shared" si="21"/>
        <v>2025</v>
      </c>
    </row>
    <row r="1354" spans="1:13" ht="12.75" hidden="1" customHeight="1">
      <c r="A1354" t="s">
        <v>807</v>
      </c>
      <c r="B1354" t="s">
        <v>366</v>
      </c>
      <c r="C1354" t="s">
        <v>491</v>
      </c>
      <c r="D1354" t="s">
        <v>1118</v>
      </c>
      <c r="E1354" s="1">
        <v>45793</v>
      </c>
      <c r="F1354" s="1">
        <v>45793</v>
      </c>
      <c r="G1354" s="12">
        <v>18</v>
      </c>
      <c r="H1354" s="2">
        <v>0</v>
      </c>
      <c r="I1354" s="2">
        <v>0</v>
      </c>
      <c r="J1354" s="2">
        <v>0</v>
      </c>
      <c r="K1354" s="20">
        <v>18</v>
      </c>
      <c r="L1354" t="s">
        <v>794</v>
      </c>
      <c r="M1354">
        <f t="shared" si="21"/>
        <v>2025</v>
      </c>
    </row>
    <row r="1355" spans="1:13" ht="12.75" hidden="1" customHeight="1">
      <c r="A1355" t="s">
        <v>883</v>
      </c>
      <c r="B1355" t="s">
        <v>325</v>
      </c>
      <c r="C1355" t="s">
        <v>99</v>
      </c>
      <c r="D1355" t="s">
        <v>1118</v>
      </c>
      <c r="E1355" s="1">
        <v>45793</v>
      </c>
      <c r="F1355" s="1">
        <v>45793</v>
      </c>
      <c r="G1355" s="12">
        <v>6.99</v>
      </c>
      <c r="H1355" s="2">
        <v>0</v>
      </c>
      <c r="I1355" s="2">
        <v>0</v>
      </c>
      <c r="J1355" s="2">
        <v>0</v>
      </c>
      <c r="K1355" s="20">
        <v>6.99</v>
      </c>
      <c r="L1355" t="s">
        <v>794</v>
      </c>
      <c r="M1355">
        <f t="shared" si="21"/>
        <v>2025</v>
      </c>
    </row>
    <row r="1356" spans="1:13" ht="12.75" hidden="1" customHeight="1">
      <c r="A1356" t="s">
        <v>1007</v>
      </c>
      <c r="B1356" t="s">
        <v>355</v>
      </c>
      <c r="C1356" t="s">
        <v>140</v>
      </c>
      <c r="D1356" t="s">
        <v>1118</v>
      </c>
      <c r="E1356" s="1">
        <v>45793</v>
      </c>
      <c r="F1356" s="1">
        <v>45793</v>
      </c>
      <c r="G1356" s="12">
        <v>30</v>
      </c>
      <c r="H1356" s="2">
        <v>0</v>
      </c>
      <c r="I1356" s="2">
        <v>0</v>
      </c>
      <c r="J1356" s="2">
        <v>0</v>
      </c>
      <c r="K1356" s="20">
        <v>30</v>
      </c>
      <c r="L1356" t="s">
        <v>794</v>
      </c>
      <c r="M1356">
        <f t="shared" si="21"/>
        <v>2025</v>
      </c>
    </row>
    <row r="1357" spans="1:13" ht="12.75" hidden="1" customHeight="1">
      <c r="A1357" t="s">
        <v>1135</v>
      </c>
      <c r="B1357" t="s">
        <v>711</v>
      </c>
      <c r="C1357" t="s">
        <v>483</v>
      </c>
      <c r="D1357" t="s">
        <v>1118</v>
      </c>
      <c r="E1357" s="1">
        <v>45793</v>
      </c>
      <c r="F1357" s="1">
        <v>45793</v>
      </c>
      <c r="G1357" s="12">
        <v>5</v>
      </c>
      <c r="H1357" s="2">
        <v>0</v>
      </c>
      <c r="I1357" s="2">
        <v>0</v>
      </c>
      <c r="J1357" s="2">
        <v>0</v>
      </c>
      <c r="K1357" s="20">
        <v>5</v>
      </c>
      <c r="L1357" t="s">
        <v>794</v>
      </c>
      <c r="M1357">
        <f t="shared" si="21"/>
        <v>2025</v>
      </c>
    </row>
    <row r="1358" spans="1:13" ht="12.75" hidden="1" customHeight="1">
      <c r="A1358" t="s">
        <v>810</v>
      </c>
      <c r="B1358" t="s">
        <v>54</v>
      </c>
      <c r="C1358" t="s">
        <v>141</v>
      </c>
      <c r="D1358" t="s">
        <v>1118</v>
      </c>
      <c r="E1358" s="1">
        <v>45793</v>
      </c>
      <c r="F1358" s="1">
        <v>45793</v>
      </c>
      <c r="G1358" s="12">
        <v>150</v>
      </c>
      <c r="H1358" s="2">
        <v>0</v>
      </c>
      <c r="I1358" s="2">
        <v>0</v>
      </c>
      <c r="J1358" s="2">
        <v>0</v>
      </c>
      <c r="K1358" s="20">
        <v>150</v>
      </c>
      <c r="L1358" t="s">
        <v>794</v>
      </c>
      <c r="M1358">
        <f t="shared" si="21"/>
        <v>2025</v>
      </c>
    </row>
    <row r="1359" spans="1:13" ht="12.75" hidden="1" customHeight="1">
      <c r="A1359" t="s">
        <v>818</v>
      </c>
      <c r="B1359" t="s">
        <v>30</v>
      </c>
      <c r="C1359" t="s">
        <v>141</v>
      </c>
      <c r="D1359" t="s">
        <v>1118</v>
      </c>
      <c r="E1359" s="1">
        <v>45793</v>
      </c>
      <c r="F1359" s="1">
        <v>45793</v>
      </c>
      <c r="G1359" s="12">
        <v>200</v>
      </c>
      <c r="H1359" s="2">
        <v>0</v>
      </c>
      <c r="I1359" s="2">
        <v>0</v>
      </c>
      <c r="J1359" s="2">
        <v>0</v>
      </c>
      <c r="K1359" s="20">
        <v>200</v>
      </c>
      <c r="L1359" t="s">
        <v>794</v>
      </c>
      <c r="M1359">
        <f t="shared" si="21"/>
        <v>2025</v>
      </c>
    </row>
    <row r="1360" spans="1:13" ht="12.75" hidden="1" customHeight="1">
      <c r="A1360" t="s">
        <v>1007</v>
      </c>
      <c r="B1360" t="s">
        <v>355</v>
      </c>
      <c r="C1360" t="s">
        <v>140</v>
      </c>
      <c r="D1360" t="s">
        <v>1118</v>
      </c>
      <c r="E1360" s="1">
        <v>45793</v>
      </c>
      <c r="F1360" s="1">
        <v>45793</v>
      </c>
      <c r="G1360" s="12">
        <v>30</v>
      </c>
      <c r="H1360" s="2">
        <v>0</v>
      </c>
      <c r="I1360" s="2">
        <v>0</v>
      </c>
      <c r="J1360" s="2">
        <v>0</v>
      </c>
      <c r="K1360" s="20">
        <v>30</v>
      </c>
      <c r="L1360" t="s">
        <v>794</v>
      </c>
      <c r="M1360">
        <f t="shared" si="21"/>
        <v>2025</v>
      </c>
    </row>
    <row r="1361" spans="1:13" ht="12.75" hidden="1" customHeight="1">
      <c r="A1361" t="s">
        <v>1136</v>
      </c>
      <c r="B1361" t="s">
        <v>623</v>
      </c>
      <c r="C1361" t="s">
        <v>765</v>
      </c>
      <c r="D1361" t="s">
        <v>1118</v>
      </c>
      <c r="E1361" s="1">
        <v>45793</v>
      </c>
      <c r="F1361" s="1">
        <v>45793</v>
      </c>
      <c r="G1361" s="12">
        <v>50</v>
      </c>
      <c r="H1361" s="2">
        <v>0</v>
      </c>
      <c r="I1361" s="2">
        <v>0</v>
      </c>
      <c r="J1361" s="2">
        <v>0</v>
      </c>
      <c r="K1361" s="20">
        <v>50</v>
      </c>
      <c r="L1361" t="s">
        <v>794</v>
      </c>
      <c r="M1361">
        <f t="shared" si="21"/>
        <v>2025</v>
      </c>
    </row>
    <row r="1362" spans="1:13" ht="12.75" hidden="1" customHeight="1">
      <c r="A1362" t="s">
        <v>826</v>
      </c>
      <c r="B1362" t="s">
        <v>21</v>
      </c>
      <c r="C1362" t="s">
        <v>141</v>
      </c>
      <c r="D1362" t="s">
        <v>1118</v>
      </c>
      <c r="E1362" s="1">
        <v>45793</v>
      </c>
      <c r="F1362" s="1">
        <v>45793</v>
      </c>
      <c r="G1362" s="12">
        <v>200</v>
      </c>
      <c r="H1362" s="2">
        <v>0</v>
      </c>
      <c r="I1362" s="2">
        <v>0</v>
      </c>
      <c r="J1362" s="2">
        <v>0</v>
      </c>
      <c r="K1362" s="20">
        <v>200</v>
      </c>
      <c r="L1362" t="s">
        <v>794</v>
      </c>
      <c r="M1362">
        <f t="shared" si="21"/>
        <v>2025</v>
      </c>
    </row>
    <row r="1363" spans="1:13" ht="12.75" hidden="1" customHeight="1">
      <c r="A1363" t="s">
        <v>878</v>
      </c>
      <c r="B1363" t="s">
        <v>32</v>
      </c>
      <c r="C1363" t="s">
        <v>721</v>
      </c>
      <c r="D1363" t="s">
        <v>1118</v>
      </c>
      <c r="E1363" s="1">
        <v>45793</v>
      </c>
      <c r="F1363" s="1">
        <v>45793</v>
      </c>
      <c r="G1363" s="12">
        <v>520</v>
      </c>
      <c r="H1363" s="2">
        <v>0</v>
      </c>
      <c r="I1363" s="2">
        <v>0</v>
      </c>
      <c r="J1363" s="2">
        <v>0</v>
      </c>
      <c r="K1363" s="20">
        <v>520</v>
      </c>
      <c r="L1363" t="s">
        <v>794</v>
      </c>
      <c r="M1363">
        <f t="shared" si="21"/>
        <v>2025</v>
      </c>
    </row>
    <row r="1364" spans="1:13" ht="12.75" hidden="1" customHeight="1">
      <c r="A1364" t="s">
        <v>1137</v>
      </c>
      <c r="B1364" t="s">
        <v>539</v>
      </c>
      <c r="C1364" t="s">
        <v>452</v>
      </c>
      <c r="D1364" t="s">
        <v>1118</v>
      </c>
      <c r="E1364" s="1">
        <v>45796</v>
      </c>
      <c r="F1364" s="1">
        <v>45796</v>
      </c>
      <c r="G1364" s="12">
        <v>99</v>
      </c>
      <c r="H1364" s="2">
        <v>0</v>
      </c>
      <c r="I1364" s="2">
        <v>0</v>
      </c>
      <c r="J1364" s="2">
        <v>0</v>
      </c>
      <c r="K1364" s="20">
        <v>99</v>
      </c>
      <c r="L1364" t="s">
        <v>794</v>
      </c>
      <c r="M1364">
        <f t="shared" si="21"/>
        <v>2025</v>
      </c>
    </row>
    <row r="1365" spans="1:13" ht="12.75" hidden="1" customHeight="1">
      <c r="A1365" t="s">
        <v>940</v>
      </c>
      <c r="B1365" t="s">
        <v>29</v>
      </c>
      <c r="C1365" t="s">
        <v>206</v>
      </c>
      <c r="D1365" t="s">
        <v>1118</v>
      </c>
      <c r="E1365" s="1">
        <v>45796</v>
      </c>
      <c r="F1365" s="1">
        <v>45796</v>
      </c>
      <c r="G1365" s="12">
        <v>878.46</v>
      </c>
      <c r="H1365" s="2">
        <v>0</v>
      </c>
      <c r="I1365" s="2">
        <v>0</v>
      </c>
      <c r="J1365" s="2">
        <v>0</v>
      </c>
      <c r="K1365" s="20">
        <v>878.46</v>
      </c>
      <c r="L1365" t="s">
        <v>794</v>
      </c>
      <c r="M1365">
        <f t="shared" si="21"/>
        <v>2025</v>
      </c>
    </row>
    <row r="1366" spans="1:13" ht="12.75" hidden="1" customHeight="1">
      <c r="A1366" t="s">
        <v>940</v>
      </c>
      <c r="B1366" t="s">
        <v>29</v>
      </c>
      <c r="C1366" t="s">
        <v>206</v>
      </c>
      <c r="D1366" t="s">
        <v>1118</v>
      </c>
      <c r="E1366" s="1">
        <v>45796</v>
      </c>
      <c r="F1366" s="1">
        <v>45796</v>
      </c>
      <c r="G1366" s="12">
        <v>1321.54</v>
      </c>
      <c r="H1366" s="2">
        <v>0</v>
      </c>
      <c r="I1366" s="2">
        <v>0</v>
      </c>
      <c r="J1366" s="2">
        <v>0</v>
      </c>
      <c r="K1366" s="20">
        <v>1321.54</v>
      </c>
      <c r="L1366" t="s">
        <v>794</v>
      </c>
      <c r="M1366">
        <f t="shared" si="21"/>
        <v>2025</v>
      </c>
    </row>
    <row r="1367" spans="1:13" ht="12.75" hidden="1" customHeight="1">
      <c r="A1367" t="s">
        <v>940</v>
      </c>
      <c r="B1367" t="s">
        <v>29</v>
      </c>
      <c r="C1367" t="s">
        <v>206</v>
      </c>
      <c r="D1367" t="s">
        <v>1118</v>
      </c>
      <c r="E1367" s="1">
        <v>45796</v>
      </c>
      <c r="F1367" s="1">
        <v>45796</v>
      </c>
      <c r="G1367" s="12">
        <v>1812</v>
      </c>
      <c r="H1367" s="2">
        <v>0</v>
      </c>
      <c r="I1367" s="2">
        <v>0</v>
      </c>
      <c r="J1367" s="2">
        <v>0</v>
      </c>
      <c r="K1367" s="20">
        <v>1812</v>
      </c>
      <c r="L1367" t="s">
        <v>794</v>
      </c>
      <c r="M1367">
        <f t="shared" si="21"/>
        <v>2025</v>
      </c>
    </row>
    <row r="1368" spans="1:13" ht="12.75" hidden="1" customHeight="1">
      <c r="A1368" t="s">
        <v>1121</v>
      </c>
      <c r="B1368" t="s">
        <v>295</v>
      </c>
      <c r="C1368" t="s">
        <v>142</v>
      </c>
      <c r="D1368" t="s">
        <v>1118</v>
      </c>
      <c r="E1368" s="1">
        <v>45796</v>
      </c>
      <c r="F1368" s="1">
        <v>45796</v>
      </c>
      <c r="G1368" s="12">
        <v>35</v>
      </c>
      <c r="H1368" s="2">
        <v>0</v>
      </c>
      <c r="I1368" s="2">
        <v>0</v>
      </c>
      <c r="J1368" s="2">
        <v>0</v>
      </c>
      <c r="K1368" s="20">
        <v>35</v>
      </c>
      <c r="L1368" t="s">
        <v>794</v>
      </c>
      <c r="M1368">
        <f t="shared" si="21"/>
        <v>2025</v>
      </c>
    </row>
    <row r="1369" spans="1:13" ht="12.75" hidden="1" customHeight="1">
      <c r="A1369" t="s">
        <v>1009</v>
      </c>
      <c r="B1369" t="s">
        <v>62</v>
      </c>
      <c r="C1369" t="s">
        <v>141</v>
      </c>
      <c r="D1369" t="s">
        <v>1118</v>
      </c>
      <c r="E1369" s="1">
        <v>45796</v>
      </c>
      <c r="F1369" s="1">
        <v>45796</v>
      </c>
      <c r="G1369" s="12">
        <v>66</v>
      </c>
      <c r="H1369" s="2">
        <v>0</v>
      </c>
      <c r="I1369" s="2">
        <v>0</v>
      </c>
      <c r="J1369" s="2">
        <v>0</v>
      </c>
      <c r="K1369" s="20">
        <v>66</v>
      </c>
      <c r="L1369" t="s">
        <v>794</v>
      </c>
      <c r="M1369">
        <f t="shared" si="21"/>
        <v>2025</v>
      </c>
    </row>
    <row r="1370" spans="1:13" ht="12.75" hidden="1" customHeight="1">
      <c r="A1370" t="s">
        <v>1009</v>
      </c>
      <c r="B1370" t="s">
        <v>62</v>
      </c>
      <c r="C1370" t="s">
        <v>141</v>
      </c>
      <c r="D1370" t="s">
        <v>1118</v>
      </c>
      <c r="E1370" s="1">
        <v>45796</v>
      </c>
      <c r="F1370" s="1">
        <v>45796</v>
      </c>
      <c r="G1370" s="12">
        <v>100</v>
      </c>
      <c r="H1370" s="2">
        <v>0</v>
      </c>
      <c r="I1370" s="2">
        <v>0</v>
      </c>
      <c r="J1370" s="2">
        <v>0</v>
      </c>
      <c r="K1370" s="20">
        <v>100</v>
      </c>
      <c r="L1370" t="s">
        <v>794</v>
      </c>
      <c r="M1370">
        <f t="shared" si="21"/>
        <v>2025</v>
      </c>
    </row>
    <row r="1371" spans="1:13" ht="12.75" hidden="1" customHeight="1">
      <c r="A1371" t="s">
        <v>1007</v>
      </c>
      <c r="B1371" t="s">
        <v>355</v>
      </c>
      <c r="C1371" t="s">
        <v>140</v>
      </c>
      <c r="D1371" t="s">
        <v>1118</v>
      </c>
      <c r="E1371" s="1">
        <v>45796</v>
      </c>
      <c r="F1371" s="1">
        <v>45796</v>
      </c>
      <c r="G1371" s="12">
        <v>30</v>
      </c>
      <c r="H1371" s="2">
        <v>0</v>
      </c>
      <c r="I1371" s="2">
        <v>0</v>
      </c>
      <c r="J1371" s="2">
        <v>0</v>
      </c>
      <c r="K1371" s="20">
        <v>30</v>
      </c>
      <c r="L1371" t="s">
        <v>794</v>
      </c>
      <c r="M1371">
        <f t="shared" si="21"/>
        <v>2025</v>
      </c>
    </row>
    <row r="1372" spans="1:13" ht="12.75" hidden="1" customHeight="1">
      <c r="A1372" t="s">
        <v>812</v>
      </c>
      <c r="B1372" t="s">
        <v>31</v>
      </c>
      <c r="C1372" t="s">
        <v>141</v>
      </c>
      <c r="D1372" t="s">
        <v>1118</v>
      </c>
      <c r="E1372" s="1">
        <v>45796</v>
      </c>
      <c r="F1372" s="1">
        <v>45796</v>
      </c>
      <c r="G1372" s="12">
        <v>40</v>
      </c>
      <c r="H1372" s="2">
        <v>0</v>
      </c>
      <c r="I1372" s="2">
        <v>0</v>
      </c>
      <c r="J1372" s="2">
        <v>0</v>
      </c>
      <c r="K1372" s="20">
        <v>40</v>
      </c>
      <c r="L1372" t="s">
        <v>794</v>
      </c>
      <c r="M1372">
        <f t="shared" si="21"/>
        <v>2025</v>
      </c>
    </row>
    <row r="1373" spans="1:13" ht="12.75" hidden="1" customHeight="1">
      <c r="A1373" t="s">
        <v>812</v>
      </c>
      <c r="B1373" t="s">
        <v>31</v>
      </c>
      <c r="C1373" t="s">
        <v>141</v>
      </c>
      <c r="D1373" t="s">
        <v>1118</v>
      </c>
      <c r="E1373" s="1">
        <v>45796</v>
      </c>
      <c r="F1373" s="1">
        <v>45796</v>
      </c>
      <c r="G1373" s="12">
        <v>250</v>
      </c>
      <c r="H1373" s="2">
        <v>0</v>
      </c>
      <c r="I1373" s="2">
        <v>0</v>
      </c>
      <c r="J1373" s="2">
        <v>0</v>
      </c>
      <c r="K1373" s="20">
        <v>250</v>
      </c>
      <c r="L1373" t="s">
        <v>794</v>
      </c>
      <c r="M1373">
        <f t="shared" si="21"/>
        <v>2025</v>
      </c>
    </row>
    <row r="1374" spans="1:13" ht="12.75" hidden="1" customHeight="1">
      <c r="A1374" t="s">
        <v>818</v>
      </c>
      <c r="B1374" t="s">
        <v>30</v>
      </c>
      <c r="C1374" t="s">
        <v>141</v>
      </c>
      <c r="D1374" t="s">
        <v>1118</v>
      </c>
      <c r="E1374" s="1">
        <v>45796</v>
      </c>
      <c r="F1374" s="1">
        <v>45796</v>
      </c>
      <c r="G1374" s="12">
        <v>226</v>
      </c>
      <c r="H1374" s="2">
        <v>0</v>
      </c>
      <c r="I1374" s="2">
        <v>0</v>
      </c>
      <c r="J1374" s="2">
        <v>0</v>
      </c>
      <c r="K1374" s="20">
        <v>226</v>
      </c>
      <c r="L1374" t="s">
        <v>794</v>
      </c>
      <c r="M1374">
        <f t="shared" si="21"/>
        <v>2025</v>
      </c>
    </row>
    <row r="1375" spans="1:13" ht="12.75" hidden="1" customHeight="1">
      <c r="A1375" t="s">
        <v>1138</v>
      </c>
      <c r="B1375" t="s">
        <v>104</v>
      </c>
      <c r="C1375" t="s">
        <v>141</v>
      </c>
      <c r="D1375" t="s">
        <v>1118</v>
      </c>
      <c r="E1375" s="1">
        <v>45796</v>
      </c>
      <c r="F1375" s="1">
        <v>45796</v>
      </c>
      <c r="G1375" s="12">
        <v>152</v>
      </c>
      <c r="H1375" s="2">
        <v>0</v>
      </c>
      <c r="I1375" s="2">
        <v>0</v>
      </c>
      <c r="J1375" s="2">
        <v>0</v>
      </c>
      <c r="K1375" s="20">
        <v>152</v>
      </c>
      <c r="L1375" t="s">
        <v>794</v>
      </c>
      <c r="M1375">
        <f t="shared" si="21"/>
        <v>2025</v>
      </c>
    </row>
    <row r="1376" spans="1:13" ht="12.75" hidden="1" customHeight="1">
      <c r="A1376" t="s">
        <v>996</v>
      </c>
      <c r="B1376" t="s">
        <v>323</v>
      </c>
      <c r="C1376" t="s">
        <v>200</v>
      </c>
      <c r="D1376" t="s">
        <v>1118</v>
      </c>
      <c r="E1376" s="1">
        <v>45797</v>
      </c>
      <c r="F1376" s="1">
        <v>45797</v>
      </c>
      <c r="G1376" s="12">
        <v>480</v>
      </c>
      <c r="H1376" s="2">
        <v>0</v>
      </c>
      <c r="I1376" s="2">
        <v>0</v>
      </c>
      <c r="J1376" s="2">
        <v>0</v>
      </c>
      <c r="K1376" s="20">
        <v>480</v>
      </c>
      <c r="L1376" t="s">
        <v>794</v>
      </c>
      <c r="M1376">
        <f t="shared" si="21"/>
        <v>2025</v>
      </c>
    </row>
    <row r="1377" spans="1:13" ht="12.75" hidden="1" customHeight="1">
      <c r="A1377" t="s">
        <v>921</v>
      </c>
      <c r="B1377" t="s">
        <v>184</v>
      </c>
      <c r="C1377" t="s">
        <v>483</v>
      </c>
      <c r="D1377" t="s">
        <v>1118</v>
      </c>
      <c r="E1377" s="1">
        <v>45797</v>
      </c>
      <c r="F1377" s="1">
        <v>45797</v>
      </c>
      <c r="G1377" s="12">
        <v>91.960000000000008</v>
      </c>
      <c r="H1377" s="2">
        <v>0</v>
      </c>
      <c r="I1377" s="2">
        <v>0</v>
      </c>
      <c r="J1377" s="2">
        <v>0</v>
      </c>
      <c r="K1377" s="20">
        <v>91.960000000000008</v>
      </c>
      <c r="L1377" t="s">
        <v>794</v>
      </c>
      <c r="M1377">
        <f t="shared" si="21"/>
        <v>2025</v>
      </c>
    </row>
    <row r="1378" spans="1:13" ht="12.75" hidden="1" customHeight="1">
      <c r="A1378" t="s">
        <v>1007</v>
      </c>
      <c r="B1378" t="s">
        <v>355</v>
      </c>
      <c r="C1378" t="s">
        <v>140</v>
      </c>
      <c r="D1378" t="s">
        <v>1118</v>
      </c>
      <c r="E1378" s="1">
        <v>45797</v>
      </c>
      <c r="F1378" s="1">
        <v>45797</v>
      </c>
      <c r="G1378" s="12">
        <v>30</v>
      </c>
      <c r="H1378" s="2">
        <v>0</v>
      </c>
      <c r="I1378" s="2">
        <v>0</v>
      </c>
      <c r="J1378" s="2">
        <v>0</v>
      </c>
      <c r="K1378" s="20">
        <v>30</v>
      </c>
      <c r="L1378" t="s">
        <v>794</v>
      </c>
      <c r="M1378">
        <f t="shared" si="21"/>
        <v>2025</v>
      </c>
    </row>
    <row r="1379" spans="1:13" ht="12.75" hidden="1" customHeight="1">
      <c r="A1379" t="s">
        <v>801</v>
      </c>
      <c r="B1379" t="s">
        <v>13</v>
      </c>
      <c r="C1379" t="s">
        <v>726</v>
      </c>
      <c r="D1379" t="s">
        <v>1118</v>
      </c>
      <c r="E1379" s="1">
        <v>45797</v>
      </c>
      <c r="F1379" s="1">
        <v>45797</v>
      </c>
      <c r="G1379" s="12">
        <v>6.12</v>
      </c>
      <c r="H1379" s="2">
        <v>0</v>
      </c>
      <c r="I1379" s="2">
        <v>0</v>
      </c>
      <c r="J1379" s="2">
        <v>0</v>
      </c>
      <c r="K1379" s="20">
        <v>6.12</v>
      </c>
      <c r="L1379" t="s">
        <v>794</v>
      </c>
      <c r="M1379">
        <f t="shared" si="21"/>
        <v>2025</v>
      </c>
    </row>
    <row r="1380" spans="1:13" ht="12.75" hidden="1" customHeight="1">
      <c r="A1380" t="s">
        <v>905</v>
      </c>
      <c r="B1380" t="s">
        <v>15</v>
      </c>
      <c r="C1380" t="s">
        <v>715</v>
      </c>
      <c r="D1380" t="s">
        <v>1118</v>
      </c>
      <c r="E1380" s="1">
        <v>45798</v>
      </c>
      <c r="F1380" s="1">
        <v>45798</v>
      </c>
      <c r="G1380" s="12">
        <v>20640.59</v>
      </c>
      <c r="H1380" s="2">
        <v>0</v>
      </c>
      <c r="I1380" s="2">
        <v>0</v>
      </c>
      <c r="J1380" s="2">
        <v>0</v>
      </c>
      <c r="K1380" s="20">
        <v>20640.59</v>
      </c>
      <c r="L1380" t="s">
        <v>794</v>
      </c>
      <c r="M1380">
        <f t="shared" si="21"/>
        <v>2025</v>
      </c>
    </row>
    <row r="1381" spans="1:13" ht="12.75" hidden="1" customHeight="1">
      <c r="A1381" t="s">
        <v>909</v>
      </c>
      <c r="B1381" t="s">
        <v>97</v>
      </c>
      <c r="C1381" t="s">
        <v>717</v>
      </c>
      <c r="D1381" t="s">
        <v>1118</v>
      </c>
      <c r="E1381" s="1">
        <v>45798</v>
      </c>
      <c r="F1381" s="1">
        <v>45798</v>
      </c>
      <c r="G1381" s="12">
        <v>2000</v>
      </c>
      <c r="H1381" s="2">
        <v>0</v>
      </c>
      <c r="I1381" s="2">
        <v>0</v>
      </c>
      <c r="J1381" s="2">
        <v>0</v>
      </c>
      <c r="K1381" s="20">
        <v>2000</v>
      </c>
      <c r="L1381" t="s">
        <v>794</v>
      </c>
      <c r="M1381">
        <f t="shared" si="21"/>
        <v>2025</v>
      </c>
    </row>
    <row r="1382" spans="1:13" ht="12.75" hidden="1" customHeight="1">
      <c r="A1382" t="s">
        <v>801</v>
      </c>
      <c r="B1382" t="s">
        <v>13</v>
      </c>
      <c r="C1382" t="s">
        <v>726</v>
      </c>
      <c r="D1382" t="s">
        <v>1118</v>
      </c>
      <c r="E1382" s="1">
        <v>45798</v>
      </c>
      <c r="F1382" s="1">
        <v>45798</v>
      </c>
      <c r="G1382" s="12">
        <v>2.04</v>
      </c>
      <c r="H1382" s="2">
        <v>0</v>
      </c>
      <c r="I1382" s="2">
        <v>0</v>
      </c>
      <c r="J1382" s="2">
        <v>0</v>
      </c>
      <c r="K1382" s="20">
        <v>2.04</v>
      </c>
      <c r="L1382" t="s">
        <v>794</v>
      </c>
      <c r="M1382">
        <f t="shared" si="21"/>
        <v>2025</v>
      </c>
    </row>
    <row r="1383" spans="1:13" ht="12.75" hidden="1" customHeight="1">
      <c r="A1383" t="s">
        <v>833</v>
      </c>
      <c r="B1383" t="s">
        <v>27</v>
      </c>
      <c r="C1383" t="s">
        <v>141</v>
      </c>
      <c r="D1383" t="s">
        <v>1118</v>
      </c>
      <c r="E1383" s="1">
        <v>45798</v>
      </c>
      <c r="F1383" s="1">
        <v>45798</v>
      </c>
      <c r="G1383" s="12">
        <v>150</v>
      </c>
      <c r="H1383" s="2">
        <v>0</v>
      </c>
      <c r="I1383" s="2">
        <v>0</v>
      </c>
      <c r="J1383" s="2">
        <v>0</v>
      </c>
      <c r="K1383" s="20">
        <v>150</v>
      </c>
      <c r="L1383" t="s">
        <v>794</v>
      </c>
      <c r="M1383">
        <f t="shared" si="21"/>
        <v>2025</v>
      </c>
    </row>
    <row r="1384" spans="1:13" ht="12.75" hidden="1" customHeight="1">
      <c r="A1384" t="s">
        <v>833</v>
      </c>
      <c r="B1384" t="s">
        <v>27</v>
      </c>
      <c r="C1384" t="s">
        <v>141</v>
      </c>
      <c r="D1384" t="s">
        <v>1118</v>
      </c>
      <c r="E1384" s="1">
        <v>45798</v>
      </c>
      <c r="F1384" s="1">
        <v>45798</v>
      </c>
      <c r="G1384" s="12">
        <v>200</v>
      </c>
      <c r="H1384" s="2">
        <v>0</v>
      </c>
      <c r="I1384" s="2">
        <v>0</v>
      </c>
      <c r="J1384" s="2">
        <v>0</v>
      </c>
      <c r="K1384" s="20">
        <v>200</v>
      </c>
      <c r="L1384" t="s">
        <v>794</v>
      </c>
      <c r="M1384">
        <f t="shared" si="21"/>
        <v>2025</v>
      </c>
    </row>
    <row r="1385" spans="1:13" ht="12.75" hidden="1" customHeight="1">
      <c r="A1385" t="s">
        <v>1069</v>
      </c>
      <c r="B1385" t="s">
        <v>147</v>
      </c>
      <c r="C1385" t="s">
        <v>738</v>
      </c>
      <c r="D1385" t="s">
        <v>1118</v>
      </c>
      <c r="E1385" s="1">
        <v>45798</v>
      </c>
      <c r="F1385" s="1">
        <v>45798</v>
      </c>
      <c r="G1385" s="12">
        <v>382.75</v>
      </c>
      <c r="H1385" s="2">
        <v>0</v>
      </c>
      <c r="I1385" s="2">
        <v>0</v>
      </c>
      <c r="J1385" s="2">
        <v>0</v>
      </c>
      <c r="K1385" s="20">
        <v>382.75</v>
      </c>
      <c r="L1385" t="s">
        <v>794</v>
      </c>
      <c r="M1385">
        <f t="shared" si="21"/>
        <v>2025</v>
      </c>
    </row>
    <row r="1386" spans="1:13" ht="12.75" hidden="1" customHeight="1">
      <c r="A1386" t="s">
        <v>1069</v>
      </c>
      <c r="B1386" t="s">
        <v>147</v>
      </c>
      <c r="C1386" t="s">
        <v>738</v>
      </c>
      <c r="D1386" t="s">
        <v>1118</v>
      </c>
      <c r="E1386" s="1">
        <v>45798</v>
      </c>
      <c r="F1386" s="1">
        <v>45798</v>
      </c>
      <c r="G1386" s="12">
        <v>357.23</v>
      </c>
      <c r="H1386" s="2">
        <v>0</v>
      </c>
      <c r="I1386" s="2">
        <v>0</v>
      </c>
      <c r="J1386" s="2">
        <v>0</v>
      </c>
      <c r="K1386" s="20">
        <v>357.23</v>
      </c>
      <c r="L1386" t="s">
        <v>794</v>
      </c>
      <c r="M1386">
        <f t="shared" si="21"/>
        <v>2025</v>
      </c>
    </row>
    <row r="1387" spans="1:13" ht="12.75" hidden="1" customHeight="1">
      <c r="A1387" t="s">
        <v>935</v>
      </c>
      <c r="B1387" t="s">
        <v>158</v>
      </c>
      <c r="C1387" t="s">
        <v>741</v>
      </c>
      <c r="D1387" t="s">
        <v>1118</v>
      </c>
      <c r="E1387" s="1">
        <v>45798</v>
      </c>
      <c r="F1387" s="1">
        <v>45798</v>
      </c>
      <c r="G1387" s="12">
        <v>378.18</v>
      </c>
      <c r="H1387" s="2">
        <v>0</v>
      </c>
      <c r="I1387" s="2">
        <v>0</v>
      </c>
      <c r="J1387" s="2">
        <v>0</v>
      </c>
      <c r="K1387" s="20">
        <v>378.18</v>
      </c>
      <c r="L1387" t="s">
        <v>794</v>
      </c>
      <c r="M1387">
        <f t="shared" si="21"/>
        <v>2025</v>
      </c>
    </row>
    <row r="1388" spans="1:13" ht="12.75" hidden="1" customHeight="1">
      <c r="A1388" t="s">
        <v>841</v>
      </c>
      <c r="B1388" t="s">
        <v>164</v>
      </c>
      <c r="C1388" t="s">
        <v>722</v>
      </c>
      <c r="D1388" t="s">
        <v>1118</v>
      </c>
      <c r="E1388" s="1">
        <v>45798</v>
      </c>
      <c r="F1388" s="1">
        <v>45798</v>
      </c>
      <c r="G1388" s="12">
        <v>385.39</v>
      </c>
      <c r="H1388" s="2">
        <v>0</v>
      </c>
      <c r="I1388" s="2">
        <v>0</v>
      </c>
      <c r="J1388" s="2">
        <v>0</v>
      </c>
      <c r="K1388" s="20">
        <v>385.39</v>
      </c>
      <c r="L1388" t="s">
        <v>794</v>
      </c>
      <c r="M1388">
        <f t="shared" si="21"/>
        <v>2025</v>
      </c>
    </row>
    <row r="1389" spans="1:13" ht="12.75" hidden="1" customHeight="1">
      <c r="A1389" t="s">
        <v>839</v>
      </c>
      <c r="B1389" t="s">
        <v>44</v>
      </c>
      <c r="C1389" t="s">
        <v>722</v>
      </c>
      <c r="D1389" t="s">
        <v>1118</v>
      </c>
      <c r="E1389" s="1">
        <v>45798</v>
      </c>
      <c r="F1389" s="1">
        <v>45798</v>
      </c>
      <c r="G1389" s="12">
        <v>809.69</v>
      </c>
      <c r="H1389" s="2">
        <v>0</v>
      </c>
      <c r="I1389" s="2">
        <v>0</v>
      </c>
      <c r="J1389" s="2">
        <v>0</v>
      </c>
      <c r="K1389" s="20">
        <v>809.69</v>
      </c>
      <c r="L1389" t="s">
        <v>794</v>
      </c>
      <c r="M1389">
        <f t="shared" si="21"/>
        <v>2025</v>
      </c>
    </row>
    <row r="1390" spans="1:13" ht="12.75" hidden="1" customHeight="1">
      <c r="A1390" t="s">
        <v>839</v>
      </c>
      <c r="B1390" t="s">
        <v>44</v>
      </c>
      <c r="C1390" t="s">
        <v>722</v>
      </c>
      <c r="D1390" t="s">
        <v>1118</v>
      </c>
      <c r="E1390" s="1">
        <v>45798</v>
      </c>
      <c r="F1390" s="1">
        <v>45798</v>
      </c>
      <c r="G1390" s="12">
        <v>963.53</v>
      </c>
      <c r="H1390" s="2">
        <v>0</v>
      </c>
      <c r="I1390" s="2">
        <v>0</v>
      </c>
      <c r="J1390" s="2">
        <v>0</v>
      </c>
      <c r="K1390" s="20">
        <v>963.53</v>
      </c>
      <c r="L1390" t="s">
        <v>794</v>
      </c>
      <c r="M1390">
        <f t="shared" si="21"/>
        <v>2025</v>
      </c>
    </row>
    <row r="1391" spans="1:13" ht="12.75" hidden="1" customHeight="1">
      <c r="A1391" t="s">
        <v>1139</v>
      </c>
      <c r="B1391" t="s">
        <v>222</v>
      </c>
      <c r="C1391" t="s">
        <v>722</v>
      </c>
      <c r="D1391" t="s">
        <v>1118</v>
      </c>
      <c r="E1391" s="1">
        <v>45798</v>
      </c>
      <c r="F1391" s="1">
        <v>45798</v>
      </c>
      <c r="G1391" s="12">
        <v>798.47</v>
      </c>
      <c r="H1391" s="2">
        <v>0</v>
      </c>
      <c r="I1391" s="2">
        <v>0</v>
      </c>
      <c r="J1391" s="2">
        <v>0</v>
      </c>
      <c r="K1391" s="20">
        <v>798.47</v>
      </c>
      <c r="L1391" t="s">
        <v>794</v>
      </c>
      <c r="M1391">
        <f t="shared" si="21"/>
        <v>2025</v>
      </c>
    </row>
    <row r="1392" spans="1:13" ht="12.75" hidden="1" customHeight="1">
      <c r="A1392" t="s">
        <v>801</v>
      </c>
      <c r="B1392" t="s">
        <v>13</v>
      </c>
      <c r="C1392" t="s">
        <v>726</v>
      </c>
      <c r="D1392" t="s">
        <v>1118</v>
      </c>
      <c r="E1392" s="1">
        <v>45798</v>
      </c>
      <c r="F1392" s="1">
        <v>45798</v>
      </c>
      <c r="G1392" s="12">
        <v>2.04</v>
      </c>
      <c r="H1392" s="2">
        <v>0</v>
      </c>
      <c r="I1392" s="2">
        <v>0</v>
      </c>
      <c r="J1392" s="2">
        <v>0</v>
      </c>
      <c r="K1392" s="20">
        <v>2.04</v>
      </c>
      <c r="L1392" t="s">
        <v>794</v>
      </c>
      <c r="M1392">
        <f t="shared" si="21"/>
        <v>2025</v>
      </c>
    </row>
    <row r="1393" spans="1:13" ht="12.75" hidden="1" customHeight="1">
      <c r="A1393" t="s">
        <v>1109</v>
      </c>
      <c r="B1393" t="s">
        <v>82</v>
      </c>
      <c r="C1393" t="s">
        <v>724</v>
      </c>
      <c r="D1393" t="s">
        <v>1118</v>
      </c>
      <c r="E1393" s="1">
        <v>45799</v>
      </c>
      <c r="F1393" s="1">
        <v>45799</v>
      </c>
      <c r="G1393" s="12">
        <v>3374.71</v>
      </c>
      <c r="H1393" s="2">
        <v>0</v>
      </c>
      <c r="I1393" s="2">
        <v>0</v>
      </c>
      <c r="J1393" s="2">
        <v>0</v>
      </c>
      <c r="K1393" s="20">
        <v>3374.71</v>
      </c>
      <c r="L1393" t="s">
        <v>794</v>
      </c>
      <c r="M1393">
        <f t="shared" si="21"/>
        <v>2025</v>
      </c>
    </row>
    <row r="1394" spans="1:13" ht="12.75" hidden="1" customHeight="1">
      <c r="A1394" t="s">
        <v>905</v>
      </c>
      <c r="B1394" t="s">
        <v>15</v>
      </c>
      <c r="C1394" t="s">
        <v>727</v>
      </c>
      <c r="D1394" t="s">
        <v>1118</v>
      </c>
      <c r="E1394" s="1">
        <v>45799</v>
      </c>
      <c r="F1394" s="1">
        <v>45799</v>
      </c>
      <c r="G1394" s="12">
        <v>2987.77</v>
      </c>
      <c r="H1394" s="2">
        <v>0</v>
      </c>
      <c r="I1394" s="2">
        <v>0</v>
      </c>
      <c r="J1394" s="2">
        <v>0</v>
      </c>
      <c r="K1394" s="20">
        <v>2987.77</v>
      </c>
      <c r="L1394" t="s">
        <v>794</v>
      </c>
      <c r="M1394">
        <f t="shared" si="21"/>
        <v>2025</v>
      </c>
    </row>
    <row r="1395" spans="1:13" ht="12.75" hidden="1" customHeight="1">
      <c r="A1395" t="s">
        <v>801</v>
      </c>
      <c r="B1395" t="s">
        <v>13</v>
      </c>
      <c r="C1395" t="s">
        <v>726</v>
      </c>
      <c r="D1395" t="s">
        <v>1118</v>
      </c>
      <c r="E1395" s="1">
        <v>45799</v>
      </c>
      <c r="F1395" s="1">
        <v>45799</v>
      </c>
      <c r="G1395" s="12">
        <v>2.04</v>
      </c>
      <c r="H1395" s="2">
        <v>0</v>
      </c>
      <c r="I1395" s="2">
        <v>0</v>
      </c>
      <c r="J1395" s="2">
        <v>0</v>
      </c>
      <c r="K1395" s="20">
        <v>2.04</v>
      </c>
      <c r="L1395" t="s">
        <v>794</v>
      </c>
      <c r="M1395">
        <f t="shared" si="21"/>
        <v>2025</v>
      </c>
    </row>
    <row r="1396" spans="1:13" ht="12.75" hidden="1" customHeight="1">
      <c r="A1396" t="s">
        <v>1026</v>
      </c>
      <c r="B1396" t="s">
        <v>166</v>
      </c>
      <c r="C1396" t="s">
        <v>204</v>
      </c>
      <c r="D1396" t="s">
        <v>1118</v>
      </c>
      <c r="E1396" s="1">
        <v>45800</v>
      </c>
      <c r="F1396" s="1">
        <v>45800</v>
      </c>
      <c r="G1396" s="12">
        <v>300.26</v>
      </c>
      <c r="H1396" s="2">
        <v>0</v>
      </c>
      <c r="I1396" s="2">
        <v>0</v>
      </c>
      <c r="J1396" s="2">
        <v>0</v>
      </c>
      <c r="K1396" s="20">
        <v>300.26</v>
      </c>
      <c r="L1396" t="s">
        <v>794</v>
      </c>
      <c r="M1396">
        <f t="shared" si="21"/>
        <v>2025</v>
      </c>
    </row>
    <row r="1397" spans="1:13" ht="12.75" hidden="1" customHeight="1">
      <c r="A1397" t="s">
        <v>1140</v>
      </c>
      <c r="B1397" t="s">
        <v>523</v>
      </c>
      <c r="C1397" t="s">
        <v>452</v>
      </c>
      <c r="D1397" t="s">
        <v>1118</v>
      </c>
      <c r="E1397" s="1">
        <v>45800</v>
      </c>
      <c r="F1397" s="1">
        <v>45800</v>
      </c>
      <c r="G1397" s="12">
        <v>100</v>
      </c>
      <c r="H1397" s="2">
        <v>0</v>
      </c>
      <c r="I1397" s="2">
        <v>0</v>
      </c>
      <c r="J1397" s="2">
        <v>0</v>
      </c>
      <c r="K1397" s="20">
        <v>100</v>
      </c>
      <c r="L1397" t="s">
        <v>794</v>
      </c>
      <c r="M1397">
        <f t="shared" si="21"/>
        <v>2025</v>
      </c>
    </row>
    <row r="1398" spans="1:13" ht="12.75" hidden="1" customHeight="1">
      <c r="A1398" t="s">
        <v>1141</v>
      </c>
      <c r="B1398" t="s">
        <v>69</v>
      </c>
      <c r="C1398" t="s">
        <v>138</v>
      </c>
      <c r="D1398" t="s">
        <v>1118</v>
      </c>
      <c r="E1398" s="1">
        <v>45800</v>
      </c>
      <c r="F1398" s="1">
        <v>45800</v>
      </c>
      <c r="G1398" s="12">
        <v>39.36</v>
      </c>
      <c r="H1398" s="2">
        <v>0</v>
      </c>
      <c r="I1398" s="2">
        <v>0</v>
      </c>
      <c r="J1398" s="2">
        <v>0</v>
      </c>
      <c r="K1398" s="20">
        <v>39.36</v>
      </c>
      <c r="L1398" t="s">
        <v>794</v>
      </c>
      <c r="M1398">
        <f t="shared" si="21"/>
        <v>2025</v>
      </c>
    </row>
    <row r="1399" spans="1:13" ht="12.75" hidden="1" customHeight="1">
      <c r="A1399" t="s">
        <v>1141</v>
      </c>
      <c r="B1399" t="s">
        <v>69</v>
      </c>
      <c r="C1399" t="s">
        <v>138</v>
      </c>
      <c r="D1399" t="s">
        <v>1118</v>
      </c>
      <c r="E1399" s="1">
        <v>45800</v>
      </c>
      <c r="F1399" s="1">
        <v>45800</v>
      </c>
      <c r="G1399" s="12">
        <v>39.36</v>
      </c>
      <c r="H1399" s="2">
        <v>0</v>
      </c>
      <c r="I1399" s="2">
        <v>0</v>
      </c>
      <c r="J1399" s="2">
        <v>0</v>
      </c>
      <c r="K1399" s="20">
        <v>39.36</v>
      </c>
      <c r="L1399" t="s">
        <v>794</v>
      </c>
      <c r="M1399">
        <f t="shared" si="21"/>
        <v>2025</v>
      </c>
    </row>
    <row r="1400" spans="1:13" ht="12.75" hidden="1" customHeight="1">
      <c r="A1400" t="s">
        <v>801</v>
      </c>
      <c r="B1400" t="s">
        <v>13</v>
      </c>
      <c r="C1400" t="s">
        <v>717</v>
      </c>
      <c r="D1400" t="s">
        <v>1118</v>
      </c>
      <c r="E1400" s="1">
        <v>45803</v>
      </c>
      <c r="F1400" s="1">
        <v>45803</v>
      </c>
      <c r="G1400" s="12">
        <v>1056.49</v>
      </c>
      <c r="H1400" s="2">
        <v>0</v>
      </c>
      <c r="I1400" s="2">
        <v>0</v>
      </c>
      <c r="J1400" s="2">
        <v>0</v>
      </c>
      <c r="K1400" s="20">
        <v>1056.49</v>
      </c>
      <c r="L1400" t="s">
        <v>794</v>
      </c>
      <c r="M1400">
        <f t="shared" si="21"/>
        <v>2025</v>
      </c>
    </row>
    <row r="1401" spans="1:13" ht="12.75" hidden="1" customHeight="1">
      <c r="A1401" t="s">
        <v>801</v>
      </c>
      <c r="B1401" t="s">
        <v>13</v>
      </c>
      <c r="C1401" t="s">
        <v>718</v>
      </c>
      <c r="D1401" t="s">
        <v>1118</v>
      </c>
      <c r="E1401" s="1">
        <v>45803</v>
      </c>
      <c r="F1401" s="1">
        <v>45803</v>
      </c>
      <c r="G1401" s="12">
        <v>9558.2100000000009</v>
      </c>
      <c r="H1401" s="2">
        <v>0</v>
      </c>
      <c r="I1401" s="2">
        <v>0</v>
      </c>
      <c r="J1401" s="2">
        <v>0</v>
      </c>
      <c r="K1401" s="20">
        <v>9558.2100000000009</v>
      </c>
      <c r="L1401" t="s">
        <v>794</v>
      </c>
      <c r="M1401">
        <f t="shared" si="21"/>
        <v>2025</v>
      </c>
    </row>
    <row r="1402" spans="1:13" ht="12.75" hidden="1" customHeight="1">
      <c r="A1402" t="s">
        <v>801</v>
      </c>
      <c r="B1402" t="s">
        <v>13</v>
      </c>
      <c r="C1402" t="s">
        <v>718</v>
      </c>
      <c r="D1402" t="s">
        <v>1118</v>
      </c>
      <c r="E1402" s="1">
        <v>45803</v>
      </c>
      <c r="F1402" s="1">
        <v>45803</v>
      </c>
      <c r="G1402" s="12">
        <v>12349.69</v>
      </c>
      <c r="H1402" s="2">
        <v>0</v>
      </c>
      <c r="I1402" s="2">
        <v>0</v>
      </c>
      <c r="J1402" s="2">
        <v>0</v>
      </c>
      <c r="K1402" s="20">
        <v>12349.69</v>
      </c>
      <c r="L1402" t="s">
        <v>843</v>
      </c>
      <c r="M1402">
        <f t="shared" si="21"/>
        <v>2025</v>
      </c>
    </row>
    <row r="1403" spans="1:13" ht="12.75" hidden="1" customHeight="1">
      <c r="A1403" t="s">
        <v>1009</v>
      </c>
      <c r="B1403" t="s">
        <v>62</v>
      </c>
      <c r="C1403" t="s">
        <v>141</v>
      </c>
      <c r="D1403" t="s">
        <v>1118</v>
      </c>
      <c r="E1403" s="1">
        <v>45803</v>
      </c>
      <c r="F1403" s="1">
        <v>45803</v>
      </c>
      <c r="G1403" s="12">
        <v>40</v>
      </c>
      <c r="H1403" s="2">
        <v>0</v>
      </c>
      <c r="I1403" s="2">
        <v>0</v>
      </c>
      <c r="J1403" s="2">
        <v>0</v>
      </c>
      <c r="K1403" s="20">
        <v>40</v>
      </c>
      <c r="L1403" t="s">
        <v>794</v>
      </c>
      <c r="M1403">
        <f t="shared" si="21"/>
        <v>2025</v>
      </c>
    </row>
    <row r="1404" spans="1:13" ht="12.75" hidden="1" customHeight="1">
      <c r="A1404" t="s">
        <v>1121</v>
      </c>
      <c r="B1404" t="s">
        <v>295</v>
      </c>
      <c r="C1404" t="s">
        <v>142</v>
      </c>
      <c r="D1404" t="s">
        <v>1118</v>
      </c>
      <c r="E1404" s="1">
        <v>45803</v>
      </c>
      <c r="F1404" s="1">
        <v>45803</v>
      </c>
      <c r="G1404" s="12">
        <v>35</v>
      </c>
      <c r="H1404" s="2">
        <v>0</v>
      </c>
      <c r="I1404" s="2">
        <v>0</v>
      </c>
      <c r="J1404" s="2">
        <v>0</v>
      </c>
      <c r="K1404" s="20">
        <v>35</v>
      </c>
      <c r="L1404" t="s">
        <v>794</v>
      </c>
      <c r="M1404">
        <f t="shared" si="21"/>
        <v>2025</v>
      </c>
    </row>
    <row r="1405" spans="1:13" ht="12.75" hidden="1" customHeight="1">
      <c r="A1405" t="s">
        <v>807</v>
      </c>
      <c r="B1405" t="s">
        <v>366</v>
      </c>
      <c r="C1405" t="s">
        <v>491</v>
      </c>
      <c r="D1405" t="s">
        <v>1118</v>
      </c>
      <c r="E1405" s="1">
        <v>45803</v>
      </c>
      <c r="F1405" s="1">
        <v>45803</v>
      </c>
      <c r="G1405" s="12">
        <v>27</v>
      </c>
      <c r="H1405" s="2">
        <v>0</v>
      </c>
      <c r="I1405" s="2">
        <v>0</v>
      </c>
      <c r="J1405" s="2">
        <v>0</v>
      </c>
      <c r="K1405" s="20">
        <v>27</v>
      </c>
      <c r="L1405" t="s">
        <v>794</v>
      </c>
      <c r="M1405">
        <f t="shared" si="21"/>
        <v>2025</v>
      </c>
    </row>
    <row r="1406" spans="1:13" ht="12.75" hidden="1" customHeight="1">
      <c r="A1406" t="s">
        <v>1141</v>
      </c>
      <c r="B1406" t="s">
        <v>69</v>
      </c>
      <c r="C1406" t="s">
        <v>138</v>
      </c>
      <c r="D1406" t="s">
        <v>1118</v>
      </c>
      <c r="E1406" s="1">
        <v>45803</v>
      </c>
      <c r="F1406" s="1">
        <v>45803</v>
      </c>
      <c r="G1406" s="12">
        <v>39.36</v>
      </c>
      <c r="H1406" s="2">
        <v>0</v>
      </c>
      <c r="I1406" s="2">
        <v>0</v>
      </c>
      <c r="J1406" s="2">
        <v>0</v>
      </c>
      <c r="K1406" s="20">
        <v>39.36</v>
      </c>
      <c r="L1406" t="s">
        <v>794</v>
      </c>
      <c r="M1406">
        <f t="shared" si="21"/>
        <v>2025</v>
      </c>
    </row>
    <row r="1407" spans="1:13" ht="12.75" hidden="1" customHeight="1">
      <c r="A1407" t="s">
        <v>812</v>
      </c>
      <c r="B1407" t="s">
        <v>31</v>
      </c>
      <c r="C1407" t="s">
        <v>141</v>
      </c>
      <c r="D1407" t="s">
        <v>1118</v>
      </c>
      <c r="E1407" s="1">
        <v>45803</v>
      </c>
      <c r="F1407" s="1">
        <v>45803</v>
      </c>
      <c r="G1407" s="12">
        <v>66</v>
      </c>
      <c r="H1407" s="2">
        <v>0</v>
      </c>
      <c r="I1407" s="2">
        <v>0</v>
      </c>
      <c r="J1407" s="2">
        <v>0</v>
      </c>
      <c r="K1407" s="20">
        <v>66</v>
      </c>
      <c r="L1407" t="s">
        <v>794</v>
      </c>
      <c r="M1407">
        <f t="shared" si="21"/>
        <v>2025</v>
      </c>
    </row>
    <row r="1408" spans="1:13" ht="12.75" hidden="1" customHeight="1">
      <c r="A1408" t="s">
        <v>1138</v>
      </c>
      <c r="B1408" t="s">
        <v>104</v>
      </c>
      <c r="C1408" t="s">
        <v>141</v>
      </c>
      <c r="D1408" t="s">
        <v>1118</v>
      </c>
      <c r="E1408" s="1">
        <v>45803</v>
      </c>
      <c r="F1408" s="1">
        <v>45803</v>
      </c>
      <c r="G1408" s="12">
        <v>234</v>
      </c>
      <c r="H1408" s="2">
        <v>0</v>
      </c>
      <c r="I1408" s="2">
        <v>0</v>
      </c>
      <c r="J1408" s="2">
        <v>0</v>
      </c>
      <c r="K1408" s="20">
        <v>234</v>
      </c>
      <c r="L1408" t="s">
        <v>794</v>
      </c>
      <c r="M1408">
        <f t="shared" si="21"/>
        <v>2025</v>
      </c>
    </row>
    <row r="1409" spans="1:13" ht="12.75" hidden="1" customHeight="1">
      <c r="A1409" t="s">
        <v>801</v>
      </c>
      <c r="B1409" t="s">
        <v>13</v>
      </c>
      <c r="C1409" t="s">
        <v>726</v>
      </c>
      <c r="D1409" t="s">
        <v>1118</v>
      </c>
      <c r="E1409" s="1">
        <v>45803</v>
      </c>
      <c r="F1409" s="1">
        <v>45803</v>
      </c>
      <c r="G1409" s="12">
        <v>2.04</v>
      </c>
      <c r="H1409" s="2">
        <v>0</v>
      </c>
      <c r="I1409" s="2">
        <v>0</v>
      </c>
      <c r="J1409" s="2">
        <v>0</v>
      </c>
      <c r="K1409" s="20">
        <v>2.04</v>
      </c>
      <c r="L1409" t="s">
        <v>794</v>
      </c>
      <c r="M1409">
        <f t="shared" si="21"/>
        <v>2025</v>
      </c>
    </row>
    <row r="1410" spans="1:13" ht="12.75" hidden="1" customHeight="1">
      <c r="A1410" t="s">
        <v>801</v>
      </c>
      <c r="B1410" t="s">
        <v>13</v>
      </c>
      <c r="C1410" t="s">
        <v>717</v>
      </c>
      <c r="D1410" t="s">
        <v>1118</v>
      </c>
      <c r="E1410" s="1">
        <v>45803</v>
      </c>
      <c r="F1410" s="1">
        <v>45803</v>
      </c>
      <c r="G1410" s="12">
        <v>1367.95</v>
      </c>
      <c r="H1410" s="2">
        <v>0</v>
      </c>
      <c r="I1410" s="2">
        <v>0</v>
      </c>
      <c r="J1410" s="2">
        <v>0</v>
      </c>
      <c r="K1410" s="20">
        <v>1367.95</v>
      </c>
      <c r="L1410" t="s">
        <v>794</v>
      </c>
      <c r="M1410">
        <f t="shared" si="21"/>
        <v>2025</v>
      </c>
    </row>
    <row r="1411" spans="1:13" ht="12.75" hidden="1" customHeight="1">
      <c r="A1411" t="s">
        <v>801</v>
      </c>
      <c r="B1411" t="s">
        <v>13</v>
      </c>
      <c r="C1411" t="s">
        <v>726</v>
      </c>
      <c r="D1411" t="s">
        <v>1118</v>
      </c>
      <c r="E1411" s="1">
        <v>45804</v>
      </c>
      <c r="F1411" s="1">
        <v>45804</v>
      </c>
      <c r="G1411" s="12">
        <v>2.04</v>
      </c>
      <c r="H1411" s="2">
        <v>0</v>
      </c>
      <c r="I1411" s="2">
        <v>0</v>
      </c>
      <c r="J1411" s="2">
        <v>0</v>
      </c>
      <c r="K1411" s="20">
        <v>2.04</v>
      </c>
      <c r="L1411" t="s">
        <v>794</v>
      </c>
      <c r="M1411">
        <f t="shared" ref="M1411:M1474" si="22">YEAR(F1411)</f>
        <v>2025</v>
      </c>
    </row>
    <row r="1412" spans="1:13" ht="12.75" hidden="1" customHeight="1">
      <c r="A1412" t="s">
        <v>801</v>
      </c>
      <c r="B1412" t="s">
        <v>13</v>
      </c>
      <c r="C1412" t="s">
        <v>726</v>
      </c>
      <c r="D1412" t="s">
        <v>1118</v>
      </c>
      <c r="E1412" s="1">
        <v>45805</v>
      </c>
      <c r="F1412" s="1">
        <v>45805</v>
      </c>
      <c r="G1412" s="12">
        <v>4.08</v>
      </c>
      <c r="H1412" s="2">
        <v>0</v>
      </c>
      <c r="I1412" s="2">
        <v>0</v>
      </c>
      <c r="J1412" s="2">
        <v>0</v>
      </c>
      <c r="K1412" s="20">
        <v>4.08</v>
      </c>
      <c r="L1412" t="s">
        <v>794</v>
      </c>
      <c r="M1412">
        <f t="shared" si="22"/>
        <v>2025</v>
      </c>
    </row>
    <row r="1413" spans="1:13" ht="12.75" hidden="1" customHeight="1">
      <c r="A1413" t="s">
        <v>814</v>
      </c>
      <c r="B1413" t="s">
        <v>143</v>
      </c>
      <c r="C1413" t="s">
        <v>141</v>
      </c>
      <c r="D1413" t="s">
        <v>1118</v>
      </c>
      <c r="E1413" s="1">
        <v>45806</v>
      </c>
      <c r="F1413" s="1">
        <v>45806</v>
      </c>
      <c r="G1413" s="12">
        <v>75</v>
      </c>
      <c r="H1413" s="2">
        <v>0</v>
      </c>
      <c r="I1413" s="2">
        <v>0</v>
      </c>
      <c r="J1413" s="2">
        <v>0</v>
      </c>
      <c r="K1413" s="20">
        <v>75</v>
      </c>
      <c r="L1413" t="s">
        <v>794</v>
      </c>
      <c r="M1413">
        <f t="shared" si="22"/>
        <v>2025</v>
      </c>
    </row>
    <row r="1414" spans="1:13" ht="12.75" hidden="1" customHeight="1">
      <c r="A1414" t="s">
        <v>1141</v>
      </c>
      <c r="B1414" t="s">
        <v>69</v>
      </c>
      <c r="C1414" t="s">
        <v>138</v>
      </c>
      <c r="D1414" t="s">
        <v>1118</v>
      </c>
      <c r="E1414" s="1">
        <v>45806</v>
      </c>
      <c r="F1414" s="1">
        <v>45806</v>
      </c>
      <c r="G1414" s="12">
        <v>16.16</v>
      </c>
      <c r="H1414" s="2">
        <v>0</v>
      </c>
      <c r="I1414" s="2">
        <v>0</v>
      </c>
      <c r="J1414" s="2">
        <v>0</v>
      </c>
      <c r="K1414" s="20">
        <v>16.16</v>
      </c>
      <c r="L1414" t="s">
        <v>794</v>
      </c>
      <c r="M1414">
        <f t="shared" si="22"/>
        <v>2025</v>
      </c>
    </row>
    <row r="1415" spans="1:13" ht="12.75" hidden="1" customHeight="1">
      <c r="A1415" t="s">
        <v>1141</v>
      </c>
      <c r="B1415" t="s">
        <v>69</v>
      </c>
      <c r="C1415" t="s">
        <v>139</v>
      </c>
      <c r="D1415" t="s">
        <v>1118</v>
      </c>
      <c r="E1415" s="1">
        <v>45806</v>
      </c>
      <c r="F1415" s="1">
        <v>45806</v>
      </c>
      <c r="G1415" s="12">
        <v>23.2</v>
      </c>
      <c r="H1415" s="2">
        <v>0</v>
      </c>
      <c r="I1415" s="2">
        <v>0</v>
      </c>
      <c r="J1415" s="2">
        <v>0</v>
      </c>
      <c r="K1415" s="20">
        <v>23.2</v>
      </c>
      <c r="L1415" t="s">
        <v>794</v>
      </c>
      <c r="M1415">
        <f t="shared" si="22"/>
        <v>2025</v>
      </c>
    </row>
    <row r="1416" spans="1:13" ht="12.75" hidden="1" customHeight="1">
      <c r="A1416" t="s">
        <v>801</v>
      </c>
      <c r="B1416" t="s">
        <v>13</v>
      </c>
      <c r="C1416" t="s">
        <v>726</v>
      </c>
      <c r="D1416" t="s">
        <v>1118</v>
      </c>
      <c r="E1416" s="1">
        <v>45806</v>
      </c>
      <c r="F1416" s="1">
        <v>45806</v>
      </c>
      <c r="G1416" s="12">
        <v>4.08</v>
      </c>
      <c r="H1416" s="2">
        <v>0</v>
      </c>
      <c r="I1416" s="2">
        <v>0</v>
      </c>
      <c r="J1416" s="2">
        <v>0</v>
      </c>
      <c r="K1416" s="20">
        <v>4.08</v>
      </c>
      <c r="L1416" t="s">
        <v>794</v>
      </c>
      <c r="M1416">
        <f t="shared" si="22"/>
        <v>2025</v>
      </c>
    </row>
    <row r="1417" spans="1:13" ht="12.75" hidden="1" customHeight="1">
      <c r="A1417" t="s">
        <v>841</v>
      </c>
      <c r="B1417" t="s">
        <v>164</v>
      </c>
      <c r="C1417" t="s">
        <v>722</v>
      </c>
      <c r="D1417" t="s">
        <v>1142</v>
      </c>
      <c r="E1417" s="1">
        <v>45807</v>
      </c>
      <c r="F1417" s="1">
        <v>45807</v>
      </c>
      <c r="G1417" s="12">
        <v>380.89</v>
      </c>
      <c r="H1417" s="2">
        <v>0</v>
      </c>
      <c r="I1417" s="2">
        <v>0</v>
      </c>
      <c r="J1417" s="2">
        <v>0</v>
      </c>
      <c r="K1417" s="20">
        <v>380.89</v>
      </c>
      <c r="L1417" t="s">
        <v>794</v>
      </c>
      <c r="M1417">
        <f t="shared" si="22"/>
        <v>2025</v>
      </c>
    </row>
    <row r="1418" spans="1:13" ht="12.75" hidden="1" customHeight="1">
      <c r="A1418" t="s">
        <v>1139</v>
      </c>
      <c r="B1418" t="s">
        <v>222</v>
      </c>
      <c r="C1418" t="s">
        <v>722</v>
      </c>
      <c r="D1418" t="s">
        <v>1142</v>
      </c>
      <c r="E1418" s="1">
        <v>45807</v>
      </c>
      <c r="F1418" s="1">
        <v>45807</v>
      </c>
      <c r="G1418" s="12">
        <v>798.02</v>
      </c>
      <c r="H1418" s="2">
        <v>0</v>
      </c>
      <c r="I1418" s="2">
        <v>0</v>
      </c>
      <c r="J1418" s="2">
        <v>0</v>
      </c>
      <c r="K1418" s="20">
        <v>798.02</v>
      </c>
      <c r="L1418" t="s">
        <v>794</v>
      </c>
      <c r="M1418">
        <f t="shared" si="22"/>
        <v>2025</v>
      </c>
    </row>
    <row r="1419" spans="1:13" ht="12.75" hidden="1" customHeight="1">
      <c r="A1419" t="s">
        <v>1019</v>
      </c>
      <c r="B1419" t="s">
        <v>1143</v>
      </c>
      <c r="C1419" t="s">
        <v>734</v>
      </c>
      <c r="D1419" t="s">
        <v>1118</v>
      </c>
      <c r="E1419" s="1">
        <v>45807</v>
      </c>
      <c r="F1419" s="1">
        <v>45807</v>
      </c>
      <c r="G1419" s="12">
        <v>860</v>
      </c>
      <c r="H1419" s="2">
        <v>0</v>
      </c>
      <c r="I1419" s="2">
        <v>0</v>
      </c>
      <c r="J1419" s="2">
        <v>0</v>
      </c>
      <c r="K1419" s="20">
        <v>860</v>
      </c>
      <c r="L1419" t="s">
        <v>794</v>
      </c>
      <c r="M1419">
        <f t="shared" si="22"/>
        <v>2025</v>
      </c>
    </row>
    <row r="1420" spans="1:13" ht="12.75" hidden="1" customHeight="1">
      <c r="A1420" t="s">
        <v>935</v>
      </c>
      <c r="B1420" t="s">
        <v>158</v>
      </c>
      <c r="C1420" t="s">
        <v>741</v>
      </c>
      <c r="D1420" t="s">
        <v>1142</v>
      </c>
      <c r="E1420" s="1">
        <v>45807</v>
      </c>
      <c r="F1420" s="1">
        <v>45807</v>
      </c>
      <c r="G1420" s="12">
        <v>377.64</v>
      </c>
      <c r="H1420" s="2">
        <v>0</v>
      </c>
      <c r="I1420" s="2">
        <v>0</v>
      </c>
      <c r="J1420" s="2">
        <v>0</v>
      </c>
      <c r="K1420" s="20">
        <v>377.64</v>
      </c>
      <c r="L1420" t="s">
        <v>794</v>
      </c>
      <c r="M1420">
        <f t="shared" si="22"/>
        <v>2025</v>
      </c>
    </row>
    <row r="1421" spans="1:13" ht="12.75" hidden="1" customHeight="1">
      <c r="A1421" t="s">
        <v>850</v>
      </c>
      <c r="B1421" t="s">
        <v>105</v>
      </c>
      <c r="C1421" t="s">
        <v>384</v>
      </c>
      <c r="D1421" t="s">
        <v>1142</v>
      </c>
      <c r="E1421" s="1">
        <v>45807</v>
      </c>
      <c r="F1421" s="1">
        <v>45807</v>
      </c>
      <c r="G1421" s="12">
        <v>1592.75</v>
      </c>
      <c r="H1421" s="2">
        <v>0</v>
      </c>
      <c r="I1421" s="2">
        <v>0</v>
      </c>
      <c r="J1421" s="2">
        <v>0</v>
      </c>
      <c r="K1421" s="20">
        <v>1592.75</v>
      </c>
      <c r="L1421" t="s">
        <v>794</v>
      </c>
      <c r="M1421">
        <f t="shared" si="22"/>
        <v>2025</v>
      </c>
    </row>
    <row r="1422" spans="1:13" ht="12.75" hidden="1" customHeight="1">
      <c r="A1422" t="s">
        <v>1144</v>
      </c>
      <c r="B1422" t="s">
        <v>286</v>
      </c>
      <c r="C1422" t="s">
        <v>558</v>
      </c>
      <c r="D1422" t="s">
        <v>1142</v>
      </c>
      <c r="E1422" s="1">
        <v>45807</v>
      </c>
      <c r="F1422" s="1">
        <v>45807</v>
      </c>
      <c r="G1422" s="12">
        <v>1443.24</v>
      </c>
      <c r="H1422" s="2">
        <v>0</v>
      </c>
      <c r="I1422" s="2">
        <v>0</v>
      </c>
      <c r="J1422" s="2">
        <v>0</v>
      </c>
      <c r="K1422" s="20">
        <v>1443.24</v>
      </c>
      <c r="L1422" t="s">
        <v>794</v>
      </c>
      <c r="M1422">
        <f t="shared" si="22"/>
        <v>2025</v>
      </c>
    </row>
    <row r="1423" spans="1:13" ht="12.75" hidden="1" customHeight="1">
      <c r="A1423" t="s">
        <v>839</v>
      </c>
      <c r="B1423" t="s">
        <v>26</v>
      </c>
      <c r="C1423" t="s">
        <v>138</v>
      </c>
      <c r="D1423" t="s">
        <v>1142</v>
      </c>
      <c r="E1423" s="1">
        <v>45807</v>
      </c>
      <c r="F1423" s="1">
        <v>45807</v>
      </c>
      <c r="G1423" s="12">
        <v>4848</v>
      </c>
      <c r="H1423" s="2">
        <v>0</v>
      </c>
      <c r="I1423" s="2">
        <v>0</v>
      </c>
      <c r="J1423" s="2">
        <v>0</v>
      </c>
      <c r="K1423" s="20">
        <v>4848</v>
      </c>
      <c r="L1423" t="s">
        <v>794</v>
      </c>
      <c r="M1423">
        <f t="shared" si="22"/>
        <v>2025</v>
      </c>
    </row>
    <row r="1424" spans="1:13" ht="12.75" hidden="1" customHeight="1">
      <c r="A1424" t="s">
        <v>836</v>
      </c>
      <c r="B1424" t="s">
        <v>262</v>
      </c>
      <c r="C1424" t="s">
        <v>138</v>
      </c>
      <c r="D1424" t="s">
        <v>1142</v>
      </c>
      <c r="E1424" s="1">
        <v>45807</v>
      </c>
      <c r="F1424" s="1">
        <v>45807</v>
      </c>
      <c r="G1424" s="12">
        <v>242.4</v>
      </c>
      <c r="H1424" s="2">
        <v>0</v>
      </c>
      <c r="I1424" s="2">
        <v>0</v>
      </c>
      <c r="J1424" s="2">
        <v>0</v>
      </c>
      <c r="K1424" s="20">
        <v>242.4</v>
      </c>
      <c r="L1424" t="s">
        <v>794</v>
      </c>
      <c r="M1424">
        <f t="shared" si="22"/>
        <v>2025</v>
      </c>
    </row>
    <row r="1425" spans="1:13" ht="12.75" hidden="1" customHeight="1">
      <c r="A1425" t="s">
        <v>851</v>
      </c>
      <c r="B1425" t="s">
        <v>402</v>
      </c>
      <c r="C1425" t="s">
        <v>138</v>
      </c>
      <c r="D1425" t="s">
        <v>1142</v>
      </c>
      <c r="E1425" s="1">
        <v>45807</v>
      </c>
      <c r="F1425" s="1">
        <v>45807</v>
      </c>
      <c r="G1425" s="12">
        <v>242.4</v>
      </c>
      <c r="H1425" s="2">
        <v>0</v>
      </c>
      <c r="I1425" s="2">
        <v>0</v>
      </c>
      <c r="J1425" s="2">
        <v>0</v>
      </c>
      <c r="K1425" s="20">
        <v>242.4</v>
      </c>
      <c r="L1425" t="s">
        <v>794</v>
      </c>
      <c r="M1425">
        <f t="shared" si="22"/>
        <v>2025</v>
      </c>
    </row>
    <row r="1426" spans="1:13" ht="12.75" hidden="1" customHeight="1">
      <c r="A1426" t="s">
        <v>814</v>
      </c>
      <c r="B1426" t="s">
        <v>143</v>
      </c>
      <c r="C1426" t="s">
        <v>138</v>
      </c>
      <c r="D1426" t="s">
        <v>1142</v>
      </c>
      <c r="E1426" s="1">
        <v>45807</v>
      </c>
      <c r="F1426" s="1">
        <v>45807</v>
      </c>
      <c r="G1426" s="12">
        <v>242.4</v>
      </c>
      <c r="H1426" s="2">
        <v>0</v>
      </c>
      <c r="I1426" s="2">
        <v>0</v>
      </c>
      <c r="J1426" s="2">
        <v>0</v>
      </c>
      <c r="K1426" s="20">
        <v>242.4</v>
      </c>
      <c r="L1426" t="s">
        <v>794</v>
      </c>
      <c r="M1426">
        <f t="shared" si="22"/>
        <v>2025</v>
      </c>
    </row>
    <row r="1427" spans="1:13" ht="12.75" hidden="1" customHeight="1">
      <c r="A1427" t="s">
        <v>885</v>
      </c>
      <c r="B1427" t="s">
        <v>564</v>
      </c>
      <c r="C1427" t="s">
        <v>452</v>
      </c>
      <c r="D1427" t="s">
        <v>1142</v>
      </c>
      <c r="E1427" s="1">
        <v>45807</v>
      </c>
      <c r="F1427" s="1">
        <v>45807</v>
      </c>
      <c r="G1427" s="12">
        <v>79</v>
      </c>
      <c r="H1427" s="2">
        <v>0</v>
      </c>
      <c r="I1427" s="2">
        <v>0</v>
      </c>
      <c r="J1427" s="2">
        <v>0</v>
      </c>
      <c r="K1427" s="20">
        <v>79</v>
      </c>
      <c r="L1427" t="s">
        <v>794</v>
      </c>
      <c r="M1427">
        <f t="shared" si="22"/>
        <v>2025</v>
      </c>
    </row>
    <row r="1428" spans="1:13" ht="12.75" hidden="1" customHeight="1">
      <c r="A1428" t="s">
        <v>924</v>
      </c>
      <c r="B1428" t="s">
        <v>87</v>
      </c>
      <c r="C1428" t="s">
        <v>139</v>
      </c>
      <c r="D1428" t="s">
        <v>1142</v>
      </c>
      <c r="E1428" s="1">
        <v>45807</v>
      </c>
      <c r="F1428" s="1">
        <v>45807</v>
      </c>
      <c r="G1428" s="12">
        <v>387.6</v>
      </c>
      <c r="H1428" s="2">
        <v>0</v>
      </c>
      <c r="I1428" s="2">
        <v>0</v>
      </c>
      <c r="J1428" s="2">
        <v>0</v>
      </c>
      <c r="K1428" s="20">
        <v>387.6</v>
      </c>
      <c r="L1428" t="s">
        <v>794</v>
      </c>
      <c r="M1428">
        <f t="shared" si="22"/>
        <v>2025</v>
      </c>
    </row>
    <row r="1429" spans="1:13" ht="12.75" hidden="1" customHeight="1">
      <c r="A1429" t="s">
        <v>894</v>
      </c>
      <c r="B1429" t="s">
        <v>50</v>
      </c>
      <c r="C1429" t="s">
        <v>152</v>
      </c>
      <c r="D1429" t="s">
        <v>1142</v>
      </c>
      <c r="E1429" s="1">
        <v>45807</v>
      </c>
      <c r="F1429" s="1">
        <v>45807</v>
      </c>
      <c r="G1429" s="12">
        <v>500</v>
      </c>
      <c r="H1429" s="2">
        <v>0</v>
      </c>
      <c r="I1429" s="2">
        <v>0</v>
      </c>
      <c r="J1429" s="2">
        <v>0</v>
      </c>
      <c r="K1429" s="20">
        <v>500</v>
      </c>
      <c r="L1429" t="s">
        <v>794</v>
      </c>
      <c r="M1429">
        <f t="shared" si="22"/>
        <v>2025</v>
      </c>
    </row>
    <row r="1430" spans="1:13" ht="12.75" hidden="1" customHeight="1">
      <c r="A1430" t="s">
        <v>801</v>
      </c>
      <c r="B1430" t="s">
        <v>13</v>
      </c>
      <c r="C1430" t="s">
        <v>726</v>
      </c>
      <c r="D1430" t="s">
        <v>1118</v>
      </c>
      <c r="E1430" s="1">
        <v>45807</v>
      </c>
      <c r="F1430" s="1">
        <v>45807</v>
      </c>
      <c r="G1430" s="12">
        <v>2.04</v>
      </c>
      <c r="H1430" s="2">
        <v>0</v>
      </c>
      <c r="I1430" s="2">
        <v>0</v>
      </c>
      <c r="J1430" s="2">
        <v>0</v>
      </c>
      <c r="K1430" s="20">
        <v>2.04</v>
      </c>
      <c r="L1430" t="s">
        <v>794</v>
      </c>
      <c r="M1430">
        <f t="shared" si="22"/>
        <v>2025</v>
      </c>
    </row>
    <row r="1431" spans="1:13" ht="12.75" hidden="1" customHeight="1">
      <c r="A1431" t="s">
        <v>801</v>
      </c>
      <c r="B1431" t="s">
        <v>68</v>
      </c>
      <c r="C1431" t="s">
        <v>139</v>
      </c>
      <c r="D1431" t="s">
        <v>1118</v>
      </c>
      <c r="E1431" s="1">
        <v>45807</v>
      </c>
      <c r="F1431" s="1">
        <v>45807</v>
      </c>
      <c r="G1431" s="12">
        <v>271.39999999999998</v>
      </c>
      <c r="H1431" s="2">
        <v>0</v>
      </c>
      <c r="I1431" s="2">
        <v>0</v>
      </c>
      <c r="J1431" s="2">
        <v>0</v>
      </c>
      <c r="K1431" s="20">
        <v>271.39999999999998</v>
      </c>
      <c r="L1431" t="s">
        <v>794</v>
      </c>
      <c r="M1431">
        <f t="shared" si="22"/>
        <v>2025</v>
      </c>
    </row>
    <row r="1432" spans="1:13" ht="12.75" hidden="1" customHeight="1">
      <c r="A1432" t="s">
        <v>840</v>
      </c>
      <c r="B1432" t="s">
        <v>46</v>
      </c>
      <c r="C1432" t="s">
        <v>139</v>
      </c>
      <c r="D1432" t="s">
        <v>1118</v>
      </c>
      <c r="E1432" s="1">
        <v>45807</v>
      </c>
      <c r="F1432" s="1">
        <v>45807</v>
      </c>
      <c r="G1432" s="12">
        <v>255.20000000000002</v>
      </c>
      <c r="H1432" s="2">
        <v>0</v>
      </c>
      <c r="I1432" s="2">
        <v>0</v>
      </c>
      <c r="J1432" s="2">
        <v>0</v>
      </c>
      <c r="K1432" s="20">
        <v>255.20000000000002</v>
      </c>
      <c r="L1432" t="s">
        <v>794</v>
      </c>
      <c r="M1432">
        <f t="shared" si="22"/>
        <v>2025</v>
      </c>
    </row>
    <row r="1433" spans="1:13" ht="12.75" hidden="1" customHeight="1">
      <c r="A1433" t="s">
        <v>1030</v>
      </c>
      <c r="B1433" t="s">
        <v>1031</v>
      </c>
      <c r="C1433" t="s">
        <v>139</v>
      </c>
      <c r="D1433" t="s">
        <v>1118</v>
      </c>
      <c r="E1433" s="1">
        <v>45807</v>
      </c>
      <c r="F1433" s="1">
        <v>45807</v>
      </c>
      <c r="G1433" s="12">
        <v>387.8</v>
      </c>
      <c r="H1433" s="2">
        <v>0</v>
      </c>
      <c r="I1433" s="2">
        <v>0</v>
      </c>
      <c r="J1433" s="2">
        <v>0</v>
      </c>
      <c r="K1433" s="20">
        <v>387.8</v>
      </c>
      <c r="L1433" t="s">
        <v>794</v>
      </c>
      <c r="M1433">
        <f t="shared" si="22"/>
        <v>2025</v>
      </c>
    </row>
    <row r="1434" spans="1:13" ht="12.75" hidden="1" customHeight="1">
      <c r="A1434" t="s">
        <v>1073</v>
      </c>
      <c r="B1434" t="s">
        <v>150</v>
      </c>
      <c r="C1434" t="s">
        <v>139</v>
      </c>
      <c r="D1434" t="s">
        <v>1118</v>
      </c>
      <c r="E1434" s="1">
        <v>45807</v>
      </c>
      <c r="F1434" s="1">
        <v>45807</v>
      </c>
      <c r="G1434" s="12">
        <v>224.20000000000002</v>
      </c>
      <c r="H1434" s="2">
        <v>0</v>
      </c>
      <c r="I1434" s="2">
        <v>0</v>
      </c>
      <c r="J1434" s="2">
        <v>0</v>
      </c>
      <c r="K1434" s="20">
        <v>224.20000000000002</v>
      </c>
      <c r="L1434" t="s">
        <v>794</v>
      </c>
      <c r="M1434">
        <f t="shared" si="22"/>
        <v>2025</v>
      </c>
    </row>
    <row r="1435" spans="1:13" ht="12.75" hidden="1" customHeight="1">
      <c r="A1435" t="s">
        <v>950</v>
      </c>
      <c r="B1435" t="s">
        <v>951</v>
      </c>
      <c r="C1435" t="s">
        <v>139</v>
      </c>
      <c r="D1435" t="s">
        <v>1118</v>
      </c>
      <c r="E1435" s="1">
        <v>45807</v>
      </c>
      <c r="F1435" s="1">
        <v>45807</v>
      </c>
      <c r="G1435" s="12">
        <v>444.6</v>
      </c>
      <c r="H1435" s="2">
        <v>0</v>
      </c>
      <c r="I1435" s="2">
        <v>0</v>
      </c>
      <c r="J1435" s="2">
        <v>0</v>
      </c>
      <c r="K1435" s="20">
        <v>444.6</v>
      </c>
      <c r="L1435" t="s">
        <v>794</v>
      </c>
      <c r="M1435">
        <f t="shared" si="22"/>
        <v>2025</v>
      </c>
    </row>
    <row r="1436" spans="1:13" ht="12.75" hidden="1" customHeight="1">
      <c r="A1436" t="s">
        <v>809</v>
      </c>
      <c r="B1436" t="s">
        <v>1145</v>
      </c>
      <c r="C1436" t="s">
        <v>139</v>
      </c>
      <c r="D1436" t="s">
        <v>1118</v>
      </c>
      <c r="E1436" s="1">
        <v>45807</v>
      </c>
      <c r="F1436" s="1">
        <v>45807</v>
      </c>
      <c r="G1436" s="12">
        <v>265.2</v>
      </c>
      <c r="H1436" s="2">
        <v>0</v>
      </c>
      <c r="I1436" s="2">
        <v>0</v>
      </c>
      <c r="J1436" s="2">
        <v>0</v>
      </c>
      <c r="K1436" s="20">
        <v>265.2</v>
      </c>
      <c r="L1436" t="s">
        <v>794</v>
      </c>
      <c r="M1436">
        <f t="shared" si="22"/>
        <v>2025</v>
      </c>
    </row>
    <row r="1437" spans="1:13" ht="12.75" hidden="1" customHeight="1">
      <c r="A1437" t="s">
        <v>836</v>
      </c>
      <c r="B1437" t="s">
        <v>262</v>
      </c>
      <c r="C1437" t="s">
        <v>139</v>
      </c>
      <c r="D1437" t="s">
        <v>1118</v>
      </c>
      <c r="E1437" s="1">
        <v>45807</v>
      </c>
      <c r="F1437" s="1">
        <v>45807</v>
      </c>
      <c r="G1437" s="12">
        <v>309.75</v>
      </c>
      <c r="H1437" s="2">
        <v>0</v>
      </c>
      <c r="I1437" s="2">
        <v>0</v>
      </c>
      <c r="J1437" s="2">
        <v>0</v>
      </c>
      <c r="K1437" s="20">
        <v>309.75</v>
      </c>
      <c r="L1437" t="s">
        <v>794</v>
      </c>
      <c r="M1437">
        <f t="shared" si="22"/>
        <v>2025</v>
      </c>
    </row>
    <row r="1438" spans="1:13" ht="12.75" hidden="1" customHeight="1">
      <c r="A1438" t="s">
        <v>839</v>
      </c>
      <c r="B1438" t="s">
        <v>26</v>
      </c>
      <c r="C1438" t="s">
        <v>139</v>
      </c>
      <c r="D1438" t="s">
        <v>1118</v>
      </c>
      <c r="E1438" s="1">
        <v>45807</v>
      </c>
      <c r="F1438" s="1">
        <v>45807</v>
      </c>
      <c r="G1438" s="12">
        <v>6734.6</v>
      </c>
      <c r="H1438" s="2">
        <v>0</v>
      </c>
      <c r="I1438" s="2">
        <v>0</v>
      </c>
      <c r="J1438" s="2">
        <v>0</v>
      </c>
      <c r="K1438" s="20">
        <v>6734.6</v>
      </c>
      <c r="L1438" t="s">
        <v>794</v>
      </c>
      <c r="M1438">
        <f t="shared" si="22"/>
        <v>2025</v>
      </c>
    </row>
    <row r="1439" spans="1:13" ht="12.75" hidden="1" customHeight="1">
      <c r="A1439" t="s">
        <v>1076</v>
      </c>
      <c r="B1439" t="s">
        <v>188</v>
      </c>
      <c r="C1439" t="s">
        <v>139</v>
      </c>
      <c r="D1439" t="s">
        <v>1118</v>
      </c>
      <c r="E1439" s="1">
        <v>45807</v>
      </c>
      <c r="F1439" s="1">
        <v>45807</v>
      </c>
      <c r="G1439" s="12">
        <v>232</v>
      </c>
      <c r="H1439" s="2">
        <v>0</v>
      </c>
      <c r="I1439" s="2">
        <v>0</v>
      </c>
      <c r="J1439" s="2">
        <v>0</v>
      </c>
      <c r="K1439" s="20">
        <v>232</v>
      </c>
      <c r="L1439" t="s">
        <v>794</v>
      </c>
      <c r="M1439">
        <f t="shared" si="22"/>
        <v>2025</v>
      </c>
    </row>
    <row r="1440" spans="1:13" ht="12.75" hidden="1" customHeight="1">
      <c r="A1440" t="s">
        <v>801</v>
      </c>
      <c r="B1440" t="s">
        <v>13</v>
      </c>
      <c r="C1440" t="s">
        <v>726</v>
      </c>
      <c r="D1440" t="s">
        <v>1118</v>
      </c>
      <c r="E1440" s="1">
        <v>45807</v>
      </c>
      <c r="F1440" s="1">
        <v>45807</v>
      </c>
      <c r="G1440" s="12">
        <v>4.08</v>
      </c>
      <c r="H1440" s="2">
        <v>0</v>
      </c>
      <c r="I1440" s="2">
        <v>0</v>
      </c>
      <c r="J1440" s="2">
        <v>0</v>
      </c>
      <c r="K1440" s="20">
        <v>4.08</v>
      </c>
      <c r="L1440" t="s">
        <v>794</v>
      </c>
      <c r="M1440">
        <f t="shared" si="22"/>
        <v>2025</v>
      </c>
    </row>
    <row r="1441" spans="1:13" ht="12.75" hidden="1" customHeight="1">
      <c r="A1441" t="s">
        <v>925</v>
      </c>
      <c r="B1441" t="s">
        <v>189</v>
      </c>
      <c r="C1441" t="s">
        <v>754</v>
      </c>
      <c r="D1441" t="s">
        <v>1118</v>
      </c>
      <c r="E1441" s="1">
        <v>45800</v>
      </c>
      <c r="F1441" s="1">
        <v>45808</v>
      </c>
      <c r="G1441" s="12">
        <v>250</v>
      </c>
      <c r="H1441" s="2">
        <v>0</v>
      </c>
      <c r="I1441" s="2">
        <v>0</v>
      </c>
      <c r="J1441" s="2">
        <v>0</v>
      </c>
      <c r="K1441" s="20">
        <v>250</v>
      </c>
      <c r="L1441" t="s">
        <v>794</v>
      </c>
      <c r="M1441">
        <f t="shared" si="22"/>
        <v>2025</v>
      </c>
    </row>
    <row r="1442" spans="1:13" ht="12.75" hidden="1" customHeight="1">
      <c r="A1442" t="s">
        <v>961</v>
      </c>
      <c r="B1442" t="s">
        <v>41</v>
      </c>
      <c r="C1442" t="s">
        <v>139</v>
      </c>
      <c r="D1442" t="s">
        <v>1118</v>
      </c>
      <c r="E1442" s="1">
        <v>45800</v>
      </c>
      <c r="F1442" s="1">
        <v>45808</v>
      </c>
      <c r="G1442" s="12">
        <v>35.800000000000004</v>
      </c>
      <c r="H1442" s="2">
        <v>0</v>
      </c>
      <c r="I1442" s="2">
        <v>0</v>
      </c>
      <c r="J1442" s="2">
        <v>0</v>
      </c>
      <c r="K1442" s="20">
        <v>35.800000000000004</v>
      </c>
      <c r="L1442" t="s">
        <v>794</v>
      </c>
      <c r="M1442">
        <f t="shared" si="22"/>
        <v>2025</v>
      </c>
    </row>
    <row r="1443" spans="1:13" ht="12.75" hidden="1" customHeight="1">
      <c r="A1443" t="s">
        <v>1007</v>
      </c>
      <c r="B1443" t="s">
        <v>355</v>
      </c>
      <c r="C1443" t="s">
        <v>140</v>
      </c>
      <c r="D1443" t="s">
        <v>1118</v>
      </c>
      <c r="E1443" s="1">
        <v>45808</v>
      </c>
      <c r="F1443" s="1">
        <v>45808</v>
      </c>
      <c r="G1443" s="12">
        <v>30</v>
      </c>
      <c r="H1443" s="2">
        <v>0</v>
      </c>
      <c r="I1443" s="2">
        <v>0</v>
      </c>
      <c r="J1443" s="2">
        <v>0</v>
      </c>
      <c r="K1443" s="20">
        <v>30</v>
      </c>
      <c r="L1443" t="s">
        <v>794</v>
      </c>
      <c r="M1443">
        <f t="shared" si="22"/>
        <v>2025</v>
      </c>
    </row>
    <row r="1444" spans="1:13" ht="12.75" hidden="1" customHeight="1">
      <c r="A1444" t="s">
        <v>811</v>
      </c>
      <c r="B1444" t="s">
        <v>39</v>
      </c>
      <c r="C1444" t="s">
        <v>141</v>
      </c>
      <c r="D1444" t="s">
        <v>1118</v>
      </c>
      <c r="E1444" s="1">
        <v>45803</v>
      </c>
      <c r="F1444" s="1">
        <v>45808</v>
      </c>
      <c r="G1444" s="12">
        <v>36</v>
      </c>
      <c r="H1444" s="2">
        <v>0</v>
      </c>
      <c r="I1444" s="2">
        <v>0</v>
      </c>
      <c r="J1444" s="2">
        <v>0</v>
      </c>
      <c r="K1444" s="20">
        <v>36</v>
      </c>
      <c r="L1444" t="s">
        <v>794</v>
      </c>
      <c r="M1444">
        <f t="shared" si="22"/>
        <v>2025</v>
      </c>
    </row>
    <row r="1445" spans="1:13" ht="12.75" hidden="1" customHeight="1">
      <c r="A1445" t="s">
        <v>1146</v>
      </c>
      <c r="B1445" t="s">
        <v>1147</v>
      </c>
      <c r="C1445" t="s">
        <v>141</v>
      </c>
      <c r="D1445" t="s">
        <v>1118</v>
      </c>
      <c r="E1445" s="1">
        <v>45798</v>
      </c>
      <c r="F1445" s="1">
        <v>45808</v>
      </c>
      <c r="G1445" s="12">
        <v>75</v>
      </c>
      <c r="H1445" s="2">
        <v>0</v>
      </c>
      <c r="I1445" s="2">
        <v>0</v>
      </c>
      <c r="J1445" s="2">
        <v>0</v>
      </c>
      <c r="K1445" s="20">
        <v>75</v>
      </c>
      <c r="L1445" t="s">
        <v>794</v>
      </c>
      <c r="M1445">
        <f t="shared" si="22"/>
        <v>2025</v>
      </c>
    </row>
    <row r="1446" spans="1:13" ht="12.75" hidden="1" customHeight="1">
      <c r="A1446" t="s">
        <v>921</v>
      </c>
      <c r="B1446" t="s">
        <v>184</v>
      </c>
      <c r="C1446" t="s">
        <v>483</v>
      </c>
      <c r="D1446" t="s">
        <v>1118</v>
      </c>
      <c r="E1446" s="1">
        <v>45803</v>
      </c>
      <c r="F1446" s="1">
        <v>45808</v>
      </c>
      <c r="G1446" s="12">
        <v>91.960000000000008</v>
      </c>
      <c r="H1446" s="2">
        <v>0</v>
      </c>
      <c r="I1446" s="2">
        <v>0</v>
      </c>
      <c r="J1446" s="2">
        <v>0</v>
      </c>
      <c r="K1446" s="20">
        <v>91.960000000000008</v>
      </c>
      <c r="L1446" t="s">
        <v>794</v>
      </c>
      <c r="M1446">
        <f t="shared" si="22"/>
        <v>2025</v>
      </c>
    </row>
    <row r="1447" spans="1:13" ht="12.75" hidden="1" customHeight="1">
      <c r="A1447" t="s">
        <v>981</v>
      </c>
      <c r="B1447" t="s">
        <v>55</v>
      </c>
      <c r="C1447" t="s">
        <v>99</v>
      </c>
      <c r="D1447" t="s">
        <v>1118</v>
      </c>
      <c r="E1447" s="1">
        <v>45806</v>
      </c>
      <c r="F1447" s="1">
        <v>45808</v>
      </c>
      <c r="G1447" s="12">
        <v>185</v>
      </c>
      <c r="H1447" s="2">
        <v>0</v>
      </c>
      <c r="I1447" s="2">
        <v>0</v>
      </c>
      <c r="J1447" s="2">
        <v>0</v>
      </c>
      <c r="K1447" s="20">
        <v>185</v>
      </c>
      <c r="L1447" t="s">
        <v>794</v>
      </c>
      <c r="M1447">
        <f t="shared" si="22"/>
        <v>2025</v>
      </c>
    </row>
    <row r="1448" spans="1:13" ht="12.75" hidden="1" customHeight="1">
      <c r="A1448" t="s">
        <v>1148</v>
      </c>
      <c r="B1448" t="s">
        <v>508</v>
      </c>
      <c r="C1448" t="s">
        <v>438</v>
      </c>
      <c r="D1448" t="s">
        <v>1118</v>
      </c>
      <c r="E1448" s="1">
        <v>45804</v>
      </c>
      <c r="F1448" s="1">
        <v>45808</v>
      </c>
      <c r="G1448" s="12">
        <v>122</v>
      </c>
      <c r="H1448" s="2">
        <v>0</v>
      </c>
      <c r="I1448" s="2">
        <v>0</v>
      </c>
      <c r="J1448" s="2">
        <v>0</v>
      </c>
      <c r="K1448" s="20">
        <v>122</v>
      </c>
      <c r="L1448" t="s">
        <v>794</v>
      </c>
      <c r="M1448">
        <f t="shared" si="22"/>
        <v>2025</v>
      </c>
    </row>
    <row r="1449" spans="1:13" ht="12.75" hidden="1" customHeight="1">
      <c r="A1449" t="s">
        <v>907</v>
      </c>
      <c r="B1449" t="s">
        <v>291</v>
      </c>
      <c r="C1449" t="s">
        <v>483</v>
      </c>
      <c r="D1449" t="s">
        <v>1118</v>
      </c>
      <c r="E1449" s="1">
        <v>45807</v>
      </c>
      <c r="F1449" s="1">
        <v>45808</v>
      </c>
      <c r="G1449" s="12">
        <v>6.78</v>
      </c>
      <c r="H1449" s="2">
        <v>0</v>
      </c>
      <c r="I1449" s="2">
        <v>0</v>
      </c>
      <c r="J1449" s="2">
        <v>0</v>
      </c>
      <c r="K1449" s="20">
        <v>6.78</v>
      </c>
      <c r="L1449" t="s">
        <v>794</v>
      </c>
      <c r="M1449">
        <f t="shared" si="22"/>
        <v>2025</v>
      </c>
    </row>
    <row r="1450" spans="1:13" ht="12.75" hidden="1" customHeight="1">
      <c r="A1450" t="s">
        <v>921</v>
      </c>
      <c r="B1450" t="s">
        <v>184</v>
      </c>
      <c r="C1450" t="s">
        <v>483</v>
      </c>
      <c r="D1450" t="s">
        <v>1118</v>
      </c>
      <c r="E1450" s="1">
        <v>45800</v>
      </c>
      <c r="F1450" s="1">
        <v>45808</v>
      </c>
      <c r="G1450" s="12">
        <v>23.59</v>
      </c>
      <c r="H1450" s="2">
        <v>0</v>
      </c>
      <c r="I1450" s="2">
        <v>0</v>
      </c>
      <c r="J1450" s="2">
        <v>0</v>
      </c>
      <c r="K1450" s="20">
        <v>23.59</v>
      </c>
      <c r="L1450" t="s">
        <v>794</v>
      </c>
      <c r="M1450">
        <f t="shared" si="22"/>
        <v>2025</v>
      </c>
    </row>
    <row r="1451" spans="1:13" ht="12.75" hidden="1" customHeight="1">
      <c r="A1451" t="s">
        <v>1133</v>
      </c>
      <c r="B1451" t="s">
        <v>85</v>
      </c>
      <c r="C1451" t="s">
        <v>734</v>
      </c>
      <c r="D1451" t="s">
        <v>1142</v>
      </c>
      <c r="E1451" s="1">
        <v>45810</v>
      </c>
      <c r="F1451" s="1">
        <v>45810</v>
      </c>
      <c r="G1451" s="12">
        <v>860</v>
      </c>
      <c r="H1451" s="2">
        <v>0</v>
      </c>
      <c r="I1451" s="2">
        <v>0</v>
      </c>
      <c r="J1451" s="2">
        <v>0</v>
      </c>
      <c r="K1451" s="20">
        <v>860</v>
      </c>
      <c r="L1451" t="s">
        <v>794</v>
      </c>
      <c r="M1451">
        <f t="shared" si="22"/>
        <v>2025</v>
      </c>
    </row>
    <row r="1452" spans="1:13" ht="12.75" hidden="1" customHeight="1">
      <c r="A1452" t="s">
        <v>868</v>
      </c>
      <c r="B1452" t="s">
        <v>255</v>
      </c>
      <c r="C1452" t="s">
        <v>204</v>
      </c>
      <c r="D1452" t="s">
        <v>1142</v>
      </c>
      <c r="E1452" s="1">
        <v>45810</v>
      </c>
      <c r="F1452" s="1">
        <v>45810</v>
      </c>
      <c r="G1452" s="12">
        <v>539.29</v>
      </c>
      <c r="H1452" s="2">
        <v>0</v>
      </c>
      <c r="I1452" s="2">
        <v>0</v>
      </c>
      <c r="J1452" s="2">
        <v>0</v>
      </c>
      <c r="K1452" s="20">
        <v>539.29</v>
      </c>
      <c r="L1452" t="s">
        <v>794</v>
      </c>
      <c r="M1452">
        <f t="shared" si="22"/>
        <v>2025</v>
      </c>
    </row>
    <row r="1453" spans="1:13" ht="12.75" hidden="1" customHeight="1">
      <c r="A1453" t="s">
        <v>807</v>
      </c>
      <c r="B1453" t="s">
        <v>366</v>
      </c>
      <c r="C1453" t="s">
        <v>491</v>
      </c>
      <c r="D1453" t="s">
        <v>1142</v>
      </c>
      <c r="E1453" s="1">
        <v>45810</v>
      </c>
      <c r="F1453" s="1">
        <v>45810</v>
      </c>
      <c r="G1453" s="12">
        <v>27</v>
      </c>
      <c r="H1453" s="2">
        <v>0</v>
      </c>
      <c r="I1453" s="2">
        <v>0</v>
      </c>
      <c r="J1453" s="2">
        <v>0</v>
      </c>
      <c r="K1453" s="20">
        <v>27</v>
      </c>
      <c r="L1453" t="s">
        <v>794</v>
      </c>
      <c r="M1453">
        <f t="shared" si="22"/>
        <v>2025</v>
      </c>
    </row>
    <row r="1454" spans="1:13" ht="12.75" hidden="1" customHeight="1">
      <c r="A1454" t="s">
        <v>801</v>
      </c>
      <c r="B1454" t="s">
        <v>13</v>
      </c>
      <c r="C1454" t="s">
        <v>726</v>
      </c>
      <c r="D1454" t="s">
        <v>1142</v>
      </c>
      <c r="E1454" s="1">
        <v>45810</v>
      </c>
      <c r="F1454" s="1">
        <v>45810</v>
      </c>
      <c r="G1454" s="12">
        <v>4.08</v>
      </c>
      <c r="H1454" s="2">
        <v>0</v>
      </c>
      <c r="I1454" s="2">
        <v>0</v>
      </c>
      <c r="J1454" s="2">
        <v>0</v>
      </c>
      <c r="K1454" s="20">
        <v>4.08</v>
      </c>
      <c r="L1454" t="s">
        <v>794</v>
      </c>
      <c r="M1454">
        <f t="shared" si="22"/>
        <v>2025</v>
      </c>
    </row>
    <row r="1455" spans="1:13" ht="12.75" hidden="1" customHeight="1">
      <c r="A1455" t="s">
        <v>801</v>
      </c>
      <c r="B1455" t="s">
        <v>13</v>
      </c>
      <c r="C1455" t="s">
        <v>717</v>
      </c>
      <c r="D1455" t="s">
        <v>1142</v>
      </c>
      <c r="E1455" s="1">
        <v>45810</v>
      </c>
      <c r="F1455" s="1">
        <v>45810</v>
      </c>
      <c r="G1455" s="12">
        <v>19.64</v>
      </c>
      <c r="H1455" s="2">
        <v>0</v>
      </c>
      <c r="I1455" s="2">
        <v>0</v>
      </c>
      <c r="J1455" s="2">
        <v>0</v>
      </c>
      <c r="K1455" s="20">
        <v>19.64</v>
      </c>
      <c r="L1455" t="s">
        <v>794</v>
      </c>
      <c r="M1455">
        <f t="shared" si="22"/>
        <v>2025</v>
      </c>
    </row>
    <row r="1456" spans="1:13" ht="12.75" hidden="1" customHeight="1">
      <c r="A1456" t="s">
        <v>940</v>
      </c>
      <c r="B1456" t="s">
        <v>29</v>
      </c>
      <c r="C1456" t="s">
        <v>206</v>
      </c>
      <c r="D1456" t="s">
        <v>1142</v>
      </c>
      <c r="E1456" s="1">
        <v>45811</v>
      </c>
      <c r="F1456" s="1">
        <v>45811</v>
      </c>
      <c r="G1456" s="12">
        <v>1299.32</v>
      </c>
      <c r="H1456" s="2">
        <v>0</v>
      </c>
      <c r="I1456" s="2">
        <v>0</v>
      </c>
      <c r="J1456" s="2">
        <v>0</v>
      </c>
      <c r="K1456" s="20">
        <v>1299.32</v>
      </c>
      <c r="L1456" t="s">
        <v>794</v>
      </c>
      <c r="M1456">
        <f t="shared" si="22"/>
        <v>2025</v>
      </c>
    </row>
    <row r="1457" spans="1:13" ht="12.75" hidden="1" customHeight="1">
      <c r="A1457" t="s">
        <v>940</v>
      </c>
      <c r="B1457" t="s">
        <v>29</v>
      </c>
      <c r="C1457" t="s">
        <v>206</v>
      </c>
      <c r="D1457" t="s">
        <v>1142</v>
      </c>
      <c r="E1457" s="1">
        <v>45811</v>
      </c>
      <c r="F1457" s="1">
        <v>45811</v>
      </c>
      <c r="G1457" s="12">
        <v>900.68000000000006</v>
      </c>
      <c r="H1457" s="2">
        <v>0</v>
      </c>
      <c r="I1457" s="2">
        <v>0</v>
      </c>
      <c r="J1457" s="2">
        <v>0</v>
      </c>
      <c r="K1457" s="20">
        <v>900.68000000000006</v>
      </c>
      <c r="L1457" t="s">
        <v>794</v>
      </c>
      <c r="M1457">
        <f t="shared" si="22"/>
        <v>2025</v>
      </c>
    </row>
    <row r="1458" spans="1:13" ht="12.75" hidden="1" customHeight="1">
      <c r="A1458" t="s">
        <v>940</v>
      </c>
      <c r="B1458" t="s">
        <v>29</v>
      </c>
      <c r="C1458" t="s">
        <v>206</v>
      </c>
      <c r="D1458" t="s">
        <v>1142</v>
      </c>
      <c r="E1458" s="1">
        <v>45811</v>
      </c>
      <c r="F1458" s="1">
        <v>45811</v>
      </c>
      <c r="G1458" s="12">
        <v>1137.6000000000001</v>
      </c>
      <c r="H1458" s="2">
        <v>0</v>
      </c>
      <c r="I1458" s="2">
        <v>0</v>
      </c>
      <c r="J1458" s="2">
        <v>0</v>
      </c>
      <c r="K1458" s="20">
        <v>1137.6000000000001</v>
      </c>
      <c r="L1458" t="s">
        <v>794</v>
      </c>
      <c r="M1458">
        <f t="shared" si="22"/>
        <v>2025</v>
      </c>
    </row>
    <row r="1459" spans="1:13" ht="12.75" hidden="1" customHeight="1">
      <c r="A1459" t="s">
        <v>940</v>
      </c>
      <c r="B1459" t="s">
        <v>29</v>
      </c>
      <c r="C1459" t="s">
        <v>206</v>
      </c>
      <c r="D1459" t="s">
        <v>1142</v>
      </c>
      <c r="E1459" s="1">
        <v>45811</v>
      </c>
      <c r="F1459" s="1">
        <v>45811</v>
      </c>
      <c r="G1459" s="12">
        <v>1862.4</v>
      </c>
      <c r="H1459" s="2">
        <v>0</v>
      </c>
      <c r="I1459" s="2">
        <v>0</v>
      </c>
      <c r="J1459" s="2">
        <v>0</v>
      </c>
      <c r="K1459" s="20">
        <v>1862.4</v>
      </c>
      <c r="L1459" t="s">
        <v>794</v>
      </c>
      <c r="M1459">
        <f t="shared" si="22"/>
        <v>2025</v>
      </c>
    </row>
    <row r="1460" spans="1:13" ht="12.75" hidden="1" customHeight="1">
      <c r="A1460" t="s">
        <v>801</v>
      </c>
      <c r="B1460" t="s">
        <v>13</v>
      </c>
      <c r="C1460" t="s">
        <v>739</v>
      </c>
      <c r="D1460" t="s">
        <v>1142</v>
      </c>
      <c r="E1460" s="1">
        <v>45811</v>
      </c>
      <c r="F1460" s="1">
        <v>45811</v>
      </c>
      <c r="G1460" s="12">
        <v>1.83</v>
      </c>
      <c r="H1460" s="2">
        <v>0</v>
      </c>
      <c r="I1460" s="2">
        <v>0</v>
      </c>
      <c r="J1460" s="2">
        <v>0</v>
      </c>
      <c r="K1460" s="20">
        <v>1.83</v>
      </c>
      <c r="L1460" t="s">
        <v>794</v>
      </c>
      <c r="M1460">
        <f t="shared" si="22"/>
        <v>2025</v>
      </c>
    </row>
    <row r="1461" spans="1:13" ht="12.75" hidden="1" customHeight="1">
      <c r="A1461" t="s">
        <v>801</v>
      </c>
      <c r="B1461" t="s">
        <v>13</v>
      </c>
      <c r="C1461" t="s">
        <v>717</v>
      </c>
      <c r="D1461" t="s">
        <v>1142</v>
      </c>
      <c r="E1461" s="1">
        <v>45811</v>
      </c>
      <c r="F1461" s="1">
        <v>45811</v>
      </c>
      <c r="G1461" s="12">
        <v>4154.13</v>
      </c>
      <c r="H1461" s="2">
        <v>0</v>
      </c>
      <c r="I1461" s="2">
        <v>0</v>
      </c>
      <c r="J1461" s="2">
        <v>0</v>
      </c>
      <c r="K1461" s="20">
        <v>4154.13</v>
      </c>
      <c r="L1461" t="s">
        <v>794</v>
      </c>
      <c r="M1461">
        <f t="shared" si="22"/>
        <v>2025</v>
      </c>
    </row>
    <row r="1462" spans="1:13" ht="12.75" hidden="1" customHeight="1">
      <c r="A1462" t="s">
        <v>801</v>
      </c>
      <c r="B1462" t="s">
        <v>13</v>
      </c>
      <c r="C1462" t="s">
        <v>726</v>
      </c>
      <c r="D1462" t="s">
        <v>1142</v>
      </c>
      <c r="E1462" s="1">
        <v>45811</v>
      </c>
      <c r="F1462" s="1">
        <v>45811</v>
      </c>
      <c r="G1462" s="12">
        <v>156.75</v>
      </c>
      <c r="H1462" s="2">
        <v>0</v>
      </c>
      <c r="I1462" s="2">
        <v>0</v>
      </c>
      <c r="J1462" s="2">
        <v>0</v>
      </c>
      <c r="K1462" s="20">
        <v>156.75</v>
      </c>
      <c r="L1462" t="s">
        <v>794</v>
      </c>
      <c r="M1462">
        <f t="shared" si="22"/>
        <v>2025</v>
      </c>
    </row>
    <row r="1463" spans="1:13" ht="12.75" hidden="1" customHeight="1">
      <c r="A1463" t="s">
        <v>801</v>
      </c>
      <c r="B1463" t="s">
        <v>13</v>
      </c>
      <c r="C1463" t="s">
        <v>726</v>
      </c>
      <c r="D1463" t="s">
        <v>1142</v>
      </c>
      <c r="E1463" s="1">
        <v>45811</v>
      </c>
      <c r="F1463" s="1">
        <v>45811</v>
      </c>
      <c r="G1463" s="12">
        <v>2.04</v>
      </c>
      <c r="H1463" s="2">
        <v>0</v>
      </c>
      <c r="I1463" s="2">
        <v>0</v>
      </c>
      <c r="J1463" s="2">
        <v>0</v>
      </c>
      <c r="K1463" s="20">
        <v>2.04</v>
      </c>
      <c r="L1463" t="s">
        <v>794</v>
      </c>
      <c r="M1463">
        <f t="shared" si="22"/>
        <v>2025</v>
      </c>
    </row>
    <row r="1464" spans="1:13" ht="12.75" hidden="1" customHeight="1">
      <c r="A1464" t="s">
        <v>801</v>
      </c>
      <c r="B1464" t="s">
        <v>13</v>
      </c>
      <c r="C1464" t="s">
        <v>740</v>
      </c>
      <c r="D1464" t="s">
        <v>1142</v>
      </c>
      <c r="E1464" s="1">
        <v>45811</v>
      </c>
      <c r="F1464" s="1">
        <v>45811</v>
      </c>
      <c r="G1464" s="12">
        <v>126.38000000000001</v>
      </c>
      <c r="H1464" s="2">
        <v>0</v>
      </c>
      <c r="I1464" s="2">
        <v>0</v>
      </c>
      <c r="J1464" s="2">
        <v>0</v>
      </c>
      <c r="K1464" s="20">
        <v>126.38000000000001</v>
      </c>
      <c r="L1464" t="s">
        <v>794</v>
      </c>
      <c r="M1464">
        <f t="shared" si="22"/>
        <v>2025</v>
      </c>
    </row>
    <row r="1465" spans="1:13" ht="12.75" hidden="1" customHeight="1">
      <c r="A1465" t="s">
        <v>801</v>
      </c>
      <c r="B1465" t="s">
        <v>13</v>
      </c>
      <c r="C1465" t="s">
        <v>739</v>
      </c>
      <c r="D1465" t="s">
        <v>1142</v>
      </c>
      <c r="E1465" s="1">
        <v>45811</v>
      </c>
      <c r="F1465" s="1">
        <v>45811</v>
      </c>
      <c r="G1465" s="12">
        <v>504</v>
      </c>
      <c r="H1465" s="2">
        <v>0</v>
      </c>
      <c r="I1465" s="2">
        <v>0</v>
      </c>
      <c r="J1465" s="2">
        <v>0</v>
      </c>
      <c r="K1465" s="20">
        <v>504</v>
      </c>
      <c r="L1465" t="s">
        <v>794</v>
      </c>
      <c r="M1465">
        <f t="shared" si="22"/>
        <v>2025</v>
      </c>
    </row>
    <row r="1466" spans="1:13" ht="12.75" hidden="1" customHeight="1">
      <c r="A1466" t="s">
        <v>892</v>
      </c>
      <c r="B1466" t="s">
        <v>110</v>
      </c>
      <c r="C1466" t="s">
        <v>733</v>
      </c>
      <c r="D1466" t="s">
        <v>1142</v>
      </c>
      <c r="E1466" s="1">
        <v>45811</v>
      </c>
      <c r="F1466" s="1">
        <v>45811</v>
      </c>
      <c r="G1466" s="12">
        <v>955</v>
      </c>
      <c r="H1466" s="2">
        <v>0</v>
      </c>
      <c r="I1466" s="2">
        <v>0</v>
      </c>
      <c r="J1466" s="2">
        <v>0</v>
      </c>
      <c r="K1466" s="20">
        <v>955</v>
      </c>
      <c r="L1466" t="s">
        <v>794</v>
      </c>
      <c r="M1466">
        <f t="shared" si="22"/>
        <v>2025</v>
      </c>
    </row>
    <row r="1467" spans="1:13" ht="12.75" hidden="1" customHeight="1">
      <c r="A1467" t="s">
        <v>801</v>
      </c>
      <c r="B1467" t="s">
        <v>13</v>
      </c>
      <c r="C1467" t="s">
        <v>740</v>
      </c>
      <c r="D1467" t="s">
        <v>1142</v>
      </c>
      <c r="E1467" s="1">
        <v>45811</v>
      </c>
      <c r="F1467" s="1">
        <v>45811</v>
      </c>
      <c r="G1467" s="12">
        <v>131.19999999999999</v>
      </c>
      <c r="H1467" s="2">
        <v>0</v>
      </c>
      <c r="I1467" s="2">
        <v>0</v>
      </c>
      <c r="J1467" s="2">
        <v>0</v>
      </c>
      <c r="K1467" s="20">
        <v>131.19999999999999</v>
      </c>
      <c r="L1467" t="s">
        <v>794</v>
      </c>
      <c r="M1467">
        <f t="shared" si="22"/>
        <v>2025</v>
      </c>
    </row>
    <row r="1468" spans="1:13" ht="12.75" hidden="1" customHeight="1">
      <c r="A1468" t="s">
        <v>801</v>
      </c>
      <c r="B1468" t="s">
        <v>13</v>
      </c>
      <c r="C1468" t="s">
        <v>740</v>
      </c>
      <c r="D1468" t="s">
        <v>1142</v>
      </c>
      <c r="E1468" s="1">
        <v>45811</v>
      </c>
      <c r="F1468" s="1">
        <v>45811</v>
      </c>
      <c r="G1468" s="12">
        <v>150.80000000000001</v>
      </c>
      <c r="H1468" s="2">
        <v>0</v>
      </c>
      <c r="I1468" s="2">
        <v>0</v>
      </c>
      <c r="J1468" s="2">
        <v>0</v>
      </c>
      <c r="K1468" s="20">
        <v>150.80000000000001</v>
      </c>
      <c r="L1468" t="s">
        <v>794</v>
      </c>
      <c r="M1468">
        <f t="shared" si="22"/>
        <v>2025</v>
      </c>
    </row>
    <row r="1469" spans="1:13" ht="12.75" hidden="1" customHeight="1">
      <c r="A1469" t="s">
        <v>801</v>
      </c>
      <c r="B1469" t="s">
        <v>13</v>
      </c>
      <c r="C1469" t="s">
        <v>726</v>
      </c>
      <c r="D1469" t="s">
        <v>1142</v>
      </c>
      <c r="E1469" s="1">
        <v>45811</v>
      </c>
      <c r="F1469" s="1">
        <v>45811</v>
      </c>
      <c r="G1469" s="12">
        <v>24.48</v>
      </c>
      <c r="H1469" s="2">
        <v>0</v>
      </c>
      <c r="I1469" s="2">
        <v>0</v>
      </c>
      <c r="J1469" s="2">
        <v>0</v>
      </c>
      <c r="K1469" s="20">
        <v>24.48</v>
      </c>
      <c r="L1469" t="s">
        <v>794</v>
      </c>
      <c r="M1469">
        <f t="shared" si="22"/>
        <v>2025</v>
      </c>
    </row>
    <row r="1470" spans="1:13" ht="12.75" hidden="1" customHeight="1">
      <c r="A1470" t="s">
        <v>801</v>
      </c>
      <c r="B1470" t="s">
        <v>13</v>
      </c>
      <c r="C1470" t="s">
        <v>739</v>
      </c>
      <c r="D1470" t="s">
        <v>1142</v>
      </c>
      <c r="E1470" s="1">
        <v>45811</v>
      </c>
      <c r="F1470" s="1">
        <v>45811</v>
      </c>
      <c r="G1470" s="12">
        <v>95.5</v>
      </c>
      <c r="H1470" s="2">
        <v>0</v>
      </c>
      <c r="I1470" s="2">
        <v>0</v>
      </c>
      <c r="J1470" s="2">
        <v>0</v>
      </c>
      <c r="K1470" s="20">
        <v>95.5</v>
      </c>
      <c r="L1470" t="s">
        <v>794</v>
      </c>
      <c r="M1470">
        <f t="shared" si="22"/>
        <v>2025</v>
      </c>
    </row>
    <row r="1471" spans="1:13" ht="12.75" hidden="1" customHeight="1">
      <c r="A1471" t="s">
        <v>801</v>
      </c>
      <c r="B1471" t="s">
        <v>13</v>
      </c>
      <c r="C1471" t="s">
        <v>726</v>
      </c>
      <c r="D1471" t="s">
        <v>1142</v>
      </c>
      <c r="E1471" s="1">
        <v>45812</v>
      </c>
      <c r="F1471" s="1">
        <v>45812</v>
      </c>
      <c r="G1471" s="12">
        <v>2.04</v>
      </c>
      <c r="H1471" s="2">
        <v>0</v>
      </c>
      <c r="I1471" s="2">
        <v>0</v>
      </c>
      <c r="J1471" s="2">
        <v>0</v>
      </c>
      <c r="K1471" s="20">
        <v>2.04</v>
      </c>
      <c r="L1471" t="s">
        <v>794</v>
      </c>
      <c r="M1471">
        <f t="shared" si="22"/>
        <v>2025</v>
      </c>
    </row>
    <row r="1472" spans="1:13" ht="12.75" hidden="1" customHeight="1">
      <c r="A1472" t="s">
        <v>801</v>
      </c>
      <c r="B1472" t="s">
        <v>13</v>
      </c>
      <c r="C1472" t="s">
        <v>726</v>
      </c>
      <c r="D1472" t="s">
        <v>1142</v>
      </c>
      <c r="E1472" s="1">
        <v>45812</v>
      </c>
      <c r="F1472" s="1">
        <v>45812</v>
      </c>
      <c r="G1472" s="12">
        <v>20.400000000000002</v>
      </c>
      <c r="H1472" s="2">
        <v>0</v>
      </c>
      <c r="I1472" s="2">
        <v>0</v>
      </c>
      <c r="J1472" s="2">
        <v>0</v>
      </c>
      <c r="K1472" s="20">
        <v>20.400000000000002</v>
      </c>
      <c r="L1472" t="s">
        <v>794</v>
      </c>
      <c r="M1472">
        <f t="shared" si="22"/>
        <v>2025</v>
      </c>
    </row>
    <row r="1473" spans="1:13" ht="12.75" hidden="1" customHeight="1">
      <c r="A1473" t="s">
        <v>940</v>
      </c>
      <c r="B1473" t="s">
        <v>29</v>
      </c>
      <c r="C1473" t="s">
        <v>206</v>
      </c>
      <c r="D1473" t="s">
        <v>1142</v>
      </c>
      <c r="E1473" s="1">
        <v>45813</v>
      </c>
      <c r="F1473" s="1">
        <v>45813</v>
      </c>
      <c r="G1473" s="12">
        <v>1877.16</v>
      </c>
      <c r="H1473" s="2">
        <v>0</v>
      </c>
      <c r="I1473" s="2">
        <v>0</v>
      </c>
      <c r="J1473" s="2">
        <v>0</v>
      </c>
      <c r="K1473" s="20">
        <v>1877.16</v>
      </c>
      <c r="L1473" t="s">
        <v>794</v>
      </c>
      <c r="M1473">
        <f t="shared" si="22"/>
        <v>2025</v>
      </c>
    </row>
    <row r="1474" spans="1:13" ht="12.75" hidden="1" customHeight="1">
      <c r="A1474" t="s">
        <v>939</v>
      </c>
      <c r="B1474" t="s">
        <v>72</v>
      </c>
      <c r="C1474" t="s">
        <v>722</v>
      </c>
      <c r="D1474" t="s">
        <v>1142</v>
      </c>
      <c r="E1474" s="1">
        <v>45813</v>
      </c>
      <c r="F1474" s="1">
        <v>45813</v>
      </c>
      <c r="G1474" s="12">
        <v>1409.45</v>
      </c>
      <c r="H1474" s="2">
        <v>0</v>
      </c>
      <c r="I1474" s="2">
        <v>0</v>
      </c>
      <c r="J1474" s="2">
        <v>0</v>
      </c>
      <c r="K1474" s="20">
        <v>1409.45</v>
      </c>
      <c r="L1474" t="s">
        <v>794</v>
      </c>
      <c r="M1474">
        <f t="shared" si="22"/>
        <v>2025</v>
      </c>
    </row>
    <row r="1475" spans="1:13" ht="12.75" hidden="1" customHeight="1">
      <c r="A1475" t="s">
        <v>940</v>
      </c>
      <c r="B1475" t="s">
        <v>302</v>
      </c>
      <c r="C1475" t="s">
        <v>736</v>
      </c>
      <c r="D1475" t="s">
        <v>1142</v>
      </c>
      <c r="E1475" s="1">
        <v>45813</v>
      </c>
      <c r="F1475" s="1">
        <v>45813</v>
      </c>
      <c r="G1475" s="12">
        <v>756.84</v>
      </c>
      <c r="H1475" s="2">
        <v>0</v>
      </c>
      <c r="I1475" s="2">
        <v>0</v>
      </c>
      <c r="J1475" s="2">
        <v>0</v>
      </c>
      <c r="K1475" s="20">
        <v>756.84</v>
      </c>
      <c r="L1475" t="s">
        <v>794</v>
      </c>
      <c r="M1475">
        <f t="shared" ref="M1475:M1538" si="23">YEAR(F1475)</f>
        <v>2025</v>
      </c>
    </row>
    <row r="1476" spans="1:13" ht="12.75" hidden="1" customHeight="1">
      <c r="A1476" t="s">
        <v>844</v>
      </c>
      <c r="B1476" t="s">
        <v>314</v>
      </c>
      <c r="C1476" t="s">
        <v>738</v>
      </c>
      <c r="D1476" t="s">
        <v>1142</v>
      </c>
      <c r="E1476" s="1">
        <v>45813</v>
      </c>
      <c r="F1476" s="1">
        <v>45813</v>
      </c>
      <c r="G1476" s="12">
        <v>367.68</v>
      </c>
      <c r="H1476" s="2">
        <v>0</v>
      </c>
      <c r="I1476" s="2">
        <v>0</v>
      </c>
      <c r="J1476" s="2">
        <v>0</v>
      </c>
      <c r="K1476" s="20">
        <v>367.68</v>
      </c>
      <c r="L1476" t="s">
        <v>794</v>
      </c>
      <c r="M1476">
        <f t="shared" si="23"/>
        <v>2025</v>
      </c>
    </row>
    <row r="1477" spans="1:13" ht="12.75" hidden="1" customHeight="1">
      <c r="A1477" t="s">
        <v>844</v>
      </c>
      <c r="B1477" t="s">
        <v>314</v>
      </c>
      <c r="C1477" t="s">
        <v>738</v>
      </c>
      <c r="D1477" t="s">
        <v>1142</v>
      </c>
      <c r="E1477" s="1">
        <v>45813</v>
      </c>
      <c r="F1477" s="1">
        <v>45813</v>
      </c>
      <c r="G1477" s="12">
        <v>394</v>
      </c>
      <c r="H1477" s="2">
        <v>0</v>
      </c>
      <c r="I1477" s="2">
        <v>0</v>
      </c>
      <c r="J1477" s="2">
        <v>0</v>
      </c>
      <c r="K1477" s="20">
        <v>394</v>
      </c>
      <c r="L1477" t="s">
        <v>794</v>
      </c>
      <c r="M1477">
        <f t="shared" si="23"/>
        <v>2025</v>
      </c>
    </row>
    <row r="1478" spans="1:13" ht="12.75" hidden="1" customHeight="1">
      <c r="A1478" t="s">
        <v>889</v>
      </c>
      <c r="B1478" t="s">
        <v>89</v>
      </c>
      <c r="C1478" t="s">
        <v>723</v>
      </c>
      <c r="D1478" t="s">
        <v>1142</v>
      </c>
      <c r="E1478" s="1">
        <v>45813</v>
      </c>
      <c r="F1478" s="1">
        <v>45813</v>
      </c>
      <c r="G1478" s="12">
        <v>850</v>
      </c>
      <c r="H1478" s="2">
        <v>0</v>
      </c>
      <c r="I1478" s="2">
        <v>0</v>
      </c>
      <c r="J1478" s="2">
        <v>0</v>
      </c>
      <c r="K1478" s="20">
        <v>850</v>
      </c>
      <c r="L1478" t="s">
        <v>794</v>
      </c>
      <c r="M1478">
        <f t="shared" si="23"/>
        <v>2025</v>
      </c>
    </row>
    <row r="1479" spans="1:13" ht="12.75" hidden="1" customHeight="1">
      <c r="A1479" t="s">
        <v>801</v>
      </c>
      <c r="B1479" t="s">
        <v>13</v>
      </c>
      <c r="C1479" t="s">
        <v>751</v>
      </c>
      <c r="D1479" t="s">
        <v>1142</v>
      </c>
      <c r="E1479" s="1">
        <v>45813</v>
      </c>
      <c r="F1479" s="1">
        <v>45813</v>
      </c>
      <c r="G1479" s="12">
        <v>135.52000000000001</v>
      </c>
      <c r="H1479" s="2">
        <v>0</v>
      </c>
      <c r="I1479" s="2">
        <v>0</v>
      </c>
      <c r="J1479" s="2">
        <v>0</v>
      </c>
      <c r="K1479" s="20">
        <v>135.52000000000001</v>
      </c>
      <c r="L1479" t="s">
        <v>794</v>
      </c>
      <c r="M1479">
        <f t="shared" si="23"/>
        <v>2025</v>
      </c>
    </row>
    <row r="1480" spans="1:13" ht="12.75" hidden="1" customHeight="1">
      <c r="A1480" t="s">
        <v>801</v>
      </c>
      <c r="B1480" t="s">
        <v>13</v>
      </c>
      <c r="C1480" t="s">
        <v>726</v>
      </c>
      <c r="D1480" t="s">
        <v>1142</v>
      </c>
      <c r="E1480" s="1">
        <v>45813</v>
      </c>
      <c r="F1480" s="1">
        <v>45813</v>
      </c>
      <c r="G1480" s="12">
        <v>2.04</v>
      </c>
      <c r="H1480" s="2">
        <v>0</v>
      </c>
      <c r="I1480" s="2">
        <v>0</v>
      </c>
      <c r="J1480" s="2">
        <v>0</v>
      </c>
      <c r="K1480" s="20">
        <v>2.04</v>
      </c>
      <c r="L1480" t="s">
        <v>794</v>
      </c>
      <c r="M1480">
        <f t="shared" si="23"/>
        <v>2025</v>
      </c>
    </row>
    <row r="1481" spans="1:13" ht="12.75" hidden="1" customHeight="1">
      <c r="A1481" t="s">
        <v>801</v>
      </c>
      <c r="B1481" t="s">
        <v>13</v>
      </c>
      <c r="C1481" t="s">
        <v>726</v>
      </c>
      <c r="D1481" t="s">
        <v>1142</v>
      </c>
      <c r="E1481" s="1">
        <v>45813</v>
      </c>
      <c r="F1481" s="1">
        <v>45813</v>
      </c>
      <c r="G1481" s="12">
        <v>20.400000000000002</v>
      </c>
      <c r="H1481" s="2">
        <v>0</v>
      </c>
      <c r="I1481" s="2">
        <v>0</v>
      </c>
      <c r="J1481" s="2">
        <v>0</v>
      </c>
      <c r="K1481" s="20">
        <v>20.400000000000002</v>
      </c>
      <c r="L1481" t="s">
        <v>794</v>
      </c>
      <c r="M1481">
        <f t="shared" si="23"/>
        <v>2025</v>
      </c>
    </row>
    <row r="1482" spans="1:13" ht="12.75" hidden="1" customHeight="1">
      <c r="A1482" t="s">
        <v>948</v>
      </c>
      <c r="B1482" t="s">
        <v>51</v>
      </c>
      <c r="C1482" t="s">
        <v>744</v>
      </c>
      <c r="D1482" t="s">
        <v>1142</v>
      </c>
      <c r="E1482" s="1">
        <v>45814</v>
      </c>
      <c r="F1482" s="1">
        <v>45814</v>
      </c>
      <c r="G1482" s="12">
        <v>1911.63</v>
      </c>
      <c r="H1482" s="2">
        <v>0</v>
      </c>
      <c r="I1482" s="2">
        <v>0</v>
      </c>
      <c r="J1482" s="2">
        <v>0</v>
      </c>
      <c r="K1482" s="20">
        <v>1911.63</v>
      </c>
      <c r="L1482" t="s">
        <v>794</v>
      </c>
      <c r="M1482">
        <f t="shared" si="23"/>
        <v>2025</v>
      </c>
    </row>
    <row r="1483" spans="1:13" ht="12.75" hidden="1" customHeight="1">
      <c r="A1483" t="s">
        <v>801</v>
      </c>
      <c r="B1483" t="s">
        <v>13</v>
      </c>
      <c r="C1483" t="s">
        <v>726</v>
      </c>
      <c r="D1483" t="s">
        <v>1142</v>
      </c>
      <c r="E1483" s="1">
        <v>45814</v>
      </c>
      <c r="F1483" s="1">
        <v>45814</v>
      </c>
      <c r="G1483" s="12">
        <v>2.04</v>
      </c>
      <c r="H1483" s="2">
        <v>0</v>
      </c>
      <c r="I1483" s="2">
        <v>0</v>
      </c>
      <c r="J1483" s="2">
        <v>0</v>
      </c>
      <c r="K1483" s="20">
        <v>2.04</v>
      </c>
      <c r="L1483" t="s">
        <v>794</v>
      </c>
      <c r="M1483">
        <f t="shared" si="23"/>
        <v>2025</v>
      </c>
    </row>
    <row r="1484" spans="1:13" ht="12.75" hidden="1" customHeight="1">
      <c r="A1484" t="s">
        <v>855</v>
      </c>
      <c r="B1484" t="s">
        <v>20</v>
      </c>
      <c r="C1484" t="s">
        <v>721</v>
      </c>
      <c r="D1484" t="s">
        <v>1142</v>
      </c>
      <c r="E1484" s="1">
        <v>45814</v>
      </c>
      <c r="F1484" s="1">
        <v>45814</v>
      </c>
      <c r="G1484" s="12">
        <v>3000</v>
      </c>
      <c r="H1484" s="2">
        <v>0</v>
      </c>
      <c r="I1484" s="2">
        <v>0</v>
      </c>
      <c r="J1484" s="2">
        <v>0</v>
      </c>
      <c r="K1484" s="20">
        <v>3000</v>
      </c>
      <c r="L1484" t="s">
        <v>794</v>
      </c>
      <c r="M1484">
        <f t="shared" si="23"/>
        <v>2025</v>
      </c>
    </row>
    <row r="1485" spans="1:13" ht="12.75" hidden="1" customHeight="1">
      <c r="A1485" t="s">
        <v>855</v>
      </c>
      <c r="B1485" t="s">
        <v>20</v>
      </c>
      <c r="C1485" t="s">
        <v>200</v>
      </c>
      <c r="D1485" t="s">
        <v>1142</v>
      </c>
      <c r="E1485" s="1">
        <v>45814</v>
      </c>
      <c r="F1485" s="1">
        <v>45814</v>
      </c>
      <c r="G1485" s="12">
        <v>2520</v>
      </c>
      <c r="H1485" s="2">
        <v>0</v>
      </c>
      <c r="I1485" s="2">
        <v>0</v>
      </c>
      <c r="J1485" s="2">
        <v>0</v>
      </c>
      <c r="K1485" s="20">
        <v>2520</v>
      </c>
      <c r="L1485" t="s">
        <v>794</v>
      </c>
      <c r="M1485">
        <f t="shared" si="23"/>
        <v>2025</v>
      </c>
    </row>
    <row r="1486" spans="1:13" ht="12.75" hidden="1" customHeight="1">
      <c r="A1486" t="s">
        <v>924</v>
      </c>
      <c r="B1486" t="s">
        <v>87</v>
      </c>
      <c r="C1486" t="s">
        <v>137</v>
      </c>
      <c r="D1486" t="s">
        <v>1142</v>
      </c>
      <c r="E1486" s="1">
        <v>45814</v>
      </c>
      <c r="F1486" s="1">
        <v>45814</v>
      </c>
      <c r="G1486" s="12">
        <v>690</v>
      </c>
      <c r="H1486" s="2">
        <v>0</v>
      </c>
      <c r="I1486" s="2">
        <v>0</v>
      </c>
      <c r="J1486" s="2">
        <v>0</v>
      </c>
      <c r="K1486" s="20">
        <v>690</v>
      </c>
      <c r="L1486" t="s">
        <v>794</v>
      </c>
      <c r="M1486">
        <f t="shared" si="23"/>
        <v>2025</v>
      </c>
    </row>
    <row r="1487" spans="1:13" ht="12.75" hidden="1" customHeight="1">
      <c r="A1487" t="s">
        <v>890</v>
      </c>
      <c r="B1487" t="s">
        <v>572</v>
      </c>
      <c r="C1487" t="s">
        <v>452</v>
      </c>
      <c r="D1487" t="s">
        <v>1142</v>
      </c>
      <c r="E1487" s="1">
        <v>45814</v>
      </c>
      <c r="F1487" s="1">
        <v>45814</v>
      </c>
      <c r="G1487" s="12">
        <v>69</v>
      </c>
      <c r="H1487" s="2">
        <v>0</v>
      </c>
      <c r="I1487" s="2">
        <v>0</v>
      </c>
      <c r="J1487" s="2">
        <v>0</v>
      </c>
      <c r="K1487" s="20">
        <v>69</v>
      </c>
      <c r="L1487" t="s">
        <v>794</v>
      </c>
      <c r="M1487">
        <f t="shared" si="23"/>
        <v>2025</v>
      </c>
    </row>
    <row r="1488" spans="1:13" ht="12.75" hidden="1" customHeight="1">
      <c r="A1488" t="s">
        <v>1067</v>
      </c>
      <c r="B1488" t="s">
        <v>249</v>
      </c>
      <c r="C1488" t="s">
        <v>137</v>
      </c>
      <c r="D1488" t="s">
        <v>1142</v>
      </c>
      <c r="E1488" s="1">
        <v>45814</v>
      </c>
      <c r="F1488" s="1">
        <v>45814</v>
      </c>
      <c r="G1488" s="12">
        <v>1241.72</v>
      </c>
      <c r="H1488" s="2">
        <v>0</v>
      </c>
      <c r="I1488" s="2">
        <v>0</v>
      </c>
      <c r="J1488" s="2">
        <v>0</v>
      </c>
      <c r="K1488" s="20">
        <v>1241.72</v>
      </c>
      <c r="L1488" t="s">
        <v>794</v>
      </c>
      <c r="M1488">
        <f t="shared" si="23"/>
        <v>2025</v>
      </c>
    </row>
    <row r="1489" spans="1:13" ht="12.75" hidden="1" customHeight="1">
      <c r="A1489" t="s">
        <v>957</v>
      </c>
      <c r="B1489" t="s">
        <v>39</v>
      </c>
      <c r="C1489" t="s">
        <v>141</v>
      </c>
      <c r="D1489" t="s">
        <v>1142</v>
      </c>
      <c r="E1489" s="1">
        <v>45814</v>
      </c>
      <c r="F1489" s="1">
        <v>45814</v>
      </c>
      <c r="G1489" s="12">
        <v>36</v>
      </c>
      <c r="H1489" s="2">
        <v>0</v>
      </c>
      <c r="I1489" s="2">
        <v>0</v>
      </c>
      <c r="J1489" s="2">
        <v>0</v>
      </c>
      <c r="K1489" s="20">
        <v>36</v>
      </c>
      <c r="L1489" t="s">
        <v>794</v>
      </c>
      <c r="M1489">
        <f t="shared" si="23"/>
        <v>2025</v>
      </c>
    </row>
    <row r="1490" spans="1:13" ht="12.75" hidden="1" customHeight="1">
      <c r="A1490" t="s">
        <v>810</v>
      </c>
      <c r="B1490" t="s">
        <v>54</v>
      </c>
      <c r="C1490" t="s">
        <v>141</v>
      </c>
      <c r="D1490" t="s">
        <v>1142</v>
      </c>
      <c r="E1490" s="1">
        <v>45814</v>
      </c>
      <c r="F1490" s="1">
        <v>45814</v>
      </c>
      <c r="G1490" s="12">
        <v>110</v>
      </c>
      <c r="H1490" s="2">
        <v>0</v>
      </c>
      <c r="I1490" s="2">
        <v>0</v>
      </c>
      <c r="J1490" s="2">
        <v>0</v>
      </c>
      <c r="K1490" s="20">
        <v>110</v>
      </c>
      <c r="L1490" t="s">
        <v>794</v>
      </c>
      <c r="M1490">
        <f t="shared" si="23"/>
        <v>2025</v>
      </c>
    </row>
    <row r="1491" spans="1:13" ht="12.75" hidden="1" customHeight="1">
      <c r="A1491" t="s">
        <v>812</v>
      </c>
      <c r="B1491" t="s">
        <v>31</v>
      </c>
      <c r="C1491" t="s">
        <v>141</v>
      </c>
      <c r="D1491" t="s">
        <v>1142</v>
      </c>
      <c r="E1491" s="1">
        <v>45814</v>
      </c>
      <c r="F1491" s="1">
        <v>45814</v>
      </c>
      <c r="G1491" s="12">
        <v>40</v>
      </c>
      <c r="H1491" s="2">
        <v>0</v>
      </c>
      <c r="I1491" s="2">
        <v>0</v>
      </c>
      <c r="J1491" s="2">
        <v>0</v>
      </c>
      <c r="K1491" s="20">
        <v>40</v>
      </c>
      <c r="L1491" t="s">
        <v>794</v>
      </c>
      <c r="M1491">
        <f t="shared" si="23"/>
        <v>2025</v>
      </c>
    </row>
    <row r="1492" spans="1:13" ht="12.75" hidden="1" customHeight="1">
      <c r="A1492" t="s">
        <v>818</v>
      </c>
      <c r="B1492" t="s">
        <v>30</v>
      </c>
      <c r="C1492" t="s">
        <v>141</v>
      </c>
      <c r="D1492" t="s">
        <v>1142</v>
      </c>
      <c r="E1492" s="1">
        <v>45814</v>
      </c>
      <c r="F1492" s="1">
        <v>45814</v>
      </c>
      <c r="G1492" s="12">
        <v>40</v>
      </c>
      <c r="H1492" s="2">
        <v>0</v>
      </c>
      <c r="I1492" s="2">
        <v>0</v>
      </c>
      <c r="J1492" s="2">
        <v>0</v>
      </c>
      <c r="K1492" s="20">
        <v>40</v>
      </c>
      <c r="L1492" t="s">
        <v>794</v>
      </c>
      <c r="M1492">
        <f t="shared" si="23"/>
        <v>2025</v>
      </c>
    </row>
    <row r="1493" spans="1:13" ht="12.75" hidden="1" customHeight="1">
      <c r="A1493" t="s">
        <v>1007</v>
      </c>
      <c r="B1493" t="s">
        <v>355</v>
      </c>
      <c r="C1493" t="s">
        <v>137</v>
      </c>
      <c r="D1493" t="s">
        <v>1142</v>
      </c>
      <c r="E1493" s="1">
        <v>45814</v>
      </c>
      <c r="F1493" s="1">
        <v>45814</v>
      </c>
      <c r="G1493" s="12">
        <v>529</v>
      </c>
      <c r="H1493" s="2">
        <v>0</v>
      </c>
      <c r="I1493" s="2">
        <v>0</v>
      </c>
      <c r="J1493" s="2">
        <v>0</v>
      </c>
      <c r="K1493" s="20">
        <v>529</v>
      </c>
      <c r="L1493" t="s">
        <v>794</v>
      </c>
      <c r="M1493">
        <f t="shared" si="23"/>
        <v>2025</v>
      </c>
    </row>
    <row r="1494" spans="1:13" ht="12.75" hidden="1" customHeight="1">
      <c r="A1494" t="s">
        <v>1149</v>
      </c>
      <c r="B1494" t="s">
        <v>612</v>
      </c>
      <c r="C1494" t="s">
        <v>141</v>
      </c>
      <c r="D1494" t="s">
        <v>1142</v>
      </c>
      <c r="E1494" s="1">
        <v>45814</v>
      </c>
      <c r="F1494" s="1">
        <v>45814</v>
      </c>
      <c r="G1494" s="12">
        <v>50</v>
      </c>
      <c r="H1494" s="2">
        <v>0</v>
      </c>
      <c r="I1494" s="2">
        <v>0</v>
      </c>
      <c r="J1494" s="2">
        <v>0</v>
      </c>
      <c r="K1494" s="20">
        <v>50</v>
      </c>
      <c r="L1494" t="s">
        <v>794</v>
      </c>
      <c r="M1494">
        <f t="shared" si="23"/>
        <v>2025</v>
      </c>
    </row>
    <row r="1495" spans="1:13" ht="12.75" hidden="1" customHeight="1">
      <c r="A1495" t="s">
        <v>992</v>
      </c>
      <c r="B1495" t="s">
        <v>277</v>
      </c>
      <c r="C1495" t="s">
        <v>646</v>
      </c>
      <c r="D1495" t="s">
        <v>1142</v>
      </c>
      <c r="E1495" s="1">
        <v>45814</v>
      </c>
      <c r="F1495" s="1">
        <v>45814</v>
      </c>
      <c r="G1495" s="12">
        <v>6.29</v>
      </c>
      <c r="H1495" s="2">
        <v>0</v>
      </c>
      <c r="I1495" s="2">
        <v>0</v>
      </c>
      <c r="J1495" s="2">
        <v>0</v>
      </c>
      <c r="K1495" s="20">
        <v>6.29</v>
      </c>
      <c r="L1495" t="s">
        <v>794</v>
      </c>
      <c r="M1495">
        <f t="shared" si="23"/>
        <v>2025</v>
      </c>
    </row>
    <row r="1496" spans="1:13" ht="12.75" hidden="1" customHeight="1">
      <c r="A1496" t="s">
        <v>921</v>
      </c>
      <c r="B1496" t="s">
        <v>184</v>
      </c>
      <c r="C1496" t="s">
        <v>483</v>
      </c>
      <c r="D1496" t="s">
        <v>1142</v>
      </c>
      <c r="E1496" s="1">
        <v>45814</v>
      </c>
      <c r="F1496" s="1">
        <v>45814</v>
      </c>
      <c r="G1496" s="12">
        <v>20.990000000000002</v>
      </c>
      <c r="H1496" s="2">
        <v>0</v>
      </c>
      <c r="I1496" s="2">
        <v>0</v>
      </c>
      <c r="J1496" s="2">
        <v>0</v>
      </c>
      <c r="K1496" s="20">
        <v>20.990000000000002</v>
      </c>
      <c r="L1496" t="s">
        <v>794</v>
      </c>
      <c r="M1496">
        <f t="shared" si="23"/>
        <v>2025</v>
      </c>
    </row>
    <row r="1497" spans="1:13" ht="12.75" hidden="1" customHeight="1">
      <c r="A1497" t="s">
        <v>921</v>
      </c>
      <c r="B1497" t="s">
        <v>184</v>
      </c>
      <c r="C1497" t="s">
        <v>483</v>
      </c>
      <c r="D1497" t="s">
        <v>1142</v>
      </c>
      <c r="E1497" s="1">
        <v>45814</v>
      </c>
      <c r="F1497" s="1">
        <v>45814</v>
      </c>
      <c r="G1497" s="12">
        <v>41.980000000000004</v>
      </c>
      <c r="H1497" s="2">
        <v>0</v>
      </c>
      <c r="I1497" s="2">
        <v>0</v>
      </c>
      <c r="J1497" s="2">
        <v>0</v>
      </c>
      <c r="K1497" s="20">
        <v>41.980000000000004</v>
      </c>
      <c r="L1497" t="s">
        <v>794</v>
      </c>
      <c r="M1497">
        <f t="shared" si="23"/>
        <v>2025</v>
      </c>
    </row>
    <row r="1498" spans="1:13" ht="12.75" hidden="1" customHeight="1">
      <c r="A1498" t="s">
        <v>921</v>
      </c>
      <c r="B1498" t="s">
        <v>184</v>
      </c>
      <c r="C1498" t="s">
        <v>483</v>
      </c>
      <c r="D1498" t="s">
        <v>1142</v>
      </c>
      <c r="E1498" s="1">
        <v>45814</v>
      </c>
      <c r="F1498" s="1">
        <v>45814</v>
      </c>
      <c r="G1498" s="12">
        <v>29.900000000000002</v>
      </c>
      <c r="H1498" s="2">
        <v>0</v>
      </c>
      <c r="I1498" s="2">
        <v>0</v>
      </c>
      <c r="J1498" s="2">
        <v>0</v>
      </c>
      <c r="K1498" s="20">
        <v>29.900000000000002</v>
      </c>
      <c r="L1498" t="s">
        <v>794</v>
      </c>
      <c r="M1498">
        <f t="shared" si="23"/>
        <v>2025</v>
      </c>
    </row>
    <row r="1499" spans="1:13" ht="12.75" hidden="1" customHeight="1">
      <c r="A1499" t="s">
        <v>921</v>
      </c>
      <c r="B1499" t="s">
        <v>184</v>
      </c>
      <c r="C1499" t="s">
        <v>681</v>
      </c>
      <c r="D1499" t="s">
        <v>1142</v>
      </c>
      <c r="E1499" s="1">
        <v>45814</v>
      </c>
      <c r="F1499" s="1">
        <v>45814</v>
      </c>
      <c r="G1499" s="12">
        <v>47.9</v>
      </c>
      <c r="H1499" s="2">
        <v>0</v>
      </c>
      <c r="I1499" s="2">
        <v>0</v>
      </c>
      <c r="J1499" s="2">
        <v>0</v>
      </c>
      <c r="K1499" s="20">
        <v>47.9</v>
      </c>
      <c r="L1499" t="s">
        <v>794</v>
      </c>
      <c r="M1499">
        <f t="shared" si="23"/>
        <v>2025</v>
      </c>
    </row>
    <row r="1500" spans="1:13" ht="12.75" hidden="1" customHeight="1">
      <c r="A1500" t="s">
        <v>921</v>
      </c>
      <c r="B1500" t="s">
        <v>184</v>
      </c>
      <c r="C1500" t="s">
        <v>745</v>
      </c>
      <c r="D1500" t="s">
        <v>1142</v>
      </c>
      <c r="E1500" s="1">
        <v>45814</v>
      </c>
      <c r="F1500" s="1">
        <v>45814</v>
      </c>
      <c r="G1500" s="12">
        <v>16.990000000000002</v>
      </c>
      <c r="H1500" s="2">
        <v>0</v>
      </c>
      <c r="I1500" s="2">
        <v>0</v>
      </c>
      <c r="J1500" s="2">
        <v>0</v>
      </c>
      <c r="K1500" s="20">
        <v>16.990000000000002</v>
      </c>
      <c r="L1500" t="s">
        <v>794</v>
      </c>
      <c r="M1500">
        <f t="shared" si="23"/>
        <v>2025</v>
      </c>
    </row>
    <row r="1501" spans="1:13" ht="12.75" hidden="1" customHeight="1">
      <c r="A1501" t="s">
        <v>898</v>
      </c>
      <c r="B1501" t="s">
        <v>353</v>
      </c>
      <c r="C1501" t="s">
        <v>761</v>
      </c>
      <c r="D1501" t="s">
        <v>1142</v>
      </c>
      <c r="E1501" s="1">
        <v>45814</v>
      </c>
      <c r="F1501" s="1">
        <v>45814</v>
      </c>
      <c r="G1501" s="12">
        <v>63.800000000000004</v>
      </c>
      <c r="H1501" s="2">
        <v>0</v>
      </c>
      <c r="I1501" s="2">
        <v>0</v>
      </c>
      <c r="J1501" s="2">
        <v>0</v>
      </c>
      <c r="K1501" s="20">
        <v>63.800000000000004</v>
      </c>
      <c r="L1501" t="s">
        <v>794</v>
      </c>
      <c r="M1501">
        <f t="shared" si="23"/>
        <v>2025</v>
      </c>
    </row>
    <row r="1502" spans="1:13" ht="12.75" hidden="1" customHeight="1">
      <c r="A1502" t="s">
        <v>1108</v>
      </c>
      <c r="B1502" t="s">
        <v>328</v>
      </c>
      <c r="C1502" t="s">
        <v>483</v>
      </c>
      <c r="D1502" t="s">
        <v>1142</v>
      </c>
      <c r="E1502" s="1">
        <v>45814</v>
      </c>
      <c r="F1502" s="1">
        <v>45814</v>
      </c>
      <c r="G1502" s="12">
        <v>13.98</v>
      </c>
      <c r="H1502" s="2">
        <v>0</v>
      </c>
      <c r="I1502" s="2">
        <v>0</v>
      </c>
      <c r="J1502" s="2">
        <v>0</v>
      </c>
      <c r="K1502" s="20">
        <v>13.98</v>
      </c>
      <c r="L1502" t="s">
        <v>794</v>
      </c>
      <c r="M1502">
        <f t="shared" si="23"/>
        <v>2025</v>
      </c>
    </row>
    <row r="1503" spans="1:13" ht="12.75" hidden="1" customHeight="1">
      <c r="A1503" t="s">
        <v>1108</v>
      </c>
      <c r="B1503" t="s">
        <v>328</v>
      </c>
      <c r="C1503" t="s">
        <v>483</v>
      </c>
      <c r="D1503" t="s">
        <v>1142</v>
      </c>
      <c r="E1503" s="1">
        <v>45814</v>
      </c>
      <c r="F1503" s="1">
        <v>45814</v>
      </c>
      <c r="G1503" s="12">
        <v>12.99</v>
      </c>
      <c r="H1503" s="2">
        <v>0</v>
      </c>
      <c r="I1503" s="2">
        <v>0</v>
      </c>
      <c r="J1503" s="2">
        <v>0</v>
      </c>
      <c r="K1503" s="20">
        <v>12.99</v>
      </c>
      <c r="L1503" t="s">
        <v>794</v>
      </c>
      <c r="M1503">
        <f t="shared" si="23"/>
        <v>2025</v>
      </c>
    </row>
    <row r="1504" spans="1:13" ht="12.75" hidden="1" customHeight="1">
      <c r="A1504" t="s">
        <v>906</v>
      </c>
      <c r="B1504" t="s">
        <v>289</v>
      </c>
      <c r="C1504" t="s">
        <v>483</v>
      </c>
      <c r="D1504" t="s">
        <v>1142</v>
      </c>
      <c r="E1504" s="1">
        <v>45814</v>
      </c>
      <c r="F1504" s="1">
        <v>45814</v>
      </c>
      <c r="G1504" s="12">
        <v>26</v>
      </c>
      <c r="H1504" s="2">
        <v>0</v>
      </c>
      <c r="I1504" s="2">
        <v>0</v>
      </c>
      <c r="J1504" s="2">
        <v>0</v>
      </c>
      <c r="K1504" s="20">
        <v>26</v>
      </c>
      <c r="L1504" t="s">
        <v>794</v>
      </c>
      <c r="M1504">
        <f t="shared" si="23"/>
        <v>2025</v>
      </c>
    </row>
    <row r="1505" spans="1:13" ht="12.75" hidden="1" customHeight="1">
      <c r="A1505" t="s">
        <v>1009</v>
      </c>
      <c r="B1505" t="s">
        <v>62</v>
      </c>
      <c r="C1505" t="s">
        <v>137</v>
      </c>
      <c r="D1505" t="s">
        <v>1142</v>
      </c>
      <c r="E1505" s="1">
        <v>45814</v>
      </c>
      <c r="F1505" s="1">
        <v>45814</v>
      </c>
      <c r="G1505" s="12">
        <v>1491</v>
      </c>
      <c r="H1505" s="2">
        <v>0</v>
      </c>
      <c r="I1505" s="2">
        <v>0</v>
      </c>
      <c r="J1505" s="2">
        <v>0</v>
      </c>
      <c r="K1505" s="20">
        <v>1491</v>
      </c>
      <c r="L1505" t="s">
        <v>794</v>
      </c>
      <c r="M1505">
        <f t="shared" si="23"/>
        <v>2025</v>
      </c>
    </row>
    <row r="1506" spans="1:13" ht="12.75" hidden="1" customHeight="1">
      <c r="A1506" t="s">
        <v>1125</v>
      </c>
      <c r="B1506" t="s">
        <v>150</v>
      </c>
      <c r="C1506" t="s">
        <v>137</v>
      </c>
      <c r="D1506" t="s">
        <v>1142</v>
      </c>
      <c r="E1506" s="1">
        <v>45814</v>
      </c>
      <c r="F1506" s="1">
        <v>45814</v>
      </c>
      <c r="G1506" s="12">
        <v>900</v>
      </c>
      <c r="H1506" s="2">
        <v>0</v>
      </c>
      <c r="I1506" s="2">
        <v>0</v>
      </c>
      <c r="J1506" s="2">
        <v>0</v>
      </c>
      <c r="K1506" s="20">
        <v>900</v>
      </c>
      <c r="L1506" t="s">
        <v>794</v>
      </c>
      <c r="M1506">
        <f t="shared" si="23"/>
        <v>2025</v>
      </c>
    </row>
    <row r="1507" spans="1:13" ht="12.75" hidden="1" customHeight="1">
      <c r="A1507" t="s">
        <v>1141</v>
      </c>
      <c r="B1507" t="s">
        <v>69</v>
      </c>
      <c r="C1507" t="s">
        <v>137</v>
      </c>
      <c r="D1507" t="s">
        <v>1142</v>
      </c>
      <c r="E1507" s="1">
        <v>45814</v>
      </c>
      <c r="F1507" s="1">
        <v>45814</v>
      </c>
      <c r="G1507" s="12">
        <v>656.66</v>
      </c>
      <c r="H1507" s="2">
        <v>0</v>
      </c>
      <c r="I1507" s="2">
        <v>0</v>
      </c>
      <c r="J1507" s="2">
        <v>0</v>
      </c>
      <c r="K1507" s="20">
        <v>656.66</v>
      </c>
      <c r="L1507" t="s">
        <v>794</v>
      </c>
      <c r="M1507">
        <f t="shared" si="23"/>
        <v>2025</v>
      </c>
    </row>
    <row r="1508" spans="1:13" ht="12.75" hidden="1" customHeight="1">
      <c r="A1508" t="s">
        <v>1112</v>
      </c>
      <c r="B1508" t="s">
        <v>68</v>
      </c>
      <c r="C1508" t="s">
        <v>137</v>
      </c>
      <c r="D1508" t="s">
        <v>1142</v>
      </c>
      <c r="E1508" s="1">
        <v>45814</v>
      </c>
      <c r="F1508" s="1">
        <v>45814</v>
      </c>
      <c r="G1508" s="12">
        <v>900</v>
      </c>
      <c r="H1508" s="2">
        <v>0</v>
      </c>
      <c r="I1508" s="2">
        <v>0</v>
      </c>
      <c r="J1508" s="2">
        <v>0</v>
      </c>
      <c r="K1508" s="20">
        <v>900</v>
      </c>
      <c r="L1508" t="s">
        <v>794</v>
      </c>
      <c r="M1508">
        <f t="shared" si="23"/>
        <v>2025</v>
      </c>
    </row>
    <row r="1509" spans="1:13" ht="12.75" hidden="1" customHeight="1">
      <c r="A1509" t="s">
        <v>825</v>
      </c>
      <c r="B1509" t="s">
        <v>46</v>
      </c>
      <c r="C1509" t="s">
        <v>137</v>
      </c>
      <c r="D1509" t="s">
        <v>1142</v>
      </c>
      <c r="E1509" s="1">
        <v>45814</v>
      </c>
      <c r="F1509" s="1">
        <v>45814</v>
      </c>
      <c r="G1509" s="12">
        <v>1492</v>
      </c>
      <c r="H1509" s="2">
        <v>0</v>
      </c>
      <c r="I1509" s="2">
        <v>0</v>
      </c>
      <c r="J1509" s="2">
        <v>0</v>
      </c>
      <c r="K1509" s="20">
        <v>1492</v>
      </c>
      <c r="L1509" t="s">
        <v>794</v>
      </c>
      <c r="M1509">
        <f t="shared" si="23"/>
        <v>2025</v>
      </c>
    </row>
    <row r="1510" spans="1:13" ht="12.75" hidden="1" customHeight="1">
      <c r="A1510" t="s">
        <v>836</v>
      </c>
      <c r="B1510" t="s">
        <v>37</v>
      </c>
      <c r="C1510" t="s">
        <v>137</v>
      </c>
      <c r="D1510" t="s">
        <v>1142</v>
      </c>
      <c r="E1510" s="1">
        <v>45814</v>
      </c>
      <c r="F1510" s="1">
        <v>45814</v>
      </c>
      <c r="G1510" s="12">
        <v>1492</v>
      </c>
      <c r="H1510" s="2">
        <v>0</v>
      </c>
      <c r="I1510" s="2">
        <v>0</v>
      </c>
      <c r="J1510" s="2">
        <v>0</v>
      </c>
      <c r="K1510" s="20">
        <v>1492</v>
      </c>
      <c r="L1510" t="s">
        <v>794</v>
      </c>
      <c r="M1510">
        <f t="shared" si="23"/>
        <v>2025</v>
      </c>
    </row>
    <row r="1511" spans="1:13" ht="12.75" hidden="1" customHeight="1">
      <c r="A1511" t="s">
        <v>1111</v>
      </c>
      <c r="B1511" t="s">
        <v>144</v>
      </c>
      <c r="C1511" t="s">
        <v>137</v>
      </c>
      <c r="D1511" t="s">
        <v>1142</v>
      </c>
      <c r="E1511" s="1">
        <v>45814</v>
      </c>
      <c r="F1511" s="1">
        <v>45814</v>
      </c>
      <c r="G1511" s="12">
        <v>1703.01</v>
      </c>
      <c r="H1511" s="2">
        <v>0</v>
      </c>
      <c r="I1511" s="2">
        <v>0</v>
      </c>
      <c r="J1511" s="2">
        <v>0</v>
      </c>
      <c r="K1511" s="20">
        <v>1703.01</v>
      </c>
      <c r="L1511" t="s">
        <v>794</v>
      </c>
      <c r="M1511">
        <f t="shared" si="23"/>
        <v>2025</v>
      </c>
    </row>
    <row r="1512" spans="1:13" ht="12.75" hidden="1" customHeight="1">
      <c r="A1512" t="s">
        <v>945</v>
      </c>
      <c r="B1512" t="s">
        <v>143</v>
      </c>
      <c r="C1512" t="s">
        <v>137</v>
      </c>
      <c r="D1512" t="s">
        <v>1142</v>
      </c>
      <c r="E1512" s="1">
        <v>45814</v>
      </c>
      <c r="F1512" s="1">
        <v>45814</v>
      </c>
      <c r="G1512" s="12">
        <v>1207</v>
      </c>
      <c r="H1512" s="2">
        <v>0</v>
      </c>
      <c r="I1512" s="2">
        <v>0</v>
      </c>
      <c r="J1512" s="2">
        <v>0</v>
      </c>
      <c r="K1512" s="20">
        <v>1207</v>
      </c>
      <c r="L1512" t="s">
        <v>794</v>
      </c>
      <c r="M1512">
        <f t="shared" si="23"/>
        <v>2025</v>
      </c>
    </row>
    <row r="1513" spans="1:13" ht="12.75" hidden="1" customHeight="1">
      <c r="A1513" t="s">
        <v>1138</v>
      </c>
      <c r="B1513" t="s">
        <v>104</v>
      </c>
      <c r="C1513" t="s">
        <v>137</v>
      </c>
      <c r="D1513" t="s">
        <v>1142</v>
      </c>
      <c r="E1513" s="1">
        <v>45814</v>
      </c>
      <c r="F1513" s="1">
        <v>45814</v>
      </c>
      <c r="G1513" s="12">
        <v>1559.6200000000001</v>
      </c>
      <c r="H1513" s="2">
        <v>0</v>
      </c>
      <c r="I1513" s="2">
        <v>0</v>
      </c>
      <c r="J1513" s="2">
        <v>0</v>
      </c>
      <c r="K1513" s="20">
        <v>1559.6200000000001</v>
      </c>
      <c r="L1513" t="s">
        <v>794</v>
      </c>
      <c r="M1513">
        <f t="shared" si="23"/>
        <v>2025</v>
      </c>
    </row>
    <row r="1514" spans="1:13" ht="12.75" hidden="1" customHeight="1">
      <c r="A1514" t="s">
        <v>1134</v>
      </c>
      <c r="B1514" t="s">
        <v>33</v>
      </c>
      <c r="C1514" t="s">
        <v>138</v>
      </c>
      <c r="D1514" t="s">
        <v>1142</v>
      </c>
      <c r="E1514" s="1">
        <v>45814</v>
      </c>
      <c r="F1514" s="1">
        <v>45814</v>
      </c>
      <c r="G1514" s="12">
        <v>242.4</v>
      </c>
      <c r="H1514" s="2">
        <v>0</v>
      </c>
      <c r="I1514" s="2">
        <v>0</v>
      </c>
      <c r="J1514" s="2">
        <v>0</v>
      </c>
      <c r="K1514" s="20">
        <v>242.4</v>
      </c>
      <c r="L1514" t="s">
        <v>794</v>
      </c>
      <c r="M1514">
        <f t="shared" si="23"/>
        <v>2025</v>
      </c>
    </row>
    <row r="1515" spans="1:13" ht="12.75" hidden="1" customHeight="1">
      <c r="A1515" t="s">
        <v>1105</v>
      </c>
      <c r="B1515" t="s">
        <v>84</v>
      </c>
      <c r="C1515" t="s">
        <v>137</v>
      </c>
      <c r="D1515" t="s">
        <v>1142</v>
      </c>
      <c r="E1515" s="1">
        <v>45814</v>
      </c>
      <c r="F1515" s="1">
        <v>45814</v>
      </c>
      <c r="G1515" s="12">
        <v>1703.01</v>
      </c>
      <c r="H1515" s="2">
        <v>0</v>
      </c>
      <c r="I1515" s="2">
        <v>0</v>
      </c>
      <c r="J1515" s="2">
        <v>0</v>
      </c>
      <c r="K1515" s="20">
        <v>1703.01</v>
      </c>
      <c r="L1515" t="s">
        <v>794</v>
      </c>
      <c r="M1515">
        <f t="shared" si="23"/>
        <v>2025</v>
      </c>
    </row>
    <row r="1516" spans="1:13" ht="12.75" hidden="1" customHeight="1">
      <c r="A1516" t="s">
        <v>1134</v>
      </c>
      <c r="B1516" t="s">
        <v>33</v>
      </c>
      <c r="C1516" t="s">
        <v>137</v>
      </c>
      <c r="D1516" t="s">
        <v>1142</v>
      </c>
      <c r="E1516" s="1">
        <v>45814</v>
      </c>
      <c r="F1516" s="1">
        <v>45814</v>
      </c>
      <c r="G1516" s="12">
        <v>1750</v>
      </c>
      <c r="H1516" s="2">
        <v>0</v>
      </c>
      <c r="I1516" s="2">
        <v>0</v>
      </c>
      <c r="J1516" s="2">
        <v>0</v>
      </c>
      <c r="K1516" s="20">
        <v>1750</v>
      </c>
      <c r="L1516" t="s">
        <v>794</v>
      </c>
      <c r="M1516">
        <f t="shared" si="23"/>
        <v>2025</v>
      </c>
    </row>
    <row r="1517" spans="1:13" ht="12.75" hidden="1" customHeight="1">
      <c r="A1517" t="s">
        <v>819</v>
      </c>
      <c r="B1517" t="s">
        <v>38</v>
      </c>
      <c r="C1517" t="s">
        <v>137</v>
      </c>
      <c r="D1517" t="s">
        <v>1142</v>
      </c>
      <c r="E1517" s="1">
        <v>45814</v>
      </c>
      <c r="F1517" s="1">
        <v>45814</v>
      </c>
      <c r="G1517" s="12">
        <v>1584</v>
      </c>
      <c r="H1517" s="2">
        <v>0</v>
      </c>
      <c r="I1517" s="2">
        <v>0</v>
      </c>
      <c r="J1517" s="2">
        <v>0</v>
      </c>
      <c r="K1517" s="20">
        <v>1584</v>
      </c>
      <c r="L1517" t="s">
        <v>794</v>
      </c>
      <c r="M1517">
        <f t="shared" si="23"/>
        <v>2025</v>
      </c>
    </row>
    <row r="1518" spans="1:13" ht="12.75" hidden="1" customHeight="1">
      <c r="A1518" t="s">
        <v>1138</v>
      </c>
      <c r="B1518" t="s">
        <v>104</v>
      </c>
      <c r="C1518" t="s">
        <v>137</v>
      </c>
      <c r="D1518" t="s">
        <v>1142</v>
      </c>
      <c r="E1518" s="1">
        <v>45814</v>
      </c>
      <c r="F1518" s="1">
        <v>45814</v>
      </c>
      <c r="G1518" s="12">
        <v>195.43</v>
      </c>
      <c r="H1518" s="2">
        <v>0</v>
      </c>
      <c r="I1518" s="2">
        <v>0</v>
      </c>
      <c r="J1518" s="2">
        <v>0</v>
      </c>
      <c r="K1518" s="20">
        <v>195.43</v>
      </c>
      <c r="L1518" t="s">
        <v>794</v>
      </c>
      <c r="M1518">
        <f t="shared" si="23"/>
        <v>2025</v>
      </c>
    </row>
    <row r="1519" spans="1:13" ht="12.75" hidden="1" customHeight="1">
      <c r="A1519" t="s">
        <v>801</v>
      </c>
      <c r="B1519" t="s">
        <v>13</v>
      </c>
      <c r="C1519" t="s">
        <v>726</v>
      </c>
      <c r="D1519" t="s">
        <v>1142</v>
      </c>
      <c r="E1519" s="1">
        <v>45814</v>
      </c>
      <c r="F1519" s="1">
        <v>45814</v>
      </c>
      <c r="G1519" s="12">
        <v>51</v>
      </c>
      <c r="H1519" s="2">
        <v>0</v>
      </c>
      <c r="I1519" s="2">
        <v>0</v>
      </c>
      <c r="J1519" s="2">
        <v>0</v>
      </c>
      <c r="K1519" s="20">
        <v>51</v>
      </c>
      <c r="L1519" t="s">
        <v>794</v>
      </c>
      <c r="M1519">
        <f t="shared" si="23"/>
        <v>2025</v>
      </c>
    </row>
    <row r="1520" spans="1:13" ht="12.75" hidden="1" customHeight="1">
      <c r="A1520" t="s">
        <v>907</v>
      </c>
      <c r="B1520" t="s">
        <v>291</v>
      </c>
      <c r="C1520" t="s">
        <v>483</v>
      </c>
      <c r="D1520" t="s">
        <v>1142</v>
      </c>
      <c r="E1520" s="1">
        <v>45815</v>
      </c>
      <c r="F1520" s="1">
        <v>45815</v>
      </c>
      <c r="G1520" s="12">
        <v>6.3900000000000006</v>
      </c>
      <c r="H1520" s="2">
        <v>0</v>
      </c>
      <c r="I1520" s="2">
        <v>0</v>
      </c>
      <c r="J1520" s="2">
        <v>0</v>
      </c>
      <c r="K1520" s="20">
        <v>6.3900000000000006</v>
      </c>
      <c r="L1520" t="s">
        <v>794</v>
      </c>
      <c r="M1520">
        <f t="shared" si="23"/>
        <v>2025</v>
      </c>
    </row>
    <row r="1521" spans="1:13" ht="12.75" hidden="1" customHeight="1">
      <c r="A1521" t="s">
        <v>1150</v>
      </c>
      <c r="B1521" t="s">
        <v>484</v>
      </c>
      <c r="C1521" t="s">
        <v>710</v>
      </c>
      <c r="D1521" t="s">
        <v>1142</v>
      </c>
      <c r="E1521" s="1">
        <v>45815</v>
      </c>
      <c r="F1521" s="1">
        <v>45815</v>
      </c>
      <c r="G1521" s="12">
        <v>160</v>
      </c>
      <c r="H1521" s="2">
        <v>0</v>
      </c>
      <c r="I1521" s="2">
        <v>0</v>
      </c>
      <c r="J1521" s="2">
        <v>0</v>
      </c>
      <c r="K1521" s="20">
        <v>160</v>
      </c>
      <c r="L1521" t="s">
        <v>794</v>
      </c>
      <c r="M1521">
        <f t="shared" si="23"/>
        <v>2025</v>
      </c>
    </row>
    <row r="1522" spans="1:13" ht="12.75" hidden="1" customHeight="1">
      <c r="A1522" t="s">
        <v>1151</v>
      </c>
      <c r="B1522" t="s">
        <v>413</v>
      </c>
      <c r="C1522" t="s">
        <v>99</v>
      </c>
      <c r="D1522" t="s">
        <v>1142</v>
      </c>
      <c r="E1522" s="1">
        <v>45815</v>
      </c>
      <c r="F1522" s="1">
        <v>45815</v>
      </c>
      <c r="G1522" s="12">
        <v>79</v>
      </c>
      <c r="H1522" s="2">
        <v>0</v>
      </c>
      <c r="I1522" s="2">
        <v>0</v>
      </c>
      <c r="J1522" s="2">
        <v>0</v>
      </c>
      <c r="K1522" s="20">
        <v>79</v>
      </c>
      <c r="L1522" t="s">
        <v>794</v>
      </c>
      <c r="M1522">
        <f t="shared" si="23"/>
        <v>2025</v>
      </c>
    </row>
    <row r="1523" spans="1:13" ht="12.75" hidden="1" customHeight="1">
      <c r="A1523" t="s">
        <v>846</v>
      </c>
      <c r="B1523" t="s">
        <v>253</v>
      </c>
      <c r="C1523" t="s">
        <v>398</v>
      </c>
      <c r="D1523" t="s">
        <v>1142</v>
      </c>
      <c r="E1523" s="1">
        <v>45817</v>
      </c>
      <c r="F1523" s="1">
        <v>45817</v>
      </c>
      <c r="G1523" s="12">
        <v>363.76</v>
      </c>
      <c r="H1523" s="2">
        <v>0</v>
      </c>
      <c r="I1523" s="2">
        <v>0</v>
      </c>
      <c r="J1523" s="2">
        <v>0</v>
      </c>
      <c r="K1523" s="20">
        <v>363.76</v>
      </c>
      <c r="L1523" t="s">
        <v>794</v>
      </c>
      <c r="M1523">
        <f t="shared" si="23"/>
        <v>2025</v>
      </c>
    </row>
    <row r="1524" spans="1:13" ht="12.75" hidden="1" customHeight="1">
      <c r="A1524" t="s">
        <v>844</v>
      </c>
      <c r="B1524" t="s">
        <v>18</v>
      </c>
      <c r="C1524" t="s">
        <v>719</v>
      </c>
      <c r="D1524" t="s">
        <v>1142</v>
      </c>
      <c r="E1524" s="1">
        <v>45817</v>
      </c>
      <c r="F1524" s="1">
        <v>45817</v>
      </c>
      <c r="G1524" s="12">
        <v>11176.81</v>
      </c>
      <c r="H1524" s="2">
        <v>0</v>
      </c>
      <c r="I1524" s="2">
        <v>0</v>
      </c>
      <c r="J1524" s="2">
        <v>0</v>
      </c>
      <c r="K1524" s="20">
        <v>11176.81</v>
      </c>
      <c r="L1524" t="s">
        <v>794</v>
      </c>
      <c r="M1524">
        <f t="shared" si="23"/>
        <v>2025</v>
      </c>
    </row>
    <row r="1525" spans="1:13" ht="12.75" hidden="1" customHeight="1">
      <c r="A1525" t="s">
        <v>1033</v>
      </c>
      <c r="B1525" t="s">
        <v>178</v>
      </c>
      <c r="C1525" t="s">
        <v>719</v>
      </c>
      <c r="D1525" t="s">
        <v>1142</v>
      </c>
      <c r="E1525" s="1">
        <v>45817</v>
      </c>
      <c r="F1525" s="1">
        <v>45817</v>
      </c>
      <c r="G1525" s="12">
        <v>1100.96</v>
      </c>
      <c r="H1525" s="2">
        <v>0</v>
      </c>
      <c r="I1525" s="2">
        <v>0</v>
      </c>
      <c r="J1525" s="2">
        <v>0</v>
      </c>
      <c r="K1525" s="20">
        <v>1100.96</v>
      </c>
      <c r="L1525" t="s">
        <v>794</v>
      </c>
      <c r="M1525">
        <f t="shared" si="23"/>
        <v>2025</v>
      </c>
    </row>
    <row r="1526" spans="1:13" ht="12.75" hidden="1" customHeight="1">
      <c r="A1526" t="s">
        <v>847</v>
      </c>
      <c r="B1526" t="s">
        <v>169</v>
      </c>
      <c r="C1526" t="s">
        <v>722</v>
      </c>
      <c r="D1526" t="s">
        <v>1142</v>
      </c>
      <c r="E1526" s="1">
        <v>45817</v>
      </c>
      <c r="F1526" s="1">
        <v>45817</v>
      </c>
      <c r="G1526" s="12">
        <v>221.3</v>
      </c>
      <c r="H1526" s="2">
        <v>0</v>
      </c>
      <c r="I1526" s="2">
        <v>0</v>
      </c>
      <c r="J1526" s="2">
        <v>0</v>
      </c>
      <c r="K1526" s="20">
        <v>221.3</v>
      </c>
      <c r="L1526" t="s">
        <v>794</v>
      </c>
      <c r="M1526">
        <f t="shared" si="23"/>
        <v>2025</v>
      </c>
    </row>
    <row r="1527" spans="1:13" ht="12.75" hidden="1" customHeight="1">
      <c r="A1527" t="s">
        <v>848</v>
      </c>
      <c r="B1527" t="s">
        <v>14</v>
      </c>
      <c r="C1527" t="s">
        <v>714</v>
      </c>
      <c r="D1527" t="s">
        <v>1142</v>
      </c>
      <c r="E1527" s="1">
        <v>45817</v>
      </c>
      <c r="F1527" s="1">
        <v>45817</v>
      </c>
      <c r="G1527" s="12">
        <v>29955.31</v>
      </c>
      <c r="H1527" s="2">
        <v>0</v>
      </c>
      <c r="I1527" s="2">
        <v>0</v>
      </c>
      <c r="J1527" s="2">
        <v>0</v>
      </c>
      <c r="K1527" s="20">
        <v>29955.31</v>
      </c>
      <c r="L1527" t="s">
        <v>794</v>
      </c>
      <c r="M1527">
        <f t="shared" si="23"/>
        <v>2025</v>
      </c>
    </row>
    <row r="1528" spans="1:13" ht="12.75" hidden="1" customHeight="1">
      <c r="A1528" t="s">
        <v>995</v>
      </c>
      <c r="B1528" t="s">
        <v>122</v>
      </c>
      <c r="C1528" t="s">
        <v>735</v>
      </c>
      <c r="D1528" t="s">
        <v>1142</v>
      </c>
      <c r="E1528" s="1">
        <v>45817</v>
      </c>
      <c r="F1528" s="1">
        <v>45817</v>
      </c>
      <c r="G1528" s="12">
        <v>605</v>
      </c>
      <c r="H1528" s="2">
        <v>0</v>
      </c>
      <c r="I1528" s="2">
        <v>0</v>
      </c>
      <c r="J1528" s="2">
        <v>0</v>
      </c>
      <c r="K1528" s="20">
        <v>605</v>
      </c>
      <c r="L1528" t="s">
        <v>794</v>
      </c>
      <c r="M1528">
        <f t="shared" si="23"/>
        <v>2025</v>
      </c>
    </row>
    <row r="1529" spans="1:13" ht="12.75" hidden="1" customHeight="1">
      <c r="A1529" t="s">
        <v>871</v>
      </c>
      <c r="B1529" t="s">
        <v>176</v>
      </c>
      <c r="C1529" t="s">
        <v>723</v>
      </c>
      <c r="D1529" t="s">
        <v>1142</v>
      </c>
      <c r="E1529" s="1">
        <v>45817</v>
      </c>
      <c r="F1529" s="1">
        <v>45817</v>
      </c>
      <c r="G1529" s="12">
        <v>487.41</v>
      </c>
      <c r="H1529" s="2">
        <v>0</v>
      </c>
      <c r="I1529" s="2">
        <v>0</v>
      </c>
      <c r="J1529" s="2">
        <v>0</v>
      </c>
      <c r="K1529" s="20">
        <v>487.41</v>
      </c>
      <c r="L1529" t="s">
        <v>794</v>
      </c>
      <c r="M1529">
        <f t="shared" si="23"/>
        <v>2025</v>
      </c>
    </row>
    <row r="1530" spans="1:13" ht="12.75" hidden="1" customHeight="1">
      <c r="A1530" t="s">
        <v>801</v>
      </c>
      <c r="B1530" t="s">
        <v>13</v>
      </c>
      <c r="C1530" t="s">
        <v>726</v>
      </c>
      <c r="D1530" t="s">
        <v>1142</v>
      </c>
      <c r="E1530" s="1">
        <v>45817</v>
      </c>
      <c r="F1530" s="1">
        <v>45817</v>
      </c>
      <c r="G1530" s="12">
        <v>4.08</v>
      </c>
      <c r="H1530" s="2">
        <v>0</v>
      </c>
      <c r="I1530" s="2">
        <v>0</v>
      </c>
      <c r="J1530" s="2">
        <v>0</v>
      </c>
      <c r="K1530" s="20">
        <v>4.08</v>
      </c>
      <c r="L1530" t="s">
        <v>794</v>
      </c>
      <c r="M1530">
        <f t="shared" si="23"/>
        <v>2025</v>
      </c>
    </row>
    <row r="1531" spans="1:13" ht="12.75" hidden="1" customHeight="1">
      <c r="A1531" t="s">
        <v>994</v>
      </c>
      <c r="B1531" t="s">
        <v>467</v>
      </c>
      <c r="C1531" t="s">
        <v>558</v>
      </c>
      <c r="D1531" t="s">
        <v>1142</v>
      </c>
      <c r="E1531" s="1">
        <v>45817</v>
      </c>
      <c r="F1531" s="1">
        <v>45817</v>
      </c>
      <c r="G1531" s="12">
        <v>97.97</v>
      </c>
      <c r="H1531" s="2">
        <v>0</v>
      </c>
      <c r="I1531" s="2">
        <v>0</v>
      </c>
      <c r="J1531" s="2">
        <v>0</v>
      </c>
      <c r="K1531" s="20">
        <v>97.97</v>
      </c>
      <c r="L1531" t="s">
        <v>794</v>
      </c>
      <c r="M1531">
        <f t="shared" si="23"/>
        <v>2025</v>
      </c>
    </row>
    <row r="1532" spans="1:13" ht="12.75" hidden="1" customHeight="1">
      <c r="A1532" t="s">
        <v>1152</v>
      </c>
      <c r="B1532" t="s">
        <v>521</v>
      </c>
      <c r="C1532" t="s">
        <v>452</v>
      </c>
      <c r="D1532" t="s">
        <v>1142</v>
      </c>
      <c r="E1532" s="1">
        <v>45817</v>
      </c>
      <c r="F1532" s="1">
        <v>45817</v>
      </c>
      <c r="G1532" s="12">
        <v>100</v>
      </c>
      <c r="H1532" s="2">
        <v>0</v>
      </c>
      <c r="I1532" s="2">
        <v>0</v>
      </c>
      <c r="J1532" s="2">
        <v>0</v>
      </c>
      <c r="K1532" s="20">
        <v>100</v>
      </c>
      <c r="L1532" t="s">
        <v>794</v>
      </c>
      <c r="M1532">
        <f t="shared" si="23"/>
        <v>2025</v>
      </c>
    </row>
    <row r="1533" spans="1:13" ht="12.75" hidden="1" customHeight="1">
      <c r="A1533" t="s">
        <v>1153</v>
      </c>
      <c r="B1533" t="s">
        <v>562</v>
      </c>
      <c r="C1533" t="s">
        <v>452</v>
      </c>
      <c r="D1533" t="s">
        <v>1142</v>
      </c>
      <c r="E1533" s="1">
        <v>45817</v>
      </c>
      <c r="F1533" s="1">
        <v>45817</v>
      </c>
      <c r="G1533" s="12">
        <v>79</v>
      </c>
      <c r="H1533" s="2">
        <v>0</v>
      </c>
      <c r="I1533" s="2">
        <v>0</v>
      </c>
      <c r="J1533" s="2">
        <v>0</v>
      </c>
      <c r="K1533" s="20">
        <v>79</v>
      </c>
      <c r="L1533" t="s">
        <v>794</v>
      </c>
      <c r="M1533">
        <f t="shared" si="23"/>
        <v>2025</v>
      </c>
    </row>
    <row r="1534" spans="1:13" ht="12.75" hidden="1" customHeight="1">
      <c r="A1534" t="s">
        <v>801</v>
      </c>
      <c r="B1534" t="s">
        <v>13</v>
      </c>
      <c r="C1534" t="s">
        <v>717</v>
      </c>
      <c r="D1534" t="s">
        <v>1142</v>
      </c>
      <c r="E1534" s="1">
        <v>45817</v>
      </c>
      <c r="F1534" s="1">
        <v>45817</v>
      </c>
      <c r="G1534" s="12">
        <v>895.56000000000006</v>
      </c>
      <c r="H1534" s="2">
        <v>0</v>
      </c>
      <c r="I1534" s="2">
        <v>0</v>
      </c>
      <c r="J1534" s="2">
        <v>0</v>
      </c>
      <c r="K1534" s="20">
        <v>895.56000000000006</v>
      </c>
      <c r="L1534" t="s">
        <v>794</v>
      </c>
      <c r="M1534">
        <f t="shared" si="23"/>
        <v>2025</v>
      </c>
    </row>
    <row r="1535" spans="1:13" ht="12.75" hidden="1" customHeight="1">
      <c r="A1535" t="s">
        <v>1083</v>
      </c>
      <c r="B1535" t="s">
        <v>127</v>
      </c>
      <c r="C1535" t="s">
        <v>200</v>
      </c>
      <c r="D1535" t="s">
        <v>1142</v>
      </c>
      <c r="E1535" s="1">
        <v>45818</v>
      </c>
      <c r="F1535" s="1">
        <v>45818</v>
      </c>
      <c r="G1535" s="12">
        <v>2080</v>
      </c>
      <c r="H1535" s="2">
        <v>0</v>
      </c>
      <c r="I1535" s="2">
        <v>0</v>
      </c>
      <c r="J1535" s="2">
        <v>0</v>
      </c>
      <c r="K1535" s="20">
        <v>2080</v>
      </c>
      <c r="L1535" t="s">
        <v>794</v>
      </c>
      <c r="M1535">
        <f t="shared" si="23"/>
        <v>2025</v>
      </c>
    </row>
    <row r="1536" spans="1:13" ht="12.75" hidden="1" customHeight="1">
      <c r="A1536" t="s">
        <v>978</v>
      </c>
      <c r="B1536" t="s">
        <v>78</v>
      </c>
      <c r="C1536" t="s">
        <v>200</v>
      </c>
      <c r="D1536" t="s">
        <v>1142</v>
      </c>
      <c r="E1536" s="1">
        <v>45818</v>
      </c>
      <c r="F1536" s="1">
        <v>45818</v>
      </c>
      <c r="G1536" s="12">
        <v>2492</v>
      </c>
      <c r="H1536" s="2">
        <v>0</v>
      </c>
      <c r="I1536" s="2">
        <v>0</v>
      </c>
      <c r="J1536" s="2">
        <v>0</v>
      </c>
      <c r="K1536" s="20">
        <v>2492</v>
      </c>
      <c r="L1536" t="s">
        <v>794</v>
      </c>
      <c r="M1536">
        <f t="shared" si="23"/>
        <v>2025</v>
      </c>
    </row>
    <row r="1537" spans="1:13" ht="12.75" hidden="1" customHeight="1">
      <c r="A1537" t="s">
        <v>1038</v>
      </c>
      <c r="B1537" t="s">
        <v>123</v>
      </c>
      <c r="C1537" t="s">
        <v>200</v>
      </c>
      <c r="D1537" t="s">
        <v>1142</v>
      </c>
      <c r="E1537" s="1">
        <v>45818</v>
      </c>
      <c r="F1537" s="1">
        <v>45818</v>
      </c>
      <c r="G1537" s="12">
        <v>3760</v>
      </c>
      <c r="H1537" s="2">
        <v>0</v>
      </c>
      <c r="I1537" s="2">
        <v>0</v>
      </c>
      <c r="J1537" s="2">
        <v>0</v>
      </c>
      <c r="K1537" s="20">
        <v>3760</v>
      </c>
      <c r="L1537" t="s">
        <v>794</v>
      </c>
      <c r="M1537">
        <f t="shared" si="23"/>
        <v>2025</v>
      </c>
    </row>
    <row r="1538" spans="1:13" ht="12.75" hidden="1" customHeight="1">
      <c r="A1538" t="s">
        <v>804</v>
      </c>
      <c r="B1538" t="s">
        <v>215</v>
      </c>
      <c r="C1538" t="s">
        <v>200</v>
      </c>
      <c r="D1538" t="s">
        <v>1142</v>
      </c>
      <c r="E1538" s="1">
        <v>45818</v>
      </c>
      <c r="F1538" s="1">
        <v>45818</v>
      </c>
      <c r="G1538" s="12">
        <v>400</v>
      </c>
      <c r="H1538" s="2">
        <v>0</v>
      </c>
      <c r="I1538" s="2">
        <v>0</v>
      </c>
      <c r="J1538" s="2">
        <v>0</v>
      </c>
      <c r="K1538" s="20">
        <v>400</v>
      </c>
      <c r="L1538" t="s">
        <v>794</v>
      </c>
      <c r="M1538">
        <f t="shared" si="23"/>
        <v>2025</v>
      </c>
    </row>
    <row r="1539" spans="1:13" ht="12.75" hidden="1" customHeight="1">
      <c r="A1539" t="s">
        <v>1042</v>
      </c>
      <c r="B1539" t="s">
        <v>170</v>
      </c>
      <c r="C1539" t="s">
        <v>200</v>
      </c>
      <c r="D1539" t="s">
        <v>1142</v>
      </c>
      <c r="E1539" s="1">
        <v>45818</v>
      </c>
      <c r="F1539" s="1">
        <v>45818</v>
      </c>
      <c r="G1539" s="12">
        <v>1040</v>
      </c>
      <c r="H1539" s="2">
        <v>0</v>
      </c>
      <c r="I1539" s="2">
        <v>0</v>
      </c>
      <c r="J1539" s="2">
        <v>0</v>
      </c>
      <c r="K1539" s="20">
        <v>1040</v>
      </c>
      <c r="L1539" t="s">
        <v>794</v>
      </c>
      <c r="M1539">
        <f t="shared" ref="M1539:M1602" si="24">YEAR(F1539)</f>
        <v>2025</v>
      </c>
    </row>
    <row r="1540" spans="1:13" ht="12.75" hidden="1" customHeight="1">
      <c r="A1540" t="s">
        <v>1154</v>
      </c>
      <c r="B1540" t="s">
        <v>374</v>
      </c>
      <c r="C1540" t="s">
        <v>200</v>
      </c>
      <c r="D1540" t="s">
        <v>1142</v>
      </c>
      <c r="E1540" s="1">
        <v>45818</v>
      </c>
      <c r="F1540" s="1">
        <v>45818</v>
      </c>
      <c r="G1540" s="12">
        <v>640</v>
      </c>
      <c r="H1540" s="2">
        <v>0</v>
      </c>
      <c r="I1540" s="2">
        <v>0</v>
      </c>
      <c r="J1540" s="2">
        <v>0</v>
      </c>
      <c r="K1540" s="20">
        <v>640</v>
      </c>
      <c r="L1540" t="s">
        <v>794</v>
      </c>
      <c r="M1540">
        <f t="shared" si="24"/>
        <v>2025</v>
      </c>
    </row>
    <row r="1541" spans="1:13" ht="12.75" hidden="1" customHeight="1">
      <c r="A1541" t="s">
        <v>878</v>
      </c>
      <c r="B1541" t="s">
        <v>32</v>
      </c>
      <c r="C1541" t="s">
        <v>200</v>
      </c>
      <c r="D1541" t="s">
        <v>1142</v>
      </c>
      <c r="E1541" s="1">
        <v>45818</v>
      </c>
      <c r="F1541" s="1">
        <v>45818</v>
      </c>
      <c r="G1541" s="12">
        <v>1040</v>
      </c>
      <c r="H1541" s="2">
        <v>0</v>
      </c>
      <c r="I1541" s="2">
        <v>0</v>
      </c>
      <c r="J1541" s="2">
        <v>0</v>
      </c>
      <c r="K1541" s="20">
        <v>1040</v>
      </c>
      <c r="L1541" t="s">
        <v>794</v>
      </c>
      <c r="M1541">
        <f t="shared" si="24"/>
        <v>2025</v>
      </c>
    </row>
    <row r="1542" spans="1:13" ht="12.75" hidden="1" customHeight="1">
      <c r="A1542" t="s">
        <v>1037</v>
      </c>
      <c r="B1542" t="s">
        <v>129</v>
      </c>
      <c r="C1542" t="s">
        <v>200</v>
      </c>
      <c r="D1542" t="s">
        <v>1142</v>
      </c>
      <c r="E1542" s="1">
        <v>45818</v>
      </c>
      <c r="F1542" s="1">
        <v>45818</v>
      </c>
      <c r="G1542" s="12">
        <v>2960</v>
      </c>
      <c r="H1542" s="2">
        <v>0</v>
      </c>
      <c r="I1542" s="2">
        <v>0</v>
      </c>
      <c r="J1542" s="2">
        <v>0</v>
      </c>
      <c r="K1542" s="20">
        <v>2960</v>
      </c>
      <c r="L1542" t="s">
        <v>794</v>
      </c>
      <c r="M1542">
        <f t="shared" si="24"/>
        <v>2025</v>
      </c>
    </row>
    <row r="1543" spans="1:13" ht="12.75" hidden="1" customHeight="1">
      <c r="A1543" t="s">
        <v>1039</v>
      </c>
      <c r="B1543" t="s">
        <v>34</v>
      </c>
      <c r="C1543" t="s">
        <v>200</v>
      </c>
      <c r="D1543" t="s">
        <v>1142</v>
      </c>
      <c r="E1543" s="1">
        <v>45818</v>
      </c>
      <c r="F1543" s="1">
        <v>45818</v>
      </c>
      <c r="G1543" s="12">
        <v>2600</v>
      </c>
      <c r="H1543" s="2">
        <v>0</v>
      </c>
      <c r="I1543" s="2">
        <v>0</v>
      </c>
      <c r="J1543" s="2">
        <v>0</v>
      </c>
      <c r="K1543" s="20">
        <v>2600</v>
      </c>
      <c r="L1543" t="s">
        <v>794</v>
      </c>
      <c r="M1543">
        <f t="shared" si="24"/>
        <v>2025</v>
      </c>
    </row>
    <row r="1544" spans="1:13" ht="12.75" hidden="1" customHeight="1">
      <c r="A1544" t="s">
        <v>901</v>
      </c>
      <c r="B1544" t="s">
        <v>216</v>
      </c>
      <c r="C1544" t="s">
        <v>200</v>
      </c>
      <c r="D1544" t="s">
        <v>1142</v>
      </c>
      <c r="E1544" s="1">
        <v>45818</v>
      </c>
      <c r="F1544" s="1">
        <v>45818</v>
      </c>
      <c r="G1544" s="12">
        <v>1120</v>
      </c>
      <c r="H1544" s="2">
        <v>0</v>
      </c>
      <c r="I1544" s="2">
        <v>0</v>
      </c>
      <c r="J1544" s="2">
        <v>0</v>
      </c>
      <c r="K1544" s="20">
        <v>1120</v>
      </c>
      <c r="L1544" t="s">
        <v>794</v>
      </c>
      <c r="M1544">
        <f t="shared" si="24"/>
        <v>2025</v>
      </c>
    </row>
    <row r="1545" spans="1:13" ht="12.75" hidden="1" customHeight="1">
      <c r="A1545" t="s">
        <v>1029</v>
      </c>
      <c r="B1545" t="s">
        <v>114</v>
      </c>
      <c r="C1545" t="s">
        <v>200</v>
      </c>
      <c r="D1545" t="s">
        <v>1142</v>
      </c>
      <c r="E1545" s="1">
        <v>45818</v>
      </c>
      <c r="F1545" s="1">
        <v>45818</v>
      </c>
      <c r="G1545" s="12">
        <v>1440</v>
      </c>
      <c r="H1545" s="2">
        <v>0</v>
      </c>
      <c r="I1545" s="2">
        <v>0</v>
      </c>
      <c r="J1545" s="2">
        <v>0</v>
      </c>
      <c r="K1545" s="20">
        <v>1440</v>
      </c>
      <c r="L1545" t="s">
        <v>794</v>
      </c>
      <c r="M1545">
        <f t="shared" si="24"/>
        <v>2025</v>
      </c>
    </row>
    <row r="1546" spans="1:13" ht="12.75" hidden="1" customHeight="1">
      <c r="A1546" t="s">
        <v>864</v>
      </c>
      <c r="B1546" t="s">
        <v>918</v>
      </c>
      <c r="C1546" t="s">
        <v>141</v>
      </c>
      <c r="D1546" t="s">
        <v>1142</v>
      </c>
      <c r="E1546" s="1">
        <v>45818</v>
      </c>
      <c r="F1546" s="1">
        <v>45818</v>
      </c>
      <c r="G1546" s="12">
        <v>2730</v>
      </c>
      <c r="H1546" s="2">
        <v>0</v>
      </c>
      <c r="I1546" s="2">
        <v>0</v>
      </c>
      <c r="J1546" s="2">
        <v>0</v>
      </c>
      <c r="K1546" s="20">
        <v>2730</v>
      </c>
      <c r="L1546" t="s">
        <v>794</v>
      </c>
      <c r="M1546">
        <f t="shared" si="24"/>
        <v>2025</v>
      </c>
    </row>
    <row r="1547" spans="1:13" ht="12.75" hidden="1" customHeight="1">
      <c r="A1547" t="s">
        <v>972</v>
      </c>
      <c r="B1547" t="s">
        <v>973</v>
      </c>
      <c r="C1547" t="s">
        <v>200</v>
      </c>
      <c r="D1547" t="s">
        <v>1142</v>
      </c>
      <c r="E1547" s="1">
        <v>45818</v>
      </c>
      <c r="F1547" s="1">
        <v>45818</v>
      </c>
      <c r="G1547" s="12">
        <v>1120</v>
      </c>
      <c r="H1547" s="2">
        <v>0</v>
      </c>
      <c r="I1547" s="2">
        <v>0</v>
      </c>
      <c r="J1547" s="2">
        <v>0</v>
      </c>
      <c r="K1547" s="20">
        <v>1120</v>
      </c>
      <c r="L1547" t="s">
        <v>794</v>
      </c>
      <c r="M1547">
        <f t="shared" si="24"/>
        <v>2025</v>
      </c>
    </row>
    <row r="1548" spans="1:13" ht="12.75" hidden="1" customHeight="1">
      <c r="A1548" t="s">
        <v>1043</v>
      </c>
      <c r="B1548" t="s">
        <v>187</v>
      </c>
      <c r="C1548" t="s">
        <v>200</v>
      </c>
      <c r="D1548" t="s">
        <v>1142</v>
      </c>
      <c r="E1548" s="1">
        <v>45818</v>
      </c>
      <c r="F1548" s="1">
        <v>45818</v>
      </c>
      <c r="G1548" s="12">
        <v>880</v>
      </c>
      <c r="H1548" s="2">
        <v>0</v>
      </c>
      <c r="I1548" s="2">
        <v>0</v>
      </c>
      <c r="J1548" s="2">
        <v>0</v>
      </c>
      <c r="K1548" s="20">
        <v>880</v>
      </c>
      <c r="L1548" t="s">
        <v>794</v>
      </c>
      <c r="M1548">
        <f t="shared" si="24"/>
        <v>2025</v>
      </c>
    </row>
    <row r="1549" spans="1:13" ht="12.75" hidden="1" customHeight="1">
      <c r="A1549" t="s">
        <v>1050</v>
      </c>
      <c r="B1549" t="s">
        <v>131</v>
      </c>
      <c r="C1549" t="s">
        <v>200</v>
      </c>
      <c r="D1549" t="s">
        <v>1142</v>
      </c>
      <c r="E1549" s="1">
        <v>45818</v>
      </c>
      <c r="F1549" s="1">
        <v>45818</v>
      </c>
      <c r="G1549" s="12">
        <v>880</v>
      </c>
      <c r="H1549" s="2">
        <v>0</v>
      </c>
      <c r="I1549" s="2">
        <v>0</v>
      </c>
      <c r="J1549" s="2">
        <v>0</v>
      </c>
      <c r="K1549" s="20">
        <v>880</v>
      </c>
      <c r="L1549" t="s">
        <v>794</v>
      </c>
      <c r="M1549">
        <f t="shared" si="24"/>
        <v>2025</v>
      </c>
    </row>
    <row r="1550" spans="1:13" ht="12.75" hidden="1" customHeight="1">
      <c r="A1550" t="s">
        <v>861</v>
      </c>
      <c r="B1550" t="s">
        <v>163</v>
      </c>
      <c r="C1550" t="s">
        <v>200</v>
      </c>
      <c r="D1550" t="s">
        <v>1142</v>
      </c>
      <c r="E1550" s="1">
        <v>45818</v>
      </c>
      <c r="F1550" s="1">
        <v>45818</v>
      </c>
      <c r="G1550" s="12">
        <v>3200</v>
      </c>
      <c r="H1550" s="2">
        <v>0</v>
      </c>
      <c r="I1550" s="2">
        <v>0</v>
      </c>
      <c r="J1550" s="2">
        <v>0</v>
      </c>
      <c r="K1550" s="20">
        <v>3200</v>
      </c>
      <c r="L1550" t="s">
        <v>794</v>
      </c>
      <c r="M1550">
        <f t="shared" si="24"/>
        <v>2025</v>
      </c>
    </row>
    <row r="1551" spans="1:13" ht="12.75" hidden="1" customHeight="1">
      <c r="A1551" t="s">
        <v>801</v>
      </c>
      <c r="B1551" t="s">
        <v>13</v>
      </c>
      <c r="C1551" t="s">
        <v>726</v>
      </c>
      <c r="D1551" t="s">
        <v>1142</v>
      </c>
      <c r="E1551" s="1">
        <v>45818</v>
      </c>
      <c r="F1551" s="1">
        <v>45818</v>
      </c>
      <c r="G1551" s="12">
        <v>83.64</v>
      </c>
      <c r="H1551" s="2">
        <v>0</v>
      </c>
      <c r="I1551" s="2">
        <v>0</v>
      </c>
      <c r="J1551" s="2">
        <v>0</v>
      </c>
      <c r="K1551" s="20">
        <v>83.64</v>
      </c>
      <c r="L1551" t="s">
        <v>794</v>
      </c>
      <c r="M1551">
        <f t="shared" si="24"/>
        <v>2025</v>
      </c>
    </row>
    <row r="1552" spans="1:13" ht="12.75" hidden="1" customHeight="1">
      <c r="A1552" t="s">
        <v>822</v>
      </c>
      <c r="B1552" t="s">
        <v>101</v>
      </c>
      <c r="C1552" t="s">
        <v>201</v>
      </c>
      <c r="D1552" t="s">
        <v>1142</v>
      </c>
      <c r="E1552" s="1">
        <v>45818</v>
      </c>
      <c r="F1552" s="1">
        <v>45818</v>
      </c>
      <c r="G1552" s="12">
        <v>1120</v>
      </c>
      <c r="H1552" s="2">
        <v>0</v>
      </c>
      <c r="I1552" s="2">
        <v>0</v>
      </c>
      <c r="J1552" s="2">
        <v>0</v>
      </c>
      <c r="K1552" s="20">
        <v>1120</v>
      </c>
      <c r="L1552" t="s">
        <v>794</v>
      </c>
      <c r="M1552">
        <f t="shared" si="24"/>
        <v>2025</v>
      </c>
    </row>
    <row r="1553" spans="1:13" ht="12.75" hidden="1" customHeight="1">
      <c r="A1553" t="s">
        <v>1155</v>
      </c>
      <c r="B1553" t="s">
        <v>88</v>
      </c>
      <c r="C1553" t="s">
        <v>201</v>
      </c>
      <c r="D1553" t="s">
        <v>1142</v>
      </c>
      <c r="E1553" s="1">
        <v>45818</v>
      </c>
      <c r="F1553" s="1">
        <v>45818</v>
      </c>
      <c r="G1553" s="12">
        <v>1260</v>
      </c>
      <c r="H1553" s="2">
        <v>0</v>
      </c>
      <c r="I1553" s="2">
        <v>0</v>
      </c>
      <c r="J1553" s="2">
        <v>0</v>
      </c>
      <c r="K1553" s="20">
        <v>1260</v>
      </c>
      <c r="L1553" t="s">
        <v>794</v>
      </c>
      <c r="M1553">
        <f t="shared" si="24"/>
        <v>2025</v>
      </c>
    </row>
    <row r="1554" spans="1:13" ht="12.75" hidden="1" customHeight="1">
      <c r="A1554" t="s">
        <v>1156</v>
      </c>
      <c r="B1554" t="s">
        <v>338</v>
      </c>
      <c r="C1554" t="s">
        <v>201</v>
      </c>
      <c r="D1554" t="s">
        <v>1142</v>
      </c>
      <c r="E1554" s="1">
        <v>45818</v>
      </c>
      <c r="F1554" s="1">
        <v>45818</v>
      </c>
      <c r="G1554" s="12">
        <v>320</v>
      </c>
      <c r="H1554" s="2">
        <v>0</v>
      </c>
      <c r="I1554" s="2">
        <v>0</v>
      </c>
      <c r="J1554" s="2">
        <v>0</v>
      </c>
      <c r="K1554" s="20">
        <v>320</v>
      </c>
      <c r="L1554" t="s">
        <v>794</v>
      </c>
      <c r="M1554">
        <f t="shared" si="24"/>
        <v>2025</v>
      </c>
    </row>
    <row r="1555" spans="1:13" ht="12.75" hidden="1" customHeight="1">
      <c r="A1555" t="s">
        <v>854</v>
      </c>
      <c r="B1555" t="s">
        <v>79</v>
      </c>
      <c r="C1555" t="s">
        <v>201</v>
      </c>
      <c r="D1555" t="s">
        <v>1142</v>
      </c>
      <c r="E1555" s="1">
        <v>45818</v>
      </c>
      <c r="F1555" s="1">
        <v>45818</v>
      </c>
      <c r="G1555" s="12">
        <v>1280</v>
      </c>
      <c r="H1555" s="2">
        <v>0</v>
      </c>
      <c r="I1555" s="2">
        <v>0</v>
      </c>
      <c r="J1555" s="2">
        <v>0</v>
      </c>
      <c r="K1555" s="20">
        <v>1280</v>
      </c>
      <c r="L1555" t="s">
        <v>794</v>
      </c>
      <c r="M1555">
        <f t="shared" si="24"/>
        <v>2025</v>
      </c>
    </row>
    <row r="1556" spans="1:13" ht="12.75" hidden="1" customHeight="1">
      <c r="A1556" t="s">
        <v>1157</v>
      </c>
      <c r="B1556" t="s">
        <v>372</v>
      </c>
      <c r="C1556" t="s">
        <v>201</v>
      </c>
      <c r="D1556" t="s">
        <v>1142</v>
      </c>
      <c r="E1556" s="1">
        <v>45818</v>
      </c>
      <c r="F1556" s="1">
        <v>45818</v>
      </c>
      <c r="G1556" s="12">
        <v>640</v>
      </c>
      <c r="H1556" s="2">
        <v>0</v>
      </c>
      <c r="I1556" s="2">
        <v>0</v>
      </c>
      <c r="J1556" s="2">
        <v>0</v>
      </c>
      <c r="K1556" s="20">
        <v>640</v>
      </c>
      <c r="L1556" t="s">
        <v>794</v>
      </c>
      <c r="M1556">
        <f t="shared" si="24"/>
        <v>2025</v>
      </c>
    </row>
    <row r="1557" spans="1:13" ht="12.75" hidden="1" customHeight="1">
      <c r="A1557" t="s">
        <v>864</v>
      </c>
      <c r="B1557" t="s">
        <v>36</v>
      </c>
      <c r="C1557" t="s">
        <v>201</v>
      </c>
      <c r="D1557" t="s">
        <v>1142</v>
      </c>
      <c r="E1557" s="1">
        <v>45818</v>
      </c>
      <c r="F1557" s="1">
        <v>45818</v>
      </c>
      <c r="G1557" s="12">
        <v>1060</v>
      </c>
      <c r="H1557" s="2">
        <v>0</v>
      </c>
      <c r="I1557" s="2">
        <v>0</v>
      </c>
      <c r="J1557" s="2">
        <v>0</v>
      </c>
      <c r="K1557" s="20">
        <v>1060</v>
      </c>
      <c r="L1557" t="s">
        <v>794</v>
      </c>
      <c r="M1557">
        <f t="shared" si="24"/>
        <v>2025</v>
      </c>
    </row>
    <row r="1558" spans="1:13" ht="12.75" hidden="1" customHeight="1">
      <c r="A1558" t="s">
        <v>887</v>
      </c>
      <c r="B1558" t="s">
        <v>61</v>
      </c>
      <c r="C1558" t="s">
        <v>201</v>
      </c>
      <c r="D1558" t="s">
        <v>1142</v>
      </c>
      <c r="E1558" s="1">
        <v>45818</v>
      </c>
      <c r="F1558" s="1">
        <v>45818</v>
      </c>
      <c r="G1558" s="12">
        <v>720</v>
      </c>
      <c r="H1558" s="2">
        <v>0</v>
      </c>
      <c r="I1558" s="2">
        <v>0</v>
      </c>
      <c r="J1558" s="2">
        <v>0</v>
      </c>
      <c r="K1558" s="20">
        <v>720</v>
      </c>
      <c r="L1558" t="s">
        <v>794</v>
      </c>
      <c r="M1558">
        <f t="shared" si="24"/>
        <v>2025</v>
      </c>
    </row>
    <row r="1559" spans="1:13" ht="12.75" hidden="1" customHeight="1">
      <c r="A1559" t="s">
        <v>1158</v>
      </c>
      <c r="B1559" t="s">
        <v>60</v>
      </c>
      <c r="C1559" t="s">
        <v>201</v>
      </c>
      <c r="D1559" t="s">
        <v>1142</v>
      </c>
      <c r="E1559" s="1">
        <v>45818</v>
      </c>
      <c r="F1559" s="1">
        <v>45818</v>
      </c>
      <c r="G1559" s="12">
        <v>1180</v>
      </c>
      <c r="H1559" s="2">
        <v>0</v>
      </c>
      <c r="I1559" s="2">
        <v>0</v>
      </c>
      <c r="J1559" s="2">
        <v>0</v>
      </c>
      <c r="K1559" s="20">
        <v>1180</v>
      </c>
      <c r="L1559" t="s">
        <v>794</v>
      </c>
      <c r="M1559">
        <f t="shared" si="24"/>
        <v>2025</v>
      </c>
    </row>
    <row r="1560" spans="1:13" ht="12.75" hidden="1" customHeight="1">
      <c r="A1560" t="s">
        <v>1011</v>
      </c>
      <c r="B1560" t="s">
        <v>77</v>
      </c>
      <c r="C1560" t="s">
        <v>201</v>
      </c>
      <c r="D1560" t="s">
        <v>1142</v>
      </c>
      <c r="E1560" s="1">
        <v>45818</v>
      </c>
      <c r="F1560" s="1">
        <v>45818</v>
      </c>
      <c r="G1560" s="12">
        <v>720</v>
      </c>
      <c r="H1560" s="2">
        <v>0</v>
      </c>
      <c r="I1560" s="2">
        <v>0</v>
      </c>
      <c r="J1560" s="2">
        <v>0</v>
      </c>
      <c r="K1560" s="20">
        <v>720</v>
      </c>
      <c r="L1560" t="s">
        <v>794</v>
      </c>
      <c r="M1560">
        <f t="shared" si="24"/>
        <v>2025</v>
      </c>
    </row>
    <row r="1561" spans="1:13" ht="12.75" hidden="1" customHeight="1">
      <c r="A1561" t="s">
        <v>1159</v>
      </c>
      <c r="B1561" t="s">
        <v>357</v>
      </c>
      <c r="C1561" t="s">
        <v>201</v>
      </c>
      <c r="D1561" t="s">
        <v>1142</v>
      </c>
      <c r="E1561" s="1">
        <v>45818</v>
      </c>
      <c r="F1561" s="1">
        <v>45818</v>
      </c>
      <c r="G1561" s="12">
        <v>720</v>
      </c>
      <c r="H1561" s="2">
        <v>0</v>
      </c>
      <c r="I1561" s="2">
        <v>0</v>
      </c>
      <c r="J1561" s="2">
        <v>0</v>
      </c>
      <c r="K1561" s="20">
        <v>720</v>
      </c>
      <c r="L1561" t="s">
        <v>794</v>
      </c>
      <c r="M1561">
        <f t="shared" si="24"/>
        <v>2025</v>
      </c>
    </row>
    <row r="1562" spans="1:13" ht="12.75" hidden="1" customHeight="1">
      <c r="A1562" t="s">
        <v>1160</v>
      </c>
      <c r="B1562" t="s">
        <v>278</v>
      </c>
      <c r="C1562" t="s">
        <v>201</v>
      </c>
      <c r="D1562" t="s">
        <v>1142</v>
      </c>
      <c r="E1562" s="1">
        <v>45818</v>
      </c>
      <c r="F1562" s="1">
        <v>45818</v>
      </c>
      <c r="G1562" s="12">
        <v>1520</v>
      </c>
      <c r="H1562" s="2">
        <v>0</v>
      </c>
      <c r="I1562" s="2">
        <v>0</v>
      </c>
      <c r="J1562" s="2">
        <v>0</v>
      </c>
      <c r="K1562" s="20">
        <v>1520</v>
      </c>
      <c r="L1562" t="s">
        <v>794</v>
      </c>
      <c r="M1562">
        <f t="shared" si="24"/>
        <v>2025</v>
      </c>
    </row>
    <row r="1563" spans="1:13" ht="12.75" hidden="1" customHeight="1">
      <c r="A1563" t="s">
        <v>1044</v>
      </c>
      <c r="B1563" t="s">
        <v>221</v>
      </c>
      <c r="C1563" t="s">
        <v>201</v>
      </c>
      <c r="D1563" t="s">
        <v>1142</v>
      </c>
      <c r="E1563" s="1">
        <v>45818</v>
      </c>
      <c r="F1563" s="1">
        <v>45818</v>
      </c>
      <c r="G1563" s="12">
        <v>1320</v>
      </c>
      <c r="H1563" s="2">
        <v>0</v>
      </c>
      <c r="I1563" s="2">
        <v>0</v>
      </c>
      <c r="J1563" s="2">
        <v>0</v>
      </c>
      <c r="K1563" s="20">
        <v>1320</v>
      </c>
      <c r="L1563" t="s">
        <v>794</v>
      </c>
      <c r="M1563">
        <f t="shared" si="24"/>
        <v>2025</v>
      </c>
    </row>
    <row r="1564" spans="1:13" ht="12.75" hidden="1" customHeight="1">
      <c r="A1564" t="s">
        <v>1161</v>
      </c>
      <c r="B1564" t="s">
        <v>533</v>
      </c>
      <c r="C1564" t="s">
        <v>452</v>
      </c>
      <c r="D1564" t="s">
        <v>1142</v>
      </c>
      <c r="E1564" s="1">
        <v>45818</v>
      </c>
      <c r="F1564" s="1">
        <v>45818</v>
      </c>
      <c r="G1564" s="12">
        <v>99</v>
      </c>
      <c r="H1564" s="2">
        <v>0</v>
      </c>
      <c r="I1564" s="2">
        <v>0</v>
      </c>
      <c r="J1564" s="2">
        <v>0</v>
      </c>
      <c r="K1564" s="20">
        <v>99</v>
      </c>
      <c r="L1564" t="s">
        <v>794</v>
      </c>
      <c r="M1564">
        <f t="shared" si="24"/>
        <v>2025</v>
      </c>
    </row>
    <row r="1565" spans="1:13" ht="12.75" hidden="1" customHeight="1">
      <c r="A1565" t="s">
        <v>1045</v>
      </c>
      <c r="B1565" t="s">
        <v>71</v>
      </c>
      <c r="C1565" t="s">
        <v>201</v>
      </c>
      <c r="D1565" t="s">
        <v>1142</v>
      </c>
      <c r="E1565" s="1">
        <v>45818</v>
      </c>
      <c r="F1565" s="1">
        <v>45818</v>
      </c>
      <c r="G1565" s="12">
        <v>800</v>
      </c>
      <c r="H1565" s="2">
        <v>0</v>
      </c>
      <c r="I1565" s="2">
        <v>0</v>
      </c>
      <c r="J1565" s="2">
        <v>0</v>
      </c>
      <c r="K1565" s="20">
        <v>800</v>
      </c>
      <c r="L1565" t="s">
        <v>794</v>
      </c>
      <c r="M1565">
        <f t="shared" si="24"/>
        <v>2025</v>
      </c>
    </row>
    <row r="1566" spans="1:13" ht="12.75" hidden="1" customHeight="1">
      <c r="A1566" t="s">
        <v>1094</v>
      </c>
      <c r="B1566" t="s">
        <v>80</v>
      </c>
      <c r="C1566" t="s">
        <v>201</v>
      </c>
      <c r="D1566" t="s">
        <v>1142</v>
      </c>
      <c r="E1566" s="1">
        <v>45818</v>
      </c>
      <c r="F1566" s="1">
        <v>45818</v>
      </c>
      <c r="G1566" s="12">
        <v>2960</v>
      </c>
      <c r="H1566" s="2">
        <v>0</v>
      </c>
      <c r="I1566" s="2">
        <v>0</v>
      </c>
      <c r="J1566" s="2">
        <v>0</v>
      </c>
      <c r="K1566" s="20">
        <v>2960</v>
      </c>
      <c r="L1566" t="s">
        <v>794</v>
      </c>
      <c r="M1566">
        <f t="shared" si="24"/>
        <v>2025</v>
      </c>
    </row>
    <row r="1567" spans="1:13" ht="12.75" hidden="1" customHeight="1">
      <c r="A1567" t="s">
        <v>1162</v>
      </c>
      <c r="B1567" t="s">
        <v>683</v>
      </c>
      <c r="C1567" t="s">
        <v>693</v>
      </c>
      <c r="D1567" t="s">
        <v>1142</v>
      </c>
      <c r="E1567" s="1">
        <v>45818</v>
      </c>
      <c r="F1567" s="1">
        <v>45818</v>
      </c>
      <c r="G1567" s="12">
        <v>18</v>
      </c>
      <c r="H1567" s="2">
        <v>0</v>
      </c>
      <c r="I1567" s="2">
        <v>0</v>
      </c>
      <c r="J1567" s="2">
        <v>0</v>
      </c>
      <c r="K1567" s="20">
        <v>18</v>
      </c>
      <c r="L1567" t="s">
        <v>794</v>
      </c>
      <c r="M1567">
        <f t="shared" si="24"/>
        <v>2025</v>
      </c>
    </row>
    <row r="1568" spans="1:13" ht="12.75" hidden="1" customHeight="1">
      <c r="A1568" t="s">
        <v>875</v>
      </c>
      <c r="B1568" t="s">
        <v>115</v>
      </c>
      <c r="C1568" t="s">
        <v>201</v>
      </c>
      <c r="D1568" t="s">
        <v>1142</v>
      </c>
      <c r="E1568" s="1">
        <v>45818</v>
      </c>
      <c r="F1568" s="1">
        <v>45818</v>
      </c>
      <c r="G1568" s="12">
        <v>740</v>
      </c>
      <c r="H1568" s="2">
        <v>0</v>
      </c>
      <c r="I1568" s="2">
        <v>0</v>
      </c>
      <c r="J1568" s="2">
        <v>0</v>
      </c>
      <c r="K1568" s="20">
        <v>740</v>
      </c>
      <c r="L1568" t="s">
        <v>794</v>
      </c>
      <c r="M1568">
        <f t="shared" si="24"/>
        <v>2025</v>
      </c>
    </row>
    <row r="1569" spans="1:13" ht="12.75" hidden="1" customHeight="1">
      <c r="A1569" t="s">
        <v>801</v>
      </c>
      <c r="B1569" t="s">
        <v>13</v>
      </c>
      <c r="C1569" t="s">
        <v>726</v>
      </c>
      <c r="D1569" t="s">
        <v>1142</v>
      </c>
      <c r="E1569" s="1">
        <v>45818</v>
      </c>
      <c r="F1569" s="1">
        <v>45818</v>
      </c>
      <c r="G1569" s="12">
        <v>106.68</v>
      </c>
      <c r="H1569" s="2">
        <v>0</v>
      </c>
      <c r="I1569" s="2">
        <v>0</v>
      </c>
      <c r="J1569" s="2">
        <v>0</v>
      </c>
      <c r="K1569" s="20">
        <v>106.68</v>
      </c>
      <c r="L1569" t="s">
        <v>794</v>
      </c>
      <c r="M1569">
        <f t="shared" si="24"/>
        <v>2025</v>
      </c>
    </row>
    <row r="1570" spans="1:13" ht="12.75" hidden="1" customHeight="1">
      <c r="A1570" t="s">
        <v>802</v>
      </c>
      <c r="B1570" t="s">
        <v>103</v>
      </c>
      <c r="C1570" t="s">
        <v>200</v>
      </c>
      <c r="D1570" t="s">
        <v>1142</v>
      </c>
      <c r="E1570" s="1">
        <v>45819</v>
      </c>
      <c r="F1570" s="1">
        <v>45819</v>
      </c>
      <c r="G1570" s="12">
        <v>2520</v>
      </c>
      <c r="H1570" s="2">
        <v>0</v>
      </c>
      <c r="I1570" s="2">
        <v>0</v>
      </c>
      <c r="J1570" s="2">
        <v>0</v>
      </c>
      <c r="K1570" s="20">
        <v>2520</v>
      </c>
      <c r="L1570" t="s">
        <v>794</v>
      </c>
      <c r="M1570">
        <f t="shared" si="24"/>
        <v>2025</v>
      </c>
    </row>
    <row r="1571" spans="1:13" ht="12.75" hidden="1" customHeight="1">
      <c r="A1571" t="s">
        <v>876</v>
      </c>
      <c r="B1571" t="s">
        <v>74</v>
      </c>
      <c r="C1571" t="s">
        <v>723</v>
      </c>
      <c r="D1571" t="s">
        <v>1142</v>
      </c>
      <c r="E1571" s="1">
        <v>45819</v>
      </c>
      <c r="F1571" s="1">
        <v>45819</v>
      </c>
      <c r="G1571" s="12">
        <v>1236</v>
      </c>
      <c r="H1571" s="2">
        <v>0</v>
      </c>
      <c r="I1571" s="2">
        <v>0</v>
      </c>
      <c r="J1571" s="2">
        <v>0</v>
      </c>
      <c r="K1571" s="20">
        <v>1236</v>
      </c>
      <c r="L1571" t="s">
        <v>794</v>
      </c>
      <c r="M1571">
        <f t="shared" si="24"/>
        <v>2025</v>
      </c>
    </row>
    <row r="1572" spans="1:13" ht="12.75" hidden="1" customHeight="1">
      <c r="A1572" t="s">
        <v>1163</v>
      </c>
      <c r="B1572" t="s">
        <v>94</v>
      </c>
      <c r="C1572" t="s">
        <v>721</v>
      </c>
      <c r="D1572" t="s">
        <v>1142</v>
      </c>
      <c r="E1572" s="1">
        <v>45819</v>
      </c>
      <c r="F1572" s="1">
        <v>45819</v>
      </c>
      <c r="G1572" s="12">
        <v>1800</v>
      </c>
      <c r="H1572" s="2">
        <v>0</v>
      </c>
      <c r="I1572" s="2">
        <v>0</v>
      </c>
      <c r="J1572" s="2">
        <v>0</v>
      </c>
      <c r="K1572" s="20">
        <v>1800</v>
      </c>
      <c r="L1572" t="s">
        <v>794</v>
      </c>
      <c r="M1572">
        <f t="shared" si="24"/>
        <v>2025</v>
      </c>
    </row>
    <row r="1573" spans="1:13" ht="12.75" hidden="1" customHeight="1">
      <c r="A1573" t="s">
        <v>883</v>
      </c>
      <c r="B1573" t="s">
        <v>110</v>
      </c>
      <c r="C1573" t="s">
        <v>733</v>
      </c>
      <c r="D1573" t="s">
        <v>1142</v>
      </c>
      <c r="E1573" s="1">
        <v>45819</v>
      </c>
      <c r="F1573" s="1">
        <v>45819</v>
      </c>
      <c r="G1573" s="12">
        <v>280</v>
      </c>
      <c r="H1573" s="2">
        <v>0</v>
      </c>
      <c r="I1573" s="2">
        <v>0</v>
      </c>
      <c r="J1573" s="2">
        <v>0</v>
      </c>
      <c r="K1573" s="20">
        <v>280</v>
      </c>
      <c r="L1573" t="s">
        <v>794</v>
      </c>
      <c r="M1573">
        <f t="shared" si="24"/>
        <v>2025</v>
      </c>
    </row>
    <row r="1574" spans="1:13" ht="12.75" hidden="1" customHeight="1">
      <c r="A1574" t="s">
        <v>952</v>
      </c>
      <c r="B1574" t="s">
        <v>27</v>
      </c>
      <c r="C1574" t="s">
        <v>733</v>
      </c>
      <c r="D1574" t="s">
        <v>1142</v>
      </c>
      <c r="E1574" s="1">
        <v>45819</v>
      </c>
      <c r="F1574" s="1">
        <v>45819</v>
      </c>
      <c r="G1574" s="12">
        <v>18.87</v>
      </c>
      <c r="H1574" s="2">
        <v>0</v>
      </c>
      <c r="I1574" s="2">
        <v>0</v>
      </c>
      <c r="J1574" s="2">
        <v>0</v>
      </c>
      <c r="K1574" s="20">
        <v>18.87</v>
      </c>
      <c r="L1574" t="s">
        <v>794</v>
      </c>
      <c r="M1574">
        <f t="shared" si="24"/>
        <v>2025</v>
      </c>
    </row>
    <row r="1575" spans="1:13" ht="12.75" hidden="1" customHeight="1">
      <c r="A1575" t="s">
        <v>952</v>
      </c>
      <c r="B1575" t="s">
        <v>27</v>
      </c>
      <c r="C1575" t="s">
        <v>141</v>
      </c>
      <c r="D1575" t="s">
        <v>1142</v>
      </c>
      <c r="E1575" s="1">
        <v>45819</v>
      </c>
      <c r="F1575" s="1">
        <v>45819</v>
      </c>
      <c r="G1575" s="12">
        <v>650</v>
      </c>
      <c r="H1575" s="2">
        <v>0</v>
      </c>
      <c r="I1575" s="2">
        <v>0</v>
      </c>
      <c r="J1575" s="2">
        <v>0</v>
      </c>
      <c r="K1575" s="20">
        <v>650</v>
      </c>
      <c r="L1575" t="s">
        <v>794</v>
      </c>
      <c r="M1575">
        <f t="shared" si="24"/>
        <v>2025</v>
      </c>
    </row>
    <row r="1576" spans="1:13" ht="12.75" hidden="1" customHeight="1">
      <c r="A1576" t="s">
        <v>814</v>
      </c>
      <c r="B1576" t="s">
        <v>56</v>
      </c>
      <c r="C1576" t="s">
        <v>99</v>
      </c>
      <c r="D1576" t="s">
        <v>1142</v>
      </c>
      <c r="E1576" s="1">
        <v>45819</v>
      </c>
      <c r="F1576" s="1">
        <v>45819</v>
      </c>
      <c r="G1576" s="12">
        <v>70</v>
      </c>
      <c r="H1576" s="2">
        <v>0</v>
      </c>
      <c r="I1576" s="2">
        <v>0</v>
      </c>
      <c r="J1576" s="2">
        <v>0</v>
      </c>
      <c r="K1576" s="20">
        <v>70</v>
      </c>
      <c r="L1576" t="s">
        <v>794</v>
      </c>
      <c r="M1576">
        <f t="shared" si="24"/>
        <v>2025</v>
      </c>
    </row>
    <row r="1577" spans="1:13" ht="12.75" hidden="1" customHeight="1">
      <c r="A1577" t="s">
        <v>812</v>
      </c>
      <c r="B1577" t="s">
        <v>31</v>
      </c>
      <c r="C1577" t="s">
        <v>141</v>
      </c>
      <c r="D1577" t="s">
        <v>1142</v>
      </c>
      <c r="E1577" s="1">
        <v>45819</v>
      </c>
      <c r="F1577" s="1">
        <v>45819</v>
      </c>
      <c r="G1577" s="12">
        <v>980</v>
      </c>
      <c r="H1577" s="2">
        <v>0</v>
      </c>
      <c r="I1577" s="2">
        <v>0</v>
      </c>
      <c r="J1577" s="2">
        <v>0</v>
      </c>
      <c r="K1577" s="20">
        <v>980</v>
      </c>
      <c r="L1577" t="s">
        <v>794</v>
      </c>
      <c r="M1577">
        <f t="shared" si="24"/>
        <v>2025</v>
      </c>
    </row>
    <row r="1578" spans="1:13" ht="12.75" hidden="1" customHeight="1">
      <c r="A1578" t="s">
        <v>811</v>
      </c>
      <c r="B1578" t="s">
        <v>39</v>
      </c>
      <c r="C1578" t="s">
        <v>141</v>
      </c>
      <c r="D1578" t="s">
        <v>1142</v>
      </c>
      <c r="E1578" s="1">
        <v>45819</v>
      </c>
      <c r="F1578" s="1">
        <v>45819</v>
      </c>
      <c r="G1578" s="12">
        <v>520</v>
      </c>
      <c r="H1578" s="2">
        <v>0</v>
      </c>
      <c r="I1578" s="2">
        <v>0</v>
      </c>
      <c r="J1578" s="2">
        <v>0</v>
      </c>
      <c r="K1578" s="20">
        <v>520</v>
      </c>
      <c r="L1578" t="s">
        <v>794</v>
      </c>
      <c r="M1578">
        <f t="shared" si="24"/>
        <v>2025</v>
      </c>
    </row>
    <row r="1579" spans="1:13" ht="12.75" hidden="1" customHeight="1">
      <c r="A1579" t="s">
        <v>1009</v>
      </c>
      <c r="B1579" t="s">
        <v>62</v>
      </c>
      <c r="C1579" t="s">
        <v>141</v>
      </c>
      <c r="D1579" t="s">
        <v>1142</v>
      </c>
      <c r="E1579" s="1">
        <v>45819</v>
      </c>
      <c r="F1579" s="1">
        <v>45819</v>
      </c>
      <c r="G1579" s="12">
        <v>400</v>
      </c>
      <c r="H1579" s="2">
        <v>0</v>
      </c>
      <c r="I1579" s="2">
        <v>0</v>
      </c>
      <c r="J1579" s="2">
        <v>0</v>
      </c>
      <c r="K1579" s="20">
        <v>400</v>
      </c>
      <c r="L1579" t="s">
        <v>794</v>
      </c>
      <c r="M1579">
        <f t="shared" si="24"/>
        <v>2025</v>
      </c>
    </row>
    <row r="1580" spans="1:13" ht="12.75" hidden="1" customHeight="1">
      <c r="A1580" t="s">
        <v>818</v>
      </c>
      <c r="B1580" t="s">
        <v>30</v>
      </c>
      <c r="C1580" t="s">
        <v>141</v>
      </c>
      <c r="D1580" t="s">
        <v>1142</v>
      </c>
      <c r="E1580" s="1">
        <v>45819</v>
      </c>
      <c r="F1580" s="1">
        <v>45819</v>
      </c>
      <c r="G1580" s="12">
        <v>640</v>
      </c>
      <c r="H1580" s="2">
        <v>0</v>
      </c>
      <c r="I1580" s="2">
        <v>0</v>
      </c>
      <c r="J1580" s="2">
        <v>0</v>
      </c>
      <c r="K1580" s="20">
        <v>640</v>
      </c>
      <c r="L1580" t="s">
        <v>794</v>
      </c>
      <c r="M1580">
        <f t="shared" si="24"/>
        <v>2025</v>
      </c>
    </row>
    <row r="1581" spans="1:13" ht="12.75" hidden="1" customHeight="1">
      <c r="A1581" t="s">
        <v>924</v>
      </c>
      <c r="B1581" t="s">
        <v>87</v>
      </c>
      <c r="C1581" t="s">
        <v>141</v>
      </c>
      <c r="D1581" t="s">
        <v>1142</v>
      </c>
      <c r="E1581" s="1">
        <v>45819</v>
      </c>
      <c r="F1581" s="1">
        <v>45819</v>
      </c>
      <c r="G1581" s="12">
        <v>220</v>
      </c>
      <c r="H1581" s="2">
        <v>0</v>
      </c>
      <c r="I1581" s="2">
        <v>0</v>
      </c>
      <c r="J1581" s="2">
        <v>0</v>
      </c>
      <c r="K1581" s="20">
        <v>220</v>
      </c>
      <c r="L1581" t="s">
        <v>794</v>
      </c>
      <c r="M1581">
        <f t="shared" si="24"/>
        <v>2025</v>
      </c>
    </row>
    <row r="1582" spans="1:13" ht="12.75" hidden="1" customHeight="1">
      <c r="A1582" t="s">
        <v>810</v>
      </c>
      <c r="B1582" t="s">
        <v>54</v>
      </c>
      <c r="C1582" t="s">
        <v>141</v>
      </c>
      <c r="D1582" t="s">
        <v>1142</v>
      </c>
      <c r="E1582" s="1">
        <v>45819</v>
      </c>
      <c r="F1582" s="1">
        <v>45819</v>
      </c>
      <c r="G1582" s="12">
        <v>520</v>
      </c>
      <c r="H1582" s="2">
        <v>0</v>
      </c>
      <c r="I1582" s="2">
        <v>0</v>
      </c>
      <c r="J1582" s="2">
        <v>0</v>
      </c>
      <c r="K1582" s="20">
        <v>520</v>
      </c>
      <c r="L1582" t="s">
        <v>794</v>
      </c>
      <c r="M1582">
        <f t="shared" si="24"/>
        <v>2025</v>
      </c>
    </row>
    <row r="1583" spans="1:13" ht="12.75" hidden="1" customHeight="1">
      <c r="A1583" t="s">
        <v>812</v>
      </c>
      <c r="B1583" t="s">
        <v>31</v>
      </c>
      <c r="C1583" t="s">
        <v>141</v>
      </c>
      <c r="D1583" t="s">
        <v>1142</v>
      </c>
      <c r="E1583" s="1">
        <v>45819</v>
      </c>
      <c r="F1583" s="1">
        <v>45819</v>
      </c>
      <c r="G1583" s="12">
        <v>66</v>
      </c>
      <c r="H1583" s="2">
        <v>0</v>
      </c>
      <c r="I1583" s="2">
        <v>0</v>
      </c>
      <c r="J1583" s="2">
        <v>0</v>
      </c>
      <c r="K1583" s="20">
        <v>66</v>
      </c>
      <c r="L1583" t="s">
        <v>794</v>
      </c>
      <c r="M1583">
        <f t="shared" si="24"/>
        <v>2025</v>
      </c>
    </row>
    <row r="1584" spans="1:13" ht="12.75" hidden="1" customHeight="1">
      <c r="A1584" t="s">
        <v>921</v>
      </c>
      <c r="B1584" t="s">
        <v>184</v>
      </c>
      <c r="C1584" t="s">
        <v>749</v>
      </c>
      <c r="D1584" t="s">
        <v>1142</v>
      </c>
      <c r="E1584" s="1">
        <v>45819</v>
      </c>
      <c r="F1584" s="1">
        <v>45819</v>
      </c>
      <c r="G1584" s="12">
        <v>25.400000000000002</v>
      </c>
      <c r="H1584" s="2">
        <v>0</v>
      </c>
      <c r="I1584" s="2">
        <v>0</v>
      </c>
      <c r="J1584" s="2">
        <v>0</v>
      </c>
      <c r="K1584" s="20">
        <v>25.400000000000002</v>
      </c>
      <c r="L1584" t="s">
        <v>794</v>
      </c>
      <c r="M1584">
        <f t="shared" si="24"/>
        <v>2025</v>
      </c>
    </row>
    <row r="1585" spans="1:13" ht="12.75" hidden="1" customHeight="1">
      <c r="A1585" t="s">
        <v>907</v>
      </c>
      <c r="B1585" t="s">
        <v>291</v>
      </c>
      <c r="C1585" t="s">
        <v>483</v>
      </c>
      <c r="D1585" t="s">
        <v>1142</v>
      </c>
      <c r="E1585" s="1">
        <v>45819</v>
      </c>
      <c r="F1585" s="1">
        <v>45819</v>
      </c>
      <c r="G1585" s="12">
        <v>6.78</v>
      </c>
      <c r="H1585" s="2">
        <v>0</v>
      </c>
      <c r="I1585" s="2">
        <v>0</v>
      </c>
      <c r="J1585" s="2">
        <v>0</v>
      </c>
      <c r="K1585" s="20">
        <v>6.78</v>
      </c>
      <c r="L1585" t="s">
        <v>794</v>
      </c>
      <c r="M1585">
        <f t="shared" si="24"/>
        <v>2025</v>
      </c>
    </row>
    <row r="1586" spans="1:13" ht="12.75" hidden="1" customHeight="1">
      <c r="A1586" t="s">
        <v>945</v>
      </c>
      <c r="B1586" t="s">
        <v>143</v>
      </c>
      <c r="C1586" t="s">
        <v>141</v>
      </c>
      <c r="D1586" t="s">
        <v>1142</v>
      </c>
      <c r="E1586" s="1">
        <v>45819</v>
      </c>
      <c r="F1586" s="1">
        <v>45819</v>
      </c>
      <c r="G1586" s="12">
        <v>325</v>
      </c>
      <c r="H1586" s="2">
        <v>0</v>
      </c>
      <c r="I1586" s="2">
        <v>0</v>
      </c>
      <c r="J1586" s="2">
        <v>0</v>
      </c>
      <c r="K1586" s="20">
        <v>325</v>
      </c>
      <c r="L1586" t="s">
        <v>794</v>
      </c>
      <c r="M1586">
        <f t="shared" si="24"/>
        <v>2025</v>
      </c>
    </row>
    <row r="1587" spans="1:13" ht="12.75" hidden="1" customHeight="1">
      <c r="A1587" t="s">
        <v>1164</v>
      </c>
      <c r="B1587" t="s">
        <v>401</v>
      </c>
      <c r="C1587" t="s">
        <v>200</v>
      </c>
      <c r="D1587" t="s">
        <v>1142</v>
      </c>
      <c r="E1587" s="1">
        <v>45819</v>
      </c>
      <c r="F1587" s="1">
        <v>45819</v>
      </c>
      <c r="G1587" s="12">
        <v>480</v>
      </c>
      <c r="H1587" s="2">
        <v>0</v>
      </c>
      <c r="I1587" s="2">
        <v>0</v>
      </c>
      <c r="J1587" s="2">
        <v>0</v>
      </c>
      <c r="K1587" s="20">
        <v>480</v>
      </c>
      <c r="L1587" t="s">
        <v>794</v>
      </c>
      <c r="M1587">
        <f t="shared" si="24"/>
        <v>2025</v>
      </c>
    </row>
    <row r="1588" spans="1:13" ht="12.75" hidden="1" customHeight="1">
      <c r="A1588" t="s">
        <v>1165</v>
      </c>
      <c r="B1588" t="s">
        <v>675</v>
      </c>
      <c r="C1588" t="s">
        <v>723</v>
      </c>
      <c r="D1588" t="s">
        <v>1142</v>
      </c>
      <c r="E1588" s="1">
        <v>45819</v>
      </c>
      <c r="F1588" s="1">
        <v>45819</v>
      </c>
      <c r="G1588" s="12">
        <v>20</v>
      </c>
      <c r="H1588" s="2">
        <v>0</v>
      </c>
      <c r="I1588" s="2">
        <v>0</v>
      </c>
      <c r="J1588" s="2">
        <v>0</v>
      </c>
      <c r="K1588" s="20">
        <v>20</v>
      </c>
      <c r="L1588" t="s">
        <v>794</v>
      </c>
      <c r="M1588">
        <f t="shared" si="24"/>
        <v>2025</v>
      </c>
    </row>
    <row r="1589" spans="1:13" ht="12.75" hidden="1" customHeight="1">
      <c r="A1589" t="s">
        <v>1166</v>
      </c>
      <c r="B1589" t="s">
        <v>274</v>
      </c>
      <c r="C1589" t="s">
        <v>646</v>
      </c>
      <c r="D1589" t="s">
        <v>1142</v>
      </c>
      <c r="E1589" s="1">
        <v>45819</v>
      </c>
      <c r="F1589" s="1">
        <v>45819</v>
      </c>
      <c r="G1589" s="12">
        <v>86.76</v>
      </c>
      <c r="H1589" s="2">
        <v>0</v>
      </c>
      <c r="I1589" s="2">
        <v>0</v>
      </c>
      <c r="J1589" s="2">
        <v>0</v>
      </c>
      <c r="K1589" s="20">
        <v>86.76</v>
      </c>
      <c r="L1589" t="s">
        <v>794</v>
      </c>
      <c r="M1589">
        <f t="shared" si="24"/>
        <v>2025</v>
      </c>
    </row>
    <row r="1590" spans="1:13" ht="12.75" hidden="1" customHeight="1">
      <c r="A1590" t="s">
        <v>801</v>
      </c>
      <c r="B1590" t="s">
        <v>13</v>
      </c>
      <c r="C1590" t="s">
        <v>726</v>
      </c>
      <c r="D1590" t="s">
        <v>1142</v>
      </c>
      <c r="E1590" s="1">
        <v>45819</v>
      </c>
      <c r="F1590" s="1">
        <v>45819</v>
      </c>
      <c r="G1590" s="12">
        <v>4.08</v>
      </c>
      <c r="H1590" s="2">
        <v>0</v>
      </c>
      <c r="I1590" s="2">
        <v>0</v>
      </c>
      <c r="J1590" s="2">
        <v>0</v>
      </c>
      <c r="K1590" s="20">
        <v>4.08</v>
      </c>
      <c r="L1590" t="s">
        <v>794</v>
      </c>
      <c r="M1590">
        <f t="shared" si="24"/>
        <v>2025</v>
      </c>
    </row>
    <row r="1591" spans="1:13" ht="12.75" hidden="1" customHeight="1">
      <c r="A1591" t="s">
        <v>878</v>
      </c>
      <c r="B1591" t="s">
        <v>32</v>
      </c>
      <c r="C1591" t="s">
        <v>721</v>
      </c>
      <c r="D1591" t="s">
        <v>1142</v>
      </c>
      <c r="E1591" s="1">
        <v>45820</v>
      </c>
      <c r="F1591" s="1">
        <v>45820</v>
      </c>
      <c r="G1591" s="12">
        <v>240</v>
      </c>
      <c r="H1591" s="2">
        <v>0</v>
      </c>
      <c r="I1591" s="2">
        <v>0</v>
      </c>
      <c r="J1591" s="2">
        <v>0</v>
      </c>
      <c r="K1591" s="20">
        <v>240</v>
      </c>
      <c r="L1591" t="s">
        <v>794</v>
      </c>
      <c r="M1591">
        <f t="shared" si="24"/>
        <v>2025</v>
      </c>
    </row>
    <row r="1592" spans="1:13" ht="12.75" hidden="1" customHeight="1">
      <c r="A1592" t="s">
        <v>831</v>
      </c>
      <c r="B1592" t="s">
        <v>90</v>
      </c>
      <c r="C1592" t="s">
        <v>733</v>
      </c>
      <c r="D1592" t="s">
        <v>1142</v>
      </c>
      <c r="E1592" s="1">
        <v>45820</v>
      </c>
      <c r="F1592" s="1">
        <v>45820</v>
      </c>
      <c r="G1592" s="12">
        <v>220</v>
      </c>
      <c r="H1592" s="2">
        <v>0</v>
      </c>
      <c r="I1592" s="2">
        <v>0</v>
      </c>
      <c r="J1592" s="2">
        <v>0</v>
      </c>
      <c r="K1592" s="20">
        <v>220</v>
      </c>
      <c r="L1592" t="s">
        <v>794</v>
      </c>
      <c r="M1592">
        <f t="shared" si="24"/>
        <v>2025</v>
      </c>
    </row>
    <row r="1593" spans="1:13" ht="12.75" hidden="1" customHeight="1">
      <c r="A1593" t="s">
        <v>836</v>
      </c>
      <c r="B1593" t="s">
        <v>262</v>
      </c>
      <c r="C1593" t="s">
        <v>141</v>
      </c>
      <c r="D1593" t="s">
        <v>1142</v>
      </c>
      <c r="E1593" s="1">
        <v>45824</v>
      </c>
      <c r="F1593" s="1">
        <v>45824</v>
      </c>
      <c r="G1593" s="12">
        <v>250</v>
      </c>
      <c r="H1593" s="2">
        <v>0</v>
      </c>
      <c r="I1593" s="2">
        <v>0</v>
      </c>
      <c r="J1593" s="2">
        <v>0</v>
      </c>
      <c r="K1593" s="20">
        <v>250</v>
      </c>
      <c r="L1593" t="s">
        <v>794</v>
      </c>
      <c r="M1593">
        <f t="shared" si="24"/>
        <v>2025</v>
      </c>
    </row>
    <row r="1594" spans="1:13" ht="12.75" hidden="1" customHeight="1">
      <c r="A1594" t="s">
        <v>1051</v>
      </c>
      <c r="B1594" t="s">
        <v>257</v>
      </c>
      <c r="C1594" t="s">
        <v>201</v>
      </c>
      <c r="D1594" t="s">
        <v>1142</v>
      </c>
      <c r="E1594" s="1">
        <v>45824</v>
      </c>
      <c r="F1594" s="1">
        <v>45824</v>
      </c>
      <c r="G1594" s="12">
        <v>320</v>
      </c>
      <c r="H1594" s="2">
        <v>0</v>
      </c>
      <c r="I1594" s="2">
        <v>0</v>
      </c>
      <c r="J1594" s="2">
        <v>0</v>
      </c>
      <c r="K1594" s="20">
        <v>320</v>
      </c>
      <c r="L1594" t="s">
        <v>794</v>
      </c>
      <c r="M1594">
        <f t="shared" si="24"/>
        <v>2025</v>
      </c>
    </row>
    <row r="1595" spans="1:13" ht="12.75" hidden="1" customHeight="1">
      <c r="A1595" t="s">
        <v>801</v>
      </c>
      <c r="B1595" t="s">
        <v>13</v>
      </c>
      <c r="C1595" t="s">
        <v>726</v>
      </c>
      <c r="D1595" t="s">
        <v>1142</v>
      </c>
      <c r="E1595" s="1">
        <v>45824</v>
      </c>
      <c r="F1595" s="1">
        <v>45824</v>
      </c>
      <c r="G1595" s="12">
        <v>767.76</v>
      </c>
      <c r="H1595" s="2">
        <v>0</v>
      </c>
      <c r="I1595" s="2">
        <v>0</v>
      </c>
      <c r="J1595" s="2">
        <v>0</v>
      </c>
      <c r="K1595" s="20">
        <v>767.76</v>
      </c>
      <c r="L1595" t="s">
        <v>794</v>
      </c>
      <c r="M1595">
        <f t="shared" si="24"/>
        <v>2025</v>
      </c>
    </row>
    <row r="1596" spans="1:13" ht="12.75" hidden="1" customHeight="1">
      <c r="A1596" t="s">
        <v>801</v>
      </c>
      <c r="B1596" t="s">
        <v>13</v>
      </c>
      <c r="C1596" t="s">
        <v>726</v>
      </c>
      <c r="D1596" t="s">
        <v>1142</v>
      </c>
      <c r="E1596" s="1">
        <v>45824</v>
      </c>
      <c r="F1596" s="1">
        <v>45824</v>
      </c>
      <c r="G1596" s="12">
        <v>9.14</v>
      </c>
      <c r="H1596" s="2">
        <v>0</v>
      </c>
      <c r="I1596" s="2">
        <v>0</v>
      </c>
      <c r="J1596" s="2">
        <v>0</v>
      </c>
      <c r="K1596" s="20">
        <v>9.14</v>
      </c>
      <c r="L1596" t="s">
        <v>794</v>
      </c>
      <c r="M1596">
        <f t="shared" si="24"/>
        <v>2025</v>
      </c>
    </row>
    <row r="1597" spans="1:13" ht="12.75" hidden="1" customHeight="1">
      <c r="A1597" t="s">
        <v>1167</v>
      </c>
      <c r="B1597" t="s">
        <v>47</v>
      </c>
      <c r="C1597" t="s">
        <v>438</v>
      </c>
      <c r="D1597" t="s">
        <v>1142</v>
      </c>
      <c r="E1597" s="1">
        <v>45824</v>
      </c>
      <c r="F1597" s="1">
        <v>45824</v>
      </c>
      <c r="G1597" s="12">
        <v>938.14</v>
      </c>
      <c r="H1597" s="2">
        <v>0</v>
      </c>
      <c r="I1597" s="2">
        <v>0</v>
      </c>
      <c r="J1597" s="2">
        <v>0</v>
      </c>
      <c r="K1597" s="20">
        <v>938.14</v>
      </c>
      <c r="L1597" t="s">
        <v>794</v>
      </c>
      <c r="M1597">
        <f t="shared" si="24"/>
        <v>2025</v>
      </c>
    </row>
    <row r="1598" spans="1:13" ht="12.75" hidden="1" customHeight="1">
      <c r="A1598" t="s">
        <v>801</v>
      </c>
      <c r="B1598" t="s">
        <v>13</v>
      </c>
      <c r="C1598" t="s">
        <v>726</v>
      </c>
      <c r="D1598" t="s">
        <v>1142</v>
      </c>
      <c r="E1598" s="1">
        <v>45824</v>
      </c>
      <c r="F1598" s="1">
        <v>45824</v>
      </c>
      <c r="G1598" s="12">
        <v>6.12</v>
      </c>
      <c r="H1598" s="2">
        <v>0</v>
      </c>
      <c r="I1598" s="2">
        <v>0</v>
      </c>
      <c r="J1598" s="2">
        <v>0</v>
      </c>
      <c r="K1598" s="20">
        <v>6.12</v>
      </c>
      <c r="L1598" t="s">
        <v>794</v>
      </c>
      <c r="M1598">
        <f t="shared" si="24"/>
        <v>2025</v>
      </c>
    </row>
    <row r="1599" spans="1:13" ht="12.75" hidden="1" customHeight="1">
      <c r="A1599" t="s">
        <v>801</v>
      </c>
      <c r="B1599" t="s">
        <v>13</v>
      </c>
      <c r="C1599" t="s">
        <v>717</v>
      </c>
      <c r="D1599" t="s">
        <v>1142</v>
      </c>
      <c r="E1599" s="1">
        <v>45824</v>
      </c>
      <c r="F1599" s="1">
        <v>45824</v>
      </c>
      <c r="G1599" s="12">
        <v>5737.06</v>
      </c>
      <c r="H1599" s="2">
        <v>0</v>
      </c>
      <c r="I1599" s="2">
        <v>0</v>
      </c>
      <c r="J1599" s="2">
        <v>0</v>
      </c>
      <c r="K1599" s="20">
        <v>5737.06</v>
      </c>
      <c r="L1599" t="s">
        <v>794</v>
      </c>
      <c r="M1599">
        <f t="shared" si="24"/>
        <v>2025</v>
      </c>
    </row>
    <row r="1600" spans="1:13" ht="12.75" hidden="1" customHeight="1">
      <c r="A1600" t="s">
        <v>801</v>
      </c>
      <c r="B1600" t="s">
        <v>13</v>
      </c>
      <c r="C1600" t="s">
        <v>751</v>
      </c>
      <c r="D1600" t="s">
        <v>1142</v>
      </c>
      <c r="E1600" s="1">
        <v>45824</v>
      </c>
      <c r="F1600" s="1">
        <v>45824</v>
      </c>
      <c r="G1600" s="12">
        <v>219.57</v>
      </c>
      <c r="H1600" s="2">
        <v>0</v>
      </c>
      <c r="I1600" s="2">
        <v>0</v>
      </c>
      <c r="J1600" s="2">
        <v>0</v>
      </c>
      <c r="K1600" s="20">
        <v>219.57</v>
      </c>
      <c r="L1600" t="s">
        <v>794</v>
      </c>
      <c r="M1600">
        <f t="shared" si="24"/>
        <v>2025</v>
      </c>
    </row>
    <row r="1601" spans="1:13" ht="12.75" hidden="1" customHeight="1">
      <c r="A1601" t="s">
        <v>842</v>
      </c>
      <c r="B1601" t="s">
        <v>529</v>
      </c>
      <c r="C1601" t="s">
        <v>452</v>
      </c>
      <c r="D1601" t="s">
        <v>1142</v>
      </c>
      <c r="E1601" s="1">
        <v>45825</v>
      </c>
      <c r="F1601" s="1">
        <v>45825</v>
      </c>
      <c r="G1601" s="12">
        <v>100</v>
      </c>
      <c r="H1601" s="2">
        <v>0</v>
      </c>
      <c r="I1601" s="2">
        <v>0</v>
      </c>
      <c r="J1601" s="2">
        <v>0</v>
      </c>
      <c r="K1601" s="20">
        <v>100</v>
      </c>
      <c r="L1601" t="s">
        <v>794</v>
      </c>
      <c r="M1601">
        <f t="shared" si="24"/>
        <v>2025</v>
      </c>
    </row>
    <row r="1602" spans="1:13" ht="12.75" hidden="1" customHeight="1">
      <c r="A1602" t="s">
        <v>1168</v>
      </c>
      <c r="B1602" t="s">
        <v>550</v>
      </c>
      <c r="C1602" t="s">
        <v>483</v>
      </c>
      <c r="D1602" t="s">
        <v>1142</v>
      </c>
      <c r="E1602" s="1">
        <v>45825</v>
      </c>
      <c r="F1602" s="1">
        <v>45825</v>
      </c>
      <c r="G1602" s="12">
        <v>92.94</v>
      </c>
      <c r="H1602" s="2">
        <v>0</v>
      </c>
      <c r="I1602" s="2">
        <v>0</v>
      </c>
      <c r="J1602" s="2">
        <v>0</v>
      </c>
      <c r="K1602" s="20">
        <v>92.94</v>
      </c>
      <c r="L1602" t="s">
        <v>794</v>
      </c>
      <c r="M1602">
        <f t="shared" si="24"/>
        <v>2025</v>
      </c>
    </row>
    <row r="1603" spans="1:13" ht="12.75" hidden="1" customHeight="1">
      <c r="A1603" t="s">
        <v>1169</v>
      </c>
      <c r="B1603" t="s">
        <v>583</v>
      </c>
      <c r="C1603" t="s">
        <v>681</v>
      </c>
      <c r="D1603" t="s">
        <v>1142</v>
      </c>
      <c r="E1603" s="1">
        <v>45825</v>
      </c>
      <c r="F1603" s="1">
        <v>45825</v>
      </c>
      <c r="G1603" s="12">
        <v>66</v>
      </c>
      <c r="H1603" s="2">
        <v>0</v>
      </c>
      <c r="I1603" s="2">
        <v>0</v>
      </c>
      <c r="J1603" s="2">
        <v>0</v>
      </c>
      <c r="K1603" s="20">
        <v>66</v>
      </c>
      <c r="L1603" t="s">
        <v>794</v>
      </c>
      <c r="M1603">
        <f t="shared" ref="M1603:M1666" si="25">YEAR(F1603)</f>
        <v>2025</v>
      </c>
    </row>
    <row r="1604" spans="1:13" ht="12.75" hidden="1" customHeight="1">
      <c r="A1604" t="s">
        <v>898</v>
      </c>
      <c r="B1604" t="s">
        <v>353</v>
      </c>
      <c r="C1604" t="s">
        <v>761</v>
      </c>
      <c r="D1604" t="s">
        <v>1142</v>
      </c>
      <c r="E1604" s="1">
        <v>45825</v>
      </c>
      <c r="F1604" s="1">
        <v>45825</v>
      </c>
      <c r="G1604" s="12">
        <v>31.95</v>
      </c>
      <c r="H1604" s="2">
        <v>0</v>
      </c>
      <c r="I1604" s="2">
        <v>0</v>
      </c>
      <c r="J1604" s="2">
        <v>0</v>
      </c>
      <c r="K1604" s="20">
        <v>31.95</v>
      </c>
      <c r="L1604" t="s">
        <v>794</v>
      </c>
      <c r="M1604">
        <f t="shared" si="25"/>
        <v>2025</v>
      </c>
    </row>
    <row r="1605" spans="1:13" ht="12.75" hidden="1" customHeight="1">
      <c r="A1605" t="s">
        <v>906</v>
      </c>
      <c r="B1605" t="s">
        <v>289</v>
      </c>
      <c r="C1605" t="s">
        <v>483</v>
      </c>
      <c r="D1605" t="s">
        <v>1142</v>
      </c>
      <c r="E1605" s="1">
        <v>45825</v>
      </c>
      <c r="F1605" s="1">
        <v>45825</v>
      </c>
      <c r="G1605" s="12">
        <v>20</v>
      </c>
      <c r="H1605" s="2">
        <v>0</v>
      </c>
      <c r="I1605" s="2">
        <v>0</v>
      </c>
      <c r="J1605" s="2">
        <v>0</v>
      </c>
      <c r="K1605" s="20">
        <v>20</v>
      </c>
      <c r="L1605" t="s">
        <v>794</v>
      </c>
      <c r="M1605">
        <f t="shared" si="25"/>
        <v>2025</v>
      </c>
    </row>
    <row r="1606" spans="1:13" ht="12.75" hidden="1" customHeight="1">
      <c r="A1606" t="s">
        <v>1108</v>
      </c>
      <c r="B1606" t="s">
        <v>328</v>
      </c>
      <c r="C1606" t="s">
        <v>483</v>
      </c>
      <c r="D1606" t="s">
        <v>1142</v>
      </c>
      <c r="E1606" s="1">
        <v>45825</v>
      </c>
      <c r="F1606" s="1">
        <v>45825</v>
      </c>
      <c r="G1606" s="12">
        <v>36.980000000000004</v>
      </c>
      <c r="H1606" s="2">
        <v>0</v>
      </c>
      <c r="I1606" s="2">
        <v>0</v>
      </c>
      <c r="J1606" s="2">
        <v>0</v>
      </c>
      <c r="K1606" s="20">
        <v>36.980000000000004</v>
      </c>
      <c r="L1606" t="s">
        <v>794</v>
      </c>
      <c r="M1606">
        <f t="shared" si="25"/>
        <v>2025</v>
      </c>
    </row>
    <row r="1607" spans="1:13" ht="12.75" hidden="1" customHeight="1">
      <c r="A1607" t="s">
        <v>850</v>
      </c>
      <c r="B1607" t="s">
        <v>105</v>
      </c>
      <c r="C1607" t="s">
        <v>384</v>
      </c>
      <c r="D1607" t="s">
        <v>1142</v>
      </c>
      <c r="E1607" s="1">
        <v>45825</v>
      </c>
      <c r="F1607" s="1">
        <v>45825</v>
      </c>
      <c r="G1607" s="12">
        <v>1439.8500000000001</v>
      </c>
      <c r="H1607" s="2">
        <v>0</v>
      </c>
      <c r="I1607" s="2">
        <v>0</v>
      </c>
      <c r="J1607" s="2">
        <v>0</v>
      </c>
      <c r="K1607" s="20">
        <v>1439.8500000000001</v>
      </c>
      <c r="L1607" t="s">
        <v>794</v>
      </c>
      <c r="M1607">
        <f t="shared" si="25"/>
        <v>2025</v>
      </c>
    </row>
    <row r="1608" spans="1:13" ht="12.75" hidden="1" customHeight="1">
      <c r="A1608" t="s">
        <v>888</v>
      </c>
      <c r="B1608" t="s">
        <v>16</v>
      </c>
      <c r="C1608" t="s">
        <v>713</v>
      </c>
      <c r="D1608" t="s">
        <v>1142</v>
      </c>
      <c r="E1608" s="1">
        <v>45825</v>
      </c>
      <c r="F1608" s="1">
        <v>45825</v>
      </c>
      <c r="G1608" s="12">
        <v>2461.12</v>
      </c>
      <c r="H1608" s="2">
        <v>0</v>
      </c>
      <c r="I1608" s="2">
        <v>0</v>
      </c>
      <c r="J1608" s="2">
        <v>0</v>
      </c>
      <c r="K1608" s="20">
        <v>2461.12</v>
      </c>
      <c r="L1608" t="s">
        <v>794</v>
      </c>
      <c r="M1608">
        <f t="shared" si="25"/>
        <v>2025</v>
      </c>
    </row>
    <row r="1609" spans="1:13" ht="12.75" hidden="1" customHeight="1">
      <c r="A1609" t="s">
        <v>801</v>
      </c>
      <c r="B1609" t="s">
        <v>13</v>
      </c>
      <c r="C1609" t="s">
        <v>726</v>
      </c>
      <c r="D1609" t="s">
        <v>1142</v>
      </c>
      <c r="E1609" s="1">
        <v>45825</v>
      </c>
      <c r="F1609" s="1">
        <v>45825</v>
      </c>
      <c r="G1609" s="12">
        <v>4.08</v>
      </c>
      <c r="H1609" s="2">
        <v>0</v>
      </c>
      <c r="I1609" s="2">
        <v>0</v>
      </c>
      <c r="J1609" s="2">
        <v>0</v>
      </c>
      <c r="K1609" s="20">
        <v>4.08</v>
      </c>
      <c r="L1609" t="s">
        <v>794</v>
      </c>
      <c r="M1609">
        <f t="shared" si="25"/>
        <v>2025</v>
      </c>
    </row>
    <row r="1610" spans="1:13" ht="12.75" hidden="1" customHeight="1">
      <c r="A1610" t="s">
        <v>894</v>
      </c>
      <c r="B1610" t="s">
        <v>50</v>
      </c>
      <c r="C1610" t="s">
        <v>152</v>
      </c>
      <c r="D1610" t="s">
        <v>1142</v>
      </c>
      <c r="E1610" s="1">
        <v>45823</v>
      </c>
      <c r="F1610" s="1">
        <v>45825</v>
      </c>
      <c r="G1610" s="12">
        <v>1518</v>
      </c>
      <c r="H1610" s="2">
        <v>0</v>
      </c>
      <c r="I1610" s="2">
        <v>0</v>
      </c>
      <c r="J1610" s="2">
        <v>0</v>
      </c>
      <c r="K1610" s="20">
        <v>1518</v>
      </c>
      <c r="L1610" t="s">
        <v>794</v>
      </c>
      <c r="M1610">
        <f t="shared" si="25"/>
        <v>2025</v>
      </c>
    </row>
    <row r="1611" spans="1:13" ht="12.75" hidden="1" customHeight="1">
      <c r="A1611" t="s">
        <v>941</v>
      </c>
      <c r="B1611" t="s">
        <v>52</v>
      </c>
      <c r="C1611" t="s">
        <v>672</v>
      </c>
      <c r="D1611" t="s">
        <v>1142</v>
      </c>
      <c r="E1611" s="1">
        <v>45823</v>
      </c>
      <c r="F1611" s="1">
        <v>45825</v>
      </c>
      <c r="G1611" s="12">
        <v>1518</v>
      </c>
      <c r="H1611" s="2">
        <v>0</v>
      </c>
      <c r="I1611" s="2">
        <v>0</v>
      </c>
      <c r="J1611" s="2">
        <v>0</v>
      </c>
      <c r="K1611" s="20">
        <v>1518</v>
      </c>
      <c r="L1611" t="s">
        <v>794</v>
      </c>
      <c r="M1611">
        <f t="shared" si="25"/>
        <v>2025</v>
      </c>
    </row>
    <row r="1612" spans="1:13" ht="12.75" hidden="1" customHeight="1">
      <c r="A1612" t="s">
        <v>891</v>
      </c>
      <c r="B1612" t="s">
        <v>102</v>
      </c>
      <c r="C1612" t="s">
        <v>710</v>
      </c>
      <c r="D1612" t="s">
        <v>1142</v>
      </c>
      <c r="E1612" s="1">
        <v>45823</v>
      </c>
      <c r="F1612" s="1">
        <v>45825</v>
      </c>
      <c r="G1612" s="12">
        <v>837</v>
      </c>
      <c r="H1612" s="2">
        <v>0</v>
      </c>
      <c r="I1612" s="2">
        <v>0</v>
      </c>
      <c r="J1612" s="2">
        <v>0</v>
      </c>
      <c r="K1612" s="20">
        <v>837</v>
      </c>
      <c r="L1612" t="s">
        <v>794</v>
      </c>
      <c r="M1612">
        <f t="shared" si="25"/>
        <v>2025</v>
      </c>
    </row>
    <row r="1613" spans="1:13" ht="12.75" hidden="1" customHeight="1">
      <c r="A1613" t="s">
        <v>886</v>
      </c>
      <c r="B1613" t="s">
        <v>194</v>
      </c>
      <c r="C1613" t="s">
        <v>743</v>
      </c>
      <c r="D1613" t="s">
        <v>1142</v>
      </c>
      <c r="E1613" s="1">
        <v>45823</v>
      </c>
      <c r="F1613" s="1">
        <v>45825</v>
      </c>
      <c r="G1613" s="12">
        <v>217.76</v>
      </c>
      <c r="H1613" s="2">
        <v>0</v>
      </c>
      <c r="I1613" s="2">
        <v>0</v>
      </c>
      <c r="J1613" s="2">
        <v>0</v>
      </c>
      <c r="K1613" s="20">
        <v>217.76</v>
      </c>
      <c r="L1613" t="s">
        <v>794</v>
      </c>
      <c r="M1613">
        <f t="shared" si="25"/>
        <v>2025</v>
      </c>
    </row>
    <row r="1614" spans="1:13" ht="12.75" hidden="1" customHeight="1">
      <c r="A1614" t="s">
        <v>879</v>
      </c>
      <c r="B1614" t="s">
        <v>23</v>
      </c>
      <c r="C1614" t="s">
        <v>713</v>
      </c>
      <c r="D1614" t="s">
        <v>1142</v>
      </c>
      <c r="E1614" s="1">
        <v>45823</v>
      </c>
      <c r="F1614" s="1">
        <v>45825</v>
      </c>
      <c r="G1614" s="12">
        <v>700</v>
      </c>
      <c r="H1614" s="2">
        <v>0</v>
      </c>
      <c r="I1614" s="2">
        <v>0</v>
      </c>
      <c r="J1614" s="2">
        <v>0</v>
      </c>
      <c r="K1614" s="20">
        <v>700</v>
      </c>
      <c r="L1614" t="s">
        <v>794</v>
      </c>
      <c r="M1614">
        <f t="shared" si="25"/>
        <v>2025</v>
      </c>
    </row>
    <row r="1615" spans="1:13" ht="12.75" hidden="1" customHeight="1">
      <c r="A1615" t="s">
        <v>800</v>
      </c>
      <c r="B1615" t="s">
        <v>85</v>
      </c>
      <c r="C1615" t="s">
        <v>734</v>
      </c>
      <c r="D1615" t="s">
        <v>1142</v>
      </c>
      <c r="E1615" s="1">
        <v>45823</v>
      </c>
      <c r="F1615" s="1">
        <v>45825</v>
      </c>
      <c r="G1615" s="12">
        <v>900</v>
      </c>
      <c r="H1615" s="2">
        <v>0</v>
      </c>
      <c r="I1615" s="2">
        <v>0</v>
      </c>
      <c r="J1615" s="2">
        <v>0</v>
      </c>
      <c r="K1615" s="20">
        <v>900</v>
      </c>
      <c r="L1615" t="s">
        <v>794</v>
      </c>
      <c r="M1615">
        <f t="shared" si="25"/>
        <v>2025</v>
      </c>
    </row>
    <row r="1616" spans="1:13" ht="12.75" hidden="1" customHeight="1">
      <c r="A1616" t="s">
        <v>893</v>
      </c>
      <c r="B1616" t="s">
        <v>212</v>
      </c>
      <c r="C1616" t="s">
        <v>746</v>
      </c>
      <c r="D1616" t="s">
        <v>1142</v>
      </c>
      <c r="E1616" s="1">
        <v>45824</v>
      </c>
      <c r="F1616" s="1">
        <v>45825</v>
      </c>
      <c r="G1616" s="12">
        <v>617.44000000000005</v>
      </c>
      <c r="H1616" s="2">
        <v>0</v>
      </c>
      <c r="I1616" s="2">
        <v>0</v>
      </c>
      <c r="J1616" s="2">
        <v>0</v>
      </c>
      <c r="K1616" s="20">
        <v>617.44000000000005</v>
      </c>
      <c r="L1616" t="s">
        <v>794</v>
      </c>
      <c r="M1616">
        <f t="shared" si="25"/>
        <v>2025</v>
      </c>
    </row>
    <row r="1617" spans="1:13" ht="12.75" hidden="1" customHeight="1">
      <c r="A1617" t="s">
        <v>801</v>
      </c>
      <c r="B1617" t="s">
        <v>13</v>
      </c>
      <c r="C1617" t="s">
        <v>726</v>
      </c>
      <c r="D1617" t="s">
        <v>1142</v>
      </c>
      <c r="E1617" s="1">
        <v>45825</v>
      </c>
      <c r="F1617" s="1">
        <v>45825</v>
      </c>
      <c r="G1617" s="12">
        <v>4.08</v>
      </c>
      <c r="H1617" s="2">
        <v>0</v>
      </c>
      <c r="I1617" s="2">
        <v>0</v>
      </c>
      <c r="J1617" s="2">
        <v>0</v>
      </c>
      <c r="K1617" s="20">
        <v>4.08</v>
      </c>
      <c r="L1617" t="s">
        <v>794</v>
      </c>
      <c r="M1617">
        <f t="shared" si="25"/>
        <v>2025</v>
      </c>
    </row>
    <row r="1618" spans="1:13" ht="12.75" hidden="1" customHeight="1">
      <c r="A1618" t="s">
        <v>849</v>
      </c>
      <c r="B1618" t="s">
        <v>283</v>
      </c>
      <c r="C1618" t="s">
        <v>722</v>
      </c>
      <c r="D1618" t="s">
        <v>1142</v>
      </c>
      <c r="E1618" s="1">
        <v>45825</v>
      </c>
      <c r="F1618" s="1">
        <v>45825</v>
      </c>
      <c r="G1618" s="12">
        <v>99</v>
      </c>
      <c r="H1618" s="2">
        <v>0</v>
      </c>
      <c r="I1618" s="2">
        <v>0</v>
      </c>
      <c r="J1618" s="2">
        <v>0</v>
      </c>
      <c r="K1618" s="20">
        <v>99</v>
      </c>
      <c r="L1618" t="s">
        <v>794</v>
      </c>
      <c r="M1618">
        <f t="shared" si="25"/>
        <v>2025</v>
      </c>
    </row>
    <row r="1619" spans="1:13" ht="12.75" hidden="1" customHeight="1">
      <c r="A1619" t="s">
        <v>1170</v>
      </c>
      <c r="B1619" t="s">
        <v>117</v>
      </c>
      <c r="C1619" t="s">
        <v>200</v>
      </c>
      <c r="D1619" t="s">
        <v>1142</v>
      </c>
      <c r="E1619" s="1">
        <v>45825</v>
      </c>
      <c r="F1619" s="1">
        <v>45825</v>
      </c>
      <c r="G1619" s="12">
        <v>960</v>
      </c>
      <c r="H1619" s="2">
        <v>0</v>
      </c>
      <c r="I1619" s="2">
        <v>0</v>
      </c>
      <c r="J1619" s="2">
        <v>0</v>
      </c>
      <c r="K1619" s="20">
        <v>960</v>
      </c>
      <c r="L1619" t="s">
        <v>794</v>
      </c>
      <c r="M1619">
        <f t="shared" si="25"/>
        <v>2025</v>
      </c>
    </row>
    <row r="1620" spans="1:13" ht="12.75" hidden="1" customHeight="1">
      <c r="A1620" t="s">
        <v>1171</v>
      </c>
      <c r="B1620" t="s">
        <v>455</v>
      </c>
      <c r="C1620" t="s">
        <v>723</v>
      </c>
      <c r="D1620" t="s">
        <v>1142</v>
      </c>
      <c r="E1620" s="1">
        <v>45825</v>
      </c>
      <c r="F1620" s="1">
        <v>45825</v>
      </c>
      <c r="G1620" s="12">
        <v>175</v>
      </c>
      <c r="H1620" s="2">
        <v>0</v>
      </c>
      <c r="I1620" s="2">
        <v>0</v>
      </c>
      <c r="J1620" s="2">
        <v>0</v>
      </c>
      <c r="K1620" s="20">
        <v>175</v>
      </c>
      <c r="L1620" t="s">
        <v>794</v>
      </c>
      <c r="M1620">
        <f t="shared" si="25"/>
        <v>2025</v>
      </c>
    </row>
    <row r="1621" spans="1:13" ht="12.75" hidden="1" customHeight="1">
      <c r="A1621" t="s">
        <v>1172</v>
      </c>
      <c r="B1621" t="s">
        <v>536</v>
      </c>
      <c r="C1621" t="s">
        <v>452</v>
      </c>
      <c r="D1621" t="s">
        <v>1142</v>
      </c>
      <c r="E1621" s="1">
        <v>45825</v>
      </c>
      <c r="F1621" s="1">
        <v>45825</v>
      </c>
      <c r="G1621" s="12">
        <v>99</v>
      </c>
      <c r="H1621" s="2">
        <v>0</v>
      </c>
      <c r="I1621" s="2">
        <v>0</v>
      </c>
      <c r="J1621" s="2">
        <v>0</v>
      </c>
      <c r="K1621" s="20">
        <v>99</v>
      </c>
      <c r="L1621" t="s">
        <v>794</v>
      </c>
      <c r="M1621">
        <f t="shared" si="25"/>
        <v>2025</v>
      </c>
    </row>
    <row r="1622" spans="1:13" ht="12.75" hidden="1" customHeight="1">
      <c r="A1622" t="s">
        <v>888</v>
      </c>
      <c r="B1622" t="s">
        <v>16</v>
      </c>
      <c r="C1622" t="s">
        <v>716</v>
      </c>
      <c r="D1622" t="s">
        <v>1142</v>
      </c>
      <c r="E1622" s="1">
        <v>45826</v>
      </c>
      <c r="F1622" s="1">
        <v>45826</v>
      </c>
      <c r="G1622" s="12">
        <v>22353.32</v>
      </c>
      <c r="H1622" s="2">
        <v>0</v>
      </c>
      <c r="I1622" s="2">
        <v>0</v>
      </c>
      <c r="J1622" s="2">
        <v>0</v>
      </c>
      <c r="K1622" s="20">
        <v>22353.32</v>
      </c>
      <c r="L1622" t="s">
        <v>794</v>
      </c>
      <c r="M1622">
        <f t="shared" si="25"/>
        <v>2025</v>
      </c>
    </row>
    <row r="1623" spans="1:13" ht="12.75" hidden="1" customHeight="1">
      <c r="A1623" t="s">
        <v>864</v>
      </c>
      <c r="B1623" t="s">
        <v>918</v>
      </c>
      <c r="C1623" t="s">
        <v>730</v>
      </c>
      <c r="D1623" t="s">
        <v>1142</v>
      </c>
      <c r="E1623" s="1">
        <v>45826</v>
      </c>
      <c r="F1623" s="1">
        <v>45826</v>
      </c>
      <c r="G1623" s="12">
        <v>3166.6800000000003</v>
      </c>
      <c r="H1623" s="2">
        <v>0</v>
      </c>
      <c r="I1623" s="2">
        <v>0</v>
      </c>
      <c r="J1623" s="2">
        <v>0</v>
      </c>
      <c r="K1623" s="20">
        <v>3166.6800000000003</v>
      </c>
      <c r="L1623" t="s">
        <v>794</v>
      </c>
      <c r="M1623">
        <f t="shared" si="25"/>
        <v>2025</v>
      </c>
    </row>
    <row r="1624" spans="1:13" ht="12.75" hidden="1" customHeight="1">
      <c r="A1624" t="s">
        <v>808</v>
      </c>
      <c r="B1624" t="s">
        <v>154</v>
      </c>
      <c r="C1624" t="s">
        <v>693</v>
      </c>
      <c r="D1624" t="s">
        <v>1142</v>
      </c>
      <c r="E1624" s="1">
        <v>45815</v>
      </c>
      <c r="F1624" s="1">
        <v>45826</v>
      </c>
      <c r="G1624" s="12">
        <v>300</v>
      </c>
      <c r="H1624" s="2">
        <v>0</v>
      </c>
      <c r="I1624" s="2">
        <v>0</v>
      </c>
      <c r="J1624" s="2">
        <v>0</v>
      </c>
      <c r="K1624" s="20">
        <v>300</v>
      </c>
      <c r="L1624" t="s">
        <v>794</v>
      </c>
      <c r="M1624">
        <f t="shared" si="25"/>
        <v>2025</v>
      </c>
    </row>
    <row r="1625" spans="1:13" ht="12.75" hidden="1" customHeight="1">
      <c r="A1625" t="s">
        <v>907</v>
      </c>
      <c r="B1625" t="s">
        <v>291</v>
      </c>
      <c r="C1625" t="s">
        <v>483</v>
      </c>
      <c r="D1625" t="s">
        <v>1142</v>
      </c>
      <c r="E1625" s="1">
        <v>45826</v>
      </c>
      <c r="F1625" s="1">
        <v>45826</v>
      </c>
      <c r="G1625" s="12">
        <v>6.78</v>
      </c>
      <c r="H1625" s="2">
        <v>0</v>
      </c>
      <c r="I1625" s="2">
        <v>0</v>
      </c>
      <c r="J1625" s="2">
        <v>0</v>
      </c>
      <c r="K1625" s="20">
        <v>6.78</v>
      </c>
      <c r="L1625" t="s">
        <v>794</v>
      </c>
      <c r="M1625">
        <f t="shared" si="25"/>
        <v>2025</v>
      </c>
    </row>
    <row r="1626" spans="1:13" ht="12.75" hidden="1" customHeight="1">
      <c r="A1626" t="s">
        <v>1121</v>
      </c>
      <c r="B1626" t="s">
        <v>295</v>
      </c>
      <c r="C1626" t="s">
        <v>142</v>
      </c>
      <c r="D1626" t="s">
        <v>1142</v>
      </c>
      <c r="E1626" s="1">
        <v>45826</v>
      </c>
      <c r="F1626" s="1">
        <v>45826</v>
      </c>
      <c r="G1626" s="12">
        <v>35</v>
      </c>
      <c r="H1626" s="2">
        <v>0</v>
      </c>
      <c r="I1626" s="2">
        <v>0</v>
      </c>
      <c r="J1626" s="2">
        <v>0</v>
      </c>
      <c r="K1626" s="20">
        <v>35</v>
      </c>
      <c r="L1626" t="s">
        <v>794</v>
      </c>
      <c r="M1626">
        <f t="shared" si="25"/>
        <v>2025</v>
      </c>
    </row>
    <row r="1627" spans="1:13" ht="12.75" hidden="1" customHeight="1">
      <c r="A1627" t="s">
        <v>1138</v>
      </c>
      <c r="B1627" t="s">
        <v>104</v>
      </c>
      <c r="C1627" t="s">
        <v>141</v>
      </c>
      <c r="D1627" t="s">
        <v>1142</v>
      </c>
      <c r="E1627" s="1">
        <v>45826</v>
      </c>
      <c r="F1627" s="1">
        <v>45826</v>
      </c>
      <c r="G1627" s="12">
        <v>250</v>
      </c>
      <c r="H1627" s="2">
        <v>0</v>
      </c>
      <c r="I1627" s="2">
        <v>0</v>
      </c>
      <c r="J1627" s="2">
        <v>0</v>
      </c>
      <c r="K1627" s="20">
        <v>250</v>
      </c>
      <c r="L1627" t="s">
        <v>794</v>
      </c>
      <c r="M1627">
        <f t="shared" si="25"/>
        <v>2025</v>
      </c>
    </row>
    <row r="1628" spans="1:13" ht="12.75" hidden="1" customHeight="1">
      <c r="A1628" t="s">
        <v>810</v>
      </c>
      <c r="B1628" t="s">
        <v>54</v>
      </c>
      <c r="C1628" t="s">
        <v>141</v>
      </c>
      <c r="D1628" t="s">
        <v>1142</v>
      </c>
      <c r="E1628" s="1">
        <v>45826</v>
      </c>
      <c r="F1628" s="1">
        <v>45826</v>
      </c>
      <c r="G1628" s="12">
        <v>98</v>
      </c>
      <c r="H1628" s="2">
        <v>0</v>
      </c>
      <c r="I1628" s="2">
        <v>0</v>
      </c>
      <c r="J1628" s="2">
        <v>0</v>
      </c>
      <c r="K1628" s="20">
        <v>98</v>
      </c>
      <c r="L1628" t="s">
        <v>794</v>
      </c>
      <c r="M1628">
        <f t="shared" si="25"/>
        <v>2025</v>
      </c>
    </row>
    <row r="1629" spans="1:13" ht="12.75" hidden="1" customHeight="1">
      <c r="A1629" t="s">
        <v>818</v>
      </c>
      <c r="B1629" t="s">
        <v>30</v>
      </c>
      <c r="C1629" t="s">
        <v>141</v>
      </c>
      <c r="D1629" t="s">
        <v>1142</v>
      </c>
      <c r="E1629" s="1">
        <v>45826</v>
      </c>
      <c r="F1629" s="1">
        <v>45826</v>
      </c>
      <c r="G1629" s="12">
        <v>40</v>
      </c>
      <c r="H1629" s="2">
        <v>0</v>
      </c>
      <c r="I1629" s="2">
        <v>0</v>
      </c>
      <c r="J1629" s="2">
        <v>0</v>
      </c>
      <c r="K1629" s="20">
        <v>40</v>
      </c>
      <c r="L1629" t="s">
        <v>794</v>
      </c>
      <c r="M1629">
        <f t="shared" si="25"/>
        <v>2025</v>
      </c>
    </row>
    <row r="1630" spans="1:13" ht="12.75" hidden="1" customHeight="1">
      <c r="A1630" t="s">
        <v>1173</v>
      </c>
      <c r="B1630" t="s">
        <v>45</v>
      </c>
      <c r="C1630" t="s">
        <v>139</v>
      </c>
      <c r="D1630" t="s">
        <v>1142</v>
      </c>
      <c r="E1630" s="1">
        <v>45826</v>
      </c>
      <c r="F1630" s="1">
        <v>45826</v>
      </c>
      <c r="G1630" s="12">
        <v>124.60000000000001</v>
      </c>
      <c r="H1630" s="2">
        <v>0</v>
      </c>
      <c r="I1630" s="2">
        <v>0</v>
      </c>
      <c r="J1630" s="2">
        <v>0</v>
      </c>
      <c r="K1630" s="20">
        <v>124.60000000000001</v>
      </c>
      <c r="L1630" t="s">
        <v>794</v>
      </c>
      <c r="M1630">
        <f t="shared" si="25"/>
        <v>2025</v>
      </c>
    </row>
    <row r="1631" spans="1:13" ht="12.75" hidden="1" customHeight="1">
      <c r="A1631" t="s">
        <v>825</v>
      </c>
      <c r="B1631" t="s">
        <v>46</v>
      </c>
      <c r="C1631" t="s">
        <v>141</v>
      </c>
      <c r="D1631" t="s">
        <v>1142</v>
      </c>
      <c r="E1631" s="1">
        <v>45826</v>
      </c>
      <c r="F1631" s="1">
        <v>45826</v>
      </c>
      <c r="G1631" s="12">
        <v>100</v>
      </c>
      <c r="H1631" s="2">
        <v>0</v>
      </c>
      <c r="I1631" s="2">
        <v>0</v>
      </c>
      <c r="J1631" s="2">
        <v>0</v>
      </c>
      <c r="K1631" s="20">
        <v>100</v>
      </c>
      <c r="L1631" t="s">
        <v>794</v>
      </c>
      <c r="M1631">
        <f t="shared" si="25"/>
        <v>2025</v>
      </c>
    </row>
    <row r="1632" spans="1:13" ht="12.75" hidden="1" customHeight="1">
      <c r="A1632" t="s">
        <v>819</v>
      </c>
      <c r="B1632" t="s">
        <v>38</v>
      </c>
      <c r="C1632" t="s">
        <v>141</v>
      </c>
      <c r="D1632" t="s">
        <v>1142</v>
      </c>
      <c r="E1632" s="1">
        <v>45826</v>
      </c>
      <c r="F1632" s="1">
        <v>45826</v>
      </c>
      <c r="G1632" s="12">
        <v>100</v>
      </c>
      <c r="H1632" s="2">
        <v>0</v>
      </c>
      <c r="I1632" s="2">
        <v>0</v>
      </c>
      <c r="J1632" s="2">
        <v>0</v>
      </c>
      <c r="K1632" s="20">
        <v>100</v>
      </c>
      <c r="L1632" t="s">
        <v>794</v>
      </c>
      <c r="M1632">
        <f t="shared" si="25"/>
        <v>2025</v>
      </c>
    </row>
    <row r="1633" spans="1:13" ht="12.75" hidden="1" customHeight="1">
      <c r="A1633" t="s">
        <v>1111</v>
      </c>
      <c r="B1633" t="s">
        <v>144</v>
      </c>
      <c r="C1633" t="s">
        <v>141</v>
      </c>
      <c r="D1633" t="s">
        <v>1142</v>
      </c>
      <c r="E1633" s="1">
        <v>45826</v>
      </c>
      <c r="F1633" s="1">
        <v>45826</v>
      </c>
      <c r="G1633" s="12">
        <v>100</v>
      </c>
      <c r="H1633" s="2">
        <v>0</v>
      </c>
      <c r="I1633" s="2">
        <v>0</v>
      </c>
      <c r="J1633" s="2">
        <v>0</v>
      </c>
      <c r="K1633" s="20">
        <v>100</v>
      </c>
      <c r="L1633" t="s">
        <v>794</v>
      </c>
      <c r="M1633">
        <f t="shared" si="25"/>
        <v>2025</v>
      </c>
    </row>
    <row r="1634" spans="1:13" ht="12.75" hidden="1" customHeight="1">
      <c r="A1634" t="s">
        <v>878</v>
      </c>
      <c r="B1634" t="s">
        <v>32</v>
      </c>
      <c r="C1634" t="s">
        <v>721</v>
      </c>
      <c r="D1634" t="s">
        <v>1142</v>
      </c>
      <c r="E1634" s="1">
        <v>45826</v>
      </c>
      <c r="F1634" s="1">
        <v>45826</v>
      </c>
      <c r="G1634" s="12">
        <v>250</v>
      </c>
      <c r="H1634" s="2">
        <v>0</v>
      </c>
      <c r="I1634" s="2">
        <v>0</v>
      </c>
      <c r="J1634" s="2">
        <v>0</v>
      </c>
      <c r="K1634" s="20">
        <v>250</v>
      </c>
      <c r="L1634" t="s">
        <v>794</v>
      </c>
      <c r="M1634">
        <f t="shared" si="25"/>
        <v>2025</v>
      </c>
    </row>
    <row r="1635" spans="1:13" ht="12.75" hidden="1" customHeight="1">
      <c r="A1635" t="s">
        <v>981</v>
      </c>
      <c r="B1635" t="s">
        <v>55</v>
      </c>
      <c r="C1635" t="s">
        <v>99</v>
      </c>
      <c r="D1635" t="s">
        <v>1142</v>
      </c>
      <c r="E1635" s="1">
        <v>45826</v>
      </c>
      <c r="F1635" s="1">
        <v>45826</v>
      </c>
      <c r="G1635" s="12">
        <v>500</v>
      </c>
      <c r="H1635" s="2">
        <v>0</v>
      </c>
      <c r="I1635" s="2">
        <v>0</v>
      </c>
      <c r="J1635" s="2">
        <v>0</v>
      </c>
      <c r="K1635" s="20">
        <v>500</v>
      </c>
      <c r="L1635" t="s">
        <v>794</v>
      </c>
      <c r="M1635">
        <f t="shared" si="25"/>
        <v>2025</v>
      </c>
    </row>
    <row r="1636" spans="1:13" ht="12.75" hidden="1" customHeight="1">
      <c r="A1636" t="s">
        <v>921</v>
      </c>
      <c r="B1636" t="s">
        <v>184</v>
      </c>
      <c r="C1636" t="s">
        <v>483</v>
      </c>
      <c r="D1636" t="s">
        <v>1142</v>
      </c>
      <c r="E1636" s="1">
        <v>45826</v>
      </c>
      <c r="F1636" s="1">
        <v>45826</v>
      </c>
      <c r="G1636" s="12">
        <v>10.99</v>
      </c>
      <c r="H1636" s="2">
        <v>0</v>
      </c>
      <c r="I1636" s="2">
        <v>0</v>
      </c>
      <c r="J1636" s="2">
        <v>0</v>
      </c>
      <c r="K1636" s="20">
        <v>10.99</v>
      </c>
      <c r="L1636" t="s">
        <v>794</v>
      </c>
      <c r="M1636">
        <f t="shared" si="25"/>
        <v>2025</v>
      </c>
    </row>
    <row r="1637" spans="1:13" ht="12.75" hidden="1" customHeight="1">
      <c r="A1637" t="s">
        <v>1141</v>
      </c>
      <c r="B1637" t="s">
        <v>69</v>
      </c>
      <c r="C1637" t="s">
        <v>141</v>
      </c>
      <c r="D1637" t="s">
        <v>1142</v>
      </c>
      <c r="E1637" s="1">
        <v>45826</v>
      </c>
      <c r="F1637" s="1">
        <v>45826</v>
      </c>
      <c r="G1637" s="12">
        <v>50</v>
      </c>
      <c r="H1637" s="2">
        <v>0</v>
      </c>
      <c r="I1637" s="2">
        <v>0</v>
      </c>
      <c r="J1637" s="2">
        <v>0</v>
      </c>
      <c r="K1637" s="20">
        <v>50</v>
      </c>
      <c r="L1637" t="s">
        <v>794</v>
      </c>
      <c r="M1637">
        <f t="shared" si="25"/>
        <v>2025</v>
      </c>
    </row>
    <row r="1638" spans="1:13" ht="12.75" hidden="1" customHeight="1">
      <c r="A1638" t="s">
        <v>1004</v>
      </c>
      <c r="B1638" t="s">
        <v>57</v>
      </c>
      <c r="C1638" t="s">
        <v>141</v>
      </c>
      <c r="D1638" t="s">
        <v>1142</v>
      </c>
      <c r="E1638" s="1">
        <v>45826</v>
      </c>
      <c r="F1638" s="1">
        <v>45826</v>
      </c>
      <c r="G1638" s="12">
        <v>50</v>
      </c>
      <c r="H1638" s="2">
        <v>0</v>
      </c>
      <c r="I1638" s="2">
        <v>0</v>
      </c>
      <c r="J1638" s="2">
        <v>0</v>
      </c>
      <c r="K1638" s="20">
        <v>50</v>
      </c>
      <c r="L1638" t="s">
        <v>794</v>
      </c>
      <c r="M1638">
        <f t="shared" si="25"/>
        <v>2025</v>
      </c>
    </row>
    <row r="1639" spans="1:13" ht="12.75" hidden="1" customHeight="1">
      <c r="A1639" t="s">
        <v>833</v>
      </c>
      <c r="B1639" t="s">
        <v>27</v>
      </c>
      <c r="C1639" t="s">
        <v>483</v>
      </c>
      <c r="D1639" t="s">
        <v>1142</v>
      </c>
      <c r="E1639" s="1">
        <v>45826</v>
      </c>
      <c r="F1639" s="1">
        <v>45826</v>
      </c>
      <c r="G1639" s="12">
        <v>50</v>
      </c>
      <c r="H1639" s="2">
        <v>0</v>
      </c>
      <c r="I1639" s="2">
        <v>0</v>
      </c>
      <c r="J1639" s="2">
        <v>0</v>
      </c>
      <c r="K1639" s="20">
        <v>50</v>
      </c>
      <c r="L1639" t="s">
        <v>794</v>
      </c>
      <c r="M1639">
        <f t="shared" si="25"/>
        <v>2025</v>
      </c>
    </row>
    <row r="1640" spans="1:13" ht="12.75" hidden="1" customHeight="1">
      <c r="A1640" t="s">
        <v>905</v>
      </c>
      <c r="B1640" t="s">
        <v>15</v>
      </c>
      <c r="C1640" t="s">
        <v>715</v>
      </c>
      <c r="D1640" t="s">
        <v>1142</v>
      </c>
      <c r="E1640" s="1">
        <v>45828</v>
      </c>
      <c r="F1640" s="1">
        <v>45828</v>
      </c>
      <c r="G1640" s="12">
        <v>678.64</v>
      </c>
      <c r="H1640" s="2">
        <v>0</v>
      </c>
      <c r="I1640" s="2">
        <v>0</v>
      </c>
      <c r="J1640" s="2">
        <v>0</v>
      </c>
      <c r="K1640" s="20">
        <v>678.64</v>
      </c>
      <c r="L1640" t="s">
        <v>794</v>
      </c>
      <c r="M1640">
        <f t="shared" si="25"/>
        <v>2025</v>
      </c>
    </row>
    <row r="1641" spans="1:13" ht="12.75" hidden="1" customHeight="1">
      <c r="A1641" t="s">
        <v>839</v>
      </c>
      <c r="B1641" t="s">
        <v>44</v>
      </c>
      <c r="C1641" t="s">
        <v>722</v>
      </c>
      <c r="D1641" t="s">
        <v>1142</v>
      </c>
      <c r="E1641" s="1">
        <v>45828</v>
      </c>
      <c r="F1641" s="1">
        <v>45828</v>
      </c>
      <c r="G1641" s="12">
        <v>791.23</v>
      </c>
      <c r="H1641" s="2">
        <v>0</v>
      </c>
      <c r="I1641" s="2">
        <v>0</v>
      </c>
      <c r="J1641" s="2">
        <v>0</v>
      </c>
      <c r="K1641" s="20">
        <v>791.23</v>
      </c>
      <c r="L1641" t="s">
        <v>794</v>
      </c>
      <c r="M1641">
        <f t="shared" si="25"/>
        <v>2025</v>
      </c>
    </row>
    <row r="1642" spans="1:13" ht="12.75" hidden="1" customHeight="1">
      <c r="A1642" t="s">
        <v>839</v>
      </c>
      <c r="B1642" t="s">
        <v>44</v>
      </c>
      <c r="C1642" t="s">
        <v>722</v>
      </c>
      <c r="D1642" t="s">
        <v>1142</v>
      </c>
      <c r="E1642" s="1">
        <v>45828</v>
      </c>
      <c r="F1642" s="1">
        <v>45828</v>
      </c>
      <c r="G1642" s="12">
        <v>941.56000000000006</v>
      </c>
      <c r="H1642" s="2">
        <v>0</v>
      </c>
      <c r="I1642" s="2">
        <v>0</v>
      </c>
      <c r="J1642" s="2">
        <v>0</v>
      </c>
      <c r="K1642" s="20">
        <v>941.56000000000006</v>
      </c>
      <c r="L1642" t="s">
        <v>794</v>
      </c>
      <c r="M1642">
        <f t="shared" si="25"/>
        <v>2025</v>
      </c>
    </row>
    <row r="1643" spans="1:13" ht="12.75" hidden="1" customHeight="1">
      <c r="A1643" t="s">
        <v>1069</v>
      </c>
      <c r="B1643" t="s">
        <v>147</v>
      </c>
      <c r="C1643" t="s">
        <v>738</v>
      </c>
      <c r="D1643" t="s">
        <v>1142</v>
      </c>
      <c r="E1643" s="1">
        <v>45828</v>
      </c>
      <c r="F1643" s="1">
        <v>45828</v>
      </c>
      <c r="G1643" s="12">
        <v>350</v>
      </c>
      <c r="H1643" s="2">
        <v>0</v>
      </c>
      <c r="I1643" s="2">
        <v>0</v>
      </c>
      <c r="J1643" s="2">
        <v>0</v>
      </c>
      <c r="K1643" s="20">
        <v>350</v>
      </c>
      <c r="L1643" t="s">
        <v>794</v>
      </c>
      <c r="M1643">
        <f t="shared" si="25"/>
        <v>2025</v>
      </c>
    </row>
    <row r="1644" spans="1:13" ht="12.75" hidden="1" customHeight="1">
      <c r="A1644" t="s">
        <v>940</v>
      </c>
      <c r="B1644" t="s">
        <v>29</v>
      </c>
      <c r="C1644" t="s">
        <v>206</v>
      </c>
      <c r="D1644" t="s">
        <v>1142</v>
      </c>
      <c r="E1644" s="1">
        <v>45828</v>
      </c>
      <c r="F1644" s="1">
        <v>45828</v>
      </c>
      <c r="G1644" s="12">
        <v>1802.1000000000001</v>
      </c>
      <c r="H1644" s="2">
        <v>0</v>
      </c>
      <c r="I1644" s="2">
        <v>0</v>
      </c>
      <c r="J1644" s="2">
        <v>0</v>
      </c>
      <c r="K1644" s="20">
        <v>1802.1000000000001</v>
      </c>
      <c r="L1644" t="s">
        <v>794</v>
      </c>
      <c r="M1644">
        <f t="shared" si="25"/>
        <v>2025</v>
      </c>
    </row>
    <row r="1645" spans="1:13" ht="12.75" hidden="1" customHeight="1">
      <c r="A1645" t="s">
        <v>940</v>
      </c>
      <c r="B1645" t="s">
        <v>29</v>
      </c>
      <c r="C1645" t="s">
        <v>206</v>
      </c>
      <c r="D1645" t="s">
        <v>1142</v>
      </c>
      <c r="E1645" s="1">
        <v>45828</v>
      </c>
      <c r="F1645" s="1">
        <v>45828</v>
      </c>
      <c r="G1645" s="12">
        <v>1336.28</v>
      </c>
      <c r="H1645" s="2">
        <v>0</v>
      </c>
      <c r="I1645" s="2">
        <v>0</v>
      </c>
      <c r="J1645" s="2">
        <v>0</v>
      </c>
      <c r="K1645" s="20">
        <v>1336.28</v>
      </c>
      <c r="L1645" t="s">
        <v>794</v>
      </c>
      <c r="M1645">
        <f t="shared" si="25"/>
        <v>2025</v>
      </c>
    </row>
    <row r="1646" spans="1:13" ht="12.75" hidden="1" customHeight="1">
      <c r="A1646" t="s">
        <v>801</v>
      </c>
      <c r="B1646" t="s">
        <v>13</v>
      </c>
      <c r="C1646" t="s">
        <v>726</v>
      </c>
      <c r="D1646" t="s">
        <v>1142</v>
      </c>
      <c r="E1646" s="1">
        <v>45828</v>
      </c>
      <c r="F1646" s="1">
        <v>45828</v>
      </c>
      <c r="G1646" s="12">
        <v>4.08</v>
      </c>
      <c r="H1646" s="2">
        <v>0</v>
      </c>
      <c r="I1646" s="2">
        <v>0</v>
      </c>
      <c r="J1646" s="2">
        <v>0</v>
      </c>
      <c r="K1646" s="20">
        <v>4.08</v>
      </c>
      <c r="L1646" t="s">
        <v>794</v>
      </c>
      <c r="M1646">
        <f t="shared" si="25"/>
        <v>2025</v>
      </c>
    </row>
    <row r="1647" spans="1:13" ht="12.75" hidden="1" customHeight="1">
      <c r="A1647" t="s">
        <v>1035</v>
      </c>
      <c r="B1647" t="s">
        <v>184</v>
      </c>
      <c r="C1647" t="s">
        <v>483</v>
      </c>
      <c r="D1647" t="s">
        <v>1142</v>
      </c>
      <c r="E1647" s="1">
        <v>45831</v>
      </c>
      <c r="F1647" s="1">
        <v>45831</v>
      </c>
      <c r="G1647" s="12">
        <v>219.91</v>
      </c>
      <c r="H1647" s="2">
        <v>0</v>
      </c>
      <c r="I1647" s="2">
        <v>0</v>
      </c>
      <c r="J1647" s="2">
        <v>0</v>
      </c>
      <c r="K1647" s="20">
        <v>219.91</v>
      </c>
      <c r="L1647" t="s">
        <v>794</v>
      </c>
      <c r="M1647">
        <f t="shared" si="25"/>
        <v>2025</v>
      </c>
    </row>
    <row r="1648" spans="1:13" ht="12.75" hidden="1" customHeight="1">
      <c r="A1648" t="s">
        <v>1109</v>
      </c>
      <c r="B1648" t="s">
        <v>82</v>
      </c>
      <c r="C1648" t="s">
        <v>724</v>
      </c>
      <c r="D1648" t="s">
        <v>1142</v>
      </c>
      <c r="E1648" s="1">
        <v>45831</v>
      </c>
      <c r="F1648" s="1">
        <v>45831</v>
      </c>
      <c r="G1648" s="12">
        <v>3642.73</v>
      </c>
      <c r="H1648" s="2">
        <v>0</v>
      </c>
      <c r="I1648" s="2">
        <v>0</v>
      </c>
      <c r="J1648" s="2">
        <v>0</v>
      </c>
      <c r="K1648" s="20">
        <v>3642.73</v>
      </c>
      <c r="L1648" t="s">
        <v>794</v>
      </c>
      <c r="M1648">
        <f t="shared" si="25"/>
        <v>2025</v>
      </c>
    </row>
    <row r="1649" spans="1:13" ht="12.75" hidden="1" customHeight="1">
      <c r="A1649" t="s">
        <v>801</v>
      </c>
      <c r="B1649" t="s">
        <v>13</v>
      </c>
      <c r="C1649" t="s">
        <v>726</v>
      </c>
      <c r="D1649" t="s">
        <v>1142</v>
      </c>
      <c r="E1649" s="1">
        <v>45831</v>
      </c>
      <c r="F1649" s="1">
        <v>45831</v>
      </c>
      <c r="G1649" s="12">
        <v>2.04</v>
      </c>
      <c r="H1649" s="2">
        <v>0</v>
      </c>
      <c r="I1649" s="2">
        <v>0</v>
      </c>
      <c r="J1649" s="2">
        <v>0</v>
      </c>
      <c r="K1649" s="20">
        <v>2.04</v>
      </c>
      <c r="L1649" t="s">
        <v>794</v>
      </c>
      <c r="M1649">
        <f t="shared" si="25"/>
        <v>2025</v>
      </c>
    </row>
    <row r="1650" spans="1:13" ht="12.75" hidden="1" customHeight="1">
      <c r="A1650" t="s">
        <v>812</v>
      </c>
      <c r="B1650" t="s">
        <v>31</v>
      </c>
      <c r="C1650" t="s">
        <v>141</v>
      </c>
      <c r="D1650" t="s">
        <v>1142</v>
      </c>
      <c r="E1650" s="1">
        <v>45832</v>
      </c>
      <c r="F1650" s="1">
        <v>45832</v>
      </c>
      <c r="G1650" s="12">
        <v>380</v>
      </c>
      <c r="H1650" s="2">
        <v>0</v>
      </c>
      <c r="I1650" s="2">
        <v>0</v>
      </c>
      <c r="J1650" s="2">
        <v>0</v>
      </c>
      <c r="K1650" s="20">
        <v>380</v>
      </c>
      <c r="L1650" t="s">
        <v>794</v>
      </c>
      <c r="M1650">
        <f t="shared" si="25"/>
        <v>2025</v>
      </c>
    </row>
    <row r="1651" spans="1:13" ht="12.75" hidden="1" customHeight="1">
      <c r="A1651" t="s">
        <v>957</v>
      </c>
      <c r="B1651" t="s">
        <v>39</v>
      </c>
      <c r="C1651" t="s">
        <v>141</v>
      </c>
      <c r="D1651" t="s">
        <v>1142</v>
      </c>
      <c r="E1651" s="1">
        <v>45832</v>
      </c>
      <c r="F1651" s="1">
        <v>45832</v>
      </c>
      <c r="G1651" s="12">
        <v>436</v>
      </c>
      <c r="H1651" s="2">
        <v>0</v>
      </c>
      <c r="I1651" s="2">
        <v>0</v>
      </c>
      <c r="J1651" s="2">
        <v>0</v>
      </c>
      <c r="K1651" s="20">
        <v>436</v>
      </c>
      <c r="L1651" t="s">
        <v>794</v>
      </c>
      <c r="M1651">
        <f t="shared" si="25"/>
        <v>2025</v>
      </c>
    </row>
    <row r="1652" spans="1:13" ht="12.75" hidden="1" customHeight="1">
      <c r="A1652" t="s">
        <v>818</v>
      </c>
      <c r="B1652" t="s">
        <v>30</v>
      </c>
      <c r="C1652" t="s">
        <v>141</v>
      </c>
      <c r="D1652" t="s">
        <v>1142</v>
      </c>
      <c r="E1652" s="1">
        <v>45832</v>
      </c>
      <c r="F1652" s="1">
        <v>45832</v>
      </c>
      <c r="G1652" s="12">
        <v>218</v>
      </c>
      <c r="H1652" s="2">
        <v>0</v>
      </c>
      <c r="I1652" s="2">
        <v>0</v>
      </c>
      <c r="J1652" s="2">
        <v>0</v>
      </c>
      <c r="K1652" s="20">
        <v>218</v>
      </c>
      <c r="L1652" t="s">
        <v>794</v>
      </c>
      <c r="M1652">
        <f t="shared" si="25"/>
        <v>2025</v>
      </c>
    </row>
    <row r="1653" spans="1:13" ht="12.75" hidden="1" customHeight="1">
      <c r="A1653" t="s">
        <v>1009</v>
      </c>
      <c r="B1653" t="s">
        <v>62</v>
      </c>
      <c r="C1653" t="s">
        <v>141</v>
      </c>
      <c r="D1653" t="s">
        <v>1142</v>
      </c>
      <c r="E1653" s="1">
        <v>45832</v>
      </c>
      <c r="F1653" s="1">
        <v>45832</v>
      </c>
      <c r="G1653" s="12">
        <v>80</v>
      </c>
      <c r="H1653" s="2">
        <v>0</v>
      </c>
      <c r="I1653" s="2">
        <v>0</v>
      </c>
      <c r="J1653" s="2">
        <v>0</v>
      </c>
      <c r="K1653" s="20">
        <v>80</v>
      </c>
      <c r="L1653" t="s">
        <v>794</v>
      </c>
      <c r="M1653">
        <f t="shared" si="25"/>
        <v>2025</v>
      </c>
    </row>
    <row r="1654" spans="1:13" ht="12.75" hidden="1" customHeight="1">
      <c r="A1654" t="s">
        <v>1138</v>
      </c>
      <c r="B1654" t="s">
        <v>104</v>
      </c>
      <c r="C1654" t="s">
        <v>141</v>
      </c>
      <c r="D1654" t="s">
        <v>1142</v>
      </c>
      <c r="E1654" s="1">
        <v>45832</v>
      </c>
      <c r="F1654" s="1">
        <v>45832</v>
      </c>
      <c r="G1654" s="12">
        <v>36</v>
      </c>
      <c r="H1654" s="2">
        <v>0</v>
      </c>
      <c r="I1654" s="2">
        <v>0</v>
      </c>
      <c r="J1654" s="2">
        <v>0</v>
      </c>
      <c r="K1654" s="20">
        <v>36</v>
      </c>
      <c r="L1654" t="s">
        <v>794</v>
      </c>
      <c r="M1654">
        <f t="shared" si="25"/>
        <v>2025</v>
      </c>
    </row>
    <row r="1655" spans="1:13" ht="12.75" hidden="1" customHeight="1">
      <c r="A1655" t="s">
        <v>807</v>
      </c>
      <c r="B1655" t="s">
        <v>366</v>
      </c>
      <c r="C1655" t="s">
        <v>491</v>
      </c>
      <c r="D1655" t="s">
        <v>1142</v>
      </c>
      <c r="E1655" s="1">
        <v>45832</v>
      </c>
      <c r="F1655" s="1">
        <v>45832</v>
      </c>
      <c r="G1655" s="12">
        <v>30</v>
      </c>
      <c r="H1655" s="2">
        <v>0</v>
      </c>
      <c r="I1655" s="2">
        <v>0</v>
      </c>
      <c r="J1655" s="2">
        <v>0</v>
      </c>
      <c r="K1655" s="20">
        <v>30</v>
      </c>
      <c r="L1655" t="s">
        <v>794</v>
      </c>
      <c r="M1655">
        <f t="shared" si="25"/>
        <v>2025</v>
      </c>
    </row>
    <row r="1656" spans="1:13" ht="12.75" hidden="1" customHeight="1">
      <c r="A1656" t="s">
        <v>998</v>
      </c>
      <c r="B1656" t="s">
        <v>368</v>
      </c>
      <c r="C1656" t="s">
        <v>733</v>
      </c>
      <c r="D1656" t="s">
        <v>1142</v>
      </c>
      <c r="E1656" s="1">
        <v>45832</v>
      </c>
      <c r="F1656" s="1">
        <v>45832</v>
      </c>
      <c r="G1656" s="12">
        <v>45</v>
      </c>
      <c r="H1656" s="2">
        <v>0</v>
      </c>
      <c r="I1656" s="2">
        <v>0</v>
      </c>
      <c r="J1656" s="2">
        <v>0</v>
      </c>
      <c r="K1656" s="20">
        <v>45</v>
      </c>
      <c r="L1656" t="s">
        <v>794</v>
      </c>
      <c r="M1656">
        <f t="shared" si="25"/>
        <v>2025</v>
      </c>
    </row>
    <row r="1657" spans="1:13" ht="12.75" hidden="1" customHeight="1">
      <c r="A1657" t="s">
        <v>1174</v>
      </c>
      <c r="B1657" t="s">
        <v>525</v>
      </c>
      <c r="C1657" t="s">
        <v>452</v>
      </c>
      <c r="D1657" t="s">
        <v>1142</v>
      </c>
      <c r="E1657" s="1">
        <v>45832</v>
      </c>
      <c r="F1657" s="1">
        <v>45832</v>
      </c>
      <c r="G1657" s="12">
        <v>100</v>
      </c>
      <c r="H1657" s="2">
        <v>0</v>
      </c>
      <c r="I1657" s="2">
        <v>0</v>
      </c>
      <c r="J1657" s="2">
        <v>0</v>
      </c>
      <c r="K1657" s="20">
        <v>100</v>
      </c>
      <c r="L1657" t="s">
        <v>794</v>
      </c>
      <c r="M1657">
        <f t="shared" si="25"/>
        <v>2025</v>
      </c>
    </row>
    <row r="1658" spans="1:13" ht="12.75" hidden="1" customHeight="1">
      <c r="A1658" t="s">
        <v>925</v>
      </c>
      <c r="B1658" t="s">
        <v>189</v>
      </c>
      <c r="C1658" t="s">
        <v>754</v>
      </c>
      <c r="D1658" t="s">
        <v>1142</v>
      </c>
      <c r="E1658" s="1">
        <v>45833</v>
      </c>
      <c r="F1658" s="1">
        <v>45833</v>
      </c>
      <c r="G1658" s="12">
        <v>250</v>
      </c>
      <c r="H1658" s="2">
        <v>0</v>
      </c>
      <c r="I1658" s="2">
        <v>0</v>
      </c>
      <c r="J1658" s="2">
        <v>0</v>
      </c>
      <c r="K1658" s="20">
        <v>250</v>
      </c>
      <c r="L1658" t="s">
        <v>794</v>
      </c>
      <c r="M1658">
        <f t="shared" si="25"/>
        <v>2025</v>
      </c>
    </row>
    <row r="1659" spans="1:13" ht="12.75" hidden="1" customHeight="1">
      <c r="A1659" t="s">
        <v>992</v>
      </c>
      <c r="B1659" t="s">
        <v>277</v>
      </c>
      <c r="C1659" t="s">
        <v>99</v>
      </c>
      <c r="D1659" t="s">
        <v>1142</v>
      </c>
      <c r="E1659" s="1">
        <v>45833</v>
      </c>
      <c r="F1659" s="1">
        <v>45833</v>
      </c>
      <c r="G1659" s="12">
        <v>55.7</v>
      </c>
      <c r="H1659" s="2">
        <v>0</v>
      </c>
      <c r="I1659" s="2">
        <v>0</v>
      </c>
      <c r="J1659" s="2">
        <v>0</v>
      </c>
      <c r="K1659" s="20">
        <v>55.7</v>
      </c>
      <c r="L1659" t="s">
        <v>794</v>
      </c>
      <c r="M1659">
        <f t="shared" si="25"/>
        <v>2025</v>
      </c>
    </row>
    <row r="1660" spans="1:13" ht="12.75" hidden="1" customHeight="1">
      <c r="A1660" t="s">
        <v>905</v>
      </c>
      <c r="B1660" t="s">
        <v>15</v>
      </c>
      <c r="C1660" t="s">
        <v>715</v>
      </c>
      <c r="D1660" t="s">
        <v>1142</v>
      </c>
      <c r="E1660" s="1">
        <v>45833</v>
      </c>
      <c r="F1660" s="1">
        <v>45833</v>
      </c>
      <c r="G1660" s="12">
        <v>20020.98</v>
      </c>
      <c r="H1660" s="2">
        <v>0</v>
      </c>
      <c r="I1660" s="2">
        <v>0</v>
      </c>
      <c r="J1660" s="2">
        <v>0</v>
      </c>
      <c r="K1660" s="20">
        <v>20020.98</v>
      </c>
      <c r="L1660" t="s">
        <v>794</v>
      </c>
      <c r="M1660">
        <f t="shared" si="25"/>
        <v>2025</v>
      </c>
    </row>
    <row r="1661" spans="1:13" ht="12.75" hidden="1" customHeight="1">
      <c r="A1661" t="s">
        <v>1175</v>
      </c>
      <c r="B1661" t="s">
        <v>261</v>
      </c>
      <c r="C1661" t="s">
        <v>723</v>
      </c>
      <c r="D1661" t="s">
        <v>1142</v>
      </c>
      <c r="E1661" s="1">
        <v>45833</v>
      </c>
      <c r="F1661" s="1">
        <v>45833</v>
      </c>
      <c r="G1661" s="12">
        <v>783.34</v>
      </c>
      <c r="H1661" s="2">
        <v>0</v>
      </c>
      <c r="I1661" s="2">
        <v>0</v>
      </c>
      <c r="J1661" s="2">
        <v>0</v>
      </c>
      <c r="K1661" s="20">
        <v>783.34</v>
      </c>
      <c r="L1661" t="s">
        <v>794</v>
      </c>
      <c r="M1661">
        <f t="shared" si="25"/>
        <v>2025</v>
      </c>
    </row>
    <row r="1662" spans="1:13" ht="12.75" hidden="1" customHeight="1">
      <c r="A1662" t="s">
        <v>1175</v>
      </c>
      <c r="B1662" t="s">
        <v>261</v>
      </c>
      <c r="C1662" t="s">
        <v>723</v>
      </c>
      <c r="D1662" t="s">
        <v>1142</v>
      </c>
      <c r="E1662" s="1">
        <v>45833</v>
      </c>
      <c r="F1662" s="1">
        <v>45833</v>
      </c>
      <c r="G1662" s="12">
        <v>1217.32</v>
      </c>
      <c r="H1662" s="2">
        <v>0</v>
      </c>
      <c r="I1662" s="2">
        <v>0</v>
      </c>
      <c r="J1662" s="2">
        <v>0</v>
      </c>
      <c r="K1662" s="20">
        <v>1217.32</v>
      </c>
      <c r="L1662" t="s">
        <v>794</v>
      </c>
      <c r="M1662">
        <f t="shared" si="25"/>
        <v>2025</v>
      </c>
    </row>
    <row r="1663" spans="1:13" ht="12.75" hidden="1" customHeight="1">
      <c r="A1663" t="s">
        <v>877</v>
      </c>
      <c r="B1663" t="s">
        <v>543</v>
      </c>
      <c r="C1663" t="s">
        <v>452</v>
      </c>
      <c r="D1663" t="s">
        <v>1142</v>
      </c>
      <c r="E1663" s="1">
        <v>45834</v>
      </c>
      <c r="F1663" s="1">
        <v>45834</v>
      </c>
      <c r="G1663" s="12">
        <v>99</v>
      </c>
      <c r="H1663" s="2">
        <v>0</v>
      </c>
      <c r="I1663" s="2">
        <v>0</v>
      </c>
      <c r="J1663" s="2">
        <v>0</v>
      </c>
      <c r="K1663" s="20">
        <v>99</v>
      </c>
      <c r="L1663" t="s">
        <v>794</v>
      </c>
      <c r="M1663">
        <f t="shared" si="25"/>
        <v>2025</v>
      </c>
    </row>
    <row r="1664" spans="1:13" ht="12.75" hidden="1" customHeight="1">
      <c r="A1664" t="s">
        <v>903</v>
      </c>
      <c r="B1664" t="s">
        <v>519</v>
      </c>
      <c r="C1664" t="s">
        <v>452</v>
      </c>
      <c r="D1664" t="s">
        <v>1142</v>
      </c>
      <c r="E1664" s="1">
        <v>45834</v>
      </c>
      <c r="F1664" s="1">
        <v>45834</v>
      </c>
      <c r="G1664" s="12">
        <v>100</v>
      </c>
      <c r="H1664" s="2">
        <v>0</v>
      </c>
      <c r="I1664" s="2">
        <v>0</v>
      </c>
      <c r="J1664" s="2">
        <v>0</v>
      </c>
      <c r="K1664" s="20">
        <v>100</v>
      </c>
      <c r="L1664" t="s">
        <v>794</v>
      </c>
      <c r="M1664">
        <f t="shared" si="25"/>
        <v>2025</v>
      </c>
    </row>
    <row r="1665" spans="1:13" ht="12.75" hidden="1" customHeight="1">
      <c r="A1665" t="s">
        <v>801</v>
      </c>
      <c r="B1665" t="s">
        <v>13</v>
      </c>
      <c r="C1665" t="s">
        <v>726</v>
      </c>
      <c r="D1665" t="s">
        <v>1142</v>
      </c>
      <c r="E1665" s="1">
        <v>45834</v>
      </c>
      <c r="F1665" s="1">
        <v>45834</v>
      </c>
      <c r="G1665" s="12">
        <v>1234.71</v>
      </c>
      <c r="H1665" s="2">
        <v>0</v>
      </c>
      <c r="I1665" s="2">
        <v>0</v>
      </c>
      <c r="J1665" s="2">
        <v>0</v>
      </c>
      <c r="K1665" s="20">
        <v>1234.71</v>
      </c>
      <c r="L1665" t="s">
        <v>794</v>
      </c>
      <c r="M1665">
        <f t="shared" si="25"/>
        <v>2025</v>
      </c>
    </row>
    <row r="1666" spans="1:13" ht="12.75" hidden="1" customHeight="1">
      <c r="A1666" t="s">
        <v>801</v>
      </c>
      <c r="B1666" t="s">
        <v>13</v>
      </c>
      <c r="C1666" t="s">
        <v>718</v>
      </c>
      <c r="D1666" t="s">
        <v>1142</v>
      </c>
      <c r="E1666" s="1">
        <v>45834</v>
      </c>
      <c r="F1666" s="1">
        <v>45834</v>
      </c>
      <c r="G1666" s="12">
        <v>10545.5</v>
      </c>
      <c r="H1666" s="2">
        <v>0</v>
      </c>
      <c r="I1666" s="2">
        <v>0</v>
      </c>
      <c r="J1666" s="2">
        <v>0</v>
      </c>
      <c r="K1666" s="20">
        <v>10545.5</v>
      </c>
      <c r="L1666" t="s">
        <v>794</v>
      </c>
      <c r="M1666">
        <f t="shared" si="25"/>
        <v>2025</v>
      </c>
    </row>
    <row r="1667" spans="1:13" ht="12.75" hidden="1" customHeight="1">
      <c r="A1667" t="s">
        <v>801</v>
      </c>
      <c r="B1667" t="s">
        <v>13</v>
      </c>
      <c r="C1667" t="s">
        <v>718</v>
      </c>
      <c r="D1667" t="s">
        <v>1142</v>
      </c>
      <c r="E1667" s="1">
        <v>45834</v>
      </c>
      <c r="F1667" s="1">
        <v>45834</v>
      </c>
      <c r="G1667" s="12">
        <v>9639.85</v>
      </c>
      <c r="H1667" s="2">
        <v>0</v>
      </c>
      <c r="I1667" s="2">
        <v>0</v>
      </c>
      <c r="J1667" s="2">
        <v>0</v>
      </c>
      <c r="K1667" s="20">
        <v>9639.85</v>
      </c>
      <c r="L1667" t="s">
        <v>843</v>
      </c>
      <c r="M1667">
        <f t="shared" ref="M1667:M1730" si="26">YEAR(F1667)</f>
        <v>2025</v>
      </c>
    </row>
    <row r="1668" spans="1:13" ht="12.75" hidden="1" customHeight="1">
      <c r="A1668" t="s">
        <v>1068</v>
      </c>
      <c r="B1668" t="s">
        <v>22</v>
      </c>
      <c r="C1668" t="s">
        <v>717</v>
      </c>
      <c r="D1668" t="s">
        <v>1142</v>
      </c>
      <c r="E1668" s="1">
        <v>45834</v>
      </c>
      <c r="F1668" s="1">
        <v>45834</v>
      </c>
      <c r="G1668" s="12">
        <v>2890</v>
      </c>
      <c r="H1668" s="2">
        <v>0</v>
      </c>
      <c r="I1668" s="2">
        <v>0</v>
      </c>
      <c r="J1668" s="2">
        <v>0</v>
      </c>
      <c r="K1668" s="20">
        <v>2890</v>
      </c>
      <c r="L1668" t="s">
        <v>794</v>
      </c>
      <c r="M1668">
        <f t="shared" si="26"/>
        <v>2025</v>
      </c>
    </row>
    <row r="1669" spans="1:13" ht="12.75" hidden="1" customHeight="1">
      <c r="A1669" t="s">
        <v>801</v>
      </c>
      <c r="B1669" t="s">
        <v>13</v>
      </c>
      <c r="C1669" t="s">
        <v>717</v>
      </c>
      <c r="D1669" t="s">
        <v>1142</v>
      </c>
      <c r="E1669" s="1">
        <v>45834</v>
      </c>
      <c r="F1669" s="1">
        <v>45834</v>
      </c>
      <c r="G1669" s="12">
        <v>1660.8500000000001</v>
      </c>
      <c r="H1669" s="2">
        <v>0</v>
      </c>
      <c r="I1669" s="2">
        <v>0</v>
      </c>
      <c r="J1669" s="2">
        <v>0</v>
      </c>
      <c r="K1669" s="20">
        <v>1660.8500000000001</v>
      </c>
      <c r="L1669" t="s">
        <v>794</v>
      </c>
      <c r="M1669">
        <f t="shared" si="26"/>
        <v>2025</v>
      </c>
    </row>
    <row r="1670" spans="1:13" ht="12.75" hidden="1" customHeight="1">
      <c r="A1670" t="s">
        <v>801</v>
      </c>
      <c r="B1670" t="s">
        <v>13</v>
      </c>
      <c r="C1670" t="s">
        <v>726</v>
      </c>
      <c r="D1670" t="s">
        <v>1142</v>
      </c>
      <c r="E1670" s="1">
        <v>45834</v>
      </c>
      <c r="F1670" s="1">
        <v>45834</v>
      </c>
      <c r="G1670" s="12">
        <v>2.04</v>
      </c>
      <c r="H1670" s="2">
        <v>0</v>
      </c>
      <c r="I1670" s="2">
        <v>0</v>
      </c>
      <c r="J1670" s="2">
        <v>0</v>
      </c>
      <c r="K1670" s="20">
        <v>2.04</v>
      </c>
      <c r="L1670" t="s">
        <v>794</v>
      </c>
      <c r="M1670">
        <f t="shared" si="26"/>
        <v>2025</v>
      </c>
    </row>
    <row r="1671" spans="1:13" ht="12.75" hidden="1" customHeight="1">
      <c r="A1671" t="s">
        <v>904</v>
      </c>
      <c r="B1671" t="s">
        <v>331</v>
      </c>
      <c r="C1671" t="s">
        <v>723</v>
      </c>
      <c r="D1671" t="s">
        <v>1142</v>
      </c>
      <c r="E1671" s="1">
        <v>45835</v>
      </c>
      <c r="F1671" s="1">
        <v>45835</v>
      </c>
      <c r="G1671" s="12">
        <v>966</v>
      </c>
      <c r="H1671" s="2">
        <v>0</v>
      </c>
      <c r="I1671" s="2">
        <v>0</v>
      </c>
      <c r="J1671" s="2">
        <v>0</v>
      </c>
      <c r="K1671" s="20">
        <v>966</v>
      </c>
      <c r="L1671" t="s">
        <v>794</v>
      </c>
      <c r="M1671">
        <f t="shared" si="26"/>
        <v>2025</v>
      </c>
    </row>
    <row r="1672" spans="1:13" ht="12.75" hidden="1" customHeight="1">
      <c r="A1672" t="s">
        <v>905</v>
      </c>
      <c r="B1672" t="s">
        <v>15</v>
      </c>
      <c r="C1672" t="s">
        <v>723</v>
      </c>
      <c r="D1672" t="s">
        <v>1142</v>
      </c>
      <c r="E1672" s="1">
        <v>45835</v>
      </c>
      <c r="F1672" s="1">
        <v>45835</v>
      </c>
      <c r="G1672" s="12">
        <v>80.540000000000006</v>
      </c>
      <c r="H1672" s="2">
        <v>0</v>
      </c>
      <c r="I1672" s="2">
        <v>0</v>
      </c>
      <c r="J1672" s="2">
        <v>0</v>
      </c>
      <c r="K1672" s="20">
        <v>80.540000000000006</v>
      </c>
      <c r="L1672" t="s">
        <v>794</v>
      </c>
      <c r="M1672">
        <f t="shared" si="26"/>
        <v>2025</v>
      </c>
    </row>
    <row r="1673" spans="1:13" ht="12.75" hidden="1" customHeight="1">
      <c r="A1673" t="s">
        <v>1173</v>
      </c>
      <c r="B1673" t="s">
        <v>45</v>
      </c>
      <c r="C1673" t="s">
        <v>139</v>
      </c>
      <c r="D1673" t="s">
        <v>1142</v>
      </c>
      <c r="E1673" s="1">
        <v>45835</v>
      </c>
      <c r="F1673" s="1">
        <v>45835</v>
      </c>
      <c r="G1673" s="12">
        <v>35.6</v>
      </c>
      <c r="H1673" s="2">
        <v>0</v>
      </c>
      <c r="I1673" s="2">
        <v>0</v>
      </c>
      <c r="J1673" s="2">
        <v>0</v>
      </c>
      <c r="K1673" s="20">
        <v>35.6</v>
      </c>
      <c r="L1673" t="s">
        <v>794</v>
      </c>
      <c r="M1673">
        <f t="shared" si="26"/>
        <v>2025</v>
      </c>
    </row>
    <row r="1674" spans="1:13" ht="12.75" hidden="1" customHeight="1">
      <c r="A1674" t="s">
        <v>831</v>
      </c>
      <c r="B1674" t="s">
        <v>90</v>
      </c>
      <c r="C1674" t="s">
        <v>141</v>
      </c>
      <c r="D1674" t="s">
        <v>1142</v>
      </c>
      <c r="E1674" s="1">
        <v>45835</v>
      </c>
      <c r="F1674" s="1">
        <v>45835</v>
      </c>
      <c r="G1674" s="12">
        <v>200</v>
      </c>
      <c r="H1674" s="2">
        <v>0</v>
      </c>
      <c r="I1674" s="2">
        <v>0</v>
      </c>
      <c r="J1674" s="2">
        <v>0</v>
      </c>
      <c r="K1674" s="20">
        <v>200</v>
      </c>
      <c r="L1674" t="s">
        <v>794</v>
      </c>
      <c r="M1674">
        <f t="shared" si="26"/>
        <v>2025</v>
      </c>
    </row>
    <row r="1675" spans="1:13" ht="12.75" hidden="1" customHeight="1">
      <c r="A1675" t="s">
        <v>801</v>
      </c>
      <c r="B1675" t="s">
        <v>13</v>
      </c>
      <c r="C1675" t="s">
        <v>726</v>
      </c>
      <c r="D1675" t="s">
        <v>1142</v>
      </c>
      <c r="E1675" s="1">
        <v>45835</v>
      </c>
      <c r="F1675" s="1">
        <v>45835</v>
      </c>
      <c r="G1675" s="12">
        <v>2.04</v>
      </c>
      <c r="H1675" s="2">
        <v>0</v>
      </c>
      <c r="I1675" s="2">
        <v>0</v>
      </c>
      <c r="J1675" s="2">
        <v>0</v>
      </c>
      <c r="K1675" s="20">
        <v>2.04</v>
      </c>
      <c r="L1675" t="s">
        <v>794</v>
      </c>
      <c r="M1675">
        <f t="shared" si="26"/>
        <v>2025</v>
      </c>
    </row>
    <row r="1676" spans="1:13" ht="12.75" hidden="1" customHeight="1">
      <c r="A1676" t="s">
        <v>836</v>
      </c>
      <c r="B1676" t="s">
        <v>262</v>
      </c>
      <c r="C1676" t="s">
        <v>141</v>
      </c>
      <c r="D1676" t="s">
        <v>1142</v>
      </c>
      <c r="E1676" s="1">
        <v>45838</v>
      </c>
      <c r="F1676" s="1">
        <v>45838</v>
      </c>
      <c r="G1676" s="12">
        <v>204</v>
      </c>
      <c r="H1676" s="2">
        <v>0</v>
      </c>
      <c r="I1676" s="2">
        <v>0</v>
      </c>
      <c r="J1676" s="2">
        <v>0</v>
      </c>
      <c r="K1676" s="20">
        <v>204</v>
      </c>
      <c r="L1676" t="s">
        <v>794</v>
      </c>
      <c r="M1676">
        <f t="shared" si="26"/>
        <v>2025</v>
      </c>
    </row>
    <row r="1677" spans="1:13" ht="12.75" hidden="1" customHeight="1">
      <c r="A1677" t="s">
        <v>856</v>
      </c>
      <c r="B1677" t="s">
        <v>379</v>
      </c>
      <c r="C1677" t="s">
        <v>141</v>
      </c>
      <c r="D1677" t="s">
        <v>1142</v>
      </c>
      <c r="E1677" s="1">
        <v>45838</v>
      </c>
      <c r="F1677" s="1">
        <v>45838</v>
      </c>
      <c r="G1677" s="12">
        <v>185.5</v>
      </c>
      <c r="H1677" s="2">
        <v>0</v>
      </c>
      <c r="I1677" s="2">
        <v>0</v>
      </c>
      <c r="J1677" s="2">
        <v>0</v>
      </c>
      <c r="K1677" s="20">
        <v>185.5</v>
      </c>
      <c r="L1677" t="s">
        <v>794</v>
      </c>
      <c r="M1677">
        <f t="shared" si="26"/>
        <v>2025</v>
      </c>
    </row>
    <row r="1678" spans="1:13" ht="12.75" hidden="1" customHeight="1">
      <c r="A1678" t="s">
        <v>889</v>
      </c>
      <c r="B1678" t="s">
        <v>89</v>
      </c>
      <c r="C1678" t="s">
        <v>723</v>
      </c>
      <c r="D1678" t="s">
        <v>1142</v>
      </c>
      <c r="E1678" s="1">
        <v>45838</v>
      </c>
      <c r="F1678" s="1">
        <v>45838</v>
      </c>
      <c r="G1678" s="12">
        <v>570</v>
      </c>
      <c r="H1678" s="2">
        <v>0</v>
      </c>
      <c r="I1678" s="2">
        <v>0</v>
      </c>
      <c r="J1678" s="2">
        <v>0</v>
      </c>
      <c r="K1678" s="20">
        <v>570</v>
      </c>
      <c r="L1678" t="s">
        <v>794</v>
      </c>
      <c r="M1678">
        <f t="shared" si="26"/>
        <v>2025</v>
      </c>
    </row>
    <row r="1679" spans="1:13" ht="12.75" hidden="1" customHeight="1">
      <c r="A1679" t="s">
        <v>851</v>
      </c>
      <c r="B1679" t="s">
        <v>402</v>
      </c>
      <c r="C1679" t="s">
        <v>139</v>
      </c>
      <c r="D1679" t="s">
        <v>1142</v>
      </c>
      <c r="E1679" s="1">
        <v>45838</v>
      </c>
      <c r="F1679" s="1">
        <v>45838</v>
      </c>
      <c r="G1679" s="12">
        <v>232</v>
      </c>
      <c r="H1679" s="2">
        <v>0</v>
      </c>
      <c r="I1679" s="2">
        <v>0</v>
      </c>
      <c r="J1679" s="2">
        <v>0</v>
      </c>
      <c r="K1679" s="20">
        <v>232</v>
      </c>
      <c r="L1679" t="s">
        <v>794</v>
      </c>
      <c r="M1679">
        <f t="shared" si="26"/>
        <v>2025</v>
      </c>
    </row>
    <row r="1680" spans="1:13" ht="12.75" hidden="1" customHeight="1">
      <c r="A1680" t="s">
        <v>801</v>
      </c>
      <c r="B1680" t="s">
        <v>68</v>
      </c>
      <c r="C1680" t="s">
        <v>139</v>
      </c>
      <c r="D1680" t="s">
        <v>1142</v>
      </c>
      <c r="E1680" s="1">
        <v>45838</v>
      </c>
      <c r="F1680" s="1">
        <v>45838</v>
      </c>
      <c r="G1680" s="12">
        <v>306.8</v>
      </c>
      <c r="H1680" s="2">
        <v>0</v>
      </c>
      <c r="I1680" s="2">
        <v>0</v>
      </c>
      <c r="J1680" s="2">
        <v>0</v>
      </c>
      <c r="K1680" s="20">
        <v>306.8</v>
      </c>
      <c r="L1680" t="s">
        <v>794</v>
      </c>
      <c r="M1680">
        <f t="shared" si="26"/>
        <v>2025</v>
      </c>
    </row>
    <row r="1681" spans="1:13" ht="12.75" hidden="1" customHeight="1">
      <c r="A1681" t="s">
        <v>836</v>
      </c>
      <c r="B1681" t="s">
        <v>262</v>
      </c>
      <c r="C1681" t="s">
        <v>139</v>
      </c>
      <c r="D1681" t="s">
        <v>1142</v>
      </c>
      <c r="E1681" s="1">
        <v>45838</v>
      </c>
      <c r="F1681" s="1">
        <v>45838</v>
      </c>
      <c r="G1681" s="12">
        <v>339.25</v>
      </c>
      <c r="H1681" s="2">
        <v>0</v>
      </c>
      <c r="I1681" s="2">
        <v>0</v>
      </c>
      <c r="J1681" s="2">
        <v>0</v>
      </c>
      <c r="K1681" s="20">
        <v>339.25</v>
      </c>
      <c r="L1681" t="s">
        <v>794</v>
      </c>
      <c r="M1681">
        <f t="shared" si="26"/>
        <v>2025</v>
      </c>
    </row>
    <row r="1682" spans="1:13" ht="12.75" hidden="1" customHeight="1">
      <c r="A1682" t="s">
        <v>1076</v>
      </c>
      <c r="B1682" t="s">
        <v>188</v>
      </c>
      <c r="C1682" t="s">
        <v>139</v>
      </c>
      <c r="D1682" t="s">
        <v>1142</v>
      </c>
      <c r="E1682" s="1">
        <v>45838</v>
      </c>
      <c r="F1682" s="1">
        <v>45838</v>
      </c>
      <c r="G1682" s="12">
        <v>278.40000000000003</v>
      </c>
      <c r="H1682" s="2">
        <v>0</v>
      </c>
      <c r="I1682" s="2">
        <v>0</v>
      </c>
      <c r="J1682" s="2">
        <v>0</v>
      </c>
      <c r="K1682" s="20">
        <v>278.40000000000003</v>
      </c>
      <c r="L1682" t="s">
        <v>794</v>
      </c>
      <c r="M1682">
        <f t="shared" si="26"/>
        <v>2025</v>
      </c>
    </row>
    <row r="1683" spans="1:13" ht="12.75" hidden="1" customHeight="1">
      <c r="A1683" t="s">
        <v>1030</v>
      </c>
      <c r="B1683" t="s">
        <v>1031</v>
      </c>
      <c r="C1683" t="s">
        <v>139</v>
      </c>
      <c r="D1683" t="s">
        <v>1142</v>
      </c>
      <c r="E1683" s="1">
        <v>45838</v>
      </c>
      <c r="F1683" s="1">
        <v>45838</v>
      </c>
      <c r="G1683" s="12">
        <v>469.2</v>
      </c>
      <c r="H1683" s="2">
        <v>0</v>
      </c>
      <c r="I1683" s="2">
        <v>0</v>
      </c>
      <c r="J1683" s="2">
        <v>0</v>
      </c>
      <c r="K1683" s="20">
        <v>469.2</v>
      </c>
      <c r="L1683" t="s">
        <v>794</v>
      </c>
      <c r="M1683">
        <f t="shared" si="26"/>
        <v>2025</v>
      </c>
    </row>
    <row r="1684" spans="1:13" ht="12.75" hidden="1" customHeight="1">
      <c r="A1684" t="s">
        <v>950</v>
      </c>
      <c r="B1684" t="s">
        <v>951</v>
      </c>
      <c r="C1684" t="s">
        <v>139</v>
      </c>
      <c r="D1684" t="s">
        <v>1142</v>
      </c>
      <c r="E1684" s="1">
        <v>45838</v>
      </c>
      <c r="F1684" s="1">
        <v>45838</v>
      </c>
      <c r="G1684" s="12">
        <v>543.4</v>
      </c>
      <c r="H1684" s="2">
        <v>0</v>
      </c>
      <c r="I1684" s="2">
        <v>0</v>
      </c>
      <c r="J1684" s="2">
        <v>0</v>
      </c>
      <c r="K1684" s="20">
        <v>543.4</v>
      </c>
      <c r="L1684" t="s">
        <v>794</v>
      </c>
      <c r="M1684">
        <f t="shared" si="26"/>
        <v>2025</v>
      </c>
    </row>
    <row r="1685" spans="1:13" ht="12.75" hidden="1" customHeight="1">
      <c r="A1685" t="s">
        <v>905</v>
      </c>
      <c r="B1685" t="s">
        <v>15</v>
      </c>
      <c r="C1685" t="s">
        <v>715</v>
      </c>
      <c r="D1685" t="s">
        <v>1142</v>
      </c>
      <c r="E1685" s="1">
        <v>45838</v>
      </c>
      <c r="F1685" s="1">
        <v>45838</v>
      </c>
      <c r="G1685" s="12">
        <v>678.64</v>
      </c>
      <c r="H1685" s="2">
        <v>0</v>
      </c>
      <c r="I1685" s="2">
        <v>0</v>
      </c>
      <c r="J1685" s="2">
        <v>0</v>
      </c>
      <c r="K1685" s="20">
        <v>678.64</v>
      </c>
      <c r="L1685" t="s">
        <v>794</v>
      </c>
      <c r="M1685">
        <f t="shared" si="26"/>
        <v>2025</v>
      </c>
    </row>
    <row r="1686" spans="1:13" ht="12.75" hidden="1" customHeight="1">
      <c r="A1686" t="s">
        <v>1109</v>
      </c>
      <c r="B1686" t="s">
        <v>82</v>
      </c>
      <c r="C1686" t="s">
        <v>732</v>
      </c>
      <c r="D1686" t="s">
        <v>1142</v>
      </c>
      <c r="E1686" s="1">
        <v>45838</v>
      </c>
      <c r="F1686" s="1">
        <v>45838</v>
      </c>
      <c r="G1686" s="12">
        <v>3136.14</v>
      </c>
      <c r="H1686" s="2">
        <v>0</v>
      </c>
      <c r="I1686" s="2">
        <v>0</v>
      </c>
      <c r="J1686" s="2">
        <v>0</v>
      </c>
      <c r="K1686" s="20">
        <v>3136.14</v>
      </c>
      <c r="L1686" t="s">
        <v>794</v>
      </c>
      <c r="M1686">
        <f t="shared" si="26"/>
        <v>2025</v>
      </c>
    </row>
    <row r="1687" spans="1:13" ht="12.75" hidden="1" customHeight="1">
      <c r="A1687" t="s">
        <v>845</v>
      </c>
      <c r="B1687" t="s">
        <v>112</v>
      </c>
      <c r="C1687" t="s">
        <v>729</v>
      </c>
      <c r="D1687" t="s">
        <v>1142</v>
      </c>
      <c r="E1687" s="1">
        <v>45838</v>
      </c>
      <c r="F1687" s="1">
        <v>45838</v>
      </c>
      <c r="G1687" s="12">
        <v>1955.45</v>
      </c>
      <c r="H1687" s="2">
        <v>0</v>
      </c>
      <c r="I1687" s="2">
        <v>0</v>
      </c>
      <c r="J1687" s="2">
        <v>0</v>
      </c>
      <c r="K1687" s="20">
        <v>1955.45</v>
      </c>
      <c r="L1687" t="s">
        <v>794</v>
      </c>
      <c r="M1687">
        <f t="shared" si="26"/>
        <v>2025</v>
      </c>
    </row>
    <row r="1688" spans="1:13" ht="12.75" hidden="1" customHeight="1">
      <c r="A1688" t="s">
        <v>839</v>
      </c>
      <c r="B1688" t="s">
        <v>26</v>
      </c>
      <c r="C1688" t="s">
        <v>139</v>
      </c>
      <c r="D1688" t="s">
        <v>1142</v>
      </c>
      <c r="E1688" s="1">
        <v>45838</v>
      </c>
      <c r="F1688" s="1">
        <v>45838</v>
      </c>
      <c r="G1688" s="12">
        <v>5929.8</v>
      </c>
      <c r="H1688" s="2">
        <v>0</v>
      </c>
      <c r="I1688" s="2">
        <v>0</v>
      </c>
      <c r="J1688" s="2">
        <v>0</v>
      </c>
      <c r="K1688" s="20">
        <v>5929.8</v>
      </c>
      <c r="L1688" t="s">
        <v>794</v>
      </c>
      <c r="M1688">
        <f t="shared" si="26"/>
        <v>2025</v>
      </c>
    </row>
    <row r="1689" spans="1:13" ht="12.75" hidden="1" customHeight="1">
      <c r="A1689" t="s">
        <v>930</v>
      </c>
      <c r="B1689" t="s">
        <v>473</v>
      </c>
      <c r="C1689" t="s">
        <v>491</v>
      </c>
      <c r="D1689" t="s">
        <v>1142</v>
      </c>
      <c r="E1689" s="1">
        <v>45838</v>
      </c>
      <c r="F1689" s="1">
        <v>45838</v>
      </c>
      <c r="G1689" s="12">
        <v>43.47</v>
      </c>
      <c r="H1689" s="2">
        <v>0</v>
      </c>
      <c r="I1689" s="2">
        <v>0</v>
      </c>
      <c r="J1689" s="2">
        <v>0</v>
      </c>
      <c r="K1689" s="20">
        <v>43.47</v>
      </c>
      <c r="L1689" t="s">
        <v>794</v>
      </c>
      <c r="M1689">
        <f t="shared" si="26"/>
        <v>2025</v>
      </c>
    </row>
    <row r="1690" spans="1:13" ht="12.75" hidden="1" customHeight="1">
      <c r="A1690" t="s">
        <v>840</v>
      </c>
      <c r="B1690" t="s">
        <v>46</v>
      </c>
      <c r="C1690" t="s">
        <v>139</v>
      </c>
      <c r="D1690" t="s">
        <v>1142</v>
      </c>
      <c r="E1690" s="1">
        <v>45838</v>
      </c>
      <c r="F1690" s="1">
        <v>45838</v>
      </c>
      <c r="G1690" s="12">
        <v>290</v>
      </c>
      <c r="H1690" s="2">
        <v>0</v>
      </c>
      <c r="I1690" s="2">
        <v>0</v>
      </c>
      <c r="J1690" s="2">
        <v>0</v>
      </c>
      <c r="K1690" s="20">
        <v>290</v>
      </c>
      <c r="L1690" t="s">
        <v>794</v>
      </c>
      <c r="M1690">
        <f t="shared" si="26"/>
        <v>2025</v>
      </c>
    </row>
    <row r="1691" spans="1:13" ht="12.75" hidden="1" customHeight="1">
      <c r="A1691" t="s">
        <v>911</v>
      </c>
      <c r="B1691" t="s">
        <v>311</v>
      </c>
      <c r="C1691" t="s">
        <v>755</v>
      </c>
      <c r="D1691" t="s">
        <v>1142</v>
      </c>
      <c r="E1691" s="1">
        <v>45838</v>
      </c>
      <c r="F1691" s="1">
        <v>45838</v>
      </c>
      <c r="G1691" s="12">
        <v>268.61</v>
      </c>
      <c r="H1691" s="2">
        <v>0</v>
      </c>
      <c r="I1691" s="2">
        <v>0</v>
      </c>
      <c r="J1691" s="2">
        <v>0</v>
      </c>
      <c r="K1691" s="20">
        <v>268.61</v>
      </c>
      <c r="L1691" t="s">
        <v>794</v>
      </c>
      <c r="M1691">
        <f t="shared" si="26"/>
        <v>2025</v>
      </c>
    </row>
    <row r="1692" spans="1:13" ht="12.75" hidden="1" customHeight="1">
      <c r="A1692" t="s">
        <v>1138</v>
      </c>
      <c r="B1692" t="s">
        <v>104</v>
      </c>
      <c r="C1692" t="s">
        <v>141</v>
      </c>
      <c r="D1692" t="s">
        <v>1142</v>
      </c>
      <c r="E1692" s="1">
        <v>45838</v>
      </c>
      <c r="F1692" s="1">
        <v>45838</v>
      </c>
      <c r="G1692" s="12">
        <v>1100</v>
      </c>
      <c r="H1692" s="2">
        <v>0</v>
      </c>
      <c r="I1692" s="2">
        <v>0</v>
      </c>
      <c r="J1692" s="2">
        <v>0</v>
      </c>
      <c r="K1692" s="20">
        <v>1100</v>
      </c>
      <c r="L1692" t="s">
        <v>794</v>
      </c>
      <c r="M1692">
        <f t="shared" si="26"/>
        <v>2025</v>
      </c>
    </row>
    <row r="1693" spans="1:13" ht="12.75" hidden="1" customHeight="1">
      <c r="A1693" t="s">
        <v>907</v>
      </c>
      <c r="B1693" t="s">
        <v>291</v>
      </c>
      <c r="C1693" t="s">
        <v>681</v>
      </c>
      <c r="D1693" t="s">
        <v>1142</v>
      </c>
      <c r="E1693" s="1">
        <v>45826</v>
      </c>
      <c r="F1693" s="1">
        <v>45838</v>
      </c>
      <c r="G1693" s="12">
        <v>26.69</v>
      </c>
      <c r="H1693" s="2">
        <v>0</v>
      </c>
      <c r="I1693" s="2">
        <v>0</v>
      </c>
      <c r="J1693" s="2">
        <v>0</v>
      </c>
      <c r="K1693" s="20">
        <v>26.69</v>
      </c>
      <c r="L1693" t="s">
        <v>794</v>
      </c>
      <c r="M1693">
        <f t="shared" si="26"/>
        <v>2025</v>
      </c>
    </row>
    <row r="1694" spans="1:13" ht="12.75" hidden="1" customHeight="1">
      <c r="A1694" t="s">
        <v>1176</v>
      </c>
      <c r="B1694" t="s">
        <v>106</v>
      </c>
      <c r="C1694" t="s">
        <v>200</v>
      </c>
      <c r="D1694" t="s">
        <v>1142</v>
      </c>
      <c r="E1694" s="1">
        <v>45826</v>
      </c>
      <c r="F1694" s="1">
        <v>45838</v>
      </c>
      <c r="G1694" s="12">
        <v>320</v>
      </c>
      <c r="H1694" s="2">
        <v>0</v>
      </c>
      <c r="I1694" s="2">
        <v>0</v>
      </c>
      <c r="J1694" s="2">
        <v>0</v>
      </c>
      <c r="K1694" s="20">
        <v>320</v>
      </c>
      <c r="L1694" t="s">
        <v>794</v>
      </c>
      <c r="M1694">
        <f t="shared" si="26"/>
        <v>2025</v>
      </c>
    </row>
    <row r="1695" spans="1:13" ht="12.75" hidden="1" customHeight="1">
      <c r="A1695" t="s">
        <v>1177</v>
      </c>
      <c r="B1695" t="s">
        <v>639</v>
      </c>
      <c r="C1695" t="s">
        <v>773</v>
      </c>
      <c r="D1695" t="s">
        <v>1142</v>
      </c>
      <c r="E1695" s="1">
        <v>45813</v>
      </c>
      <c r="F1695" s="1">
        <v>45838</v>
      </c>
      <c r="G1695" s="12">
        <v>8.61</v>
      </c>
      <c r="H1695" s="2">
        <v>0</v>
      </c>
      <c r="I1695" s="2">
        <v>0</v>
      </c>
      <c r="J1695" s="2">
        <v>0</v>
      </c>
      <c r="K1695" s="20">
        <v>8.61</v>
      </c>
      <c r="L1695" t="s">
        <v>794</v>
      </c>
      <c r="M1695">
        <f t="shared" si="26"/>
        <v>2025</v>
      </c>
    </row>
    <row r="1696" spans="1:13" ht="12.75" hidden="1" customHeight="1">
      <c r="A1696" t="s">
        <v>905</v>
      </c>
      <c r="B1696" t="s">
        <v>15</v>
      </c>
      <c r="C1696" t="s">
        <v>727</v>
      </c>
      <c r="D1696" t="s">
        <v>1142</v>
      </c>
      <c r="E1696" s="1">
        <v>45835</v>
      </c>
      <c r="F1696" s="1">
        <v>45838</v>
      </c>
      <c r="G1696" s="12">
        <v>3192.41</v>
      </c>
      <c r="H1696" s="2">
        <v>0</v>
      </c>
      <c r="I1696" s="2">
        <v>0</v>
      </c>
      <c r="J1696" s="2">
        <v>0</v>
      </c>
      <c r="K1696" s="20">
        <v>3192.41</v>
      </c>
      <c r="L1696" t="s">
        <v>794</v>
      </c>
      <c r="M1696">
        <f t="shared" si="26"/>
        <v>2025</v>
      </c>
    </row>
    <row r="1697" spans="1:13" ht="12.75" hidden="1" customHeight="1">
      <c r="A1697" t="s">
        <v>1104</v>
      </c>
      <c r="B1697" t="s">
        <v>53</v>
      </c>
      <c r="C1697" t="s">
        <v>749</v>
      </c>
      <c r="D1697" t="s">
        <v>1142</v>
      </c>
      <c r="E1697" s="1">
        <v>45838</v>
      </c>
      <c r="F1697" s="1">
        <v>45838</v>
      </c>
      <c r="G1697" s="12">
        <v>61.25</v>
      </c>
      <c r="H1697" s="2">
        <v>0</v>
      </c>
      <c r="I1697" s="2">
        <v>0</v>
      </c>
      <c r="J1697" s="2">
        <v>0</v>
      </c>
      <c r="K1697" s="20">
        <v>61.25</v>
      </c>
      <c r="L1697" t="s">
        <v>794</v>
      </c>
      <c r="M1697">
        <f t="shared" si="26"/>
        <v>2025</v>
      </c>
    </row>
    <row r="1698" spans="1:13" ht="12.75" hidden="1" customHeight="1">
      <c r="A1698" t="s">
        <v>921</v>
      </c>
      <c r="B1698" t="s">
        <v>184</v>
      </c>
      <c r="C1698" t="s">
        <v>483</v>
      </c>
      <c r="D1698" t="s">
        <v>1142</v>
      </c>
      <c r="E1698" s="1">
        <v>45838</v>
      </c>
      <c r="F1698" s="1">
        <v>45838</v>
      </c>
      <c r="G1698" s="12">
        <v>4.5</v>
      </c>
      <c r="H1698" s="2">
        <v>0</v>
      </c>
      <c r="I1698" s="2">
        <v>0</v>
      </c>
      <c r="J1698" s="2">
        <v>0</v>
      </c>
      <c r="K1698" s="20">
        <v>4.5</v>
      </c>
      <c r="L1698" t="s">
        <v>794</v>
      </c>
      <c r="M1698">
        <f t="shared" si="26"/>
        <v>2025</v>
      </c>
    </row>
    <row r="1699" spans="1:13" ht="12.75" hidden="1" customHeight="1">
      <c r="A1699" t="s">
        <v>1138</v>
      </c>
      <c r="B1699" t="s">
        <v>104</v>
      </c>
      <c r="C1699" t="s">
        <v>141</v>
      </c>
      <c r="D1699" t="s">
        <v>1142</v>
      </c>
      <c r="E1699" s="1">
        <v>45838</v>
      </c>
      <c r="F1699" s="1">
        <v>45838</v>
      </c>
      <c r="G1699" s="12">
        <v>236</v>
      </c>
      <c r="H1699" s="2">
        <v>0</v>
      </c>
      <c r="I1699" s="2">
        <v>0</v>
      </c>
      <c r="J1699" s="2">
        <v>0</v>
      </c>
      <c r="K1699" s="20">
        <v>236</v>
      </c>
      <c r="L1699" t="s">
        <v>794</v>
      </c>
      <c r="M1699">
        <f t="shared" si="26"/>
        <v>2025</v>
      </c>
    </row>
    <row r="1700" spans="1:13" ht="12.75" hidden="1" customHeight="1">
      <c r="A1700" t="s">
        <v>1108</v>
      </c>
      <c r="B1700" t="s">
        <v>328</v>
      </c>
      <c r="C1700" t="s">
        <v>681</v>
      </c>
      <c r="D1700" t="s">
        <v>1142</v>
      </c>
      <c r="E1700" s="1">
        <v>45838</v>
      </c>
      <c r="F1700" s="1">
        <v>45838</v>
      </c>
      <c r="G1700" s="12">
        <v>99.7</v>
      </c>
      <c r="H1700" s="2">
        <v>0</v>
      </c>
      <c r="I1700" s="2">
        <v>0</v>
      </c>
      <c r="J1700" s="2">
        <v>0</v>
      </c>
      <c r="K1700" s="20">
        <v>99.7</v>
      </c>
      <c r="L1700" t="s">
        <v>794</v>
      </c>
      <c r="M1700">
        <f t="shared" si="26"/>
        <v>2025</v>
      </c>
    </row>
    <row r="1701" spans="1:13" ht="12.75" hidden="1" customHeight="1">
      <c r="A1701" t="s">
        <v>907</v>
      </c>
      <c r="B1701" t="s">
        <v>291</v>
      </c>
      <c r="C1701" t="s">
        <v>483</v>
      </c>
      <c r="D1701" t="s">
        <v>1142</v>
      </c>
      <c r="E1701" s="1">
        <v>45838</v>
      </c>
      <c r="F1701" s="1">
        <v>45838</v>
      </c>
      <c r="G1701" s="12">
        <v>6.78</v>
      </c>
      <c r="H1701" s="2">
        <v>0</v>
      </c>
      <c r="I1701" s="2">
        <v>0</v>
      </c>
      <c r="J1701" s="2">
        <v>0</v>
      </c>
      <c r="K1701" s="20">
        <v>6.78</v>
      </c>
      <c r="L1701" t="s">
        <v>794</v>
      </c>
      <c r="M1701">
        <f t="shared" si="26"/>
        <v>2025</v>
      </c>
    </row>
    <row r="1702" spans="1:13" ht="12.75" hidden="1" customHeight="1">
      <c r="A1702" t="s">
        <v>818</v>
      </c>
      <c r="B1702" t="s">
        <v>30</v>
      </c>
      <c r="C1702" t="s">
        <v>141</v>
      </c>
      <c r="D1702" t="s">
        <v>1142</v>
      </c>
      <c r="E1702" s="1">
        <v>45838</v>
      </c>
      <c r="F1702" s="1">
        <v>45838</v>
      </c>
      <c r="G1702" s="12">
        <v>394</v>
      </c>
      <c r="H1702" s="2">
        <v>0</v>
      </c>
      <c r="I1702" s="2">
        <v>0</v>
      </c>
      <c r="J1702" s="2">
        <v>0</v>
      </c>
      <c r="K1702" s="20">
        <v>394</v>
      </c>
      <c r="L1702" t="s">
        <v>794</v>
      </c>
      <c r="M1702">
        <f t="shared" si="26"/>
        <v>2025</v>
      </c>
    </row>
    <row r="1703" spans="1:13" ht="12.75" hidden="1" customHeight="1">
      <c r="A1703" t="s">
        <v>810</v>
      </c>
      <c r="B1703" t="s">
        <v>54</v>
      </c>
      <c r="C1703" t="s">
        <v>141</v>
      </c>
      <c r="D1703" t="s">
        <v>1142</v>
      </c>
      <c r="E1703" s="1">
        <v>45838</v>
      </c>
      <c r="F1703" s="1">
        <v>45838</v>
      </c>
      <c r="G1703" s="12">
        <v>66</v>
      </c>
      <c r="H1703" s="2">
        <v>0</v>
      </c>
      <c r="I1703" s="2">
        <v>0</v>
      </c>
      <c r="J1703" s="2">
        <v>0</v>
      </c>
      <c r="K1703" s="20">
        <v>66</v>
      </c>
      <c r="L1703" t="s">
        <v>794</v>
      </c>
      <c r="M1703">
        <f t="shared" si="26"/>
        <v>2025</v>
      </c>
    </row>
    <row r="1704" spans="1:13" ht="12.75" hidden="1" customHeight="1">
      <c r="A1704" t="s">
        <v>811</v>
      </c>
      <c r="B1704" t="s">
        <v>39</v>
      </c>
      <c r="C1704" t="s">
        <v>141</v>
      </c>
      <c r="D1704" t="s">
        <v>1142</v>
      </c>
      <c r="E1704" s="1">
        <v>45838</v>
      </c>
      <c r="F1704" s="1">
        <v>45838</v>
      </c>
      <c r="G1704" s="12">
        <v>36</v>
      </c>
      <c r="H1704" s="2">
        <v>0</v>
      </c>
      <c r="I1704" s="2">
        <v>0</v>
      </c>
      <c r="J1704" s="2">
        <v>0</v>
      </c>
      <c r="K1704" s="20">
        <v>36</v>
      </c>
      <c r="L1704" t="s">
        <v>794</v>
      </c>
      <c r="M1704">
        <f t="shared" si="26"/>
        <v>2025</v>
      </c>
    </row>
    <row r="1705" spans="1:13" ht="12.75" hidden="1" customHeight="1">
      <c r="A1705" t="s">
        <v>812</v>
      </c>
      <c r="B1705" t="s">
        <v>31</v>
      </c>
      <c r="C1705" t="s">
        <v>141</v>
      </c>
      <c r="D1705" t="s">
        <v>1142</v>
      </c>
      <c r="E1705" s="1">
        <v>45838</v>
      </c>
      <c r="F1705" s="1">
        <v>45838</v>
      </c>
      <c r="G1705" s="12">
        <v>40</v>
      </c>
      <c r="H1705" s="2">
        <v>0</v>
      </c>
      <c r="I1705" s="2">
        <v>0</v>
      </c>
      <c r="J1705" s="2">
        <v>0</v>
      </c>
      <c r="K1705" s="20">
        <v>40</v>
      </c>
      <c r="L1705" t="s">
        <v>794</v>
      </c>
      <c r="M1705">
        <f t="shared" si="26"/>
        <v>2025</v>
      </c>
    </row>
    <row r="1706" spans="1:13" ht="12.75" hidden="1" customHeight="1">
      <c r="A1706" t="s">
        <v>896</v>
      </c>
      <c r="B1706" t="s">
        <v>293</v>
      </c>
      <c r="C1706" t="s">
        <v>733</v>
      </c>
      <c r="D1706" t="s">
        <v>1178</v>
      </c>
      <c r="E1706" s="1">
        <v>45841</v>
      </c>
      <c r="F1706" s="1">
        <v>45841</v>
      </c>
      <c r="G1706" s="12">
        <v>61.660000000000004</v>
      </c>
      <c r="H1706" s="2">
        <v>0</v>
      </c>
      <c r="I1706" s="2">
        <v>0</v>
      </c>
      <c r="J1706" s="2">
        <v>0</v>
      </c>
      <c r="K1706" s="20">
        <v>61.660000000000004</v>
      </c>
      <c r="L1706" t="s">
        <v>794</v>
      </c>
      <c r="M1706">
        <f t="shared" si="26"/>
        <v>2025</v>
      </c>
    </row>
    <row r="1707" spans="1:13" ht="12.75" hidden="1" customHeight="1">
      <c r="A1707" t="s">
        <v>808</v>
      </c>
      <c r="B1707" t="s">
        <v>154</v>
      </c>
      <c r="C1707" t="s">
        <v>693</v>
      </c>
      <c r="D1707" t="s">
        <v>1178</v>
      </c>
      <c r="E1707" s="1">
        <v>45842</v>
      </c>
      <c r="F1707" s="1">
        <v>45842</v>
      </c>
      <c r="G1707" s="12">
        <v>300</v>
      </c>
      <c r="H1707" s="2">
        <v>0</v>
      </c>
      <c r="I1707" s="2">
        <v>0</v>
      </c>
      <c r="J1707" s="2">
        <v>0</v>
      </c>
      <c r="K1707" s="20">
        <v>300</v>
      </c>
      <c r="L1707" t="s">
        <v>794</v>
      </c>
      <c r="M1707">
        <f t="shared" si="26"/>
        <v>2025</v>
      </c>
    </row>
    <row r="1708" spans="1:13" ht="12.75" hidden="1" customHeight="1">
      <c r="A1708" t="s">
        <v>992</v>
      </c>
      <c r="B1708" t="s">
        <v>277</v>
      </c>
      <c r="C1708" t="s">
        <v>646</v>
      </c>
      <c r="D1708" t="s">
        <v>1178</v>
      </c>
      <c r="E1708" s="1">
        <v>45843</v>
      </c>
      <c r="F1708" s="1">
        <v>45843</v>
      </c>
      <c r="G1708" s="12">
        <v>17.900000000000002</v>
      </c>
      <c r="H1708" s="2">
        <v>0</v>
      </c>
      <c r="I1708" s="2">
        <v>0</v>
      </c>
      <c r="J1708" s="2">
        <v>0</v>
      </c>
      <c r="K1708" s="20">
        <v>17.900000000000002</v>
      </c>
      <c r="L1708" t="s">
        <v>794</v>
      </c>
      <c r="M1708">
        <f t="shared" si="26"/>
        <v>2025</v>
      </c>
    </row>
    <row r="1709" spans="1:13" ht="12.75" hidden="1" customHeight="1">
      <c r="A1709" t="s">
        <v>811</v>
      </c>
      <c r="B1709" t="s">
        <v>39</v>
      </c>
      <c r="C1709" t="s">
        <v>723</v>
      </c>
      <c r="D1709" t="s">
        <v>1178</v>
      </c>
      <c r="E1709" s="1">
        <v>45843</v>
      </c>
      <c r="F1709" s="1">
        <v>45843</v>
      </c>
      <c r="G1709" s="12">
        <v>600</v>
      </c>
      <c r="H1709" s="2">
        <v>0</v>
      </c>
      <c r="I1709" s="2">
        <v>0</v>
      </c>
      <c r="J1709" s="2">
        <v>0</v>
      </c>
      <c r="K1709" s="20">
        <v>600</v>
      </c>
      <c r="L1709" t="s">
        <v>794</v>
      </c>
      <c r="M1709">
        <f t="shared" si="26"/>
        <v>2025</v>
      </c>
    </row>
    <row r="1710" spans="1:13" ht="12.75" hidden="1" customHeight="1">
      <c r="A1710" t="s">
        <v>812</v>
      </c>
      <c r="B1710" t="s">
        <v>31</v>
      </c>
      <c r="C1710" t="s">
        <v>141</v>
      </c>
      <c r="D1710" t="s">
        <v>1178</v>
      </c>
      <c r="E1710" s="1">
        <v>45845</v>
      </c>
      <c r="F1710" s="1">
        <v>45845</v>
      </c>
      <c r="G1710" s="12">
        <v>120</v>
      </c>
      <c r="H1710" s="2">
        <v>0</v>
      </c>
      <c r="I1710" s="2">
        <v>0</v>
      </c>
      <c r="J1710" s="2">
        <v>0</v>
      </c>
      <c r="K1710" s="20">
        <v>120</v>
      </c>
      <c r="L1710" t="s">
        <v>794</v>
      </c>
      <c r="M1710">
        <f t="shared" si="26"/>
        <v>2025</v>
      </c>
    </row>
    <row r="1711" spans="1:13" ht="12.75" hidden="1" customHeight="1">
      <c r="A1711" t="s">
        <v>811</v>
      </c>
      <c r="B1711" t="s">
        <v>39</v>
      </c>
      <c r="C1711" t="s">
        <v>141</v>
      </c>
      <c r="D1711" t="s">
        <v>1178</v>
      </c>
      <c r="E1711" s="1">
        <v>45845</v>
      </c>
      <c r="F1711" s="1">
        <v>45845</v>
      </c>
      <c r="G1711" s="12">
        <v>36</v>
      </c>
      <c r="H1711" s="2">
        <v>0</v>
      </c>
      <c r="I1711" s="2">
        <v>0</v>
      </c>
      <c r="J1711" s="2">
        <v>0</v>
      </c>
      <c r="K1711" s="20">
        <v>36</v>
      </c>
      <c r="L1711" t="s">
        <v>794</v>
      </c>
      <c r="M1711">
        <f t="shared" si="26"/>
        <v>2025</v>
      </c>
    </row>
    <row r="1712" spans="1:13" ht="12.75" hidden="1" customHeight="1">
      <c r="A1712" t="s">
        <v>810</v>
      </c>
      <c r="B1712" t="s">
        <v>54</v>
      </c>
      <c r="C1712" t="s">
        <v>141</v>
      </c>
      <c r="D1712" t="s">
        <v>1178</v>
      </c>
      <c r="E1712" s="1">
        <v>45845</v>
      </c>
      <c r="F1712" s="1">
        <v>45845</v>
      </c>
      <c r="G1712" s="12">
        <v>80</v>
      </c>
      <c r="H1712" s="2">
        <v>0</v>
      </c>
      <c r="I1712" s="2">
        <v>0</v>
      </c>
      <c r="J1712" s="2">
        <v>0</v>
      </c>
      <c r="K1712" s="20">
        <v>80</v>
      </c>
      <c r="L1712" t="s">
        <v>794</v>
      </c>
      <c r="M1712">
        <f t="shared" si="26"/>
        <v>2025</v>
      </c>
    </row>
    <row r="1713" spans="1:13" ht="12.75" hidden="1" customHeight="1">
      <c r="A1713" t="s">
        <v>1009</v>
      </c>
      <c r="B1713" t="s">
        <v>62</v>
      </c>
      <c r="C1713" t="s">
        <v>141</v>
      </c>
      <c r="D1713" t="s">
        <v>1178</v>
      </c>
      <c r="E1713" s="1">
        <v>45845</v>
      </c>
      <c r="F1713" s="1">
        <v>45845</v>
      </c>
      <c r="G1713" s="12">
        <v>40</v>
      </c>
      <c r="H1713" s="2">
        <v>0</v>
      </c>
      <c r="I1713" s="2">
        <v>0</v>
      </c>
      <c r="J1713" s="2">
        <v>0</v>
      </c>
      <c r="K1713" s="20">
        <v>40</v>
      </c>
      <c r="L1713" t="s">
        <v>794</v>
      </c>
      <c r="M1713">
        <f t="shared" si="26"/>
        <v>2025</v>
      </c>
    </row>
    <row r="1714" spans="1:13" ht="12.75" hidden="1" customHeight="1">
      <c r="A1714" t="s">
        <v>1138</v>
      </c>
      <c r="B1714" t="s">
        <v>104</v>
      </c>
      <c r="C1714" t="s">
        <v>141</v>
      </c>
      <c r="D1714" t="s">
        <v>1178</v>
      </c>
      <c r="E1714" s="1">
        <v>45845</v>
      </c>
      <c r="F1714" s="1">
        <v>45845</v>
      </c>
      <c r="G1714" s="12">
        <v>110</v>
      </c>
      <c r="H1714" s="2">
        <v>0</v>
      </c>
      <c r="I1714" s="2">
        <v>0</v>
      </c>
      <c r="J1714" s="2">
        <v>0</v>
      </c>
      <c r="K1714" s="20">
        <v>110</v>
      </c>
      <c r="L1714" t="s">
        <v>794</v>
      </c>
      <c r="M1714">
        <f t="shared" si="26"/>
        <v>2025</v>
      </c>
    </row>
    <row r="1715" spans="1:13" ht="12.75" hidden="1" customHeight="1">
      <c r="A1715" t="s">
        <v>902</v>
      </c>
      <c r="B1715" t="s">
        <v>561</v>
      </c>
      <c r="C1715" t="s">
        <v>647</v>
      </c>
      <c r="D1715" t="s">
        <v>1178</v>
      </c>
      <c r="E1715" s="1">
        <v>45845</v>
      </c>
      <c r="F1715" s="1">
        <v>45845</v>
      </c>
      <c r="G1715" s="12">
        <v>24.990000000000002</v>
      </c>
      <c r="H1715" s="2">
        <v>0</v>
      </c>
      <c r="I1715" s="2">
        <v>0</v>
      </c>
      <c r="J1715" s="2">
        <v>0</v>
      </c>
      <c r="K1715" s="20">
        <v>24.990000000000002</v>
      </c>
      <c r="L1715" t="s">
        <v>794</v>
      </c>
      <c r="M1715">
        <f t="shared" si="26"/>
        <v>2025</v>
      </c>
    </row>
    <row r="1716" spans="1:13" ht="12.75" hidden="1" customHeight="1">
      <c r="A1716" t="s">
        <v>981</v>
      </c>
      <c r="B1716" t="s">
        <v>55</v>
      </c>
      <c r="C1716" t="s">
        <v>99</v>
      </c>
      <c r="D1716" t="s">
        <v>1178</v>
      </c>
      <c r="E1716" s="1">
        <v>45846</v>
      </c>
      <c r="F1716" s="1">
        <v>45846</v>
      </c>
      <c r="G1716" s="12">
        <v>500</v>
      </c>
      <c r="H1716" s="2">
        <v>0</v>
      </c>
      <c r="I1716" s="2">
        <v>0</v>
      </c>
      <c r="J1716" s="2">
        <v>0</v>
      </c>
      <c r="K1716" s="20">
        <v>500</v>
      </c>
      <c r="L1716" t="s">
        <v>794</v>
      </c>
      <c r="M1716">
        <f t="shared" si="26"/>
        <v>2025</v>
      </c>
    </row>
    <row r="1717" spans="1:13" ht="12.75" hidden="1" customHeight="1">
      <c r="A1717" t="s">
        <v>907</v>
      </c>
      <c r="B1717" t="s">
        <v>291</v>
      </c>
      <c r="C1717" t="s">
        <v>483</v>
      </c>
      <c r="D1717" t="s">
        <v>1178</v>
      </c>
      <c r="E1717" s="1">
        <v>45846</v>
      </c>
      <c r="F1717" s="1">
        <v>45846</v>
      </c>
      <c r="G1717" s="12">
        <v>6.78</v>
      </c>
      <c r="H1717" s="2">
        <v>0</v>
      </c>
      <c r="I1717" s="2">
        <v>0</v>
      </c>
      <c r="J1717" s="2">
        <v>0</v>
      </c>
      <c r="K1717" s="20">
        <v>6.78</v>
      </c>
      <c r="L1717" t="s">
        <v>794</v>
      </c>
      <c r="M1717">
        <f t="shared" si="26"/>
        <v>2025</v>
      </c>
    </row>
    <row r="1718" spans="1:13" ht="12.75" hidden="1" customHeight="1">
      <c r="A1718" t="s">
        <v>1179</v>
      </c>
      <c r="B1718" t="s">
        <v>509</v>
      </c>
      <c r="C1718" t="s">
        <v>140</v>
      </c>
      <c r="D1718" t="s">
        <v>1178</v>
      </c>
      <c r="E1718" s="1">
        <v>45846</v>
      </c>
      <c r="F1718" s="1">
        <v>45846</v>
      </c>
      <c r="G1718" s="12">
        <v>60</v>
      </c>
      <c r="H1718" s="2">
        <v>0</v>
      </c>
      <c r="I1718" s="2">
        <v>0</v>
      </c>
      <c r="J1718" s="2">
        <v>0</v>
      </c>
      <c r="K1718" s="20">
        <v>60</v>
      </c>
      <c r="L1718" t="s">
        <v>794</v>
      </c>
      <c r="M1718">
        <f t="shared" si="26"/>
        <v>2025</v>
      </c>
    </row>
    <row r="1719" spans="1:13" ht="12.75" hidden="1" customHeight="1">
      <c r="A1719" t="s">
        <v>1180</v>
      </c>
      <c r="B1719" t="s">
        <v>179</v>
      </c>
      <c r="C1719" t="s">
        <v>140</v>
      </c>
      <c r="D1719" t="s">
        <v>1178</v>
      </c>
      <c r="E1719" s="1">
        <v>45846</v>
      </c>
      <c r="F1719" s="1">
        <v>45846</v>
      </c>
      <c r="G1719" s="12">
        <v>60</v>
      </c>
      <c r="H1719" s="2">
        <v>0</v>
      </c>
      <c r="I1719" s="2">
        <v>0</v>
      </c>
      <c r="J1719" s="2">
        <v>0</v>
      </c>
      <c r="K1719" s="20">
        <v>60</v>
      </c>
      <c r="L1719" t="s">
        <v>794</v>
      </c>
      <c r="M1719">
        <f t="shared" si="26"/>
        <v>2025</v>
      </c>
    </row>
    <row r="1720" spans="1:13" ht="12.75" hidden="1" customHeight="1">
      <c r="A1720" t="s">
        <v>1181</v>
      </c>
      <c r="B1720" t="s">
        <v>75</v>
      </c>
      <c r="C1720" t="s">
        <v>140</v>
      </c>
      <c r="D1720" t="s">
        <v>1178</v>
      </c>
      <c r="E1720" s="1">
        <v>45846</v>
      </c>
      <c r="F1720" s="1">
        <v>45846</v>
      </c>
      <c r="G1720" s="12">
        <v>60</v>
      </c>
      <c r="H1720" s="2">
        <v>0</v>
      </c>
      <c r="I1720" s="2">
        <v>0</v>
      </c>
      <c r="J1720" s="2">
        <v>0</v>
      </c>
      <c r="K1720" s="20">
        <v>60</v>
      </c>
      <c r="L1720" t="s">
        <v>794</v>
      </c>
      <c r="M1720">
        <f t="shared" si="26"/>
        <v>2025</v>
      </c>
    </row>
    <row r="1721" spans="1:13" ht="12.75" hidden="1" customHeight="1">
      <c r="A1721" t="s">
        <v>1182</v>
      </c>
      <c r="B1721" t="s">
        <v>354</v>
      </c>
      <c r="C1721" t="s">
        <v>139</v>
      </c>
      <c r="D1721" t="s">
        <v>1178</v>
      </c>
      <c r="E1721" s="1">
        <v>45846</v>
      </c>
      <c r="F1721" s="1">
        <v>45846</v>
      </c>
      <c r="G1721" s="12">
        <v>270.60000000000002</v>
      </c>
      <c r="H1721" s="2">
        <v>0</v>
      </c>
      <c r="I1721" s="2">
        <v>0</v>
      </c>
      <c r="J1721" s="2">
        <v>0</v>
      </c>
      <c r="K1721" s="20">
        <v>270.60000000000002</v>
      </c>
      <c r="L1721" t="s">
        <v>794</v>
      </c>
      <c r="M1721">
        <f t="shared" si="26"/>
        <v>2025</v>
      </c>
    </row>
    <row r="1722" spans="1:13" ht="12.75" hidden="1" customHeight="1">
      <c r="A1722" t="s">
        <v>1183</v>
      </c>
      <c r="B1722" t="s">
        <v>504</v>
      </c>
      <c r="C1722" t="s">
        <v>749</v>
      </c>
      <c r="D1722" t="s">
        <v>1178</v>
      </c>
      <c r="E1722" s="1">
        <v>45846</v>
      </c>
      <c r="F1722" s="1">
        <v>45846</v>
      </c>
      <c r="G1722" s="12">
        <v>13.200000000000001</v>
      </c>
      <c r="H1722" s="2">
        <v>0</v>
      </c>
      <c r="I1722" s="2">
        <v>0</v>
      </c>
      <c r="J1722" s="2">
        <v>0</v>
      </c>
      <c r="K1722" s="20">
        <v>13.200000000000001</v>
      </c>
      <c r="L1722" t="s">
        <v>794</v>
      </c>
      <c r="M1722">
        <f t="shared" si="26"/>
        <v>2025</v>
      </c>
    </row>
    <row r="1723" spans="1:13" ht="12.75" hidden="1" customHeight="1">
      <c r="A1723" t="s">
        <v>1179</v>
      </c>
      <c r="B1723" t="s">
        <v>509</v>
      </c>
      <c r="C1723" t="s">
        <v>140</v>
      </c>
      <c r="D1723" t="s">
        <v>1178</v>
      </c>
      <c r="E1723" s="1">
        <v>45848</v>
      </c>
      <c r="F1723" s="1">
        <v>45848</v>
      </c>
      <c r="G1723" s="12">
        <v>60</v>
      </c>
      <c r="H1723" s="2">
        <v>0</v>
      </c>
      <c r="I1723" s="2">
        <v>0</v>
      </c>
      <c r="J1723" s="2">
        <v>0</v>
      </c>
      <c r="K1723" s="20">
        <v>60</v>
      </c>
      <c r="L1723" t="s">
        <v>794</v>
      </c>
      <c r="M1723">
        <f t="shared" si="26"/>
        <v>2025</v>
      </c>
    </row>
    <row r="1724" spans="1:13" ht="12.75" hidden="1" customHeight="1">
      <c r="A1724" t="s">
        <v>1180</v>
      </c>
      <c r="B1724" t="s">
        <v>179</v>
      </c>
      <c r="C1724" t="s">
        <v>140</v>
      </c>
      <c r="D1724" t="s">
        <v>1178</v>
      </c>
      <c r="E1724" s="1">
        <v>45848</v>
      </c>
      <c r="F1724" s="1">
        <v>45848</v>
      </c>
      <c r="G1724" s="12">
        <v>60</v>
      </c>
      <c r="H1724" s="2">
        <v>0</v>
      </c>
      <c r="I1724" s="2">
        <v>0</v>
      </c>
      <c r="J1724" s="2">
        <v>0</v>
      </c>
      <c r="K1724" s="20">
        <v>60</v>
      </c>
      <c r="L1724" t="s">
        <v>794</v>
      </c>
      <c r="M1724">
        <f t="shared" si="26"/>
        <v>2025</v>
      </c>
    </row>
    <row r="1725" spans="1:13" ht="12.75" hidden="1" customHeight="1">
      <c r="A1725" t="s">
        <v>1184</v>
      </c>
      <c r="B1725" t="s">
        <v>187</v>
      </c>
      <c r="C1725" t="s">
        <v>200</v>
      </c>
      <c r="D1725" t="s">
        <v>1178</v>
      </c>
      <c r="E1725" s="1">
        <v>45848</v>
      </c>
      <c r="F1725" s="1">
        <v>45848</v>
      </c>
      <c r="G1725" s="12">
        <v>880</v>
      </c>
      <c r="H1725" s="2">
        <v>0</v>
      </c>
      <c r="I1725" s="2">
        <v>0</v>
      </c>
      <c r="J1725" s="2">
        <v>0</v>
      </c>
      <c r="K1725" s="20">
        <v>880</v>
      </c>
      <c r="L1725" t="s">
        <v>794</v>
      </c>
      <c r="M1725">
        <f t="shared" si="26"/>
        <v>2025</v>
      </c>
    </row>
    <row r="1726" spans="1:13" ht="12.75" hidden="1" customHeight="1">
      <c r="A1726" t="s">
        <v>995</v>
      </c>
      <c r="B1726" t="s">
        <v>122</v>
      </c>
      <c r="C1726" t="s">
        <v>735</v>
      </c>
      <c r="D1726" t="s">
        <v>1178</v>
      </c>
      <c r="E1726" s="1">
        <v>45848</v>
      </c>
      <c r="F1726" s="1">
        <v>45848</v>
      </c>
      <c r="G1726" s="12">
        <v>605</v>
      </c>
      <c r="H1726" s="2">
        <v>0</v>
      </c>
      <c r="I1726" s="2">
        <v>0</v>
      </c>
      <c r="J1726" s="2">
        <v>0</v>
      </c>
      <c r="K1726" s="20">
        <v>605</v>
      </c>
      <c r="L1726" t="s">
        <v>794</v>
      </c>
      <c r="M1726">
        <f t="shared" si="26"/>
        <v>2025</v>
      </c>
    </row>
    <row r="1727" spans="1:13" ht="12.75" hidden="1" customHeight="1">
      <c r="A1727" t="s">
        <v>879</v>
      </c>
      <c r="B1727" t="s">
        <v>23</v>
      </c>
      <c r="C1727" t="s">
        <v>716</v>
      </c>
      <c r="D1727" t="s">
        <v>1178</v>
      </c>
      <c r="E1727" s="1">
        <v>45848</v>
      </c>
      <c r="F1727" s="1">
        <v>45848</v>
      </c>
      <c r="G1727" s="12">
        <v>952.25</v>
      </c>
      <c r="H1727" s="2">
        <v>0</v>
      </c>
      <c r="I1727" s="2">
        <v>0</v>
      </c>
      <c r="J1727" s="2">
        <v>0</v>
      </c>
      <c r="K1727" s="20">
        <v>952.25</v>
      </c>
      <c r="L1727" t="s">
        <v>794</v>
      </c>
      <c r="M1727">
        <f t="shared" si="26"/>
        <v>2025</v>
      </c>
    </row>
    <row r="1728" spans="1:13" ht="12.75" hidden="1" customHeight="1">
      <c r="A1728" t="s">
        <v>980</v>
      </c>
      <c r="B1728" t="s">
        <v>246</v>
      </c>
      <c r="C1728" t="s">
        <v>398</v>
      </c>
      <c r="D1728" t="s">
        <v>1178</v>
      </c>
      <c r="E1728" s="1">
        <v>45848</v>
      </c>
      <c r="F1728" s="1">
        <v>45848</v>
      </c>
      <c r="G1728" s="12">
        <v>363.76</v>
      </c>
      <c r="H1728" s="2">
        <v>0</v>
      </c>
      <c r="I1728" s="2">
        <v>0</v>
      </c>
      <c r="J1728" s="2">
        <v>0</v>
      </c>
      <c r="K1728" s="20">
        <v>363.76</v>
      </c>
      <c r="L1728" t="s">
        <v>794</v>
      </c>
      <c r="M1728">
        <f t="shared" si="26"/>
        <v>2025</v>
      </c>
    </row>
    <row r="1729" spans="1:13" ht="12.75" hidden="1" customHeight="1">
      <c r="A1729" t="s">
        <v>847</v>
      </c>
      <c r="B1729" t="s">
        <v>169</v>
      </c>
      <c r="C1729" t="s">
        <v>722</v>
      </c>
      <c r="D1729" t="s">
        <v>1178</v>
      </c>
      <c r="E1729" s="1">
        <v>45848</v>
      </c>
      <c r="F1729" s="1">
        <v>45848</v>
      </c>
      <c r="G1729" s="12">
        <v>221.3</v>
      </c>
      <c r="H1729" s="2">
        <v>0</v>
      </c>
      <c r="I1729" s="2">
        <v>0</v>
      </c>
      <c r="J1729" s="2">
        <v>0</v>
      </c>
      <c r="K1729" s="20">
        <v>221.3</v>
      </c>
      <c r="L1729" t="s">
        <v>794</v>
      </c>
      <c r="M1729">
        <f t="shared" si="26"/>
        <v>2025</v>
      </c>
    </row>
    <row r="1730" spans="1:13" ht="12.75" hidden="1" customHeight="1">
      <c r="A1730" t="s">
        <v>810</v>
      </c>
      <c r="B1730" t="s">
        <v>54</v>
      </c>
      <c r="C1730" t="s">
        <v>141</v>
      </c>
      <c r="D1730" t="s">
        <v>1178</v>
      </c>
      <c r="E1730" s="1">
        <v>45848</v>
      </c>
      <c r="F1730" s="1">
        <v>45848</v>
      </c>
      <c r="G1730" s="12">
        <v>440</v>
      </c>
      <c r="H1730" s="2">
        <v>0</v>
      </c>
      <c r="I1730" s="2">
        <v>0</v>
      </c>
      <c r="J1730" s="2">
        <v>0</v>
      </c>
      <c r="K1730" s="20">
        <v>440</v>
      </c>
      <c r="L1730" t="s">
        <v>794</v>
      </c>
      <c r="M1730">
        <f t="shared" si="26"/>
        <v>2025</v>
      </c>
    </row>
    <row r="1731" spans="1:13" ht="12.75" hidden="1" customHeight="1">
      <c r="A1731" t="s">
        <v>1138</v>
      </c>
      <c r="B1731" t="s">
        <v>104</v>
      </c>
      <c r="C1731" t="s">
        <v>141</v>
      </c>
      <c r="D1731" t="s">
        <v>1178</v>
      </c>
      <c r="E1731" s="1">
        <v>45848</v>
      </c>
      <c r="F1731" s="1">
        <v>45848</v>
      </c>
      <c r="G1731" s="12">
        <v>1200</v>
      </c>
      <c r="H1731" s="2">
        <v>0</v>
      </c>
      <c r="I1731" s="2">
        <v>0</v>
      </c>
      <c r="J1731" s="2">
        <v>0</v>
      </c>
      <c r="K1731" s="20">
        <v>1200</v>
      </c>
      <c r="L1731" t="s">
        <v>794</v>
      </c>
      <c r="M1731">
        <f t="shared" ref="M1731:M1794" si="27">YEAR(F1731)</f>
        <v>2025</v>
      </c>
    </row>
    <row r="1732" spans="1:13" ht="12.75" hidden="1" customHeight="1">
      <c r="A1732" t="s">
        <v>1009</v>
      </c>
      <c r="B1732" t="s">
        <v>62</v>
      </c>
      <c r="C1732" t="s">
        <v>141</v>
      </c>
      <c r="D1732" t="s">
        <v>1178</v>
      </c>
      <c r="E1732" s="1">
        <v>45848</v>
      </c>
      <c r="F1732" s="1">
        <v>45848</v>
      </c>
      <c r="G1732" s="12">
        <v>240</v>
      </c>
      <c r="H1732" s="2">
        <v>0</v>
      </c>
      <c r="I1732" s="2">
        <v>0</v>
      </c>
      <c r="J1732" s="2">
        <v>0</v>
      </c>
      <c r="K1732" s="20">
        <v>240</v>
      </c>
      <c r="L1732" t="s">
        <v>794</v>
      </c>
      <c r="M1732">
        <f t="shared" si="27"/>
        <v>2025</v>
      </c>
    </row>
    <row r="1733" spans="1:13" ht="12.75" hidden="1" customHeight="1">
      <c r="A1733" t="s">
        <v>1176</v>
      </c>
      <c r="B1733" t="s">
        <v>106</v>
      </c>
      <c r="C1733" t="s">
        <v>200</v>
      </c>
      <c r="D1733" t="s">
        <v>1178</v>
      </c>
      <c r="E1733" s="1">
        <v>45848</v>
      </c>
      <c r="F1733" s="1">
        <v>45848</v>
      </c>
      <c r="G1733" s="12">
        <v>960</v>
      </c>
      <c r="H1733" s="2">
        <v>0</v>
      </c>
      <c r="I1733" s="2">
        <v>0</v>
      </c>
      <c r="J1733" s="2">
        <v>0</v>
      </c>
      <c r="K1733" s="20">
        <v>960</v>
      </c>
      <c r="L1733" t="s">
        <v>794</v>
      </c>
      <c r="M1733">
        <f t="shared" si="27"/>
        <v>2025</v>
      </c>
    </row>
    <row r="1734" spans="1:13" ht="12.75" hidden="1" customHeight="1">
      <c r="A1734" t="s">
        <v>957</v>
      </c>
      <c r="B1734" t="s">
        <v>39</v>
      </c>
      <c r="C1734" t="s">
        <v>141</v>
      </c>
      <c r="D1734" t="s">
        <v>1178</v>
      </c>
      <c r="E1734" s="1">
        <v>45848</v>
      </c>
      <c r="F1734" s="1">
        <v>45848</v>
      </c>
      <c r="G1734" s="12">
        <v>1100</v>
      </c>
      <c r="H1734" s="2">
        <v>0</v>
      </c>
      <c r="I1734" s="2">
        <v>0</v>
      </c>
      <c r="J1734" s="2">
        <v>0</v>
      </c>
      <c r="K1734" s="20">
        <v>1100</v>
      </c>
      <c r="L1734" t="s">
        <v>794</v>
      </c>
      <c r="M1734">
        <f t="shared" si="27"/>
        <v>2025</v>
      </c>
    </row>
    <row r="1735" spans="1:13" ht="12.75" hidden="1" customHeight="1">
      <c r="A1735" t="s">
        <v>1121</v>
      </c>
      <c r="B1735" t="s">
        <v>295</v>
      </c>
      <c r="C1735" t="s">
        <v>142</v>
      </c>
      <c r="D1735" t="s">
        <v>1178</v>
      </c>
      <c r="E1735" s="1">
        <v>45849</v>
      </c>
      <c r="F1735" s="1">
        <v>45849</v>
      </c>
      <c r="G1735" s="12">
        <v>35</v>
      </c>
      <c r="H1735" s="2">
        <v>0</v>
      </c>
      <c r="I1735" s="2">
        <v>0</v>
      </c>
      <c r="J1735" s="2">
        <v>0</v>
      </c>
      <c r="K1735" s="20">
        <v>35</v>
      </c>
      <c r="L1735" t="s">
        <v>794</v>
      </c>
      <c r="M1735">
        <f t="shared" si="27"/>
        <v>2025</v>
      </c>
    </row>
    <row r="1736" spans="1:13" ht="12.75" hidden="1" customHeight="1">
      <c r="A1736" t="s">
        <v>1117</v>
      </c>
      <c r="B1736" t="s">
        <v>428</v>
      </c>
      <c r="C1736" t="s">
        <v>710</v>
      </c>
      <c r="D1736" t="s">
        <v>1178</v>
      </c>
      <c r="E1736" s="1">
        <v>45849</v>
      </c>
      <c r="F1736" s="1">
        <v>45849</v>
      </c>
      <c r="G1736" s="12">
        <v>36</v>
      </c>
      <c r="H1736" s="2">
        <v>0</v>
      </c>
      <c r="I1736" s="2">
        <v>0</v>
      </c>
      <c r="J1736" s="2">
        <v>0</v>
      </c>
      <c r="K1736" s="20">
        <v>36</v>
      </c>
      <c r="L1736" t="s">
        <v>794</v>
      </c>
      <c r="M1736">
        <f t="shared" si="27"/>
        <v>2025</v>
      </c>
    </row>
    <row r="1737" spans="1:13" ht="12.75" hidden="1" customHeight="1">
      <c r="A1737" t="s">
        <v>924</v>
      </c>
      <c r="B1737" t="s">
        <v>87</v>
      </c>
      <c r="C1737" t="s">
        <v>141</v>
      </c>
      <c r="D1737" t="s">
        <v>1178</v>
      </c>
      <c r="E1737" s="1">
        <v>45848</v>
      </c>
      <c r="F1737" s="1">
        <v>45849</v>
      </c>
      <c r="G1737" s="12">
        <v>320</v>
      </c>
      <c r="H1737" s="2">
        <v>0</v>
      </c>
      <c r="I1737" s="2">
        <v>0</v>
      </c>
      <c r="J1737" s="2">
        <v>0</v>
      </c>
      <c r="K1737" s="20">
        <v>320</v>
      </c>
      <c r="L1737" t="s">
        <v>794</v>
      </c>
      <c r="M1737">
        <f t="shared" si="27"/>
        <v>2025</v>
      </c>
    </row>
    <row r="1738" spans="1:13" ht="12.75" hidden="1" customHeight="1">
      <c r="A1738" t="s">
        <v>921</v>
      </c>
      <c r="B1738" t="s">
        <v>184</v>
      </c>
      <c r="C1738" t="s">
        <v>681</v>
      </c>
      <c r="D1738" t="s">
        <v>1178</v>
      </c>
      <c r="E1738" s="1">
        <v>45849</v>
      </c>
      <c r="F1738" s="1">
        <v>45849</v>
      </c>
      <c r="G1738" s="12">
        <v>23</v>
      </c>
      <c r="H1738" s="2">
        <v>0</v>
      </c>
      <c r="I1738" s="2">
        <v>0</v>
      </c>
      <c r="J1738" s="2">
        <v>0</v>
      </c>
      <c r="K1738" s="20">
        <v>23</v>
      </c>
      <c r="L1738" t="s">
        <v>794</v>
      </c>
      <c r="M1738">
        <f t="shared" si="27"/>
        <v>2025</v>
      </c>
    </row>
    <row r="1739" spans="1:13" ht="12.75" hidden="1" customHeight="1">
      <c r="A1739" t="s">
        <v>1108</v>
      </c>
      <c r="B1739" t="s">
        <v>328</v>
      </c>
      <c r="C1739" t="s">
        <v>483</v>
      </c>
      <c r="D1739" t="s">
        <v>1178</v>
      </c>
      <c r="E1739" s="1">
        <v>45849</v>
      </c>
      <c r="F1739" s="1">
        <v>45849</v>
      </c>
      <c r="G1739" s="12">
        <v>5.99</v>
      </c>
      <c r="H1739" s="2">
        <v>0</v>
      </c>
      <c r="I1739" s="2">
        <v>0</v>
      </c>
      <c r="J1739" s="2">
        <v>0</v>
      </c>
      <c r="K1739" s="20">
        <v>5.99</v>
      </c>
      <c r="L1739" t="s">
        <v>794</v>
      </c>
      <c r="M1739">
        <f t="shared" si="27"/>
        <v>2025</v>
      </c>
    </row>
    <row r="1740" spans="1:13" ht="12.75" hidden="1" customHeight="1">
      <c r="A1740" t="s">
        <v>1151</v>
      </c>
      <c r="B1740" t="s">
        <v>413</v>
      </c>
      <c r="C1740" t="s">
        <v>99</v>
      </c>
      <c r="D1740" t="s">
        <v>1178</v>
      </c>
      <c r="E1740" s="1">
        <v>45849</v>
      </c>
      <c r="F1740" s="1">
        <v>45849</v>
      </c>
      <c r="G1740" s="12">
        <v>79</v>
      </c>
      <c r="H1740" s="2">
        <v>0</v>
      </c>
      <c r="I1740" s="2">
        <v>0</v>
      </c>
      <c r="J1740" s="2">
        <v>0</v>
      </c>
      <c r="K1740" s="20">
        <v>79</v>
      </c>
      <c r="L1740" t="s">
        <v>794</v>
      </c>
      <c r="M1740">
        <f t="shared" si="27"/>
        <v>2025</v>
      </c>
    </row>
    <row r="1741" spans="1:13" ht="12.75" hidden="1" customHeight="1">
      <c r="A1741" t="s">
        <v>1108</v>
      </c>
      <c r="B1741" t="s">
        <v>328</v>
      </c>
      <c r="C1741" t="s">
        <v>681</v>
      </c>
      <c r="D1741" t="s">
        <v>1178</v>
      </c>
      <c r="E1741" s="1">
        <v>45849</v>
      </c>
      <c r="F1741" s="1">
        <v>45849</v>
      </c>
      <c r="G1741" s="12">
        <v>96.41</v>
      </c>
      <c r="H1741" s="2">
        <v>0</v>
      </c>
      <c r="I1741" s="2">
        <v>0</v>
      </c>
      <c r="J1741" s="2">
        <v>0</v>
      </c>
      <c r="K1741" s="20">
        <v>96.41</v>
      </c>
      <c r="L1741" t="s">
        <v>794</v>
      </c>
      <c r="M1741">
        <f t="shared" si="27"/>
        <v>2025</v>
      </c>
    </row>
    <row r="1742" spans="1:13" ht="12.75" hidden="1" customHeight="1">
      <c r="A1742" t="s">
        <v>906</v>
      </c>
      <c r="B1742" t="s">
        <v>289</v>
      </c>
      <c r="C1742" t="s">
        <v>681</v>
      </c>
      <c r="D1742" t="s">
        <v>1178</v>
      </c>
      <c r="E1742" s="1">
        <v>45849</v>
      </c>
      <c r="F1742" s="1">
        <v>45849</v>
      </c>
      <c r="G1742" s="12">
        <v>76</v>
      </c>
      <c r="H1742" s="2">
        <v>0</v>
      </c>
      <c r="I1742" s="2">
        <v>0</v>
      </c>
      <c r="J1742" s="2">
        <v>0</v>
      </c>
      <c r="K1742" s="20">
        <v>76</v>
      </c>
      <c r="L1742" t="s">
        <v>794</v>
      </c>
      <c r="M1742">
        <f t="shared" si="27"/>
        <v>2025</v>
      </c>
    </row>
    <row r="1743" spans="1:13" ht="12.75" hidden="1" customHeight="1">
      <c r="A1743" t="s">
        <v>1180</v>
      </c>
      <c r="B1743" t="s">
        <v>179</v>
      </c>
      <c r="C1743" t="s">
        <v>140</v>
      </c>
      <c r="D1743" t="s">
        <v>1178</v>
      </c>
      <c r="E1743" s="1">
        <v>45852</v>
      </c>
      <c r="F1743" s="1">
        <v>45852</v>
      </c>
      <c r="G1743" s="12">
        <v>30</v>
      </c>
      <c r="H1743" s="2">
        <v>0</v>
      </c>
      <c r="I1743" s="2">
        <v>0</v>
      </c>
      <c r="J1743" s="2">
        <v>0</v>
      </c>
      <c r="K1743" s="20">
        <v>30</v>
      </c>
      <c r="L1743" t="s">
        <v>794</v>
      </c>
      <c r="M1743">
        <f t="shared" si="27"/>
        <v>2025</v>
      </c>
    </row>
    <row r="1744" spans="1:13" ht="12.75" hidden="1" customHeight="1">
      <c r="A1744" t="s">
        <v>1181</v>
      </c>
      <c r="B1744" t="s">
        <v>75</v>
      </c>
      <c r="C1744" t="s">
        <v>140</v>
      </c>
      <c r="D1744" t="s">
        <v>1178</v>
      </c>
      <c r="E1744" s="1">
        <v>45852</v>
      </c>
      <c r="F1744" s="1">
        <v>45852</v>
      </c>
      <c r="G1744" s="12">
        <v>30</v>
      </c>
      <c r="H1744" s="2">
        <v>0</v>
      </c>
      <c r="I1744" s="2">
        <v>0</v>
      </c>
      <c r="J1744" s="2">
        <v>0</v>
      </c>
      <c r="K1744" s="20">
        <v>30</v>
      </c>
      <c r="L1744" t="s">
        <v>794</v>
      </c>
      <c r="M1744">
        <f t="shared" si="27"/>
        <v>2025</v>
      </c>
    </row>
    <row r="1745" spans="1:13" ht="12.75" hidden="1" customHeight="1">
      <c r="A1745" t="s">
        <v>1138</v>
      </c>
      <c r="B1745" t="s">
        <v>104</v>
      </c>
      <c r="C1745" t="s">
        <v>141</v>
      </c>
      <c r="D1745" t="s">
        <v>1178</v>
      </c>
      <c r="E1745" s="1">
        <v>45852</v>
      </c>
      <c r="F1745" s="1">
        <v>45852</v>
      </c>
      <c r="G1745" s="12">
        <v>36</v>
      </c>
      <c r="H1745" s="2">
        <v>0</v>
      </c>
      <c r="I1745" s="2">
        <v>0</v>
      </c>
      <c r="J1745" s="2">
        <v>0</v>
      </c>
      <c r="K1745" s="20">
        <v>36</v>
      </c>
      <c r="L1745" t="s">
        <v>794</v>
      </c>
      <c r="M1745">
        <f t="shared" si="27"/>
        <v>2025</v>
      </c>
    </row>
    <row r="1746" spans="1:13" ht="12.75" hidden="1" customHeight="1">
      <c r="A1746" t="s">
        <v>855</v>
      </c>
      <c r="B1746" t="s">
        <v>20</v>
      </c>
      <c r="C1746" t="s">
        <v>723</v>
      </c>
      <c r="D1746" t="s">
        <v>1178</v>
      </c>
      <c r="E1746" s="1">
        <v>45853</v>
      </c>
      <c r="F1746" s="1">
        <v>45853</v>
      </c>
      <c r="G1746" s="12">
        <v>47</v>
      </c>
      <c r="H1746" s="2">
        <v>0</v>
      </c>
      <c r="I1746" s="2">
        <v>0</v>
      </c>
      <c r="J1746" s="2">
        <v>0</v>
      </c>
      <c r="K1746" s="20">
        <v>47</v>
      </c>
      <c r="L1746" t="s">
        <v>794</v>
      </c>
      <c r="M1746">
        <f t="shared" si="27"/>
        <v>2025</v>
      </c>
    </row>
    <row r="1747" spans="1:13" ht="12.75" hidden="1" customHeight="1">
      <c r="A1747" t="s">
        <v>807</v>
      </c>
      <c r="B1747" t="s">
        <v>366</v>
      </c>
      <c r="C1747" t="s">
        <v>491</v>
      </c>
      <c r="D1747" t="s">
        <v>1178</v>
      </c>
      <c r="E1747" s="1">
        <v>45854</v>
      </c>
      <c r="F1747" s="1">
        <v>45854</v>
      </c>
      <c r="G1747" s="12">
        <v>36</v>
      </c>
      <c r="H1747" s="2">
        <v>0</v>
      </c>
      <c r="I1747" s="2">
        <v>0</v>
      </c>
      <c r="J1747" s="2">
        <v>0</v>
      </c>
      <c r="K1747" s="20">
        <v>36</v>
      </c>
      <c r="L1747" t="s">
        <v>794</v>
      </c>
      <c r="M1747">
        <f t="shared" si="27"/>
        <v>2025</v>
      </c>
    </row>
    <row r="1748" spans="1:13" ht="12.75" hidden="1" customHeight="1">
      <c r="A1748" t="s">
        <v>907</v>
      </c>
      <c r="B1748" t="s">
        <v>291</v>
      </c>
      <c r="C1748" t="s">
        <v>681</v>
      </c>
      <c r="D1748" t="s">
        <v>1178</v>
      </c>
      <c r="E1748" s="1">
        <v>45854</v>
      </c>
      <c r="F1748" s="1">
        <v>45854</v>
      </c>
      <c r="G1748" s="12">
        <v>57.78</v>
      </c>
      <c r="H1748" s="2">
        <v>0</v>
      </c>
      <c r="I1748" s="2">
        <v>0</v>
      </c>
      <c r="J1748" s="2">
        <v>0</v>
      </c>
      <c r="K1748" s="20">
        <v>57.78</v>
      </c>
      <c r="L1748" t="s">
        <v>794</v>
      </c>
      <c r="M1748">
        <f t="shared" si="27"/>
        <v>2025</v>
      </c>
    </row>
    <row r="1749" spans="1:13" ht="12.75" hidden="1" customHeight="1">
      <c r="A1749" t="s">
        <v>1185</v>
      </c>
      <c r="B1749" t="s">
        <v>637</v>
      </c>
      <c r="C1749" t="s">
        <v>723</v>
      </c>
      <c r="D1749" t="s">
        <v>1178</v>
      </c>
      <c r="E1749" s="1">
        <v>45854</v>
      </c>
      <c r="F1749" s="1">
        <v>45854</v>
      </c>
      <c r="G1749" s="12">
        <v>20</v>
      </c>
      <c r="H1749" s="2">
        <v>0</v>
      </c>
      <c r="I1749" s="2">
        <v>0</v>
      </c>
      <c r="J1749" s="2">
        <v>0</v>
      </c>
      <c r="K1749" s="20">
        <v>20</v>
      </c>
      <c r="L1749" t="s">
        <v>794</v>
      </c>
      <c r="M1749">
        <f t="shared" si="27"/>
        <v>2025</v>
      </c>
    </row>
    <row r="1750" spans="1:13" ht="12.75" hidden="1" customHeight="1">
      <c r="A1750" t="s">
        <v>898</v>
      </c>
      <c r="B1750" t="s">
        <v>353</v>
      </c>
      <c r="C1750" t="s">
        <v>761</v>
      </c>
      <c r="D1750" t="s">
        <v>1178</v>
      </c>
      <c r="E1750" s="1">
        <v>45854</v>
      </c>
      <c r="F1750" s="1">
        <v>45854</v>
      </c>
      <c r="G1750" s="12">
        <v>29.7</v>
      </c>
      <c r="H1750" s="2">
        <v>0</v>
      </c>
      <c r="I1750" s="2">
        <v>0</v>
      </c>
      <c r="J1750" s="2">
        <v>0</v>
      </c>
      <c r="K1750" s="20">
        <v>29.7</v>
      </c>
      <c r="L1750" t="s">
        <v>794</v>
      </c>
      <c r="M1750">
        <f t="shared" si="27"/>
        <v>2025</v>
      </c>
    </row>
    <row r="1751" spans="1:13" ht="12.75" hidden="1" customHeight="1">
      <c r="A1751" t="s">
        <v>1186</v>
      </c>
      <c r="B1751" t="s">
        <v>487</v>
      </c>
      <c r="C1751" t="s">
        <v>710</v>
      </c>
      <c r="D1751" t="s">
        <v>1178</v>
      </c>
      <c r="E1751" s="1">
        <v>45854</v>
      </c>
      <c r="F1751" s="1">
        <v>45854</v>
      </c>
      <c r="G1751" s="12">
        <v>38</v>
      </c>
      <c r="H1751" s="2">
        <v>0</v>
      </c>
      <c r="I1751" s="2">
        <v>0</v>
      </c>
      <c r="J1751" s="2">
        <v>0</v>
      </c>
      <c r="K1751" s="20">
        <v>38</v>
      </c>
      <c r="L1751" t="s">
        <v>794</v>
      </c>
      <c r="M1751">
        <f t="shared" si="27"/>
        <v>2025</v>
      </c>
    </row>
    <row r="1752" spans="1:13" ht="12.75" hidden="1" customHeight="1">
      <c r="A1752" t="s">
        <v>1180</v>
      </c>
      <c r="B1752" t="s">
        <v>179</v>
      </c>
      <c r="C1752" t="s">
        <v>139</v>
      </c>
      <c r="D1752" t="s">
        <v>1178</v>
      </c>
      <c r="E1752" s="1">
        <v>45855</v>
      </c>
      <c r="F1752" s="1">
        <v>45855</v>
      </c>
      <c r="G1752" s="12">
        <v>265.2</v>
      </c>
      <c r="H1752" s="2">
        <v>0</v>
      </c>
      <c r="I1752" s="2">
        <v>0</v>
      </c>
      <c r="J1752" s="2">
        <v>0</v>
      </c>
      <c r="K1752" s="20">
        <v>265.2</v>
      </c>
      <c r="L1752" t="s">
        <v>794</v>
      </c>
      <c r="M1752">
        <f t="shared" si="27"/>
        <v>2025</v>
      </c>
    </row>
    <row r="1753" spans="1:13" ht="12.75" hidden="1" customHeight="1">
      <c r="A1753" t="s">
        <v>1112</v>
      </c>
      <c r="B1753" t="s">
        <v>68</v>
      </c>
      <c r="C1753" t="s">
        <v>141</v>
      </c>
      <c r="D1753" t="s">
        <v>1178</v>
      </c>
      <c r="E1753" s="1">
        <v>45855</v>
      </c>
      <c r="F1753" s="1">
        <v>45855</v>
      </c>
      <c r="G1753" s="12">
        <v>50</v>
      </c>
      <c r="H1753" s="2">
        <v>0</v>
      </c>
      <c r="I1753" s="2">
        <v>0</v>
      </c>
      <c r="J1753" s="2">
        <v>0</v>
      </c>
      <c r="K1753" s="20">
        <v>50</v>
      </c>
      <c r="L1753" t="s">
        <v>794</v>
      </c>
      <c r="M1753">
        <f t="shared" si="27"/>
        <v>2025</v>
      </c>
    </row>
    <row r="1754" spans="1:13" ht="12.75" hidden="1" customHeight="1">
      <c r="A1754" t="s">
        <v>1111</v>
      </c>
      <c r="B1754" t="s">
        <v>144</v>
      </c>
      <c r="C1754" t="s">
        <v>141</v>
      </c>
      <c r="D1754" t="s">
        <v>1178</v>
      </c>
      <c r="E1754" s="1">
        <v>45855</v>
      </c>
      <c r="F1754" s="1">
        <v>45855</v>
      </c>
      <c r="G1754" s="12">
        <v>100</v>
      </c>
      <c r="H1754" s="2">
        <v>0</v>
      </c>
      <c r="I1754" s="2">
        <v>0</v>
      </c>
      <c r="J1754" s="2">
        <v>0</v>
      </c>
      <c r="K1754" s="20">
        <v>100</v>
      </c>
      <c r="L1754" t="s">
        <v>794</v>
      </c>
      <c r="M1754">
        <f t="shared" si="27"/>
        <v>2025</v>
      </c>
    </row>
    <row r="1755" spans="1:13" ht="12.75" hidden="1" customHeight="1">
      <c r="A1755" t="s">
        <v>819</v>
      </c>
      <c r="B1755" t="s">
        <v>38</v>
      </c>
      <c r="C1755" t="s">
        <v>141</v>
      </c>
      <c r="D1755" t="s">
        <v>1178</v>
      </c>
      <c r="E1755" s="1">
        <v>45855</v>
      </c>
      <c r="F1755" s="1">
        <v>45855</v>
      </c>
      <c r="G1755" s="12">
        <v>100</v>
      </c>
      <c r="H1755" s="2">
        <v>0</v>
      </c>
      <c r="I1755" s="2">
        <v>0</v>
      </c>
      <c r="J1755" s="2">
        <v>0</v>
      </c>
      <c r="K1755" s="20">
        <v>100</v>
      </c>
      <c r="L1755" t="s">
        <v>794</v>
      </c>
      <c r="M1755">
        <f t="shared" si="27"/>
        <v>2025</v>
      </c>
    </row>
    <row r="1756" spans="1:13" ht="12.75" hidden="1" customHeight="1">
      <c r="A1756" t="s">
        <v>1187</v>
      </c>
      <c r="B1756" t="s">
        <v>400</v>
      </c>
      <c r="C1756" t="s">
        <v>99</v>
      </c>
      <c r="D1756" t="s">
        <v>1178</v>
      </c>
      <c r="E1756" s="1">
        <v>45855</v>
      </c>
      <c r="F1756" s="1">
        <v>45855</v>
      </c>
      <c r="G1756" s="12">
        <v>500</v>
      </c>
      <c r="H1756" s="2">
        <v>0</v>
      </c>
      <c r="I1756" s="2">
        <v>0</v>
      </c>
      <c r="J1756" s="2">
        <v>0</v>
      </c>
      <c r="K1756" s="20">
        <v>500</v>
      </c>
      <c r="L1756" t="s">
        <v>794</v>
      </c>
      <c r="M1756">
        <f t="shared" si="27"/>
        <v>2025</v>
      </c>
    </row>
    <row r="1757" spans="1:13" ht="12.75" hidden="1" customHeight="1">
      <c r="A1757" t="s">
        <v>814</v>
      </c>
      <c r="B1757" t="s">
        <v>56</v>
      </c>
      <c r="C1757" t="s">
        <v>438</v>
      </c>
      <c r="D1757" t="s">
        <v>1178</v>
      </c>
      <c r="E1757" s="1">
        <v>45855</v>
      </c>
      <c r="F1757" s="1">
        <v>45855</v>
      </c>
      <c r="G1757" s="12">
        <v>17</v>
      </c>
      <c r="H1757" s="2">
        <v>0</v>
      </c>
      <c r="I1757" s="2">
        <v>0</v>
      </c>
      <c r="J1757" s="2">
        <v>0</v>
      </c>
      <c r="K1757" s="20">
        <v>17</v>
      </c>
      <c r="L1757" t="s">
        <v>794</v>
      </c>
      <c r="M1757">
        <f t="shared" si="27"/>
        <v>2025</v>
      </c>
    </row>
    <row r="1758" spans="1:13" ht="12.75" hidden="1" customHeight="1">
      <c r="A1758" t="s">
        <v>807</v>
      </c>
      <c r="B1758" t="s">
        <v>366</v>
      </c>
      <c r="C1758" t="s">
        <v>491</v>
      </c>
      <c r="D1758" t="s">
        <v>1178</v>
      </c>
      <c r="E1758" s="1">
        <v>45856</v>
      </c>
      <c r="F1758" s="1">
        <v>45856</v>
      </c>
      <c r="G1758" s="12">
        <v>30</v>
      </c>
      <c r="H1758" s="2">
        <v>0</v>
      </c>
      <c r="I1758" s="2">
        <v>0</v>
      </c>
      <c r="J1758" s="2">
        <v>0</v>
      </c>
      <c r="K1758" s="20">
        <v>30</v>
      </c>
      <c r="L1758" t="s">
        <v>794</v>
      </c>
      <c r="M1758">
        <f t="shared" si="27"/>
        <v>2025</v>
      </c>
    </row>
    <row r="1759" spans="1:13" ht="12.75" hidden="1" customHeight="1">
      <c r="A1759" t="s">
        <v>1188</v>
      </c>
      <c r="B1759" t="s">
        <v>410</v>
      </c>
      <c r="C1759" t="s">
        <v>558</v>
      </c>
      <c r="D1759" t="s">
        <v>1178</v>
      </c>
      <c r="E1759" s="1">
        <v>45856</v>
      </c>
      <c r="F1759" s="1">
        <v>45856</v>
      </c>
      <c r="G1759" s="12">
        <v>52.5</v>
      </c>
      <c r="H1759" s="2">
        <v>0</v>
      </c>
      <c r="I1759" s="2">
        <v>0</v>
      </c>
      <c r="J1759" s="2">
        <v>0</v>
      </c>
      <c r="K1759" s="20">
        <v>52.5</v>
      </c>
      <c r="L1759" t="s">
        <v>794</v>
      </c>
      <c r="M1759">
        <f t="shared" si="27"/>
        <v>2025</v>
      </c>
    </row>
    <row r="1760" spans="1:13" ht="12.75" hidden="1" customHeight="1">
      <c r="A1760" t="s">
        <v>1188</v>
      </c>
      <c r="B1760" t="s">
        <v>410</v>
      </c>
      <c r="C1760" t="s">
        <v>558</v>
      </c>
      <c r="D1760" t="s">
        <v>1178</v>
      </c>
      <c r="E1760" s="1">
        <v>45856</v>
      </c>
      <c r="F1760" s="1">
        <v>45856</v>
      </c>
      <c r="G1760" s="12">
        <v>21.2</v>
      </c>
      <c r="H1760" s="2">
        <v>0</v>
      </c>
      <c r="I1760" s="2">
        <v>0</v>
      </c>
      <c r="J1760" s="2">
        <v>0</v>
      </c>
      <c r="K1760" s="20">
        <v>21.2</v>
      </c>
      <c r="L1760" t="s">
        <v>794</v>
      </c>
      <c r="M1760">
        <f t="shared" si="27"/>
        <v>2025</v>
      </c>
    </row>
    <row r="1761" spans="1:13" ht="12.75" hidden="1" customHeight="1">
      <c r="A1761" t="s">
        <v>1188</v>
      </c>
      <c r="B1761" t="s">
        <v>410</v>
      </c>
      <c r="C1761" t="s">
        <v>558</v>
      </c>
      <c r="D1761" t="s">
        <v>1178</v>
      </c>
      <c r="E1761" s="1">
        <v>45856</v>
      </c>
      <c r="F1761" s="1">
        <v>45856</v>
      </c>
      <c r="G1761" s="12">
        <v>36</v>
      </c>
      <c r="H1761" s="2">
        <v>0</v>
      </c>
      <c r="I1761" s="2">
        <v>0</v>
      </c>
      <c r="J1761" s="2">
        <v>0</v>
      </c>
      <c r="K1761" s="20">
        <v>36</v>
      </c>
      <c r="L1761" t="s">
        <v>794</v>
      </c>
      <c r="M1761">
        <f t="shared" si="27"/>
        <v>2025</v>
      </c>
    </row>
    <row r="1762" spans="1:13" ht="12.75" hidden="1" customHeight="1">
      <c r="A1762" t="s">
        <v>907</v>
      </c>
      <c r="B1762" t="s">
        <v>291</v>
      </c>
      <c r="C1762" t="s">
        <v>483</v>
      </c>
      <c r="D1762" t="s">
        <v>1178</v>
      </c>
      <c r="E1762" s="1">
        <v>45856</v>
      </c>
      <c r="F1762" s="1">
        <v>45856</v>
      </c>
      <c r="G1762" s="12">
        <v>90.56</v>
      </c>
      <c r="H1762" s="2">
        <v>0</v>
      </c>
      <c r="I1762" s="2">
        <v>0</v>
      </c>
      <c r="J1762" s="2">
        <v>0</v>
      </c>
      <c r="K1762" s="20">
        <v>90.56</v>
      </c>
      <c r="L1762" t="s">
        <v>794</v>
      </c>
      <c r="M1762">
        <f t="shared" si="27"/>
        <v>2025</v>
      </c>
    </row>
    <row r="1763" spans="1:13" ht="12.75" hidden="1" customHeight="1">
      <c r="A1763" t="s">
        <v>1121</v>
      </c>
      <c r="B1763" t="s">
        <v>295</v>
      </c>
      <c r="C1763" t="s">
        <v>142</v>
      </c>
      <c r="D1763" t="s">
        <v>1178</v>
      </c>
      <c r="E1763" s="1">
        <v>45856</v>
      </c>
      <c r="F1763" s="1">
        <v>45856</v>
      </c>
      <c r="G1763" s="12">
        <v>35</v>
      </c>
      <c r="H1763" s="2">
        <v>0</v>
      </c>
      <c r="I1763" s="2">
        <v>0</v>
      </c>
      <c r="J1763" s="2">
        <v>0</v>
      </c>
      <c r="K1763" s="20">
        <v>35</v>
      </c>
      <c r="L1763" t="s">
        <v>794</v>
      </c>
      <c r="M1763">
        <f t="shared" si="27"/>
        <v>2025</v>
      </c>
    </row>
    <row r="1764" spans="1:13" ht="12.75" hidden="1" customHeight="1">
      <c r="A1764" t="s">
        <v>1189</v>
      </c>
      <c r="B1764" t="s">
        <v>695</v>
      </c>
      <c r="C1764" t="s">
        <v>693</v>
      </c>
      <c r="D1764" t="s">
        <v>1178</v>
      </c>
      <c r="E1764" s="1">
        <v>45856</v>
      </c>
      <c r="F1764" s="1">
        <v>45856</v>
      </c>
      <c r="G1764" s="12">
        <v>15</v>
      </c>
      <c r="H1764" s="2">
        <v>0</v>
      </c>
      <c r="I1764" s="2">
        <v>0</v>
      </c>
      <c r="J1764" s="2">
        <v>0</v>
      </c>
      <c r="K1764" s="20">
        <v>15</v>
      </c>
      <c r="L1764" t="s">
        <v>794</v>
      </c>
      <c r="M1764">
        <f t="shared" si="27"/>
        <v>2025</v>
      </c>
    </row>
    <row r="1765" spans="1:13" ht="12.75" hidden="1" customHeight="1">
      <c r="A1765" t="s">
        <v>811</v>
      </c>
      <c r="B1765" t="s">
        <v>39</v>
      </c>
      <c r="C1765" t="s">
        <v>141</v>
      </c>
      <c r="D1765" t="s">
        <v>1178</v>
      </c>
      <c r="E1765" s="1">
        <v>45859</v>
      </c>
      <c r="F1765" s="1">
        <v>45859</v>
      </c>
      <c r="G1765" s="12">
        <v>36</v>
      </c>
      <c r="H1765" s="2">
        <v>0</v>
      </c>
      <c r="I1765" s="2">
        <v>0</v>
      </c>
      <c r="J1765" s="2">
        <v>0</v>
      </c>
      <c r="K1765" s="20">
        <v>36</v>
      </c>
      <c r="L1765" t="s">
        <v>794</v>
      </c>
      <c r="M1765">
        <f t="shared" si="27"/>
        <v>2025</v>
      </c>
    </row>
    <row r="1766" spans="1:13" ht="12.75" hidden="1" customHeight="1">
      <c r="A1766" t="s">
        <v>1108</v>
      </c>
      <c r="B1766" t="s">
        <v>328</v>
      </c>
      <c r="C1766" t="s">
        <v>483</v>
      </c>
      <c r="D1766" t="s">
        <v>1178</v>
      </c>
      <c r="E1766" s="1">
        <v>45859</v>
      </c>
      <c r="F1766" s="1">
        <v>45859</v>
      </c>
      <c r="G1766" s="12">
        <v>5.19</v>
      </c>
      <c r="H1766" s="2">
        <v>0</v>
      </c>
      <c r="I1766" s="2">
        <v>0</v>
      </c>
      <c r="J1766" s="2">
        <v>0</v>
      </c>
      <c r="K1766" s="20">
        <v>5.19</v>
      </c>
      <c r="L1766" t="s">
        <v>794</v>
      </c>
      <c r="M1766">
        <f t="shared" si="27"/>
        <v>2025</v>
      </c>
    </row>
    <row r="1767" spans="1:13" ht="12.75" hidden="1" customHeight="1">
      <c r="A1767" t="s">
        <v>812</v>
      </c>
      <c r="B1767" t="s">
        <v>31</v>
      </c>
      <c r="C1767" t="s">
        <v>141</v>
      </c>
      <c r="D1767" t="s">
        <v>1178</v>
      </c>
      <c r="E1767" s="1">
        <v>45859</v>
      </c>
      <c r="F1767" s="1">
        <v>45859</v>
      </c>
      <c r="G1767" s="12">
        <v>40</v>
      </c>
      <c r="H1767" s="2">
        <v>0</v>
      </c>
      <c r="I1767" s="2">
        <v>0</v>
      </c>
      <c r="J1767" s="2">
        <v>0</v>
      </c>
      <c r="K1767" s="20">
        <v>40</v>
      </c>
      <c r="L1767" t="s">
        <v>794</v>
      </c>
      <c r="M1767">
        <f t="shared" si="27"/>
        <v>2025</v>
      </c>
    </row>
    <row r="1768" spans="1:13" ht="12.75" hidden="1" customHeight="1">
      <c r="A1768" t="s">
        <v>1138</v>
      </c>
      <c r="B1768" t="s">
        <v>104</v>
      </c>
      <c r="C1768" t="s">
        <v>141</v>
      </c>
      <c r="D1768" t="s">
        <v>1178</v>
      </c>
      <c r="E1768" s="1">
        <v>45859</v>
      </c>
      <c r="F1768" s="1">
        <v>45859</v>
      </c>
      <c r="G1768" s="12">
        <v>72</v>
      </c>
      <c r="H1768" s="2">
        <v>0</v>
      </c>
      <c r="I1768" s="2">
        <v>0</v>
      </c>
      <c r="J1768" s="2">
        <v>0</v>
      </c>
      <c r="K1768" s="20">
        <v>72</v>
      </c>
      <c r="L1768" t="s">
        <v>794</v>
      </c>
      <c r="M1768">
        <f t="shared" si="27"/>
        <v>2025</v>
      </c>
    </row>
    <row r="1769" spans="1:13" ht="12.75" hidden="1" customHeight="1">
      <c r="A1769" t="s">
        <v>1190</v>
      </c>
      <c r="B1769" t="s">
        <v>454</v>
      </c>
      <c r="C1769" t="s">
        <v>140</v>
      </c>
      <c r="D1769" t="s">
        <v>1178</v>
      </c>
      <c r="E1769" s="1">
        <v>45859</v>
      </c>
      <c r="F1769" s="1">
        <v>45859</v>
      </c>
      <c r="G1769" s="12">
        <v>60</v>
      </c>
      <c r="H1769" s="2">
        <v>0</v>
      </c>
      <c r="I1769" s="2">
        <v>0</v>
      </c>
      <c r="J1769" s="2">
        <v>0</v>
      </c>
      <c r="K1769" s="20">
        <v>60</v>
      </c>
      <c r="L1769" t="s">
        <v>794</v>
      </c>
      <c r="M1769">
        <f t="shared" si="27"/>
        <v>2025</v>
      </c>
    </row>
    <row r="1770" spans="1:13" ht="12.75" hidden="1" customHeight="1">
      <c r="A1770" t="s">
        <v>1181</v>
      </c>
      <c r="B1770" t="s">
        <v>75</v>
      </c>
      <c r="C1770" t="s">
        <v>139</v>
      </c>
      <c r="D1770" t="s">
        <v>1178</v>
      </c>
      <c r="E1770" s="1">
        <v>45859</v>
      </c>
      <c r="F1770" s="1">
        <v>45859</v>
      </c>
      <c r="G1770" s="12">
        <v>69.600000000000009</v>
      </c>
      <c r="H1770" s="2">
        <v>0</v>
      </c>
      <c r="I1770" s="2">
        <v>0</v>
      </c>
      <c r="J1770" s="2">
        <v>0</v>
      </c>
      <c r="K1770" s="20">
        <v>69.600000000000009</v>
      </c>
      <c r="L1770" t="s">
        <v>794</v>
      </c>
      <c r="M1770">
        <f t="shared" si="27"/>
        <v>2025</v>
      </c>
    </row>
    <row r="1771" spans="1:13" ht="12.75" hidden="1" customHeight="1">
      <c r="A1771" t="s">
        <v>1191</v>
      </c>
      <c r="B1771" t="s">
        <v>513</v>
      </c>
      <c r="C1771" t="s">
        <v>99</v>
      </c>
      <c r="D1771" t="s">
        <v>1178</v>
      </c>
      <c r="E1771" s="1">
        <v>45860</v>
      </c>
      <c r="F1771" s="1">
        <v>45860</v>
      </c>
      <c r="G1771" s="12">
        <v>50</v>
      </c>
      <c r="H1771" s="2">
        <v>0</v>
      </c>
      <c r="I1771" s="2">
        <v>0</v>
      </c>
      <c r="J1771" s="2">
        <v>0</v>
      </c>
      <c r="K1771" s="20">
        <v>50</v>
      </c>
      <c r="L1771" t="s">
        <v>794</v>
      </c>
      <c r="M1771">
        <f t="shared" si="27"/>
        <v>2025</v>
      </c>
    </row>
    <row r="1772" spans="1:13" ht="12.75" hidden="1" customHeight="1">
      <c r="A1772" t="s">
        <v>1121</v>
      </c>
      <c r="B1772" t="s">
        <v>295</v>
      </c>
      <c r="C1772" t="s">
        <v>142</v>
      </c>
      <c r="D1772" t="s">
        <v>1178</v>
      </c>
      <c r="E1772" s="1">
        <v>45860</v>
      </c>
      <c r="F1772" s="1">
        <v>45860</v>
      </c>
      <c r="G1772" s="12">
        <v>35</v>
      </c>
      <c r="H1772" s="2">
        <v>0</v>
      </c>
      <c r="I1772" s="2">
        <v>0</v>
      </c>
      <c r="J1772" s="2">
        <v>0</v>
      </c>
      <c r="K1772" s="20">
        <v>35</v>
      </c>
      <c r="L1772" t="s">
        <v>794</v>
      </c>
      <c r="M1772">
        <f t="shared" si="27"/>
        <v>2025</v>
      </c>
    </row>
    <row r="1773" spans="1:13" ht="12.75" hidden="1" customHeight="1">
      <c r="A1773" t="s">
        <v>1192</v>
      </c>
      <c r="B1773" t="s">
        <v>588</v>
      </c>
      <c r="C1773" t="s">
        <v>710</v>
      </c>
      <c r="D1773" t="s">
        <v>1178</v>
      </c>
      <c r="E1773" s="1">
        <v>45860</v>
      </c>
      <c r="F1773" s="1">
        <v>45860</v>
      </c>
      <c r="G1773" s="12">
        <v>38</v>
      </c>
      <c r="H1773" s="2">
        <v>0</v>
      </c>
      <c r="I1773" s="2">
        <v>0</v>
      </c>
      <c r="J1773" s="2">
        <v>0</v>
      </c>
      <c r="K1773" s="20">
        <v>38</v>
      </c>
      <c r="L1773" t="s">
        <v>794</v>
      </c>
      <c r="M1773">
        <f t="shared" si="27"/>
        <v>2025</v>
      </c>
    </row>
    <row r="1774" spans="1:13" ht="12.75" hidden="1" customHeight="1">
      <c r="A1774" t="s">
        <v>1190</v>
      </c>
      <c r="B1774" t="s">
        <v>454</v>
      </c>
      <c r="C1774" t="s">
        <v>140</v>
      </c>
      <c r="D1774" t="s">
        <v>1178</v>
      </c>
      <c r="E1774" s="1">
        <v>45860</v>
      </c>
      <c r="F1774" s="1">
        <v>45860</v>
      </c>
      <c r="G1774" s="12">
        <v>20.400000000000002</v>
      </c>
      <c r="H1774" s="2">
        <v>0</v>
      </c>
      <c r="I1774" s="2">
        <v>0</v>
      </c>
      <c r="J1774" s="2">
        <v>0</v>
      </c>
      <c r="K1774" s="20">
        <v>20.400000000000002</v>
      </c>
      <c r="L1774" t="s">
        <v>794</v>
      </c>
      <c r="M1774">
        <f t="shared" si="27"/>
        <v>2025</v>
      </c>
    </row>
    <row r="1775" spans="1:13" ht="12.75" hidden="1" customHeight="1">
      <c r="A1775" t="s">
        <v>1193</v>
      </c>
      <c r="B1775" t="s">
        <v>554</v>
      </c>
      <c r="C1775" t="s">
        <v>140</v>
      </c>
      <c r="D1775" t="s">
        <v>1178</v>
      </c>
      <c r="E1775" s="1">
        <v>45860</v>
      </c>
      <c r="F1775" s="1">
        <v>45860</v>
      </c>
      <c r="G1775" s="12">
        <v>30</v>
      </c>
      <c r="H1775" s="2">
        <v>0</v>
      </c>
      <c r="I1775" s="2">
        <v>0</v>
      </c>
      <c r="J1775" s="2">
        <v>0</v>
      </c>
      <c r="K1775" s="20">
        <v>30</v>
      </c>
      <c r="L1775" t="s">
        <v>794</v>
      </c>
      <c r="M1775">
        <f t="shared" si="27"/>
        <v>2025</v>
      </c>
    </row>
    <row r="1776" spans="1:13" ht="12.75" hidden="1" customHeight="1">
      <c r="A1776" t="s">
        <v>1144</v>
      </c>
      <c r="B1776" t="s">
        <v>389</v>
      </c>
      <c r="C1776" t="s">
        <v>491</v>
      </c>
      <c r="D1776" t="s">
        <v>1178</v>
      </c>
      <c r="E1776" s="1">
        <v>45861</v>
      </c>
      <c r="F1776" s="1">
        <v>45861</v>
      </c>
      <c r="G1776" s="12">
        <v>20</v>
      </c>
      <c r="H1776" s="2">
        <v>0</v>
      </c>
      <c r="I1776" s="2">
        <v>0</v>
      </c>
      <c r="J1776" s="2">
        <v>0</v>
      </c>
      <c r="K1776" s="20">
        <v>20</v>
      </c>
      <c r="L1776" t="s">
        <v>794</v>
      </c>
      <c r="M1776">
        <f t="shared" si="27"/>
        <v>2025</v>
      </c>
    </row>
    <row r="1777" spans="1:13" ht="12.75" hidden="1" customHeight="1">
      <c r="A1777" t="s">
        <v>1194</v>
      </c>
      <c r="B1777" t="s">
        <v>1195</v>
      </c>
      <c r="C1777" t="s">
        <v>140</v>
      </c>
      <c r="D1777" t="s">
        <v>1178</v>
      </c>
      <c r="E1777" s="1">
        <v>45861</v>
      </c>
      <c r="F1777" s="1">
        <v>45861</v>
      </c>
      <c r="G1777" s="12">
        <v>30</v>
      </c>
      <c r="H1777" s="2">
        <v>0</v>
      </c>
      <c r="I1777" s="2">
        <v>0</v>
      </c>
      <c r="J1777" s="2">
        <v>0</v>
      </c>
      <c r="K1777" s="20">
        <v>30</v>
      </c>
      <c r="L1777" t="s">
        <v>794</v>
      </c>
      <c r="M1777">
        <f t="shared" si="27"/>
        <v>2025</v>
      </c>
    </row>
    <row r="1778" spans="1:13" ht="12.75" hidden="1" customHeight="1">
      <c r="A1778" t="s">
        <v>1009</v>
      </c>
      <c r="B1778" t="s">
        <v>62</v>
      </c>
      <c r="C1778" t="s">
        <v>141</v>
      </c>
      <c r="D1778" t="s">
        <v>1178</v>
      </c>
      <c r="E1778" s="1">
        <v>45861</v>
      </c>
      <c r="F1778" s="1">
        <v>45861</v>
      </c>
      <c r="G1778" s="12">
        <v>40</v>
      </c>
      <c r="H1778" s="2">
        <v>0</v>
      </c>
      <c r="I1778" s="2">
        <v>0</v>
      </c>
      <c r="J1778" s="2">
        <v>0</v>
      </c>
      <c r="K1778" s="20">
        <v>40</v>
      </c>
      <c r="L1778" t="s">
        <v>794</v>
      </c>
      <c r="M1778">
        <f t="shared" si="27"/>
        <v>2025</v>
      </c>
    </row>
    <row r="1779" spans="1:13" ht="12.75" hidden="1" customHeight="1">
      <c r="A1779" t="s">
        <v>1117</v>
      </c>
      <c r="B1779" t="s">
        <v>428</v>
      </c>
      <c r="C1779" t="s">
        <v>710</v>
      </c>
      <c r="D1779" t="s">
        <v>1178</v>
      </c>
      <c r="E1779" s="1">
        <v>45861</v>
      </c>
      <c r="F1779" s="1">
        <v>45861</v>
      </c>
      <c r="G1779" s="12">
        <v>12</v>
      </c>
      <c r="H1779" s="2">
        <v>0</v>
      </c>
      <c r="I1779" s="2">
        <v>0</v>
      </c>
      <c r="J1779" s="2">
        <v>0</v>
      </c>
      <c r="K1779" s="20">
        <v>12</v>
      </c>
      <c r="L1779" t="s">
        <v>794</v>
      </c>
      <c r="M1779">
        <f t="shared" si="27"/>
        <v>2025</v>
      </c>
    </row>
    <row r="1780" spans="1:13" ht="12.75" hidden="1" customHeight="1">
      <c r="A1780" t="s">
        <v>1193</v>
      </c>
      <c r="B1780" t="s">
        <v>554</v>
      </c>
      <c r="C1780" t="s">
        <v>140</v>
      </c>
      <c r="D1780" t="s">
        <v>1178</v>
      </c>
      <c r="E1780" s="1">
        <v>45862</v>
      </c>
      <c r="F1780" s="1">
        <v>45862</v>
      </c>
      <c r="G1780" s="12">
        <v>30</v>
      </c>
      <c r="H1780" s="2">
        <v>0</v>
      </c>
      <c r="I1780" s="2">
        <v>0</v>
      </c>
      <c r="J1780" s="2">
        <v>0</v>
      </c>
      <c r="K1780" s="20">
        <v>30</v>
      </c>
      <c r="L1780" t="s">
        <v>794</v>
      </c>
      <c r="M1780">
        <f t="shared" si="27"/>
        <v>2025</v>
      </c>
    </row>
    <row r="1781" spans="1:13" ht="12.75" hidden="1" customHeight="1">
      <c r="A1781" t="s">
        <v>899</v>
      </c>
      <c r="B1781" t="s">
        <v>559</v>
      </c>
      <c r="C1781" t="s">
        <v>710</v>
      </c>
      <c r="D1781" t="s">
        <v>1178</v>
      </c>
      <c r="E1781" s="1">
        <v>45863</v>
      </c>
      <c r="F1781" s="1">
        <v>45863</v>
      </c>
      <c r="G1781" s="12">
        <v>10</v>
      </c>
      <c r="H1781" s="2">
        <v>0</v>
      </c>
      <c r="I1781" s="2">
        <v>0</v>
      </c>
      <c r="J1781" s="2">
        <v>0</v>
      </c>
      <c r="K1781" s="20">
        <v>10</v>
      </c>
      <c r="L1781" t="s">
        <v>794</v>
      </c>
      <c r="M1781">
        <f t="shared" si="27"/>
        <v>2025</v>
      </c>
    </row>
    <row r="1782" spans="1:13" ht="12.75" hidden="1" customHeight="1">
      <c r="A1782" t="s">
        <v>898</v>
      </c>
      <c r="B1782" t="s">
        <v>353</v>
      </c>
      <c r="C1782" t="s">
        <v>761</v>
      </c>
      <c r="D1782" t="s">
        <v>1178</v>
      </c>
      <c r="E1782" s="1">
        <v>45863</v>
      </c>
      <c r="F1782" s="1">
        <v>45863</v>
      </c>
      <c r="G1782" s="12">
        <v>63.800000000000004</v>
      </c>
      <c r="H1782" s="2">
        <v>0</v>
      </c>
      <c r="I1782" s="2">
        <v>0</v>
      </c>
      <c r="J1782" s="2">
        <v>0</v>
      </c>
      <c r="K1782" s="20">
        <v>63.800000000000004</v>
      </c>
      <c r="L1782" t="s">
        <v>794</v>
      </c>
      <c r="M1782">
        <f t="shared" si="27"/>
        <v>2025</v>
      </c>
    </row>
    <row r="1783" spans="1:13" ht="12.75" hidden="1" customHeight="1">
      <c r="A1783" t="s">
        <v>832</v>
      </c>
      <c r="B1783" t="s">
        <v>120</v>
      </c>
      <c r="C1783" t="s">
        <v>139</v>
      </c>
      <c r="D1783" t="s">
        <v>1178</v>
      </c>
      <c r="E1783" s="1">
        <v>45864</v>
      </c>
      <c r="F1783" s="1">
        <v>45864</v>
      </c>
      <c r="G1783" s="12">
        <v>100</v>
      </c>
      <c r="H1783" s="2">
        <v>0</v>
      </c>
      <c r="I1783" s="2">
        <v>0</v>
      </c>
      <c r="J1783" s="2">
        <v>0</v>
      </c>
      <c r="K1783" s="20">
        <v>100</v>
      </c>
      <c r="L1783" t="s">
        <v>794</v>
      </c>
      <c r="M1783">
        <f t="shared" si="27"/>
        <v>2025</v>
      </c>
    </row>
    <row r="1784" spans="1:13" ht="12.75" hidden="1" customHeight="1">
      <c r="A1784" t="s">
        <v>811</v>
      </c>
      <c r="B1784" t="s">
        <v>39</v>
      </c>
      <c r="C1784" t="s">
        <v>141</v>
      </c>
      <c r="D1784" t="s">
        <v>1178</v>
      </c>
      <c r="E1784" s="1">
        <v>45866</v>
      </c>
      <c r="F1784" s="1">
        <v>45866</v>
      </c>
      <c r="G1784" s="12">
        <v>60</v>
      </c>
      <c r="H1784" s="2">
        <v>0</v>
      </c>
      <c r="I1784" s="2">
        <v>0</v>
      </c>
      <c r="J1784" s="2">
        <v>0</v>
      </c>
      <c r="K1784" s="20">
        <v>60</v>
      </c>
      <c r="L1784" t="s">
        <v>794</v>
      </c>
      <c r="M1784">
        <f t="shared" si="27"/>
        <v>2025</v>
      </c>
    </row>
    <row r="1785" spans="1:13" ht="12.75" hidden="1" customHeight="1">
      <c r="A1785" t="s">
        <v>1180</v>
      </c>
      <c r="B1785" t="s">
        <v>179</v>
      </c>
      <c r="C1785" t="s">
        <v>141</v>
      </c>
      <c r="D1785" t="s">
        <v>1178</v>
      </c>
      <c r="E1785" s="1">
        <v>45866</v>
      </c>
      <c r="F1785" s="1">
        <v>45866</v>
      </c>
      <c r="G1785" s="12">
        <v>200</v>
      </c>
      <c r="H1785" s="2">
        <v>0</v>
      </c>
      <c r="I1785" s="2">
        <v>0</v>
      </c>
      <c r="J1785" s="2">
        <v>0</v>
      </c>
      <c r="K1785" s="20">
        <v>200</v>
      </c>
      <c r="L1785" t="s">
        <v>794</v>
      </c>
      <c r="M1785">
        <f t="shared" si="27"/>
        <v>2025</v>
      </c>
    </row>
    <row r="1786" spans="1:13" ht="12.75" hidden="1" customHeight="1">
      <c r="A1786" t="s">
        <v>1138</v>
      </c>
      <c r="B1786" t="s">
        <v>104</v>
      </c>
      <c r="C1786" t="s">
        <v>141</v>
      </c>
      <c r="D1786" t="s">
        <v>1178</v>
      </c>
      <c r="E1786" s="1">
        <v>45866</v>
      </c>
      <c r="F1786" s="1">
        <v>45866</v>
      </c>
      <c r="G1786" s="12">
        <v>72</v>
      </c>
      <c r="H1786" s="2">
        <v>0</v>
      </c>
      <c r="I1786" s="2">
        <v>0</v>
      </c>
      <c r="J1786" s="2">
        <v>0</v>
      </c>
      <c r="K1786" s="20">
        <v>72</v>
      </c>
      <c r="L1786" t="s">
        <v>794</v>
      </c>
      <c r="M1786">
        <f t="shared" si="27"/>
        <v>2025</v>
      </c>
    </row>
    <row r="1787" spans="1:13" ht="12.75" hidden="1" customHeight="1">
      <c r="A1787" t="s">
        <v>1181</v>
      </c>
      <c r="B1787" t="s">
        <v>75</v>
      </c>
      <c r="C1787" t="s">
        <v>491</v>
      </c>
      <c r="D1787" t="s">
        <v>1178</v>
      </c>
      <c r="E1787" s="1">
        <v>45867</v>
      </c>
      <c r="F1787" s="1">
        <v>45867</v>
      </c>
      <c r="G1787" s="12">
        <v>27</v>
      </c>
      <c r="H1787" s="2">
        <v>0</v>
      </c>
      <c r="I1787" s="2">
        <v>0</v>
      </c>
      <c r="J1787" s="2">
        <v>0</v>
      </c>
      <c r="K1787" s="20">
        <v>27</v>
      </c>
      <c r="L1787" t="s">
        <v>794</v>
      </c>
      <c r="M1787">
        <f t="shared" si="27"/>
        <v>2025</v>
      </c>
    </row>
    <row r="1788" spans="1:13" ht="12.75" hidden="1" customHeight="1">
      <c r="A1788" t="s">
        <v>921</v>
      </c>
      <c r="B1788" t="s">
        <v>184</v>
      </c>
      <c r="C1788" t="s">
        <v>483</v>
      </c>
      <c r="D1788" t="s">
        <v>1178</v>
      </c>
      <c r="E1788" s="1">
        <v>45867</v>
      </c>
      <c r="F1788" s="1">
        <v>45867</v>
      </c>
      <c r="G1788" s="12">
        <v>25.8</v>
      </c>
      <c r="H1788" s="2">
        <v>0</v>
      </c>
      <c r="I1788" s="2">
        <v>0</v>
      </c>
      <c r="J1788" s="2">
        <v>0</v>
      </c>
      <c r="K1788" s="20">
        <v>25.8</v>
      </c>
      <c r="L1788" t="s">
        <v>794</v>
      </c>
      <c r="M1788">
        <f t="shared" si="27"/>
        <v>2025</v>
      </c>
    </row>
    <row r="1789" spans="1:13" ht="12.75" hidden="1" customHeight="1">
      <c r="A1789" t="s">
        <v>921</v>
      </c>
      <c r="B1789" t="s">
        <v>184</v>
      </c>
      <c r="C1789" t="s">
        <v>483</v>
      </c>
      <c r="D1789" t="s">
        <v>1178</v>
      </c>
      <c r="E1789" s="1">
        <v>45868</v>
      </c>
      <c r="F1789" s="1">
        <v>45868</v>
      </c>
      <c r="G1789" s="12">
        <v>32</v>
      </c>
      <c r="H1789" s="2">
        <v>0</v>
      </c>
      <c r="I1789" s="2">
        <v>0</v>
      </c>
      <c r="J1789" s="2">
        <v>0</v>
      </c>
      <c r="K1789" s="20">
        <v>32</v>
      </c>
      <c r="L1789" t="s">
        <v>794</v>
      </c>
      <c r="M1789">
        <f t="shared" si="27"/>
        <v>2025</v>
      </c>
    </row>
    <row r="1790" spans="1:13" ht="12.75" hidden="1" customHeight="1">
      <c r="A1790" t="s">
        <v>1151</v>
      </c>
      <c r="B1790" t="s">
        <v>413</v>
      </c>
      <c r="C1790" t="s">
        <v>765</v>
      </c>
      <c r="D1790" t="s">
        <v>1178</v>
      </c>
      <c r="E1790" s="1">
        <v>45868</v>
      </c>
      <c r="F1790" s="1">
        <v>45868</v>
      </c>
      <c r="G1790" s="12">
        <v>79</v>
      </c>
      <c r="H1790" s="2">
        <v>0</v>
      </c>
      <c r="I1790" s="2">
        <v>0</v>
      </c>
      <c r="J1790" s="2">
        <v>0</v>
      </c>
      <c r="K1790" s="20">
        <v>79</v>
      </c>
      <c r="L1790" t="s">
        <v>794</v>
      </c>
      <c r="M1790">
        <f t="shared" si="27"/>
        <v>2025</v>
      </c>
    </row>
    <row r="1791" spans="1:13" ht="12.75" hidden="1" customHeight="1">
      <c r="A1791" t="s">
        <v>1111</v>
      </c>
      <c r="B1791" t="s">
        <v>144</v>
      </c>
      <c r="C1791" t="s">
        <v>139</v>
      </c>
      <c r="D1791" t="s">
        <v>1178</v>
      </c>
      <c r="E1791" s="1">
        <v>45869</v>
      </c>
      <c r="F1791" s="1">
        <v>45869</v>
      </c>
      <c r="G1791" s="12">
        <v>60</v>
      </c>
      <c r="H1791" s="2">
        <v>0</v>
      </c>
      <c r="I1791" s="2">
        <v>0</v>
      </c>
      <c r="J1791" s="2">
        <v>0</v>
      </c>
      <c r="K1791" s="20">
        <v>60</v>
      </c>
      <c r="L1791" t="s">
        <v>794</v>
      </c>
      <c r="M1791">
        <f t="shared" si="27"/>
        <v>2025</v>
      </c>
    </row>
    <row r="1792" spans="1:13" ht="12.75" hidden="1" customHeight="1">
      <c r="A1792" t="s">
        <v>1004</v>
      </c>
      <c r="B1792" t="s">
        <v>57</v>
      </c>
      <c r="C1792" t="s">
        <v>139</v>
      </c>
      <c r="D1792" t="s">
        <v>1178</v>
      </c>
      <c r="E1792" s="1">
        <v>45869</v>
      </c>
      <c r="F1792" s="1">
        <v>45869</v>
      </c>
      <c r="G1792" s="12">
        <v>290</v>
      </c>
      <c r="H1792" s="2">
        <v>0</v>
      </c>
      <c r="I1792" s="2">
        <v>0</v>
      </c>
      <c r="J1792" s="2">
        <v>0</v>
      </c>
      <c r="K1792" s="20">
        <v>290</v>
      </c>
      <c r="L1792" t="s">
        <v>794</v>
      </c>
      <c r="M1792">
        <f t="shared" si="27"/>
        <v>2025</v>
      </c>
    </row>
    <row r="1793" spans="1:13" ht="12.75" hidden="1" customHeight="1">
      <c r="A1793" t="s">
        <v>1186</v>
      </c>
      <c r="B1793" t="s">
        <v>487</v>
      </c>
      <c r="C1793" t="s">
        <v>710</v>
      </c>
      <c r="D1793" t="s">
        <v>1178</v>
      </c>
      <c r="E1793" s="1">
        <v>45869</v>
      </c>
      <c r="F1793" s="1">
        <v>45869</v>
      </c>
      <c r="G1793" s="12">
        <v>38</v>
      </c>
      <c r="H1793" s="2">
        <v>0</v>
      </c>
      <c r="I1793" s="2">
        <v>0</v>
      </c>
      <c r="J1793" s="2">
        <v>0</v>
      </c>
      <c r="K1793" s="20">
        <v>38</v>
      </c>
      <c r="L1793" t="s">
        <v>794</v>
      </c>
      <c r="M1793">
        <f t="shared" si="27"/>
        <v>2025</v>
      </c>
    </row>
    <row r="1794" spans="1:13" ht="12.75" hidden="1" customHeight="1">
      <c r="A1794" t="s">
        <v>836</v>
      </c>
      <c r="B1794" t="s">
        <v>37</v>
      </c>
      <c r="C1794" t="s">
        <v>137</v>
      </c>
      <c r="D1794" t="s">
        <v>1178</v>
      </c>
      <c r="E1794" s="1">
        <v>45842</v>
      </c>
      <c r="F1794" s="1">
        <v>45842</v>
      </c>
      <c r="G1794" s="12">
        <v>1606</v>
      </c>
      <c r="H1794" s="2">
        <v>0</v>
      </c>
      <c r="I1794" s="2">
        <v>0</v>
      </c>
      <c r="J1794" s="2">
        <v>0</v>
      </c>
      <c r="K1794" s="20">
        <v>1606</v>
      </c>
      <c r="L1794" t="s">
        <v>794</v>
      </c>
      <c r="M1794">
        <f t="shared" si="27"/>
        <v>2025</v>
      </c>
    </row>
    <row r="1795" spans="1:13" ht="12.75" hidden="1" customHeight="1">
      <c r="A1795" t="s">
        <v>811</v>
      </c>
      <c r="B1795" t="s">
        <v>39</v>
      </c>
      <c r="C1795" t="s">
        <v>137</v>
      </c>
      <c r="D1795" t="s">
        <v>1178</v>
      </c>
      <c r="E1795" s="1">
        <v>45842</v>
      </c>
      <c r="F1795" s="1">
        <v>45842</v>
      </c>
      <c r="G1795" s="12">
        <v>1462</v>
      </c>
      <c r="H1795" s="2">
        <v>0</v>
      </c>
      <c r="I1795" s="2">
        <v>0</v>
      </c>
      <c r="J1795" s="2">
        <v>0</v>
      </c>
      <c r="K1795" s="20">
        <v>1462</v>
      </c>
      <c r="L1795" t="s">
        <v>794</v>
      </c>
      <c r="M1795">
        <f t="shared" ref="M1795:M1858" si="28">YEAR(F1795)</f>
        <v>2025</v>
      </c>
    </row>
    <row r="1796" spans="1:13" ht="12.75" hidden="1" customHeight="1">
      <c r="A1796" t="s">
        <v>1009</v>
      </c>
      <c r="B1796" t="s">
        <v>62</v>
      </c>
      <c r="C1796" t="s">
        <v>137</v>
      </c>
      <c r="D1796" t="s">
        <v>1178</v>
      </c>
      <c r="E1796" s="1">
        <v>45842</v>
      </c>
      <c r="F1796" s="1">
        <v>45842</v>
      </c>
      <c r="G1796" s="12">
        <v>1620</v>
      </c>
      <c r="H1796" s="2">
        <v>0</v>
      </c>
      <c r="I1796" s="2">
        <v>0</v>
      </c>
      <c r="J1796" s="2">
        <v>0</v>
      </c>
      <c r="K1796" s="20">
        <v>1620</v>
      </c>
      <c r="L1796" t="s">
        <v>794</v>
      </c>
      <c r="M1796">
        <f t="shared" si="28"/>
        <v>2025</v>
      </c>
    </row>
    <row r="1797" spans="1:13" ht="12.75" hidden="1" customHeight="1">
      <c r="A1797" t="s">
        <v>826</v>
      </c>
      <c r="B1797" t="s">
        <v>21</v>
      </c>
      <c r="C1797" t="s">
        <v>137</v>
      </c>
      <c r="D1797" t="s">
        <v>1178</v>
      </c>
      <c r="E1797" s="1">
        <v>45842</v>
      </c>
      <c r="F1797" s="1">
        <v>45842</v>
      </c>
      <c r="G1797" s="12">
        <v>2353</v>
      </c>
      <c r="H1797" s="2">
        <v>0</v>
      </c>
      <c r="I1797" s="2">
        <v>0</v>
      </c>
      <c r="J1797" s="2">
        <v>0</v>
      </c>
      <c r="K1797" s="20">
        <v>2353</v>
      </c>
      <c r="L1797" t="s">
        <v>794</v>
      </c>
      <c r="M1797">
        <f t="shared" si="28"/>
        <v>2025</v>
      </c>
    </row>
    <row r="1798" spans="1:13" ht="12.75" hidden="1" customHeight="1">
      <c r="A1798" t="s">
        <v>1111</v>
      </c>
      <c r="B1798" t="s">
        <v>144</v>
      </c>
      <c r="C1798" t="s">
        <v>137</v>
      </c>
      <c r="D1798" t="s">
        <v>1178</v>
      </c>
      <c r="E1798" s="1">
        <v>45842</v>
      </c>
      <c r="F1798" s="1">
        <v>45842</v>
      </c>
      <c r="G1798" s="12">
        <v>1579</v>
      </c>
      <c r="H1798" s="2">
        <v>0</v>
      </c>
      <c r="I1798" s="2">
        <v>0</v>
      </c>
      <c r="J1798" s="2">
        <v>0</v>
      </c>
      <c r="K1798" s="20">
        <v>1579</v>
      </c>
      <c r="L1798" t="s">
        <v>794</v>
      </c>
      <c r="M1798">
        <f t="shared" si="28"/>
        <v>2025</v>
      </c>
    </row>
    <row r="1799" spans="1:13" ht="12.75" hidden="1" customHeight="1">
      <c r="A1799" t="s">
        <v>1134</v>
      </c>
      <c r="B1799" t="s">
        <v>33</v>
      </c>
      <c r="C1799" t="s">
        <v>137</v>
      </c>
      <c r="D1799" t="s">
        <v>1178</v>
      </c>
      <c r="E1799" s="1">
        <v>45842</v>
      </c>
      <c r="F1799" s="1">
        <v>45842</v>
      </c>
      <c r="G1799" s="12">
        <v>1351.02</v>
      </c>
      <c r="H1799" s="2">
        <v>0</v>
      </c>
      <c r="I1799" s="2">
        <v>0</v>
      </c>
      <c r="J1799" s="2">
        <v>0</v>
      </c>
      <c r="K1799" s="20">
        <v>1351.02</v>
      </c>
      <c r="L1799" t="s">
        <v>794</v>
      </c>
      <c r="M1799">
        <f t="shared" si="28"/>
        <v>2025</v>
      </c>
    </row>
    <row r="1800" spans="1:13" ht="12.75" hidden="1" customHeight="1">
      <c r="A1800" t="s">
        <v>1134</v>
      </c>
      <c r="B1800" t="s">
        <v>33</v>
      </c>
      <c r="C1800" t="s">
        <v>137</v>
      </c>
      <c r="D1800" t="s">
        <v>1178</v>
      </c>
      <c r="E1800" s="1">
        <v>45842</v>
      </c>
      <c r="F1800" s="1">
        <v>45842</v>
      </c>
      <c r="G1800" s="12">
        <v>450</v>
      </c>
      <c r="H1800" s="2">
        <v>0</v>
      </c>
      <c r="I1800" s="2">
        <v>0</v>
      </c>
      <c r="J1800" s="2">
        <v>0</v>
      </c>
      <c r="K1800" s="20">
        <v>450</v>
      </c>
      <c r="L1800" t="s">
        <v>794</v>
      </c>
      <c r="M1800">
        <f t="shared" si="28"/>
        <v>2025</v>
      </c>
    </row>
    <row r="1801" spans="1:13" ht="12.75" hidden="1" customHeight="1">
      <c r="A1801" t="s">
        <v>825</v>
      </c>
      <c r="B1801" t="s">
        <v>46</v>
      </c>
      <c r="C1801" t="s">
        <v>137</v>
      </c>
      <c r="D1801" t="s">
        <v>1178</v>
      </c>
      <c r="E1801" s="1">
        <v>45842</v>
      </c>
      <c r="F1801" s="1">
        <v>45842</v>
      </c>
      <c r="G1801" s="12">
        <v>1122</v>
      </c>
      <c r="H1801" s="2">
        <v>0</v>
      </c>
      <c r="I1801" s="2">
        <v>0</v>
      </c>
      <c r="J1801" s="2">
        <v>0</v>
      </c>
      <c r="K1801" s="20">
        <v>1122</v>
      </c>
      <c r="L1801" t="s">
        <v>794</v>
      </c>
      <c r="M1801">
        <f t="shared" si="28"/>
        <v>2025</v>
      </c>
    </row>
    <row r="1802" spans="1:13" ht="12.75" hidden="1" customHeight="1">
      <c r="A1802" t="s">
        <v>1138</v>
      </c>
      <c r="B1802" t="s">
        <v>104</v>
      </c>
      <c r="C1802" t="s">
        <v>137</v>
      </c>
      <c r="D1802" t="s">
        <v>1178</v>
      </c>
      <c r="E1802" s="1">
        <v>45842</v>
      </c>
      <c r="F1802" s="1">
        <v>45842</v>
      </c>
      <c r="G1802" s="12">
        <v>1791</v>
      </c>
      <c r="H1802" s="2">
        <v>0</v>
      </c>
      <c r="I1802" s="2">
        <v>0</v>
      </c>
      <c r="J1802" s="2">
        <v>0</v>
      </c>
      <c r="K1802" s="20">
        <v>1791</v>
      </c>
      <c r="L1802" t="s">
        <v>794</v>
      </c>
      <c r="M1802">
        <f t="shared" si="28"/>
        <v>2025</v>
      </c>
    </row>
    <row r="1803" spans="1:13" ht="12.75" hidden="1" customHeight="1">
      <c r="A1803" t="s">
        <v>1063</v>
      </c>
      <c r="B1803" t="s">
        <v>31</v>
      </c>
      <c r="C1803" t="s">
        <v>137</v>
      </c>
      <c r="D1803" t="s">
        <v>1178</v>
      </c>
      <c r="E1803" s="1">
        <v>45842</v>
      </c>
      <c r="F1803" s="1">
        <v>45842</v>
      </c>
      <c r="G1803" s="12">
        <v>1603</v>
      </c>
      <c r="H1803" s="2">
        <v>0</v>
      </c>
      <c r="I1803" s="2">
        <v>0</v>
      </c>
      <c r="J1803" s="2">
        <v>0</v>
      </c>
      <c r="K1803" s="20">
        <v>1603</v>
      </c>
      <c r="L1803" t="s">
        <v>794</v>
      </c>
      <c r="M1803">
        <f t="shared" si="28"/>
        <v>2025</v>
      </c>
    </row>
    <row r="1804" spans="1:13" ht="12.75" hidden="1" customHeight="1">
      <c r="A1804" t="s">
        <v>1104</v>
      </c>
      <c r="B1804" t="s">
        <v>53</v>
      </c>
      <c r="C1804" t="s">
        <v>137</v>
      </c>
      <c r="D1804" t="s">
        <v>1178</v>
      </c>
      <c r="E1804" s="1">
        <v>45842</v>
      </c>
      <c r="F1804" s="1">
        <v>45842</v>
      </c>
      <c r="G1804" s="12">
        <v>1672</v>
      </c>
      <c r="H1804" s="2">
        <v>0</v>
      </c>
      <c r="I1804" s="2">
        <v>0</v>
      </c>
      <c r="J1804" s="2">
        <v>0</v>
      </c>
      <c r="K1804" s="20">
        <v>1672</v>
      </c>
      <c r="L1804" t="s">
        <v>794</v>
      </c>
      <c r="M1804">
        <f t="shared" si="28"/>
        <v>2025</v>
      </c>
    </row>
    <row r="1805" spans="1:13" ht="12.75" hidden="1" customHeight="1">
      <c r="A1805" t="s">
        <v>1105</v>
      </c>
      <c r="B1805" t="s">
        <v>84</v>
      </c>
      <c r="C1805" t="s">
        <v>137</v>
      </c>
      <c r="D1805" t="s">
        <v>1178</v>
      </c>
      <c r="E1805" s="1">
        <v>45842</v>
      </c>
      <c r="F1805" s="1">
        <v>45843</v>
      </c>
      <c r="G1805" s="12">
        <v>1692</v>
      </c>
      <c r="H1805" s="2">
        <v>0</v>
      </c>
      <c r="I1805" s="2">
        <v>0</v>
      </c>
      <c r="J1805" s="2">
        <v>0</v>
      </c>
      <c r="K1805" s="20">
        <v>1692</v>
      </c>
      <c r="L1805" t="s">
        <v>794</v>
      </c>
      <c r="M1805">
        <f t="shared" si="28"/>
        <v>2025</v>
      </c>
    </row>
    <row r="1806" spans="1:13" ht="12.75" hidden="1" customHeight="1">
      <c r="A1806" t="s">
        <v>1141</v>
      </c>
      <c r="B1806" t="s">
        <v>69</v>
      </c>
      <c r="C1806" t="s">
        <v>137</v>
      </c>
      <c r="D1806" t="s">
        <v>1178</v>
      </c>
      <c r="E1806" s="1">
        <v>45842</v>
      </c>
      <c r="F1806" s="1">
        <v>45843</v>
      </c>
      <c r="G1806" s="12">
        <v>1683</v>
      </c>
      <c r="H1806" s="2">
        <v>0</v>
      </c>
      <c r="I1806" s="2">
        <v>0</v>
      </c>
      <c r="J1806" s="2">
        <v>0</v>
      </c>
      <c r="K1806" s="20">
        <v>1683</v>
      </c>
      <c r="L1806" t="s">
        <v>794</v>
      </c>
      <c r="M1806">
        <f t="shared" si="28"/>
        <v>2025</v>
      </c>
    </row>
    <row r="1807" spans="1:13" ht="12.75" hidden="1" customHeight="1">
      <c r="A1807" t="s">
        <v>814</v>
      </c>
      <c r="B1807" t="s">
        <v>56</v>
      </c>
      <c r="C1807" t="s">
        <v>137</v>
      </c>
      <c r="D1807" t="s">
        <v>1178</v>
      </c>
      <c r="E1807" s="1">
        <v>45842</v>
      </c>
      <c r="F1807" s="1">
        <v>45843</v>
      </c>
      <c r="G1807" s="12">
        <v>1763</v>
      </c>
      <c r="H1807" s="2">
        <v>0</v>
      </c>
      <c r="I1807" s="2">
        <v>0</v>
      </c>
      <c r="J1807" s="2">
        <v>0</v>
      </c>
      <c r="K1807" s="20">
        <v>1763</v>
      </c>
      <c r="L1807" t="s">
        <v>794</v>
      </c>
      <c r="M1807">
        <f t="shared" si="28"/>
        <v>2025</v>
      </c>
    </row>
    <row r="1808" spans="1:13" ht="12.75" hidden="1" customHeight="1">
      <c r="A1808" t="s">
        <v>961</v>
      </c>
      <c r="B1808" t="s">
        <v>41</v>
      </c>
      <c r="C1808" t="s">
        <v>137</v>
      </c>
      <c r="D1808" t="s">
        <v>1178</v>
      </c>
      <c r="E1808" s="1">
        <v>45842</v>
      </c>
      <c r="F1808" s="1">
        <v>45843</v>
      </c>
      <c r="G1808" s="12">
        <v>1635</v>
      </c>
      <c r="H1808" s="2">
        <v>0</v>
      </c>
      <c r="I1808" s="2">
        <v>0</v>
      </c>
      <c r="J1808" s="2">
        <v>0</v>
      </c>
      <c r="K1808" s="20">
        <v>1635</v>
      </c>
      <c r="L1808" t="s">
        <v>794</v>
      </c>
      <c r="M1808">
        <f t="shared" si="28"/>
        <v>2025</v>
      </c>
    </row>
    <row r="1809" spans="1:13" ht="12.75" hidden="1" customHeight="1">
      <c r="A1809" t="s">
        <v>1167</v>
      </c>
      <c r="B1809" t="s">
        <v>47</v>
      </c>
      <c r="C1809" t="s">
        <v>137</v>
      </c>
      <c r="D1809" t="s">
        <v>1178</v>
      </c>
      <c r="E1809" s="1">
        <v>45842</v>
      </c>
      <c r="F1809" s="1">
        <v>45843</v>
      </c>
      <c r="G1809" s="12">
        <v>1884</v>
      </c>
      <c r="H1809" s="2">
        <v>0</v>
      </c>
      <c r="I1809" s="2">
        <v>0</v>
      </c>
      <c r="J1809" s="2">
        <v>0</v>
      </c>
      <c r="K1809" s="20">
        <v>1884</v>
      </c>
      <c r="L1809" t="s">
        <v>794</v>
      </c>
      <c r="M1809">
        <f t="shared" si="28"/>
        <v>2025</v>
      </c>
    </row>
    <row r="1810" spans="1:13" ht="12.75" hidden="1" customHeight="1">
      <c r="A1810" t="s">
        <v>834</v>
      </c>
      <c r="B1810" t="s">
        <v>135</v>
      </c>
      <c r="C1810" t="s">
        <v>137</v>
      </c>
      <c r="D1810" t="s">
        <v>1178</v>
      </c>
      <c r="E1810" s="1">
        <v>45842</v>
      </c>
      <c r="F1810" s="1">
        <v>45843</v>
      </c>
      <c r="G1810" s="12">
        <v>1634</v>
      </c>
      <c r="H1810" s="2">
        <v>0</v>
      </c>
      <c r="I1810" s="2">
        <v>0</v>
      </c>
      <c r="J1810" s="2">
        <v>0</v>
      </c>
      <c r="K1810" s="20">
        <v>1634</v>
      </c>
      <c r="L1810" t="s">
        <v>794</v>
      </c>
      <c r="M1810">
        <f t="shared" si="28"/>
        <v>2025</v>
      </c>
    </row>
    <row r="1811" spans="1:13" ht="12.75" hidden="1" customHeight="1">
      <c r="A1811" t="s">
        <v>819</v>
      </c>
      <c r="B1811" t="s">
        <v>38</v>
      </c>
      <c r="C1811" t="s">
        <v>137</v>
      </c>
      <c r="D1811" t="s">
        <v>1178</v>
      </c>
      <c r="E1811" s="1">
        <v>45842</v>
      </c>
      <c r="F1811" s="1">
        <v>45843</v>
      </c>
      <c r="G1811" s="12">
        <v>1656</v>
      </c>
      <c r="H1811" s="2">
        <v>0</v>
      </c>
      <c r="I1811" s="2">
        <v>0</v>
      </c>
      <c r="J1811" s="2">
        <v>0</v>
      </c>
      <c r="K1811" s="20">
        <v>1656</v>
      </c>
      <c r="L1811" t="s">
        <v>794</v>
      </c>
      <c r="M1811">
        <f t="shared" si="28"/>
        <v>2025</v>
      </c>
    </row>
    <row r="1812" spans="1:13" ht="12.75" hidden="1" customHeight="1">
      <c r="A1812" t="s">
        <v>1004</v>
      </c>
      <c r="B1812" t="s">
        <v>57</v>
      </c>
      <c r="C1812" t="s">
        <v>137</v>
      </c>
      <c r="D1812" t="s">
        <v>1178</v>
      </c>
      <c r="E1812" s="1">
        <v>45842</v>
      </c>
      <c r="F1812" s="1">
        <v>45843</v>
      </c>
      <c r="G1812" s="12">
        <v>1749</v>
      </c>
      <c r="H1812" s="2">
        <v>0</v>
      </c>
      <c r="I1812" s="2">
        <v>0</v>
      </c>
      <c r="J1812" s="2">
        <v>0</v>
      </c>
      <c r="K1812" s="20">
        <v>1749</v>
      </c>
      <c r="L1812" t="s">
        <v>794</v>
      </c>
      <c r="M1812">
        <f t="shared" si="28"/>
        <v>2025</v>
      </c>
    </row>
    <row r="1813" spans="1:13" ht="12.75" hidden="1" customHeight="1">
      <c r="A1813" t="s">
        <v>810</v>
      </c>
      <c r="B1813" t="s">
        <v>54</v>
      </c>
      <c r="C1813" t="s">
        <v>137</v>
      </c>
      <c r="D1813" t="s">
        <v>1178</v>
      </c>
      <c r="E1813" s="1">
        <v>45842</v>
      </c>
      <c r="F1813" s="1">
        <v>45843</v>
      </c>
      <c r="G1813" s="12">
        <v>1044</v>
      </c>
      <c r="H1813" s="2">
        <v>0</v>
      </c>
      <c r="I1813" s="2">
        <v>0</v>
      </c>
      <c r="J1813" s="2">
        <v>0</v>
      </c>
      <c r="K1813" s="20">
        <v>1044</v>
      </c>
      <c r="L1813" t="s">
        <v>794</v>
      </c>
      <c r="M1813">
        <f t="shared" si="28"/>
        <v>2025</v>
      </c>
    </row>
    <row r="1814" spans="1:13" ht="12.75" hidden="1" customHeight="1">
      <c r="A1814" t="s">
        <v>1196</v>
      </c>
      <c r="B1814" t="s">
        <v>1197</v>
      </c>
      <c r="C1814" t="s">
        <v>137</v>
      </c>
      <c r="D1814" t="s">
        <v>1178</v>
      </c>
      <c r="E1814" s="1">
        <v>45842</v>
      </c>
      <c r="F1814" s="1">
        <v>45843</v>
      </c>
      <c r="G1814" s="12">
        <v>1606</v>
      </c>
      <c r="H1814" s="2">
        <v>0</v>
      </c>
      <c r="I1814" s="2">
        <v>0</v>
      </c>
      <c r="J1814" s="2">
        <v>0</v>
      </c>
      <c r="K1814" s="20">
        <v>1606</v>
      </c>
      <c r="L1814" t="s">
        <v>794</v>
      </c>
      <c r="M1814">
        <f t="shared" si="28"/>
        <v>2025</v>
      </c>
    </row>
    <row r="1815" spans="1:13" ht="12.75" hidden="1" customHeight="1">
      <c r="A1815" t="s">
        <v>833</v>
      </c>
      <c r="B1815" t="s">
        <v>27</v>
      </c>
      <c r="C1815" t="s">
        <v>137</v>
      </c>
      <c r="D1815" t="s">
        <v>1178</v>
      </c>
      <c r="E1815" s="1">
        <v>45842</v>
      </c>
      <c r="F1815" s="1">
        <v>45843</v>
      </c>
      <c r="G1815" s="12">
        <v>1896</v>
      </c>
      <c r="H1815" s="2">
        <v>0</v>
      </c>
      <c r="I1815" s="2">
        <v>0</v>
      </c>
      <c r="J1815" s="2">
        <v>0</v>
      </c>
      <c r="K1815" s="20">
        <v>1896</v>
      </c>
      <c r="L1815" t="s">
        <v>794</v>
      </c>
      <c r="M1815">
        <f t="shared" si="28"/>
        <v>2025</v>
      </c>
    </row>
    <row r="1816" spans="1:13" ht="12.75" hidden="1" customHeight="1">
      <c r="A1816" t="s">
        <v>818</v>
      </c>
      <c r="B1816" t="s">
        <v>30</v>
      </c>
      <c r="C1816" t="s">
        <v>137</v>
      </c>
      <c r="D1816" t="s">
        <v>1178</v>
      </c>
      <c r="E1816" s="1">
        <v>45842</v>
      </c>
      <c r="F1816" s="1">
        <v>45843</v>
      </c>
      <c r="G1816" s="12">
        <v>1320</v>
      </c>
      <c r="H1816" s="2">
        <v>0</v>
      </c>
      <c r="I1816" s="2">
        <v>0</v>
      </c>
      <c r="J1816" s="2">
        <v>0</v>
      </c>
      <c r="K1816" s="20">
        <v>1320</v>
      </c>
      <c r="L1816" t="s">
        <v>794</v>
      </c>
      <c r="M1816">
        <f t="shared" si="28"/>
        <v>2025</v>
      </c>
    </row>
    <row r="1817" spans="1:13" ht="12.75" hidden="1" customHeight="1">
      <c r="A1817" t="s">
        <v>1112</v>
      </c>
      <c r="B1817" t="s">
        <v>68</v>
      </c>
      <c r="C1817" t="s">
        <v>137</v>
      </c>
      <c r="D1817" t="s">
        <v>1178</v>
      </c>
      <c r="E1817" s="1">
        <v>45842</v>
      </c>
      <c r="F1817" s="1">
        <v>45843</v>
      </c>
      <c r="G1817" s="12">
        <v>900</v>
      </c>
      <c r="H1817" s="2">
        <v>0</v>
      </c>
      <c r="I1817" s="2">
        <v>0</v>
      </c>
      <c r="J1817" s="2">
        <v>0</v>
      </c>
      <c r="K1817" s="20">
        <v>900</v>
      </c>
      <c r="L1817" t="s">
        <v>794</v>
      </c>
      <c r="M1817">
        <f t="shared" si="28"/>
        <v>2025</v>
      </c>
    </row>
    <row r="1818" spans="1:13" ht="12.75" hidden="1" customHeight="1">
      <c r="A1818" t="s">
        <v>1125</v>
      </c>
      <c r="B1818" t="s">
        <v>150</v>
      </c>
      <c r="C1818" t="s">
        <v>137</v>
      </c>
      <c r="D1818" t="s">
        <v>1178</v>
      </c>
      <c r="E1818" s="1">
        <v>45842</v>
      </c>
      <c r="F1818" s="1">
        <v>45843</v>
      </c>
      <c r="G1818" s="12">
        <v>900</v>
      </c>
      <c r="H1818" s="2">
        <v>0</v>
      </c>
      <c r="I1818" s="2">
        <v>0</v>
      </c>
      <c r="J1818" s="2">
        <v>0</v>
      </c>
      <c r="K1818" s="20">
        <v>900</v>
      </c>
      <c r="L1818" t="s">
        <v>794</v>
      </c>
      <c r="M1818">
        <f t="shared" si="28"/>
        <v>2025</v>
      </c>
    </row>
    <row r="1819" spans="1:13" ht="12.75" hidden="1" customHeight="1">
      <c r="A1819" t="s">
        <v>924</v>
      </c>
      <c r="B1819" t="s">
        <v>87</v>
      </c>
      <c r="C1819" t="s">
        <v>137</v>
      </c>
      <c r="D1819" t="s">
        <v>1178</v>
      </c>
      <c r="E1819" s="1">
        <v>45842</v>
      </c>
      <c r="F1819" s="1">
        <v>45843</v>
      </c>
      <c r="G1819" s="12">
        <v>690</v>
      </c>
      <c r="H1819" s="2">
        <v>0</v>
      </c>
      <c r="I1819" s="2">
        <v>0</v>
      </c>
      <c r="J1819" s="2">
        <v>0</v>
      </c>
      <c r="K1819" s="20">
        <v>690</v>
      </c>
      <c r="L1819" t="s">
        <v>794</v>
      </c>
      <c r="M1819">
        <f t="shared" si="28"/>
        <v>2025</v>
      </c>
    </row>
    <row r="1820" spans="1:13" ht="12.75" hidden="1" customHeight="1">
      <c r="A1820" t="s">
        <v>1173</v>
      </c>
      <c r="B1820" t="s">
        <v>45</v>
      </c>
      <c r="C1820" t="s">
        <v>137</v>
      </c>
      <c r="D1820" t="s">
        <v>1178</v>
      </c>
      <c r="E1820" s="1">
        <v>45842</v>
      </c>
      <c r="F1820" s="1">
        <v>45843</v>
      </c>
      <c r="G1820" s="12">
        <v>1050</v>
      </c>
      <c r="H1820" s="2">
        <v>0</v>
      </c>
      <c r="I1820" s="2">
        <v>0</v>
      </c>
      <c r="J1820" s="2">
        <v>0</v>
      </c>
      <c r="K1820" s="20">
        <v>1050</v>
      </c>
      <c r="L1820" t="s">
        <v>794</v>
      </c>
      <c r="M1820">
        <f t="shared" si="28"/>
        <v>2025</v>
      </c>
    </row>
    <row r="1821" spans="1:13" ht="12.75" hidden="1" customHeight="1">
      <c r="A1821" t="s">
        <v>812</v>
      </c>
      <c r="B1821" t="s">
        <v>31</v>
      </c>
      <c r="C1821" t="s">
        <v>141</v>
      </c>
      <c r="D1821" t="s">
        <v>1178</v>
      </c>
      <c r="E1821" s="1">
        <v>45848</v>
      </c>
      <c r="F1821" s="1">
        <v>45848</v>
      </c>
      <c r="G1821" s="12">
        <v>4500</v>
      </c>
      <c r="H1821" s="2">
        <v>0</v>
      </c>
      <c r="I1821" s="2">
        <v>0</v>
      </c>
      <c r="J1821" s="2">
        <v>0</v>
      </c>
      <c r="K1821" s="20">
        <v>4500</v>
      </c>
      <c r="L1821" t="s">
        <v>794</v>
      </c>
      <c r="M1821">
        <f t="shared" si="28"/>
        <v>2025</v>
      </c>
    </row>
    <row r="1822" spans="1:13" ht="12.75" hidden="1" customHeight="1">
      <c r="A1822" t="s">
        <v>961</v>
      </c>
      <c r="B1822" t="s">
        <v>41</v>
      </c>
      <c r="C1822" t="s">
        <v>200</v>
      </c>
      <c r="D1822" t="s">
        <v>1178</v>
      </c>
      <c r="E1822" s="1">
        <v>45848</v>
      </c>
      <c r="F1822" s="1">
        <v>45848</v>
      </c>
      <c r="G1822" s="12">
        <v>960</v>
      </c>
      <c r="H1822" s="2">
        <v>0</v>
      </c>
      <c r="I1822" s="2">
        <v>0</v>
      </c>
      <c r="J1822" s="2">
        <v>0</v>
      </c>
      <c r="K1822" s="20">
        <v>960</v>
      </c>
      <c r="L1822" t="s">
        <v>794</v>
      </c>
      <c r="M1822">
        <f t="shared" si="28"/>
        <v>2025</v>
      </c>
    </row>
    <row r="1823" spans="1:13" ht="12.75" hidden="1" customHeight="1">
      <c r="A1823" t="s">
        <v>875</v>
      </c>
      <c r="B1823" t="s">
        <v>115</v>
      </c>
      <c r="C1823" t="s">
        <v>200</v>
      </c>
      <c r="D1823" t="s">
        <v>1178</v>
      </c>
      <c r="E1823" s="1">
        <v>45848</v>
      </c>
      <c r="F1823" s="1">
        <v>45848</v>
      </c>
      <c r="G1823" s="12">
        <v>320</v>
      </c>
      <c r="H1823" s="2">
        <v>0</v>
      </c>
      <c r="I1823" s="2">
        <v>0</v>
      </c>
      <c r="J1823" s="2">
        <v>0</v>
      </c>
      <c r="K1823" s="20">
        <v>320</v>
      </c>
      <c r="L1823" t="s">
        <v>794</v>
      </c>
      <c r="M1823">
        <f t="shared" si="28"/>
        <v>2025</v>
      </c>
    </row>
    <row r="1824" spans="1:13" ht="12.75" hidden="1" customHeight="1">
      <c r="A1824" t="s">
        <v>881</v>
      </c>
      <c r="B1824" t="s">
        <v>48</v>
      </c>
      <c r="C1824" t="s">
        <v>200</v>
      </c>
      <c r="D1824" t="s">
        <v>1178</v>
      </c>
      <c r="E1824" s="1">
        <v>45848</v>
      </c>
      <c r="F1824" s="1">
        <v>45848</v>
      </c>
      <c r="G1824" s="12">
        <v>1600</v>
      </c>
      <c r="H1824" s="2">
        <v>0</v>
      </c>
      <c r="I1824" s="2">
        <v>0</v>
      </c>
      <c r="J1824" s="2">
        <v>0</v>
      </c>
      <c r="K1824" s="20">
        <v>1600</v>
      </c>
      <c r="L1824" t="s">
        <v>794</v>
      </c>
      <c r="M1824">
        <f t="shared" si="28"/>
        <v>2025</v>
      </c>
    </row>
    <row r="1825" spans="1:13" ht="12.75" hidden="1" customHeight="1">
      <c r="A1825" t="s">
        <v>870</v>
      </c>
      <c r="B1825" t="s">
        <v>119</v>
      </c>
      <c r="C1825" t="s">
        <v>200</v>
      </c>
      <c r="D1825" t="s">
        <v>1178</v>
      </c>
      <c r="E1825" s="1">
        <v>45848</v>
      </c>
      <c r="F1825" s="1">
        <v>45848</v>
      </c>
      <c r="G1825" s="12">
        <v>800</v>
      </c>
      <c r="H1825" s="2">
        <v>0</v>
      </c>
      <c r="I1825" s="2">
        <v>0</v>
      </c>
      <c r="J1825" s="2">
        <v>0</v>
      </c>
      <c r="K1825" s="20">
        <v>800</v>
      </c>
      <c r="L1825" t="s">
        <v>794</v>
      </c>
      <c r="M1825">
        <f t="shared" si="28"/>
        <v>2025</v>
      </c>
    </row>
    <row r="1826" spans="1:13" ht="12.75" hidden="1" customHeight="1">
      <c r="A1826" t="s">
        <v>1130</v>
      </c>
      <c r="B1826" t="s">
        <v>127</v>
      </c>
      <c r="C1826" t="s">
        <v>200</v>
      </c>
      <c r="D1826" t="s">
        <v>1178</v>
      </c>
      <c r="E1826" s="1">
        <v>45848</v>
      </c>
      <c r="F1826" s="1">
        <v>45848</v>
      </c>
      <c r="G1826" s="12">
        <v>1760</v>
      </c>
      <c r="H1826" s="2">
        <v>0</v>
      </c>
      <c r="I1826" s="2">
        <v>0</v>
      </c>
      <c r="J1826" s="2">
        <v>0</v>
      </c>
      <c r="K1826" s="20">
        <v>1760</v>
      </c>
      <c r="L1826" t="s">
        <v>794</v>
      </c>
      <c r="M1826">
        <f t="shared" si="28"/>
        <v>2025</v>
      </c>
    </row>
    <row r="1827" spans="1:13" ht="12.75" hidden="1" customHeight="1">
      <c r="A1827" t="s">
        <v>878</v>
      </c>
      <c r="B1827" t="s">
        <v>32</v>
      </c>
      <c r="C1827" t="s">
        <v>200</v>
      </c>
      <c r="D1827" t="s">
        <v>1178</v>
      </c>
      <c r="E1827" s="1">
        <v>45848</v>
      </c>
      <c r="F1827" s="1">
        <v>45848</v>
      </c>
      <c r="G1827" s="12">
        <v>2080</v>
      </c>
      <c r="H1827" s="2">
        <v>0</v>
      </c>
      <c r="I1827" s="2">
        <v>0</v>
      </c>
      <c r="J1827" s="2">
        <v>0</v>
      </c>
      <c r="K1827" s="20">
        <v>2080</v>
      </c>
      <c r="L1827" t="s">
        <v>794</v>
      </c>
      <c r="M1827">
        <f t="shared" si="28"/>
        <v>2025</v>
      </c>
    </row>
    <row r="1828" spans="1:13" ht="12.75" hidden="1" customHeight="1">
      <c r="A1828" t="s">
        <v>1198</v>
      </c>
      <c r="B1828" t="s">
        <v>240</v>
      </c>
      <c r="C1828" t="s">
        <v>200</v>
      </c>
      <c r="D1828" t="s">
        <v>1178</v>
      </c>
      <c r="E1828" s="1">
        <v>45848</v>
      </c>
      <c r="F1828" s="1">
        <v>45848</v>
      </c>
      <c r="G1828" s="12">
        <v>640</v>
      </c>
      <c r="H1828" s="2">
        <v>0</v>
      </c>
      <c r="I1828" s="2">
        <v>0</v>
      </c>
      <c r="J1828" s="2">
        <v>0</v>
      </c>
      <c r="K1828" s="20">
        <v>640</v>
      </c>
      <c r="L1828" t="s">
        <v>794</v>
      </c>
      <c r="M1828">
        <f t="shared" si="28"/>
        <v>2025</v>
      </c>
    </row>
    <row r="1829" spans="1:13" ht="12.75" hidden="1" customHeight="1">
      <c r="A1829" t="s">
        <v>1134</v>
      </c>
      <c r="B1829" t="s">
        <v>33</v>
      </c>
      <c r="C1829" t="s">
        <v>201</v>
      </c>
      <c r="D1829" t="s">
        <v>1178</v>
      </c>
      <c r="E1829" s="1">
        <v>45848</v>
      </c>
      <c r="F1829" s="1">
        <v>45848</v>
      </c>
      <c r="G1829" s="12">
        <v>1680</v>
      </c>
      <c r="H1829" s="2">
        <v>0</v>
      </c>
      <c r="I1829" s="2">
        <v>0</v>
      </c>
      <c r="J1829" s="2">
        <v>0</v>
      </c>
      <c r="K1829" s="20">
        <v>1680</v>
      </c>
      <c r="L1829" t="s">
        <v>794</v>
      </c>
      <c r="M1829">
        <f t="shared" si="28"/>
        <v>2025</v>
      </c>
    </row>
    <row r="1830" spans="1:13" ht="12.75" hidden="1" customHeight="1">
      <c r="A1830" t="s">
        <v>882</v>
      </c>
      <c r="B1830" t="s">
        <v>34</v>
      </c>
      <c r="C1830" t="s">
        <v>200</v>
      </c>
      <c r="D1830" t="s">
        <v>1178</v>
      </c>
      <c r="E1830" s="1">
        <v>45848</v>
      </c>
      <c r="F1830" s="1">
        <v>45848</v>
      </c>
      <c r="G1830" s="12">
        <v>3120</v>
      </c>
      <c r="H1830" s="2">
        <v>0</v>
      </c>
      <c r="I1830" s="2">
        <v>0</v>
      </c>
      <c r="J1830" s="2">
        <v>0</v>
      </c>
      <c r="K1830" s="20">
        <v>3120</v>
      </c>
      <c r="L1830" t="s">
        <v>794</v>
      </c>
      <c r="M1830">
        <f t="shared" si="28"/>
        <v>2025</v>
      </c>
    </row>
    <row r="1831" spans="1:13" ht="12.75" hidden="1" customHeight="1">
      <c r="A1831" t="s">
        <v>855</v>
      </c>
      <c r="B1831" t="s">
        <v>20</v>
      </c>
      <c r="C1831" t="s">
        <v>200</v>
      </c>
      <c r="D1831" t="s">
        <v>1178</v>
      </c>
      <c r="E1831" s="1">
        <v>45848</v>
      </c>
      <c r="F1831" s="1">
        <v>45848</v>
      </c>
      <c r="G1831" s="12">
        <v>1520</v>
      </c>
      <c r="H1831" s="2">
        <v>0</v>
      </c>
      <c r="I1831" s="2">
        <v>0</v>
      </c>
      <c r="J1831" s="2">
        <v>0</v>
      </c>
      <c r="K1831" s="20">
        <v>1520</v>
      </c>
      <c r="L1831" t="s">
        <v>794</v>
      </c>
      <c r="M1831">
        <f t="shared" si="28"/>
        <v>2025</v>
      </c>
    </row>
    <row r="1832" spans="1:13" ht="12.75" hidden="1" customHeight="1">
      <c r="A1832" t="s">
        <v>1199</v>
      </c>
      <c r="B1832" t="s">
        <v>107</v>
      </c>
      <c r="C1832" t="s">
        <v>201</v>
      </c>
      <c r="D1832" t="s">
        <v>1178</v>
      </c>
      <c r="E1832" s="1">
        <v>45848</v>
      </c>
      <c r="F1832" s="1">
        <v>45848</v>
      </c>
      <c r="G1832" s="12">
        <v>320</v>
      </c>
      <c r="H1832" s="2">
        <v>0</v>
      </c>
      <c r="I1832" s="2">
        <v>0</v>
      </c>
      <c r="J1832" s="2">
        <v>0</v>
      </c>
      <c r="K1832" s="20">
        <v>320</v>
      </c>
      <c r="L1832" t="s">
        <v>794</v>
      </c>
      <c r="M1832">
        <f t="shared" si="28"/>
        <v>2025</v>
      </c>
    </row>
    <row r="1833" spans="1:13" ht="12.75" hidden="1" customHeight="1">
      <c r="A1833" t="s">
        <v>1044</v>
      </c>
      <c r="B1833" t="s">
        <v>221</v>
      </c>
      <c r="C1833" t="s">
        <v>201</v>
      </c>
      <c r="D1833" t="s">
        <v>1178</v>
      </c>
      <c r="E1833" s="1">
        <v>45848</v>
      </c>
      <c r="F1833" s="1">
        <v>45848</v>
      </c>
      <c r="G1833" s="12">
        <v>480</v>
      </c>
      <c r="H1833" s="2">
        <v>0</v>
      </c>
      <c r="I1833" s="2">
        <v>0</v>
      </c>
      <c r="J1833" s="2">
        <v>0</v>
      </c>
      <c r="K1833" s="20">
        <v>480</v>
      </c>
      <c r="L1833" t="s">
        <v>794</v>
      </c>
      <c r="M1833">
        <f t="shared" si="28"/>
        <v>2025</v>
      </c>
    </row>
    <row r="1834" spans="1:13" ht="12.75" hidden="1" customHeight="1">
      <c r="A1834" t="s">
        <v>864</v>
      </c>
      <c r="B1834" t="s">
        <v>36</v>
      </c>
      <c r="C1834" t="s">
        <v>201</v>
      </c>
      <c r="D1834" t="s">
        <v>1178</v>
      </c>
      <c r="E1834" s="1">
        <v>45848</v>
      </c>
      <c r="F1834" s="1">
        <v>45848</v>
      </c>
      <c r="G1834" s="12">
        <v>2420</v>
      </c>
      <c r="H1834" s="2">
        <v>0</v>
      </c>
      <c r="I1834" s="2">
        <v>0</v>
      </c>
      <c r="J1834" s="2">
        <v>0</v>
      </c>
      <c r="K1834" s="20">
        <v>2420</v>
      </c>
      <c r="L1834" t="s">
        <v>794</v>
      </c>
      <c r="M1834">
        <f t="shared" si="28"/>
        <v>2025</v>
      </c>
    </row>
    <row r="1835" spans="1:13" ht="12.75" hidden="1" customHeight="1">
      <c r="A1835" t="s">
        <v>1045</v>
      </c>
      <c r="B1835" t="s">
        <v>71</v>
      </c>
      <c r="C1835" t="s">
        <v>201</v>
      </c>
      <c r="D1835" t="s">
        <v>1178</v>
      </c>
      <c r="E1835" s="1">
        <v>45848</v>
      </c>
      <c r="F1835" s="1">
        <v>45848</v>
      </c>
      <c r="G1835" s="12">
        <v>1520</v>
      </c>
      <c r="H1835" s="2">
        <v>0</v>
      </c>
      <c r="I1835" s="2">
        <v>0</v>
      </c>
      <c r="J1835" s="2">
        <v>0</v>
      </c>
      <c r="K1835" s="20">
        <v>1520</v>
      </c>
      <c r="L1835" t="s">
        <v>794</v>
      </c>
      <c r="M1835">
        <f t="shared" si="28"/>
        <v>2025</v>
      </c>
    </row>
    <row r="1836" spans="1:13" ht="12.75" hidden="1" customHeight="1">
      <c r="A1836" t="s">
        <v>854</v>
      </c>
      <c r="B1836" t="s">
        <v>79</v>
      </c>
      <c r="C1836" t="s">
        <v>200</v>
      </c>
      <c r="D1836" t="s">
        <v>1178</v>
      </c>
      <c r="E1836" s="1">
        <v>45848</v>
      </c>
      <c r="F1836" s="1">
        <v>45848</v>
      </c>
      <c r="G1836" s="12">
        <v>2620</v>
      </c>
      <c r="H1836" s="2">
        <v>0</v>
      </c>
      <c r="I1836" s="2">
        <v>0</v>
      </c>
      <c r="J1836" s="2">
        <v>0</v>
      </c>
      <c r="K1836" s="20">
        <v>2620</v>
      </c>
      <c r="L1836" t="s">
        <v>794</v>
      </c>
      <c r="M1836">
        <f t="shared" si="28"/>
        <v>2025</v>
      </c>
    </row>
    <row r="1837" spans="1:13" ht="12.75" hidden="1" customHeight="1">
      <c r="A1837" t="s">
        <v>822</v>
      </c>
      <c r="B1837" t="s">
        <v>101</v>
      </c>
      <c r="C1837" t="s">
        <v>201</v>
      </c>
      <c r="D1837" t="s">
        <v>1178</v>
      </c>
      <c r="E1837" s="1">
        <v>45848</v>
      </c>
      <c r="F1837" s="1">
        <v>45848</v>
      </c>
      <c r="G1837" s="12">
        <v>1640</v>
      </c>
      <c r="H1837" s="2">
        <v>0</v>
      </c>
      <c r="I1837" s="2">
        <v>0</v>
      </c>
      <c r="J1837" s="2">
        <v>0</v>
      </c>
      <c r="K1837" s="20">
        <v>1640</v>
      </c>
      <c r="L1837" t="s">
        <v>794</v>
      </c>
      <c r="M1837">
        <f t="shared" si="28"/>
        <v>2025</v>
      </c>
    </row>
    <row r="1838" spans="1:13" ht="12.75" hidden="1" customHeight="1">
      <c r="A1838" t="s">
        <v>1200</v>
      </c>
      <c r="B1838" t="s">
        <v>321</v>
      </c>
      <c r="C1838" t="s">
        <v>713</v>
      </c>
      <c r="D1838" t="s">
        <v>1178</v>
      </c>
      <c r="E1838" s="1">
        <v>45848</v>
      </c>
      <c r="F1838" s="1">
        <v>45848</v>
      </c>
      <c r="G1838" s="12">
        <v>1040</v>
      </c>
      <c r="H1838" s="2">
        <v>0</v>
      </c>
      <c r="I1838" s="2">
        <v>0</v>
      </c>
      <c r="J1838" s="2">
        <v>0</v>
      </c>
      <c r="K1838" s="20">
        <v>1040</v>
      </c>
      <c r="L1838" t="s">
        <v>794</v>
      </c>
      <c r="M1838">
        <f t="shared" si="28"/>
        <v>2025</v>
      </c>
    </row>
    <row r="1839" spans="1:13" ht="12.75" hidden="1" customHeight="1">
      <c r="A1839" t="s">
        <v>1155</v>
      </c>
      <c r="B1839" t="s">
        <v>88</v>
      </c>
      <c r="C1839" t="s">
        <v>200</v>
      </c>
      <c r="D1839" t="s">
        <v>1178</v>
      </c>
      <c r="E1839" s="1">
        <v>45848</v>
      </c>
      <c r="F1839" s="1">
        <v>45848</v>
      </c>
      <c r="G1839" s="12">
        <v>1820</v>
      </c>
      <c r="H1839" s="2">
        <v>0</v>
      </c>
      <c r="I1839" s="2">
        <v>0</v>
      </c>
      <c r="J1839" s="2">
        <v>0</v>
      </c>
      <c r="K1839" s="20">
        <v>1820</v>
      </c>
      <c r="L1839" t="s">
        <v>794</v>
      </c>
      <c r="M1839">
        <f t="shared" si="28"/>
        <v>2025</v>
      </c>
    </row>
    <row r="1840" spans="1:13" ht="12.75" hidden="1" customHeight="1">
      <c r="A1840" t="s">
        <v>1158</v>
      </c>
      <c r="B1840" t="s">
        <v>60</v>
      </c>
      <c r="C1840" t="s">
        <v>201</v>
      </c>
      <c r="D1840" t="s">
        <v>1178</v>
      </c>
      <c r="E1840" s="1">
        <v>45848</v>
      </c>
      <c r="F1840" s="1">
        <v>45848</v>
      </c>
      <c r="G1840" s="12">
        <v>1482</v>
      </c>
      <c r="H1840" s="2">
        <v>0</v>
      </c>
      <c r="I1840" s="2">
        <v>0</v>
      </c>
      <c r="J1840" s="2">
        <v>0</v>
      </c>
      <c r="K1840" s="20">
        <v>1482</v>
      </c>
      <c r="L1840" t="s">
        <v>794</v>
      </c>
      <c r="M1840">
        <f t="shared" si="28"/>
        <v>2025</v>
      </c>
    </row>
    <row r="1841" spans="1:13" ht="12.75" hidden="1" customHeight="1">
      <c r="A1841" t="s">
        <v>1201</v>
      </c>
      <c r="B1841" t="s">
        <v>287</v>
      </c>
      <c r="C1841" t="s">
        <v>201</v>
      </c>
      <c r="D1841" t="s">
        <v>1178</v>
      </c>
      <c r="E1841" s="1">
        <v>45848</v>
      </c>
      <c r="F1841" s="1">
        <v>45848</v>
      </c>
      <c r="G1841" s="12">
        <v>480</v>
      </c>
      <c r="H1841" s="2">
        <v>0</v>
      </c>
      <c r="I1841" s="2">
        <v>0</v>
      </c>
      <c r="J1841" s="2">
        <v>0</v>
      </c>
      <c r="K1841" s="20">
        <v>480</v>
      </c>
      <c r="L1841" t="s">
        <v>794</v>
      </c>
      <c r="M1841">
        <f t="shared" si="28"/>
        <v>2025</v>
      </c>
    </row>
    <row r="1842" spans="1:13" ht="12.75" hidden="1" customHeight="1">
      <c r="A1842" t="s">
        <v>1156</v>
      </c>
      <c r="B1842" t="s">
        <v>338</v>
      </c>
      <c r="C1842" t="s">
        <v>201</v>
      </c>
      <c r="D1842" t="s">
        <v>1178</v>
      </c>
      <c r="E1842" s="1">
        <v>45848</v>
      </c>
      <c r="F1842" s="1">
        <v>45848</v>
      </c>
      <c r="G1842" s="12">
        <v>560</v>
      </c>
      <c r="H1842" s="2">
        <v>0</v>
      </c>
      <c r="I1842" s="2">
        <v>0</v>
      </c>
      <c r="J1842" s="2">
        <v>0</v>
      </c>
      <c r="K1842" s="20">
        <v>560</v>
      </c>
      <c r="L1842" t="s">
        <v>794</v>
      </c>
      <c r="M1842">
        <f t="shared" si="28"/>
        <v>2025</v>
      </c>
    </row>
    <row r="1843" spans="1:13" ht="12.75" hidden="1" customHeight="1">
      <c r="A1843" t="s">
        <v>1096</v>
      </c>
      <c r="B1843" t="s">
        <v>210</v>
      </c>
      <c r="C1843" t="s">
        <v>201</v>
      </c>
      <c r="D1843" t="s">
        <v>1178</v>
      </c>
      <c r="E1843" s="1">
        <v>45848</v>
      </c>
      <c r="F1843" s="1">
        <v>45848</v>
      </c>
      <c r="G1843" s="12">
        <v>1040</v>
      </c>
      <c r="H1843" s="2">
        <v>0</v>
      </c>
      <c r="I1843" s="2">
        <v>0</v>
      </c>
      <c r="J1843" s="2">
        <v>0</v>
      </c>
      <c r="K1843" s="20">
        <v>1040</v>
      </c>
      <c r="L1843" t="s">
        <v>794</v>
      </c>
      <c r="M1843">
        <f t="shared" si="28"/>
        <v>2025</v>
      </c>
    </row>
    <row r="1844" spans="1:13" ht="12.75" hidden="1" customHeight="1">
      <c r="A1844" t="s">
        <v>1202</v>
      </c>
      <c r="B1844" t="s">
        <v>70</v>
      </c>
      <c r="C1844" t="s">
        <v>201</v>
      </c>
      <c r="D1844" t="s">
        <v>1178</v>
      </c>
      <c r="E1844" s="1">
        <v>45848</v>
      </c>
      <c r="F1844" s="1">
        <v>45848</v>
      </c>
      <c r="G1844" s="12">
        <v>1280</v>
      </c>
      <c r="H1844" s="2">
        <v>0</v>
      </c>
      <c r="I1844" s="2">
        <v>0</v>
      </c>
      <c r="J1844" s="2">
        <v>0</v>
      </c>
      <c r="K1844" s="20">
        <v>1280</v>
      </c>
      <c r="L1844" t="s">
        <v>794</v>
      </c>
      <c r="M1844">
        <f t="shared" si="28"/>
        <v>2025</v>
      </c>
    </row>
    <row r="1845" spans="1:13" ht="12.75" hidden="1" customHeight="1">
      <c r="A1845" t="s">
        <v>1094</v>
      </c>
      <c r="B1845" t="s">
        <v>80</v>
      </c>
      <c r="C1845" t="s">
        <v>201</v>
      </c>
      <c r="D1845" t="s">
        <v>1178</v>
      </c>
      <c r="E1845" s="1">
        <v>45848</v>
      </c>
      <c r="F1845" s="1">
        <v>45848</v>
      </c>
      <c r="G1845" s="12">
        <v>2800</v>
      </c>
      <c r="H1845" s="2">
        <v>0</v>
      </c>
      <c r="I1845" s="2">
        <v>0</v>
      </c>
      <c r="J1845" s="2">
        <v>0</v>
      </c>
      <c r="K1845" s="20">
        <v>2800</v>
      </c>
      <c r="L1845" t="s">
        <v>794</v>
      </c>
      <c r="M1845">
        <f t="shared" si="28"/>
        <v>2025</v>
      </c>
    </row>
    <row r="1846" spans="1:13" ht="12.75" hidden="1" customHeight="1">
      <c r="A1846" t="s">
        <v>1011</v>
      </c>
      <c r="B1846" t="s">
        <v>77</v>
      </c>
      <c r="C1846" t="s">
        <v>201</v>
      </c>
      <c r="D1846" t="s">
        <v>1178</v>
      </c>
      <c r="E1846" s="1">
        <v>45848</v>
      </c>
      <c r="F1846" s="1">
        <v>45848</v>
      </c>
      <c r="G1846" s="12">
        <v>2680</v>
      </c>
      <c r="H1846" s="2">
        <v>0</v>
      </c>
      <c r="I1846" s="2">
        <v>0</v>
      </c>
      <c r="J1846" s="2">
        <v>0</v>
      </c>
      <c r="K1846" s="20">
        <v>2680</v>
      </c>
      <c r="L1846" t="s">
        <v>794</v>
      </c>
      <c r="M1846">
        <f t="shared" si="28"/>
        <v>2025</v>
      </c>
    </row>
    <row r="1847" spans="1:13" ht="12.75" hidden="1" customHeight="1">
      <c r="A1847" t="s">
        <v>866</v>
      </c>
      <c r="B1847" t="s">
        <v>78</v>
      </c>
      <c r="C1847" t="s">
        <v>200</v>
      </c>
      <c r="D1847" t="s">
        <v>1178</v>
      </c>
      <c r="E1847" s="1">
        <v>45848</v>
      </c>
      <c r="F1847" s="1">
        <v>45848</v>
      </c>
      <c r="G1847" s="12">
        <v>996.80000000000007</v>
      </c>
      <c r="H1847" s="2">
        <v>0</v>
      </c>
      <c r="I1847" s="2">
        <v>0</v>
      </c>
      <c r="J1847" s="2">
        <v>0</v>
      </c>
      <c r="K1847" s="20">
        <v>996.80000000000007</v>
      </c>
      <c r="L1847" t="s">
        <v>794</v>
      </c>
      <c r="M1847">
        <f t="shared" si="28"/>
        <v>2025</v>
      </c>
    </row>
    <row r="1848" spans="1:13" ht="12.75" hidden="1" customHeight="1">
      <c r="A1848" t="s">
        <v>869</v>
      </c>
      <c r="B1848" t="s">
        <v>124</v>
      </c>
      <c r="C1848" t="s">
        <v>200</v>
      </c>
      <c r="D1848" t="s">
        <v>1178</v>
      </c>
      <c r="E1848" s="1">
        <v>45848</v>
      </c>
      <c r="F1848" s="1">
        <v>45848</v>
      </c>
      <c r="G1848" s="12">
        <v>800</v>
      </c>
      <c r="H1848" s="2">
        <v>0</v>
      </c>
      <c r="I1848" s="2">
        <v>0</v>
      </c>
      <c r="J1848" s="2">
        <v>0</v>
      </c>
      <c r="K1848" s="20">
        <v>800</v>
      </c>
      <c r="L1848" t="s">
        <v>794</v>
      </c>
      <c r="M1848">
        <f t="shared" si="28"/>
        <v>2025</v>
      </c>
    </row>
    <row r="1849" spans="1:13" ht="12.75" hidden="1" customHeight="1">
      <c r="A1849" t="s">
        <v>1203</v>
      </c>
      <c r="B1849" t="s">
        <v>322</v>
      </c>
      <c r="C1849" t="s">
        <v>201</v>
      </c>
      <c r="D1849" t="s">
        <v>1178</v>
      </c>
      <c r="E1849" s="1">
        <v>45848</v>
      </c>
      <c r="F1849" s="1">
        <v>45848</v>
      </c>
      <c r="G1849" s="12">
        <v>1040</v>
      </c>
      <c r="H1849" s="2">
        <v>0</v>
      </c>
      <c r="I1849" s="2">
        <v>0</v>
      </c>
      <c r="J1849" s="2">
        <v>0</v>
      </c>
      <c r="K1849" s="20">
        <v>1040</v>
      </c>
      <c r="L1849" t="s">
        <v>794</v>
      </c>
      <c r="M1849">
        <f t="shared" si="28"/>
        <v>2025</v>
      </c>
    </row>
    <row r="1850" spans="1:13" ht="12.75" hidden="1" customHeight="1">
      <c r="A1850" t="s">
        <v>872</v>
      </c>
      <c r="B1850" t="s">
        <v>256</v>
      </c>
      <c r="C1850" t="s">
        <v>200</v>
      </c>
      <c r="D1850" t="s">
        <v>1178</v>
      </c>
      <c r="E1850" s="1">
        <v>45848</v>
      </c>
      <c r="F1850" s="1">
        <v>45848</v>
      </c>
      <c r="G1850" s="12">
        <v>1280</v>
      </c>
      <c r="H1850" s="2">
        <v>0</v>
      </c>
      <c r="I1850" s="2">
        <v>0</v>
      </c>
      <c r="J1850" s="2">
        <v>0</v>
      </c>
      <c r="K1850" s="20">
        <v>1280</v>
      </c>
      <c r="L1850" t="s">
        <v>794</v>
      </c>
      <c r="M1850">
        <f t="shared" si="28"/>
        <v>2025</v>
      </c>
    </row>
    <row r="1851" spans="1:13" ht="12.75" hidden="1" customHeight="1">
      <c r="A1851" t="s">
        <v>1204</v>
      </c>
      <c r="B1851" t="s">
        <v>307</v>
      </c>
      <c r="C1851" t="s">
        <v>200</v>
      </c>
      <c r="D1851" t="s">
        <v>1178</v>
      </c>
      <c r="E1851" s="1">
        <v>45848</v>
      </c>
      <c r="F1851" s="1">
        <v>45848</v>
      </c>
      <c r="G1851" s="12">
        <v>1200</v>
      </c>
      <c r="H1851" s="2">
        <v>0</v>
      </c>
      <c r="I1851" s="2">
        <v>0</v>
      </c>
      <c r="J1851" s="2">
        <v>0</v>
      </c>
      <c r="K1851" s="20">
        <v>1200</v>
      </c>
      <c r="L1851" t="s">
        <v>794</v>
      </c>
      <c r="M1851">
        <f t="shared" si="28"/>
        <v>2025</v>
      </c>
    </row>
    <row r="1852" spans="1:13" ht="12.75" hidden="1" customHeight="1">
      <c r="A1852" t="s">
        <v>1205</v>
      </c>
      <c r="B1852" t="s">
        <v>365</v>
      </c>
      <c r="C1852" t="s">
        <v>200</v>
      </c>
      <c r="D1852" t="s">
        <v>1178</v>
      </c>
      <c r="E1852" s="1">
        <v>45848</v>
      </c>
      <c r="F1852" s="1">
        <v>45848</v>
      </c>
      <c r="G1852" s="12">
        <v>660</v>
      </c>
      <c r="H1852" s="2">
        <v>0</v>
      </c>
      <c r="I1852" s="2">
        <v>0</v>
      </c>
      <c r="J1852" s="2">
        <v>0</v>
      </c>
      <c r="K1852" s="20">
        <v>660</v>
      </c>
      <c r="L1852" t="s">
        <v>794</v>
      </c>
      <c r="M1852">
        <f t="shared" si="28"/>
        <v>2025</v>
      </c>
    </row>
    <row r="1853" spans="1:13" ht="12.75" hidden="1" customHeight="1">
      <c r="A1853" t="s">
        <v>865</v>
      </c>
      <c r="B1853" t="s">
        <v>76</v>
      </c>
      <c r="C1853" t="s">
        <v>200</v>
      </c>
      <c r="D1853" t="s">
        <v>1178</v>
      </c>
      <c r="E1853" s="1">
        <v>45848</v>
      </c>
      <c r="F1853" s="1">
        <v>45848</v>
      </c>
      <c r="G1853" s="12">
        <v>720</v>
      </c>
      <c r="H1853" s="2">
        <v>0</v>
      </c>
      <c r="I1853" s="2">
        <v>0</v>
      </c>
      <c r="J1853" s="2">
        <v>0</v>
      </c>
      <c r="K1853" s="20">
        <v>720</v>
      </c>
      <c r="L1853" t="s">
        <v>794</v>
      </c>
      <c r="M1853">
        <f t="shared" si="28"/>
        <v>2025</v>
      </c>
    </row>
    <row r="1854" spans="1:13" ht="12.75" hidden="1" customHeight="1">
      <c r="A1854" t="s">
        <v>845</v>
      </c>
      <c r="B1854" t="s">
        <v>67</v>
      </c>
      <c r="C1854" t="s">
        <v>729</v>
      </c>
      <c r="D1854" t="s">
        <v>1178</v>
      </c>
      <c r="E1854" s="1">
        <v>45848</v>
      </c>
      <c r="F1854" s="1">
        <v>45848</v>
      </c>
      <c r="G1854" s="12">
        <v>2246.37</v>
      </c>
      <c r="H1854" s="2">
        <v>0</v>
      </c>
      <c r="I1854" s="2">
        <v>0</v>
      </c>
      <c r="J1854" s="2">
        <v>0</v>
      </c>
      <c r="K1854" s="20">
        <v>2246.37</v>
      </c>
      <c r="L1854" t="s">
        <v>794</v>
      </c>
      <c r="M1854">
        <f t="shared" si="28"/>
        <v>2025</v>
      </c>
    </row>
    <row r="1855" spans="1:13" ht="12.75" hidden="1" customHeight="1">
      <c r="A1855" t="s">
        <v>1206</v>
      </c>
      <c r="B1855" t="s">
        <v>153</v>
      </c>
      <c r="C1855" t="s">
        <v>200</v>
      </c>
      <c r="D1855" t="s">
        <v>1178</v>
      </c>
      <c r="E1855" s="1">
        <v>45849</v>
      </c>
      <c r="F1855" s="1">
        <v>45849</v>
      </c>
      <c r="G1855" s="12">
        <v>2640</v>
      </c>
      <c r="H1855" s="2">
        <v>0</v>
      </c>
      <c r="I1855" s="2">
        <v>0</v>
      </c>
      <c r="J1855" s="2">
        <v>0</v>
      </c>
      <c r="K1855" s="20">
        <v>2640</v>
      </c>
      <c r="L1855" t="s">
        <v>794</v>
      </c>
      <c r="M1855">
        <f t="shared" si="28"/>
        <v>2025</v>
      </c>
    </row>
    <row r="1856" spans="1:13" ht="12.75" hidden="1" customHeight="1">
      <c r="A1856" t="s">
        <v>818</v>
      </c>
      <c r="B1856" t="s">
        <v>30</v>
      </c>
      <c r="C1856" t="s">
        <v>730</v>
      </c>
      <c r="D1856" t="s">
        <v>1178</v>
      </c>
      <c r="E1856" s="1">
        <v>45849</v>
      </c>
      <c r="F1856" s="1">
        <v>45849</v>
      </c>
      <c r="G1856" s="12">
        <v>1797.3500000000001</v>
      </c>
      <c r="H1856" s="2">
        <v>0</v>
      </c>
      <c r="I1856" s="2">
        <v>0</v>
      </c>
      <c r="J1856" s="2">
        <v>0</v>
      </c>
      <c r="K1856" s="20">
        <v>1797.3500000000001</v>
      </c>
      <c r="L1856" t="s">
        <v>794</v>
      </c>
      <c r="M1856">
        <f t="shared" si="28"/>
        <v>2025</v>
      </c>
    </row>
    <row r="1857" spans="1:13" ht="12.75" hidden="1" customHeight="1">
      <c r="A1857" t="s">
        <v>826</v>
      </c>
      <c r="B1857" t="s">
        <v>21</v>
      </c>
      <c r="C1857" t="s">
        <v>141</v>
      </c>
      <c r="D1857" t="s">
        <v>1178</v>
      </c>
      <c r="E1857" s="1">
        <v>45848</v>
      </c>
      <c r="F1857" s="1">
        <v>45852</v>
      </c>
      <c r="G1857" s="12">
        <v>2140</v>
      </c>
      <c r="H1857" s="2">
        <v>0</v>
      </c>
      <c r="I1857" s="2">
        <v>0</v>
      </c>
      <c r="J1857" s="2">
        <v>0</v>
      </c>
      <c r="K1857" s="20">
        <v>2140</v>
      </c>
      <c r="L1857" t="s">
        <v>794</v>
      </c>
      <c r="M1857">
        <f t="shared" si="28"/>
        <v>2025</v>
      </c>
    </row>
    <row r="1858" spans="1:13" ht="12.75" hidden="1" customHeight="1">
      <c r="A1858" t="s">
        <v>1207</v>
      </c>
      <c r="B1858" t="s">
        <v>503</v>
      </c>
      <c r="C1858" t="s">
        <v>723</v>
      </c>
      <c r="D1858" t="s">
        <v>1178</v>
      </c>
      <c r="E1858" s="1">
        <v>45852</v>
      </c>
      <c r="F1858" s="1">
        <v>45853</v>
      </c>
      <c r="G1858" s="12">
        <v>137.20000000000002</v>
      </c>
      <c r="H1858" s="2">
        <v>0</v>
      </c>
      <c r="I1858" s="2">
        <v>0</v>
      </c>
      <c r="J1858" s="2">
        <v>0</v>
      </c>
      <c r="K1858" s="20">
        <v>137.20000000000002</v>
      </c>
      <c r="L1858" t="s">
        <v>794</v>
      </c>
      <c r="M1858">
        <f t="shared" si="28"/>
        <v>2025</v>
      </c>
    </row>
    <row r="1859" spans="1:13" ht="12.75" hidden="1" customHeight="1">
      <c r="A1859" t="s">
        <v>797</v>
      </c>
      <c r="B1859" t="s">
        <v>25</v>
      </c>
      <c r="C1859" t="s">
        <v>206</v>
      </c>
      <c r="D1859" t="s">
        <v>1178</v>
      </c>
      <c r="E1859" s="1">
        <v>45842</v>
      </c>
      <c r="F1859" s="1">
        <v>45853</v>
      </c>
      <c r="G1859" s="12">
        <v>1973.1000000000001</v>
      </c>
      <c r="H1859" s="2">
        <v>0</v>
      </c>
      <c r="I1859" s="2">
        <v>0</v>
      </c>
      <c r="J1859" s="2">
        <v>0</v>
      </c>
      <c r="K1859" s="20">
        <v>1973.1000000000001</v>
      </c>
      <c r="L1859" t="s">
        <v>794</v>
      </c>
      <c r="M1859">
        <f t="shared" ref="M1859:M1922" si="29">YEAR(F1859)</f>
        <v>2025</v>
      </c>
    </row>
    <row r="1860" spans="1:13" ht="12.75" hidden="1" customHeight="1">
      <c r="A1860" t="s">
        <v>844</v>
      </c>
      <c r="B1860" t="s">
        <v>18</v>
      </c>
      <c r="C1860" t="s">
        <v>719</v>
      </c>
      <c r="D1860" t="s">
        <v>1178</v>
      </c>
      <c r="E1860" s="1">
        <v>45848</v>
      </c>
      <c r="F1860" s="1">
        <v>45853</v>
      </c>
      <c r="G1860" s="12">
        <v>10094.52</v>
      </c>
      <c r="H1860" s="2">
        <v>0</v>
      </c>
      <c r="I1860" s="2">
        <v>0</v>
      </c>
      <c r="J1860" s="2">
        <v>0</v>
      </c>
      <c r="K1860" s="20">
        <v>10094.52</v>
      </c>
      <c r="L1860" t="s">
        <v>794</v>
      </c>
      <c r="M1860">
        <f t="shared" si="29"/>
        <v>2025</v>
      </c>
    </row>
    <row r="1861" spans="1:13" ht="12.75" hidden="1" customHeight="1">
      <c r="A1861" t="s">
        <v>848</v>
      </c>
      <c r="B1861" t="s">
        <v>14</v>
      </c>
      <c r="C1861" t="s">
        <v>714</v>
      </c>
      <c r="D1861" t="s">
        <v>1178</v>
      </c>
      <c r="E1861" s="1">
        <v>45848</v>
      </c>
      <c r="F1861" s="1">
        <v>45853</v>
      </c>
      <c r="G1861" s="12">
        <v>29955.31</v>
      </c>
      <c r="H1861" s="2">
        <v>0</v>
      </c>
      <c r="I1861" s="2">
        <v>0</v>
      </c>
      <c r="J1861" s="2">
        <v>0</v>
      </c>
      <c r="K1861" s="20">
        <v>29955.31</v>
      </c>
      <c r="L1861" t="s">
        <v>794</v>
      </c>
      <c r="M1861">
        <f t="shared" si="29"/>
        <v>2025</v>
      </c>
    </row>
    <row r="1862" spans="1:13" ht="12.75" hidden="1" customHeight="1">
      <c r="A1862" t="s">
        <v>924</v>
      </c>
      <c r="B1862" t="s">
        <v>87</v>
      </c>
      <c r="C1862" t="s">
        <v>139</v>
      </c>
      <c r="D1862" t="s">
        <v>1178</v>
      </c>
      <c r="E1862" s="1">
        <v>45839</v>
      </c>
      <c r="F1862" s="1">
        <v>45853</v>
      </c>
      <c r="G1862" s="12">
        <v>448.8</v>
      </c>
      <c r="H1862" s="2">
        <v>0</v>
      </c>
      <c r="I1862" s="2">
        <v>0</v>
      </c>
      <c r="J1862" s="2">
        <v>0</v>
      </c>
      <c r="K1862" s="20">
        <v>448.8</v>
      </c>
      <c r="L1862" t="s">
        <v>794</v>
      </c>
      <c r="M1862">
        <f t="shared" si="29"/>
        <v>2025</v>
      </c>
    </row>
    <row r="1863" spans="1:13" ht="12.75" hidden="1" customHeight="1">
      <c r="A1863" t="s">
        <v>823</v>
      </c>
      <c r="B1863" t="s">
        <v>245</v>
      </c>
      <c r="C1863" t="s">
        <v>723</v>
      </c>
      <c r="D1863" t="s">
        <v>1178</v>
      </c>
      <c r="E1863" s="1">
        <v>45839</v>
      </c>
      <c r="F1863" s="1">
        <v>45853</v>
      </c>
      <c r="G1863" s="12">
        <v>252.28</v>
      </c>
      <c r="H1863" s="2">
        <v>0</v>
      </c>
      <c r="I1863" s="2">
        <v>0</v>
      </c>
      <c r="J1863" s="2">
        <v>0</v>
      </c>
      <c r="K1863" s="20">
        <v>252.28</v>
      </c>
      <c r="L1863" t="s">
        <v>794</v>
      </c>
      <c r="M1863">
        <f t="shared" si="29"/>
        <v>2025</v>
      </c>
    </row>
    <row r="1864" spans="1:13" ht="12.75" hidden="1" customHeight="1">
      <c r="A1864" t="s">
        <v>881</v>
      </c>
      <c r="B1864" t="s">
        <v>48</v>
      </c>
      <c r="C1864" t="s">
        <v>200</v>
      </c>
      <c r="D1864" t="s">
        <v>1178</v>
      </c>
      <c r="E1864" s="1">
        <v>45841</v>
      </c>
      <c r="F1864" s="1">
        <v>45853</v>
      </c>
      <c r="G1864" s="12">
        <v>800</v>
      </c>
      <c r="H1864" s="2">
        <v>0</v>
      </c>
      <c r="I1864" s="2">
        <v>0</v>
      </c>
      <c r="J1864" s="2">
        <v>0</v>
      </c>
      <c r="K1864" s="20">
        <v>800</v>
      </c>
      <c r="L1864" t="s">
        <v>794</v>
      </c>
      <c r="M1864">
        <f t="shared" si="29"/>
        <v>2025</v>
      </c>
    </row>
    <row r="1865" spans="1:13" ht="12.75" hidden="1" customHeight="1">
      <c r="A1865" t="s">
        <v>855</v>
      </c>
      <c r="B1865" t="s">
        <v>20</v>
      </c>
      <c r="C1865" t="s">
        <v>721</v>
      </c>
      <c r="D1865" t="s">
        <v>1178</v>
      </c>
      <c r="E1865" s="1">
        <v>45842</v>
      </c>
      <c r="F1865" s="1">
        <v>45853</v>
      </c>
      <c r="G1865" s="12">
        <v>5000</v>
      </c>
      <c r="H1865" s="2">
        <v>0</v>
      </c>
      <c r="I1865" s="2">
        <v>0</v>
      </c>
      <c r="J1865" s="2">
        <v>0</v>
      </c>
      <c r="K1865" s="20">
        <v>5000</v>
      </c>
      <c r="L1865" t="s">
        <v>794</v>
      </c>
      <c r="M1865">
        <f t="shared" si="29"/>
        <v>2025</v>
      </c>
    </row>
    <row r="1866" spans="1:13" ht="12.75" hidden="1" customHeight="1">
      <c r="A1866" t="s">
        <v>1208</v>
      </c>
      <c r="B1866" t="s">
        <v>631</v>
      </c>
      <c r="C1866" t="s">
        <v>723</v>
      </c>
      <c r="D1866" t="s">
        <v>1178</v>
      </c>
      <c r="E1866" s="1">
        <v>45842</v>
      </c>
      <c r="F1866" s="1">
        <v>45853</v>
      </c>
      <c r="G1866" s="12">
        <v>49</v>
      </c>
      <c r="H1866" s="2">
        <v>0</v>
      </c>
      <c r="I1866" s="2">
        <v>0</v>
      </c>
      <c r="J1866" s="2">
        <v>0</v>
      </c>
      <c r="K1866" s="20">
        <v>49</v>
      </c>
      <c r="L1866" t="s">
        <v>794</v>
      </c>
      <c r="M1866">
        <f t="shared" si="29"/>
        <v>2025</v>
      </c>
    </row>
    <row r="1867" spans="1:13" ht="12.75" hidden="1" customHeight="1">
      <c r="A1867" t="s">
        <v>819</v>
      </c>
      <c r="B1867" t="s">
        <v>38</v>
      </c>
      <c r="C1867" t="s">
        <v>138</v>
      </c>
      <c r="D1867" t="s">
        <v>1178</v>
      </c>
      <c r="E1867" s="1">
        <v>45839</v>
      </c>
      <c r="F1867" s="1">
        <v>45853</v>
      </c>
      <c r="G1867" s="12">
        <v>255.42000000000002</v>
      </c>
      <c r="H1867" s="2">
        <v>0</v>
      </c>
      <c r="I1867" s="2">
        <v>0</v>
      </c>
      <c r="J1867" s="2">
        <v>0</v>
      </c>
      <c r="K1867" s="20">
        <v>255.42000000000002</v>
      </c>
      <c r="L1867" t="s">
        <v>794</v>
      </c>
      <c r="M1867">
        <f t="shared" si="29"/>
        <v>2025</v>
      </c>
    </row>
    <row r="1868" spans="1:13" ht="12.75" hidden="1" customHeight="1">
      <c r="A1868" t="s">
        <v>1141</v>
      </c>
      <c r="B1868" t="s">
        <v>69</v>
      </c>
      <c r="C1868" t="s">
        <v>138</v>
      </c>
      <c r="D1868" t="s">
        <v>1178</v>
      </c>
      <c r="E1868" s="1">
        <v>45839</v>
      </c>
      <c r="F1868" s="1">
        <v>45853</v>
      </c>
      <c r="G1868" s="12">
        <v>255.42000000000002</v>
      </c>
      <c r="H1868" s="2">
        <v>0</v>
      </c>
      <c r="I1868" s="2">
        <v>0</v>
      </c>
      <c r="J1868" s="2">
        <v>0</v>
      </c>
      <c r="K1868" s="20">
        <v>255.42000000000002</v>
      </c>
      <c r="L1868" t="s">
        <v>794</v>
      </c>
      <c r="M1868">
        <f t="shared" si="29"/>
        <v>2025</v>
      </c>
    </row>
    <row r="1869" spans="1:13" ht="12.75" hidden="1" customHeight="1">
      <c r="A1869" t="s">
        <v>1125</v>
      </c>
      <c r="B1869" t="s">
        <v>150</v>
      </c>
      <c r="C1869" t="s">
        <v>139</v>
      </c>
      <c r="D1869" t="s">
        <v>1178</v>
      </c>
      <c r="E1869" s="1">
        <v>45839</v>
      </c>
      <c r="F1869" s="1">
        <v>45853</v>
      </c>
      <c r="G1869" s="12">
        <v>283.2</v>
      </c>
      <c r="H1869" s="2">
        <v>0</v>
      </c>
      <c r="I1869" s="2">
        <v>0</v>
      </c>
      <c r="J1869" s="2">
        <v>0</v>
      </c>
      <c r="K1869" s="20">
        <v>283.2</v>
      </c>
      <c r="L1869" t="s">
        <v>794</v>
      </c>
      <c r="M1869">
        <f t="shared" si="29"/>
        <v>2025</v>
      </c>
    </row>
    <row r="1870" spans="1:13" ht="12.75" hidden="1" customHeight="1">
      <c r="A1870" t="s">
        <v>799</v>
      </c>
      <c r="B1870" t="s">
        <v>24</v>
      </c>
      <c r="C1870" t="s">
        <v>138</v>
      </c>
      <c r="D1870" t="s">
        <v>1178</v>
      </c>
      <c r="E1870" s="1">
        <v>45839</v>
      </c>
      <c r="F1870" s="1">
        <v>45853</v>
      </c>
      <c r="G1870" s="12">
        <v>5068.33</v>
      </c>
      <c r="H1870" s="2">
        <v>0</v>
      </c>
      <c r="I1870" s="2">
        <v>0</v>
      </c>
      <c r="J1870" s="2">
        <v>0</v>
      </c>
      <c r="K1870" s="20">
        <v>5068.33</v>
      </c>
      <c r="L1870" t="s">
        <v>794</v>
      </c>
      <c r="M1870">
        <f t="shared" si="29"/>
        <v>2025</v>
      </c>
    </row>
    <row r="1871" spans="1:13" ht="12.75" hidden="1" customHeight="1">
      <c r="A1871" t="s">
        <v>1173</v>
      </c>
      <c r="B1871" t="s">
        <v>45</v>
      </c>
      <c r="C1871" t="s">
        <v>138</v>
      </c>
      <c r="D1871" t="s">
        <v>1178</v>
      </c>
      <c r="E1871" s="1">
        <v>45840</v>
      </c>
      <c r="F1871" s="1">
        <v>45853</v>
      </c>
      <c r="G1871" s="12">
        <v>436.8</v>
      </c>
      <c r="H1871" s="2">
        <v>0</v>
      </c>
      <c r="I1871" s="2">
        <v>0</v>
      </c>
      <c r="J1871" s="2">
        <v>0</v>
      </c>
      <c r="K1871" s="20">
        <v>436.8</v>
      </c>
      <c r="L1871" t="s">
        <v>794</v>
      </c>
      <c r="M1871">
        <f t="shared" si="29"/>
        <v>2025</v>
      </c>
    </row>
    <row r="1872" spans="1:13" ht="12.75" hidden="1" customHeight="1">
      <c r="A1872" t="s">
        <v>1209</v>
      </c>
      <c r="B1872" t="s">
        <v>227</v>
      </c>
      <c r="C1872" t="s">
        <v>558</v>
      </c>
      <c r="D1872" t="s">
        <v>1178</v>
      </c>
      <c r="E1872" s="1">
        <v>45842</v>
      </c>
      <c r="F1872" s="1">
        <v>45853</v>
      </c>
      <c r="G1872" s="12">
        <v>1485.84</v>
      </c>
      <c r="H1872" s="2">
        <v>0</v>
      </c>
      <c r="I1872" s="2">
        <v>0</v>
      </c>
      <c r="J1872" s="2">
        <v>0</v>
      </c>
      <c r="K1872" s="20">
        <v>1485.84</v>
      </c>
      <c r="L1872" t="s">
        <v>794</v>
      </c>
      <c r="M1872">
        <f t="shared" si="29"/>
        <v>2025</v>
      </c>
    </row>
    <row r="1873" spans="1:13" ht="12.75" hidden="1" customHeight="1">
      <c r="A1873" t="s">
        <v>821</v>
      </c>
      <c r="B1873" t="s">
        <v>72</v>
      </c>
      <c r="C1873" t="s">
        <v>722</v>
      </c>
      <c r="D1873" t="s">
        <v>1178</v>
      </c>
      <c r="E1873" s="1">
        <v>45842</v>
      </c>
      <c r="F1873" s="1">
        <v>45853</v>
      </c>
      <c r="G1873" s="12">
        <v>1381.38</v>
      </c>
      <c r="H1873" s="2">
        <v>0</v>
      </c>
      <c r="I1873" s="2">
        <v>0</v>
      </c>
      <c r="J1873" s="2">
        <v>0</v>
      </c>
      <c r="K1873" s="20">
        <v>1381.38</v>
      </c>
      <c r="L1873" t="s">
        <v>794</v>
      </c>
      <c r="M1873">
        <f t="shared" si="29"/>
        <v>2025</v>
      </c>
    </row>
    <row r="1874" spans="1:13" ht="12.75" hidden="1" customHeight="1">
      <c r="A1874" t="s">
        <v>945</v>
      </c>
      <c r="B1874" t="s">
        <v>143</v>
      </c>
      <c r="C1874" t="s">
        <v>204</v>
      </c>
      <c r="D1874" t="s">
        <v>1178</v>
      </c>
      <c r="E1874" s="1">
        <v>45842</v>
      </c>
      <c r="F1874" s="1">
        <v>45853</v>
      </c>
      <c r="G1874" s="12">
        <v>682.1</v>
      </c>
      <c r="H1874" s="2">
        <v>0</v>
      </c>
      <c r="I1874" s="2">
        <v>0</v>
      </c>
      <c r="J1874" s="2">
        <v>0</v>
      </c>
      <c r="K1874" s="20">
        <v>682.1</v>
      </c>
      <c r="L1874" t="s">
        <v>794</v>
      </c>
      <c r="M1874">
        <f t="shared" si="29"/>
        <v>2025</v>
      </c>
    </row>
    <row r="1875" spans="1:13" ht="12.75" hidden="1" customHeight="1">
      <c r="A1875" t="s">
        <v>874</v>
      </c>
      <c r="B1875" t="s">
        <v>116</v>
      </c>
      <c r="C1875" t="s">
        <v>200</v>
      </c>
      <c r="D1875" t="s">
        <v>1178</v>
      </c>
      <c r="E1875" s="1">
        <v>45848</v>
      </c>
      <c r="F1875" s="1">
        <v>45853</v>
      </c>
      <c r="G1875" s="12">
        <v>2640</v>
      </c>
      <c r="H1875" s="2">
        <v>0</v>
      </c>
      <c r="I1875" s="2">
        <v>0</v>
      </c>
      <c r="J1875" s="2">
        <v>0</v>
      </c>
      <c r="K1875" s="20">
        <v>2640</v>
      </c>
      <c r="L1875" t="s">
        <v>794</v>
      </c>
      <c r="M1875">
        <f t="shared" si="29"/>
        <v>2025</v>
      </c>
    </row>
    <row r="1876" spans="1:13" ht="12.75" hidden="1" customHeight="1">
      <c r="A1876" t="s">
        <v>878</v>
      </c>
      <c r="B1876" t="s">
        <v>32</v>
      </c>
      <c r="C1876" t="s">
        <v>360</v>
      </c>
      <c r="D1876" t="s">
        <v>1178</v>
      </c>
      <c r="E1876" s="1">
        <v>45848</v>
      </c>
      <c r="F1876" s="1">
        <v>45853</v>
      </c>
      <c r="G1876" s="12">
        <v>350</v>
      </c>
      <c r="H1876" s="2">
        <v>0</v>
      </c>
      <c r="I1876" s="2">
        <v>0</v>
      </c>
      <c r="J1876" s="2">
        <v>0</v>
      </c>
      <c r="K1876" s="20">
        <v>350</v>
      </c>
      <c r="L1876" t="s">
        <v>794</v>
      </c>
      <c r="M1876">
        <f t="shared" si="29"/>
        <v>2025</v>
      </c>
    </row>
    <row r="1877" spans="1:13" ht="12.75" hidden="1" customHeight="1">
      <c r="A1877" t="s">
        <v>878</v>
      </c>
      <c r="B1877" t="s">
        <v>32</v>
      </c>
      <c r="C1877" t="s">
        <v>721</v>
      </c>
      <c r="D1877" t="s">
        <v>1178</v>
      </c>
      <c r="E1877" s="1">
        <v>45848</v>
      </c>
      <c r="F1877" s="1">
        <v>45853</v>
      </c>
      <c r="G1877" s="12">
        <v>1040</v>
      </c>
      <c r="H1877" s="2">
        <v>0</v>
      </c>
      <c r="I1877" s="2">
        <v>0</v>
      </c>
      <c r="J1877" s="2">
        <v>0</v>
      </c>
      <c r="K1877" s="20">
        <v>1040</v>
      </c>
      <c r="L1877" t="s">
        <v>794</v>
      </c>
      <c r="M1877">
        <f t="shared" si="29"/>
        <v>2025</v>
      </c>
    </row>
    <row r="1878" spans="1:13" ht="12.75" hidden="1" customHeight="1">
      <c r="A1878" t="s">
        <v>909</v>
      </c>
      <c r="B1878" t="s">
        <v>97</v>
      </c>
      <c r="C1878" t="s">
        <v>717</v>
      </c>
      <c r="D1878" t="s">
        <v>1178</v>
      </c>
      <c r="E1878" s="1">
        <v>45858</v>
      </c>
      <c r="F1878" s="1">
        <v>45853</v>
      </c>
      <c r="G1878" s="12">
        <v>2000</v>
      </c>
      <c r="H1878" s="2">
        <v>0</v>
      </c>
      <c r="I1878" s="2">
        <v>0</v>
      </c>
      <c r="J1878" s="2">
        <v>0</v>
      </c>
      <c r="K1878" s="20">
        <v>2000</v>
      </c>
      <c r="L1878" t="s">
        <v>794</v>
      </c>
      <c r="M1878">
        <f t="shared" si="29"/>
        <v>2025</v>
      </c>
    </row>
    <row r="1879" spans="1:13" ht="12.75" hidden="1" customHeight="1">
      <c r="A1879" t="s">
        <v>1167</v>
      </c>
      <c r="B1879" t="s">
        <v>47</v>
      </c>
      <c r="C1879" t="s">
        <v>438</v>
      </c>
      <c r="D1879" t="s">
        <v>1178</v>
      </c>
      <c r="E1879" s="1">
        <v>45853</v>
      </c>
      <c r="F1879" s="1">
        <v>45853</v>
      </c>
      <c r="G1879" s="12">
        <v>938.14</v>
      </c>
      <c r="H1879" s="2">
        <v>0</v>
      </c>
      <c r="I1879" s="2">
        <v>0</v>
      </c>
      <c r="J1879" s="2">
        <v>0</v>
      </c>
      <c r="K1879" s="20">
        <v>938.14</v>
      </c>
      <c r="L1879" t="s">
        <v>794</v>
      </c>
      <c r="M1879">
        <f t="shared" si="29"/>
        <v>2025</v>
      </c>
    </row>
    <row r="1880" spans="1:13" ht="12.75" hidden="1" customHeight="1">
      <c r="A1880" t="s">
        <v>1210</v>
      </c>
      <c r="B1880" t="s">
        <v>22</v>
      </c>
      <c r="C1880" t="s">
        <v>717</v>
      </c>
      <c r="D1880" t="s">
        <v>1178</v>
      </c>
      <c r="E1880" s="1">
        <v>45858</v>
      </c>
      <c r="F1880" s="1">
        <v>45853</v>
      </c>
      <c r="G1880" s="12">
        <v>890</v>
      </c>
      <c r="H1880" s="2">
        <v>0</v>
      </c>
      <c r="I1880" s="2">
        <v>0</v>
      </c>
      <c r="J1880" s="2">
        <v>0</v>
      </c>
      <c r="K1880" s="20">
        <v>890</v>
      </c>
      <c r="L1880" t="s">
        <v>794</v>
      </c>
      <c r="M1880">
        <f t="shared" si="29"/>
        <v>2025</v>
      </c>
    </row>
    <row r="1881" spans="1:13" ht="12.75" hidden="1" customHeight="1">
      <c r="A1881" t="s">
        <v>1211</v>
      </c>
      <c r="B1881" t="s">
        <v>73</v>
      </c>
      <c r="C1881" t="s">
        <v>721</v>
      </c>
      <c r="D1881" t="s">
        <v>1178</v>
      </c>
      <c r="E1881" s="1">
        <v>45848</v>
      </c>
      <c r="F1881" s="1">
        <v>45853</v>
      </c>
      <c r="G1881" s="12">
        <v>1500</v>
      </c>
      <c r="H1881" s="2">
        <v>0</v>
      </c>
      <c r="I1881" s="2">
        <v>0</v>
      </c>
      <c r="J1881" s="2">
        <v>0</v>
      </c>
      <c r="K1881" s="20">
        <v>1500</v>
      </c>
      <c r="L1881" t="s">
        <v>794</v>
      </c>
      <c r="M1881">
        <f t="shared" si="29"/>
        <v>2025</v>
      </c>
    </row>
    <row r="1882" spans="1:13" ht="12.75" hidden="1" customHeight="1">
      <c r="A1882" t="s">
        <v>893</v>
      </c>
      <c r="B1882" t="s">
        <v>212</v>
      </c>
      <c r="C1882" t="s">
        <v>746</v>
      </c>
      <c r="D1882" t="s">
        <v>1178</v>
      </c>
      <c r="E1882" s="1">
        <v>45853</v>
      </c>
      <c r="F1882" s="1">
        <v>45854</v>
      </c>
      <c r="G1882" s="12">
        <v>132</v>
      </c>
      <c r="H1882" s="2">
        <v>0</v>
      </c>
      <c r="I1882" s="2">
        <v>0</v>
      </c>
      <c r="J1882" s="2">
        <v>0</v>
      </c>
      <c r="K1882" s="20">
        <v>132</v>
      </c>
      <c r="L1882" t="s">
        <v>794</v>
      </c>
      <c r="M1882">
        <f t="shared" si="29"/>
        <v>2025</v>
      </c>
    </row>
    <row r="1883" spans="1:13" ht="12.75" hidden="1" customHeight="1">
      <c r="A1883" t="s">
        <v>879</v>
      </c>
      <c r="B1883" t="s">
        <v>23</v>
      </c>
      <c r="C1883" t="s">
        <v>713</v>
      </c>
      <c r="D1883" t="s">
        <v>1178</v>
      </c>
      <c r="E1883" s="1">
        <v>45853</v>
      </c>
      <c r="F1883" s="1">
        <v>45854</v>
      </c>
      <c r="G1883" s="12">
        <v>700</v>
      </c>
      <c r="H1883" s="2">
        <v>0</v>
      </c>
      <c r="I1883" s="2">
        <v>0</v>
      </c>
      <c r="J1883" s="2">
        <v>0</v>
      </c>
      <c r="K1883" s="20">
        <v>700</v>
      </c>
      <c r="L1883" t="s">
        <v>794</v>
      </c>
      <c r="M1883">
        <f t="shared" si="29"/>
        <v>2025</v>
      </c>
    </row>
    <row r="1884" spans="1:13" ht="12.75" hidden="1" customHeight="1">
      <c r="A1884" t="s">
        <v>886</v>
      </c>
      <c r="B1884" t="s">
        <v>194</v>
      </c>
      <c r="C1884" t="s">
        <v>743</v>
      </c>
      <c r="D1884" t="s">
        <v>1178</v>
      </c>
      <c r="E1884" s="1">
        <v>45853</v>
      </c>
      <c r="F1884" s="1">
        <v>45854</v>
      </c>
      <c r="G1884" s="12">
        <v>217.76</v>
      </c>
      <c r="H1884" s="2">
        <v>0</v>
      </c>
      <c r="I1884" s="2">
        <v>0</v>
      </c>
      <c r="J1884" s="2">
        <v>0</v>
      </c>
      <c r="K1884" s="20">
        <v>217.76</v>
      </c>
      <c r="L1884" t="s">
        <v>794</v>
      </c>
      <c r="M1884">
        <f t="shared" si="29"/>
        <v>2025</v>
      </c>
    </row>
    <row r="1885" spans="1:13" ht="12.75" hidden="1" customHeight="1">
      <c r="A1885" t="s">
        <v>891</v>
      </c>
      <c r="B1885" t="s">
        <v>102</v>
      </c>
      <c r="C1885" t="s">
        <v>710</v>
      </c>
      <c r="D1885" t="s">
        <v>1178</v>
      </c>
      <c r="E1885" s="1">
        <v>45853</v>
      </c>
      <c r="F1885" s="1">
        <v>45854</v>
      </c>
      <c r="G1885" s="12">
        <v>500</v>
      </c>
      <c r="H1885" s="2">
        <v>0</v>
      </c>
      <c r="I1885" s="2">
        <v>0</v>
      </c>
      <c r="J1885" s="2">
        <v>0</v>
      </c>
      <c r="K1885" s="20">
        <v>500</v>
      </c>
      <c r="L1885" t="s">
        <v>794</v>
      </c>
      <c r="M1885">
        <f t="shared" si="29"/>
        <v>2025</v>
      </c>
    </row>
    <row r="1886" spans="1:13" ht="12.75" hidden="1" customHeight="1">
      <c r="A1886" t="s">
        <v>894</v>
      </c>
      <c r="B1886" t="s">
        <v>50</v>
      </c>
      <c r="C1886" t="s">
        <v>152</v>
      </c>
      <c r="D1886" t="s">
        <v>1178</v>
      </c>
      <c r="E1886" s="1">
        <v>45853</v>
      </c>
      <c r="F1886" s="1">
        <v>45854</v>
      </c>
      <c r="G1886" s="12">
        <v>1518</v>
      </c>
      <c r="H1886" s="2">
        <v>0</v>
      </c>
      <c r="I1886" s="2">
        <v>0</v>
      </c>
      <c r="J1886" s="2">
        <v>0</v>
      </c>
      <c r="K1886" s="20">
        <v>1518</v>
      </c>
      <c r="L1886" t="s">
        <v>794</v>
      </c>
      <c r="M1886">
        <f t="shared" si="29"/>
        <v>2025</v>
      </c>
    </row>
    <row r="1887" spans="1:13" ht="12.75" hidden="1" customHeight="1">
      <c r="A1887" t="s">
        <v>941</v>
      </c>
      <c r="B1887" t="s">
        <v>52</v>
      </c>
      <c r="C1887" t="s">
        <v>672</v>
      </c>
      <c r="D1887" t="s">
        <v>1178</v>
      </c>
      <c r="E1887" s="1">
        <v>45853</v>
      </c>
      <c r="F1887" s="1">
        <v>45854</v>
      </c>
      <c r="G1887" s="12">
        <v>1518</v>
      </c>
      <c r="H1887" s="2">
        <v>0</v>
      </c>
      <c r="I1887" s="2">
        <v>0</v>
      </c>
      <c r="J1887" s="2">
        <v>0</v>
      </c>
      <c r="K1887" s="20">
        <v>1518</v>
      </c>
      <c r="L1887" t="s">
        <v>794</v>
      </c>
      <c r="M1887">
        <f t="shared" si="29"/>
        <v>2025</v>
      </c>
    </row>
    <row r="1888" spans="1:13" ht="12.75" hidden="1" customHeight="1">
      <c r="A1888" t="s">
        <v>879</v>
      </c>
      <c r="B1888" t="s">
        <v>23</v>
      </c>
      <c r="C1888" t="s">
        <v>716</v>
      </c>
      <c r="D1888" t="s">
        <v>1178</v>
      </c>
      <c r="E1888" s="1">
        <v>45853</v>
      </c>
      <c r="F1888" s="1">
        <v>45854</v>
      </c>
      <c r="G1888" s="12">
        <v>1904.5</v>
      </c>
      <c r="H1888" s="2">
        <v>0</v>
      </c>
      <c r="I1888" s="2">
        <v>0</v>
      </c>
      <c r="J1888" s="2">
        <v>0</v>
      </c>
      <c r="K1888" s="20">
        <v>1904.5</v>
      </c>
      <c r="L1888" t="s">
        <v>794</v>
      </c>
      <c r="M1888">
        <f t="shared" si="29"/>
        <v>2025</v>
      </c>
    </row>
    <row r="1889" spans="1:13" ht="12.75" hidden="1" customHeight="1">
      <c r="A1889" t="s">
        <v>894</v>
      </c>
      <c r="B1889" t="s">
        <v>50</v>
      </c>
      <c r="C1889" t="s">
        <v>152</v>
      </c>
      <c r="D1889" t="s">
        <v>1178</v>
      </c>
      <c r="E1889" s="1">
        <v>45848</v>
      </c>
      <c r="F1889" s="1">
        <v>45854</v>
      </c>
      <c r="G1889" s="12">
        <v>500</v>
      </c>
      <c r="H1889" s="2">
        <v>0</v>
      </c>
      <c r="I1889" s="2">
        <v>0</v>
      </c>
      <c r="J1889" s="2">
        <v>0</v>
      </c>
      <c r="K1889" s="20">
        <v>500</v>
      </c>
      <c r="L1889" t="s">
        <v>794</v>
      </c>
      <c r="M1889">
        <f t="shared" si="29"/>
        <v>2025</v>
      </c>
    </row>
    <row r="1890" spans="1:13" ht="12.75" hidden="1" customHeight="1">
      <c r="A1890" t="s">
        <v>1212</v>
      </c>
      <c r="B1890" t="s">
        <v>530</v>
      </c>
      <c r="C1890" t="s">
        <v>452</v>
      </c>
      <c r="D1890" t="s">
        <v>1178</v>
      </c>
      <c r="E1890" s="1">
        <v>45854</v>
      </c>
      <c r="F1890" s="1">
        <v>45854</v>
      </c>
      <c r="G1890" s="12">
        <v>100</v>
      </c>
      <c r="H1890" s="2">
        <v>0</v>
      </c>
      <c r="I1890" s="2">
        <v>0</v>
      </c>
      <c r="J1890" s="2">
        <v>0</v>
      </c>
      <c r="K1890" s="20">
        <v>100</v>
      </c>
      <c r="L1890" t="s">
        <v>794</v>
      </c>
      <c r="M1890">
        <f t="shared" si="29"/>
        <v>2025</v>
      </c>
    </row>
    <row r="1891" spans="1:13" ht="12.75" hidden="1" customHeight="1">
      <c r="A1891" t="s">
        <v>1134</v>
      </c>
      <c r="B1891" t="s">
        <v>33</v>
      </c>
      <c r="C1891" t="s">
        <v>138</v>
      </c>
      <c r="D1891" t="s">
        <v>1178</v>
      </c>
      <c r="E1891" s="1">
        <v>45839</v>
      </c>
      <c r="F1891" s="1">
        <v>45854</v>
      </c>
      <c r="G1891" s="12">
        <v>541.02</v>
      </c>
      <c r="H1891" s="2">
        <v>0</v>
      </c>
      <c r="I1891" s="2">
        <v>0</v>
      </c>
      <c r="J1891" s="2">
        <v>0</v>
      </c>
      <c r="K1891" s="20">
        <v>541.02</v>
      </c>
      <c r="L1891" t="s">
        <v>794</v>
      </c>
      <c r="M1891">
        <f t="shared" si="29"/>
        <v>2025</v>
      </c>
    </row>
    <row r="1892" spans="1:13" ht="12.75" hidden="1" customHeight="1">
      <c r="A1892" t="s">
        <v>797</v>
      </c>
      <c r="B1892" t="s">
        <v>25</v>
      </c>
      <c r="C1892" t="s">
        <v>206</v>
      </c>
      <c r="D1892" t="s">
        <v>1178</v>
      </c>
      <c r="E1892" s="1">
        <v>45842</v>
      </c>
      <c r="F1892" s="1">
        <v>45854</v>
      </c>
      <c r="G1892" s="12">
        <v>1302</v>
      </c>
      <c r="H1892" s="2">
        <v>0</v>
      </c>
      <c r="I1892" s="2">
        <v>0</v>
      </c>
      <c r="J1892" s="2">
        <v>0</v>
      </c>
      <c r="K1892" s="20">
        <v>1302</v>
      </c>
      <c r="L1892" t="s">
        <v>794</v>
      </c>
      <c r="M1892">
        <f t="shared" si="29"/>
        <v>2025</v>
      </c>
    </row>
    <row r="1893" spans="1:13" ht="12.75" hidden="1" customHeight="1">
      <c r="A1893" t="s">
        <v>1213</v>
      </c>
      <c r="B1893" t="s">
        <v>689</v>
      </c>
      <c r="C1893" t="s">
        <v>733</v>
      </c>
      <c r="D1893" t="s">
        <v>1178</v>
      </c>
      <c r="E1893" s="1">
        <v>45848</v>
      </c>
      <c r="F1893" s="1">
        <v>45854</v>
      </c>
      <c r="G1893" s="12">
        <v>15.4</v>
      </c>
      <c r="H1893" s="2">
        <v>0</v>
      </c>
      <c r="I1893" s="2">
        <v>0</v>
      </c>
      <c r="J1893" s="2">
        <v>0</v>
      </c>
      <c r="K1893" s="20">
        <v>15.4</v>
      </c>
      <c r="L1893" t="s">
        <v>794</v>
      </c>
      <c r="M1893">
        <f t="shared" si="29"/>
        <v>2025</v>
      </c>
    </row>
    <row r="1894" spans="1:13" ht="12.75" hidden="1" customHeight="1">
      <c r="A1894" t="s">
        <v>1163</v>
      </c>
      <c r="B1894" t="s">
        <v>94</v>
      </c>
      <c r="C1894" t="s">
        <v>721</v>
      </c>
      <c r="D1894" t="s">
        <v>1178</v>
      </c>
      <c r="E1894" s="1">
        <v>45848</v>
      </c>
      <c r="F1894" s="1">
        <v>45854</v>
      </c>
      <c r="G1894" s="12">
        <v>1800</v>
      </c>
      <c r="H1894" s="2">
        <v>0</v>
      </c>
      <c r="I1894" s="2">
        <v>0</v>
      </c>
      <c r="J1894" s="2">
        <v>0</v>
      </c>
      <c r="K1894" s="20">
        <v>1800</v>
      </c>
      <c r="L1894" t="s">
        <v>794</v>
      </c>
      <c r="M1894">
        <f t="shared" si="29"/>
        <v>2025</v>
      </c>
    </row>
    <row r="1895" spans="1:13" ht="12.75" hidden="1" customHeight="1">
      <c r="A1895" t="s">
        <v>1214</v>
      </c>
      <c r="B1895" t="s">
        <v>229</v>
      </c>
      <c r="C1895" t="s">
        <v>723</v>
      </c>
      <c r="D1895" t="s">
        <v>1178</v>
      </c>
      <c r="E1895" s="1">
        <v>45849</v>
      </c>
      <c r="F1895" s="1">
        <v>45854</v>
      </c>
      <c r="G1895" s="12">
        <v>400</v>
      </c>
      <c r="H1895" s="2">
        <v>0</v>
      </c>
      <c r="I1895" s="2">
        <v>0</v>
      </c>
      <c r="J1895" s="2">
        <v>0</v>
      </c>
      <c r="K1895" s="20">
        <v>400</v>
      </c>
      <c r="L1895" t="s">
        <v>794</v>
      </c>
      <c r="M1895">
        <f t="shared" si="29"/>
        <v>2025</v>
      </c>
    </row>
    <row r="1896" spans="1:13" ht="12.75" hidden="1" customHeight="1">
      <c r="A1896" t="s">
        <v>1215</v>
      </c>
      <c r="B1896" t="s">
        <v>172</v>
      </c>
      <c r="C1896" t="s">
        <v>201</v>
      </c>
      <c r="D1896" t="s">
        <v>1178</v>
      </c>
      <c r="E1896" s="1">
        <v>45854</v>
      </c>
      <c r="F1896" s="1">
        <v>45854</v>
      </c>
      <c r="G1896" s="12">
        <v>880</v>
      </c>
      <c r="H1896" s="2">
        <v>0</v>
      </c>
      <c r="I1896" s="2">
        <v>0</v>
      </c>
      <c r="J1896" s="2">
        <v>0</v>
      </c>
      <c r="K1896" s="20">
        <v>880</v>
      </c>
      <c r="L1896" t="s">
        <v>794</v>
      </c>
      <c r="M1896">
        <f t="shared" si="29"/>
        <v>2025</v>
      </c>
    </row>
    <row r="1897" spans="1:13" ht="12.75" hidden="1" customHeight="1">
      <c r="A1897" t="s">
        <v>1216</v>
      </c>
      <c r="B1897" t="s">
        <v>109</v>
      </c>
      <c r="C1897" t="s">
        <v>200</v>
      </c>
      <c r="D1897" t="s">
        <v>1178</v>
      </c>
      <c r="E1897" s="1">
        <v>45854</v>
      </c>
      <c r="F1897" s="1">
        <v>45854</v>
      </c>
      <c r="G1897" s="12">
        <v>1600</v>
      </c>
      <c r="H1897" s="2">
        <v>0</v>
      </c>
      <c r="I1897" s="2">
        <v>0</v>
      </c>
      <c r="J1897" s="2">
        <v>0</v>
      </c>
      <c r="K1897" s="20">
        <v>1600</v>
      </c>
      <c r="L1897" t="s">
        <v>794</v>
      </c>
      <c r="M1897">
        <f t="shared" si="29"/>
        <v>2025</v>
      </c>
    </row>
    <row r="1898" spans="1:13" ht="12.75" hidden="1" customHeight="1">
      <c r="A1898" t="s">
        <v>895</v>
      </c>
      <c r="B1898" t="s">
        <v>155</v>
      </c>
      <c r="C1898" t="s">
        <v>384</v>
      </c>
      <c r="D1898" t="s">
        <v>1142</v>
      </c>
      <c r="E1898" s="1">
        <v>45833</v>
      </c>
      <c r="F1898" s="1">
        <v>45855</v>
      </c>
      <c r="G1898" s="12">
        <v>390</v>
      </c>
      <c r="H1898" s="2">
        <v>0</v>
      </c>
      <c r="I1898" s="2">
        <v>0</v>
      </c>
      <c r="J1898" s="2">
        <v>0</v>
      </c>
      <c r="K1898" s="20">
        <v>390</v>
      </c>
      <c r="L1898" t="s">
        <v>794</v>
      </c>
      <c r="M1898">
        <f t="shared" si="29"/>
        <v>2025</v>
      </c>
    </row>
    <row r="1899" spans="1:13" ht="12.75" hidden="1" customHeight="1">
      <c r="A1899" t="s">
        <v>1217</v>
      </c>
      <c r="B1899" t="s">
        <v>423</v>
      </c>
      <c r="C1899" t="s">
        <v>483</v>
      </c>
      <c r="D1899" t="s">
        <v>1178</v>
      </c>
      <c r="E1899" s="1">
        <v>45855</v>
      </c>
      <c r="F1899" s="1">
        <v>45855</v>
      </c>
      <c r="G1899" s="12">
        <v>353.08</v>
      </c>
      <c r="H1899" s="2">
        <v>0</v>
      </c>
      <c r="I1899" s="2">
        <v>0</v>
      </c>
      <c r="J1899" s="2">
        <v>0</v>
      </c>
      <c r="K1899" s="20">
        <v>353.08</v>
      </c>
      <c r="L1899" t="s">
        <v>794</v>
      </c>
      <c r="M1899">
        <f t="shared" si="29"/>
        <v>2025</v>
      </c>
    </row>
    <row r="1900" spans="1:13" ht="12.75" hidden="1" customHeight="1">
      <c r="A1900" t="s">
        <v>849</v>
      </c>
      <c r="B1900" t="s">
        <v>283</v>
      </c>
      <c r="C1900" t="s">
        <v>722</v>
      </c>
      <c r="D1900" t="s">
        <v>1178</v>
      </c>
      <c r="E1900" s="1">
        <v>45855</v>
      </c>
      <c r="F1900" s="1">
        <v>45855</v>
      </c>
      <c r="G1900" s="12">
        <v>99</v>
      </c>
      <c r="H1900" s="2">
        <v>0</v>
      </c>
      <c r="I1900" s="2">
        <v>0</v>
      </c>
      <c r="J1900" s="2">
        <v>0</v>
      </c>
      <c r="K1900" s="20">
        <v>99</v>
      </c>
      <c r="L1900" t="s">
        <v>794</v>
      </c>
      <c r="M1900">
        <f t="shared" si="29"/>
        <v>2025</v>
      </c>
    </row>
    <row r="1901" spans="1:13" ht="12.75" hidden="1" customHeight="1">
      <c r="A1901" t="s">
        <v>892</v>
      </c>
      <c r="B1901" t="s">
        <v>110</v>
      </c>
      <c r="C1901" t="s">
        <v>733</v>
      </c>
      <c r="D1901" t="s">
        <v>1178</v>
      </c>
      <c r="E1901" s="1">
        <v>45855</v>
      </c>
      <c r="F1901" s="1">
        <v>45855</v>
      </c>
      <c r="G1901" s="12">
        <v>280</v>
      </c>
      <c r="H1901" s="2">
        <v>0</v>
      </c>
      <c r="I1901" s="2">
        <v>0</v>
      </c>
      <c r="J1901" s="2">
        <v>0</v>
      </c>
      <c r="K1901" s="20">
        <v>280</v>
      </c>
      <c r="L1901" t="s">
        <v>794</v>
      </c>
      <c r="M1901">
        <f t="shared" si="29"/>
        <v>2025</v>
      </c>
    </row>
    <row r="1902" spans="1:13" ht="12.75" hidden="1" customHeight="1">
      <c r="A1902" t="s">
        <v>841</v>
      </c>
      <c r="B1902" t="s">
        <v>164</v>
      </c>
      <c r="C1902" t="s">
        <v>722</v>
      </c>
      <c r="D1902" t="s">
        <v>1178</v>
      </c>
      <c r="E1902" s="1">
        <v>45854</v>
      </c>
      <c r="F1902" s="1">
        <v>45856</v>
      </c>
      <c r="G1902" s="12">
        <v>399.47</v>
      </c>
      <c r="H1902" s="2">
        <v>0</v>
      </c>
      <c r="I1902" s="2">
        <v>0</v>
      </c>
      <c r="J1902" s="2">
        <v>0</v>
      </c>
      <c r="K1902" s="20">
        <v>399.47</v>
      </c>
      <c r="L1902" t="s">
        <v>794</v>
      </c>
      <c r="M1902">
        <f t="shared" si="29"/>
        <v>2025</v>
      </c>
    </row>
    <row r="1903" spans="1:13" ht="12.75" hidden="1" customHeight="1">
      <c r="A1903" t="s">
        <v>935</v>
      </c>
      <c r="B1903" t="s">
        <v>158</v>
      </c>
      <c r="C1903" t="s">
        <v>741</v>
      </c>
      <c r="D1903" t="s">
        <v>1178</v>
      </c>
      <c r="E1903" s="1">
        <v>45854</v>
      </c>
      <c r="F1903" s="1">
        <v>45856</v>
      </c>
      <c r="G1903" s="12">
        <v>378.03000000000003</v>
      </c>
      <c r="H1903" s="2">
        <v>0</v>
      </c>
      <c r="I1903" s="2">
        <v>0</v>
      </c>
      <c r="J1903" s="2">
        <v>0</v>
      </c>
      <c r="K1903" s="20">
        <v>378.03000000000003</v>
      </c>
      <c r="L1903" t="s">
        <v>794</v>
      </c>
      <c r="M1903">
        <f t="shared" si="29"/>
        <v>2025</v>
      </c>
    </row>
    <row r="1904" spans="1:13" ht="12.75" hidden="1" customHeight="1">
      <c r="A1904" t="s">
        <v>837</v>
      </c>
      <c r="B1904" t="s">
        <v>58</v>
      </c>
      <c r="C1904" t="s">
        <v>206</v>
      </c>
      <c r="D1904" t="s">
        <v>1178</v>
      </c>
      <c r="E1904" s="1">
        <v>45843</v>
      </c>
      <c r="F1904" s="1">
        <v>45856</v>
      </c>
      <c r="G1904" s="12">
        <v>1922.76</v>
      </c>
      <c r="H1904" s="2">
        <v>0</v>
      </c>
      <c r="I1904" s="2">
        <v>0</v>
      </c>
      <c r="J1904" s="2">
        <v>0</v>
      </c>
      <c r="K1904" s="20">
        <v>1922.76</v>
      </c>
      <c r="L1904" t="s">
        <v>794</v>
      </c>
      <c r="M1904">
        <f t="shared" si="29"/>
        <v>2025</v>
      </c>
    </row>
    <row r="1905" spans="1:13" ht="12.75" hidden="1" customHeight="1">
      <c r="A1905" t="s">
        <v>905</v>
      </c>
      <c r="B1905" t="s">
        <v>15</v>
      </c>
      <c r="C1905" t="s">
        <v>727</v>
      </c>
      <c r="D1905" t="s">
        <v>1178</v>
      </c>
      <c r="E1905" s="1">
        <v>45856</v>
      </c>
      <c r="F1905" s="1">
        <v>45856</v>
      </c>
      <c r="G1905" s="12">
        <v>3579.76</v>
      </c>
      <c r="H1905" s="2">
        <v>0</v>
      </c>
      <c r="I1905" s="2">
        <v>0</v>
      </c>
      <c r="J1905" s="2">
        <v>0</v>
      </c>
      <c r="K1905" s="20">
        <v>3579.76</v>
      </c>
      <c r="L1905" t="s">
        <v>794</v>
      </c>
      <c r="M1905">
        <f t="shared" si="29"/>
        <v>2025</v>
      </c>
    </row>
    <row r="1906" spans="1:13" ht="12.75" hidden="1" customHeight="1">
      <c r="A1906" t="s">
        <v>839</v>
      </c>
      <c r="B1906" t="s">
        <v>44</v>
      </c>
      <c r="C1906" t="s">
        <v>722</v>
      </c>
      <c r="D1906" t="s">
        <v>1178</v>
      </c>
      <c r="E1906" s="1">
        <v>45858</v>
      </c>
      <c r="F1906" s="1">
        <v>45859</v>
      </c>
      <c r="G1906" s="12">
        <v>791.23</v>
      </c>
      <c r="H1906" s="2">
        <v>0</v>
      </c>
      <c r="I1906" s="2">
        <v>0</v>
      </c>
      <c r="J1906" s="2">
        <v>0</v>
      </c>
      <c r="K1906" s="20">
        <v>791.23</v>
      </c>
      <c r="L1906" t="s">
        <v>794</v>
      </c>
      <c r="M1906">
        <f t="shared" si="29"/>
        <v>2025</v>
      </c>
    </row>
    <row r="1907" spans="1:13" ht="12.75" hidden="1" customHeight="1">
      <c r="A1907" t="s">
        <v>839</v>
      </c>
      <c r="B1907" t="s">
        <v>44</v>
      </c>
      <c r="C1907" t="s">
        <v>722</v>
      </c>
      <c r="D1907" t="s">
        <v>1178</v>
      </c>
      <c r="E1907" s="1">
        <v>45858</v>
      </c>
      <c r="F1907" s="1">
        <v>45859</v>
      </c>
      <c r="G1907" s="12">
        <v>941.56000000000006</v>
      </c>
      <c r="H1907" s="2">
        <v>0</v>
      </c>
      <c r="I1907" s="2">
        <v>0</v>
      </c>
      <c r="J1907" s="2">
        <v>0</v>
      </c>
      <c r="K1907" s="20">
        <v>941.56000000000006</v>
      </c>
      <c r="L1907" t="s">
        <v>794</v>
      </c>
      <c r="M1907">
        <f t="shared" si="29"/>
        <v>2025</v>
      </c>
    </row>
    <row r="1908" spans="1:13" ht="12.75" hidden="1" customHeight="1">
      <c r="A1908" t="s">
        <v>907</v>
      </c>
      <c r="B1908" t="s">
        <v>291</v>
      </c>
      <c r="C1908" t="s">
        <v>681</v>
      </c>
      <c r="D1908" t="s">
        <v>1178</v>
      </c>
      <c r="E1908" s="1">
        <v>45859</v>
      </c>
      <c r="F1908" s="1">
        <v>45859</v>
      </c>
      <c r="G1908" s="12">
        <v>28.900000000000002</v>
      </c>
      <c r="H1908" s="2">
        <v>0</v>
      </c>
      <c r="I1908" s="2">
        <v>0</v>
      </c>
      <c r="J1908" s="2">
        <v>0</v>
      </c>
      <c r="K1908" s="20">
        <v>28.900000000000002</v>
      </c>
      <c r="L1908" t="s">
        <v>794</v>
      </c>
      <c r="M1908">
        <f t="shared" si="29"/>
        <v>2025</v>
      </c>
    </row>
    <row r="1909" spans="1:13" ht="12.75" hidden="1" customHeight="1">
      <c r="A1909" t="s">
        <v>887</v>
      </c>
      <c r="B1909" t="s">
        <v>61</v>
      </c>
      <c r="C1909" t="s">
        <v>201</v>
      </c>
      <c r="D1909" t="s">
        <v>1178</v>
      </c>
      <c r="E1909" s="1">
        <v>45859</v>
      </c>
      <c r="F1909" s="1">
        <v>45859</v>
      </c>
      <c r="G1909" s="12">
        <v>360</v>
      </c>
      <c r="H1909" s="2">
        <v>0</v>
      </c>
      <c r="I1909" s="2">
        <v>0</v>
      </c>
      <c r="J1909" s="2">
        <v>0</v>
      </c>
      <c r="K1909" s="20">
        <v>360</v>
      </c>
      <c r="L1909" t="s">
        <v>794</v>
      </c>
      <c r="M1909">
        <f t="shared" si="29"/>
        <v>2025</v>
      </c>
    </row>
    <row r="1910" spans="1:13" ht="12.75" hidden="1" customHeight="1">
      <c r="A1910" t="s">
        <v>905</v>
      </c>
      <c r="B1910" t="s">
        <v>15</v>
      </c>
      <c r="C1910" t="s">
        <v>715</v>
      </c>
      <c r="D1910" t="s">
        <v>1178</v>
      </c>
      <c r="E1910" s="1">
        <v>45859</v>
      </c>
      <c r="F1910" s="1">
        <v>45859</v>
      </c>
      <c r="G1910" s="12">
        <v>18586.52</v>
      </c>
      <c r="H1910" s="2">
        <v>0</v>
      </c>
      <c r="I1910" s="2">
        <v>0</v>
      </c>
      <c r="J1910" s="2">
        <v>0</v>
      </c>
      <c r="K1910" s="20">
        <v>18586.52</v>
      </c>
      <c r="L1910" t="s">
        <v>794</v>
      </c>
      <c r="M1910">
        <f t="shared" si="29"/>
        <v>2025</v>
      </c>
    </row>
    <row r="1911" spans="1:13" ht="12.75" hidden="1" customHeight="1">
      <c r="A1911" t="s">
        <v>1218</v>
      </c>
      <c r="B1911" t="s">
        <v>464</v>
      </c>
      <c r="C1911" t="s">
        <v>438</v>
      </c>
      <c r="D1911" t="s">
        <v>1178</v>
      </c>
      <c r="E1911" s="1">
        <v>45859</v>
      </c>
      <c r="F1911" s="1">
        <v>45859</v>
      </c>
      <c r="G1911" s="12">
        <v>199.9</v>
      </c>
      <c r="H1911" s="2">
        <v>0</v>
      </c>
      <c r="I1911" s="2">
        <v>0</v>
      </c>
      <c r="J1911" s="2">
        <v>0</v>
      </c>
      <c r="K1911" s="20">
        <v>199.9</v>
      </c>
      <c r="L1911" t="s">
        <v>794</v>
      </c>
      <c r="M1911">
        <f t="shared" si="29"/>
        <v>2025</v>
      </c>
    </row>
    <row r="1912" spans="1:13" ht="12.75" hidden="1" customHeight="1">
      <c r="A1912" t="s">
        <v>801</v>
      </c>
      <c r="B1912" t="s">
        <v>13</v>
      </c>
      <c r="C1912" t="s">
        <v>726</v>
      </c>
      <c r="D1912" t="s">
        <v>1178</v>
      </c>
      <c r="E1912" s="1">
        <v>45859</v>
      </c>
      <c r="F1912" s="1">
        <v>45859</v>
      </c>
      <c r="G1912" s="12">
        <v>6.12</v>
      </c>
      <c r="H1912" s="2">
        <v>0</v>
      </c>
      <c r="I1912" s="2">
        <v>0</v>
      </c>
      <c r="J1912" s="2">
        <v>0</v>
      </c>
      <c r="K1912" s="20">
        <v>6.12</v>
      </c>
      <c r="L1912" t="s">
        <v>794</v>
      </c>
      <c r="M1912">
        <f t="shared" si="29"/>
        <v>2025</v>
      </c>
    </row>
    <row r="1913" spans="1:13" ht="12.75" hidden="1" customHeight="1">
      <c r="A1913" t="s">
        <v>800</v>
      </c>
      <c r="B1913" t="s">
        <v>85</v>
      </c>
      <c r="C1913" t="s">
        <v>734</v>
      </c>
      <c r="D1913" t="s">
        <v>1178</v>
      </c>
      <c r="E1913" s="1">
        <v>45853</v>
      </c>
      <c r="F1913" s="1">
        <v>45859</v>
      </c>
      <c r="G1913" s="12">
        <v>900</v>
      </c>
      <c r="H1913" s="2">
        <v>0</v>
      </c>
      <c r="I1913" s="2">
        <v>0</v>
      </c>
      <c r="J1913" s="2">
        <v>0</v>
      </c>
      <c r="K1913" s="20">
        <v>900</v>
      </c>
      <c r="L1913" t="s">
        <v>794</v>
      </c>
      <c r="M1913">
        <f t="shared" si="29"/>
        <v>2025</v>
      </c>
    </row>
    <row r="1914" spans="1:13" ht="12.75" hidden="1" customHeight="1">
      <c r="A1914" t="s">
        <v>801</v>
      </c>
      <c r="B1914" t="s">
        <v>13</v>
      </c>
      <c r="C1914" t="s">
        <v>726</v>
      </c>
      <c r="D1914" t="s">
        <v>1178</v>
      </c>
      <c r="E1914" s="1">
        <v>45839</v>
      </c>
      <c r="F1914" s="1">
        <v>45860</v>
      </c>
      <c r="G1914" s="12">
        <v>8.16</v>
      </c>
      <c r="H1914" s="2">
        <v>0</v>
      </c>
      <c r="I1914" s="2">
        <v>0</v>
      </c>
      <c r="J1914" s="2">
        <v>0</v>
      </c>
      <c r="K1914" s="20">
        <v>8.16</v>
      </c>
      <c r="L1914" t="s">
        <v>794</v>
      </c>
      <c r="M1914">
        <f t="shared" si="29"/>
        <v>2025</v>
      </c>
    </row>
    <row r="1915" spans="1:13" ht="12.75" hidden="1" customHeight="1">
      <c r="A1915" t="s">
        <v>801</v>
      </c>
      <c r="B1915" t="s">
        <v>13</v>
      </c>
      <c r="C1915" t="s">
        <v>717</v>
      </c>
      <c r="D1915" t="s">
        <v>1178</v>
      </c>
      <c r="E1915" s="1">
        <v>45839</v>
      </c>
      <c r="F1915" s="1">
        <v>45860</v>
      </c>
      <c r="G1915" s="12">
        <v>33.72</v>
      </c>
      <c r="H1915" s="2">
        <v>0</v>
      </c>
      <c r="I1915" s="2">
        <v>0</v>
      </c>
      <c r="J1915" s="2">
        <v>0</v>
      </c>
      <c r="K1915" s="20">
        <v>33.72</v>
      </c>
      <c r="L1915" t="s">
        <v>794</v>
      </c>
      <c r="M1915">
        <f t="shared" si="29"/>
        <v>2025</v>
      </c>
    </row>
    <row r="1916" spans="1:13" ht="12.75" hidden="1" customHeight="1">
      <c r="A1916" t="s">
        <v>801</v>
      </c>
      <c r="B1916" t="s">
        <v>13</v>
      </c>
      <c r="C1916" t="s">
        <v>739</v>
      </c>
      <c r="D1916" t="s">
        <v>1178</v>
      </c>
      <c r="E1916" s="1">
        <v>45840</v>
      </c>
      <c r="F1916" s="1">
        <v>45860</v>
      </c>
      <c r="G1916" s="12">
        <v>168.34</v>
      </c>
      <c r="H1916" s="2">
        <v>0</v>
      </c>
      <c r="I1916" s="2">
        <v>0</v>
      </c>
      <c r="J1916" s="2">
        <v>0</v>
      </c>
      <c r="K1916" s="20">
        <v>168.34</v>
      </c>
      <c r="L1916" t="s">
        <v>794</v>
      </c>
      <c r="M1916">
        <f t="shared" si="29"/>
        <v>2025</v>
      </c>
    </row>
    <row r="1917" spans="1:13" ht="12.75" hidden="1" customHeight="1">
      <c r="A1917" t="s">
        <v>801</v>
      </c>
      <c r="B1917" t="s">
        <v>13</v>
      </c>
      <c r="C1917" t="s">
        <v>726</v>
      </c>
      <c r="D1917" t="s">
        <v>1178</v>
      </c>
      <c r="E1917" s="1">
        <v>45840</v>
      </c>
      <c r="F1917" s="1">
        <v>45860</v>
      </c>
      <c r="G1917" s="12">
        <v>18.36</v>
      </c>
      <c r="H1917" s="2">
        <v>0</v>
      </c>
      <c r="I1917" s="2">
        <v>0</v>
      </c>
      <c r="J1917" s="2">
        <v>0</v>
      </c>
      <c r="K1917" s="20">
        <v>18.36</v>
      </c>
      <c r="L1917" t="s">
        <v>794</v>
      </c>
      <c r="M1917">
        <f t="shared" si="29"/>
        <v>2025</v>
      </c>
    </row>
    <row r="1918" spans="1:13" ht="12.75" hidden="1" customHeight="1">
      <c r="A1918" t="s">
        <v>801</v>
      </c>
      <c r="B1918" t="s">
        <v>13</v>
      </c>
      <c r="C1918" t="s">
        <v>740</v>
      </c>
      <c r="D1918" t="s">
        <v>1178</v>
      </c>
      <c r="E1918" s="1">
        <v>45840</v>
      </c>
      <c r="F1918" s="1">
        <v>45860</v>
      </c>
      <c r="G1918" s="12">
        <v>252.62</v>
      </c>
      <c r="H1918" s="2">
        <v>0</v>
      </c>
      <c r="I1918" s="2">
        <v>0</v>
      </c>
      <c r="J1918" s="2">
        <v>0</v>
      </c>
      <c r="K1918" s="20">
        <v>252.62</v>
      </c>
      <c r="L1918" t="s">
        <v>794</v>
      </c>
      <c r="M1918">
        <f t="shared" si="29"/>
        <v>2025</v>
      </c>
    </row>
    <row r="1919" spans="1:13" ht="12.75" hidden="1" customHeight="1">
      <c r="A1919" t="s">
        <v>801</v>
      </c>
      <c r="B1919" t="s">
        <v>13</v>
      </c>
      <c r="C1919" t="s">
        <v>740</v>
      </c>
      <c r="D1919" t="s">
        <v>1178</v>
      </c>
      <c r="E1919" s="1">
        <v>45840</v>
      </c>
      <c r="F1919" s="1">
        <v>45860</v>
      </c>
      <c r="G1919" s="12">
        <v>183.68</v>
      </c>
      <c r="H1919" s="2">
        <v>0</v>
      </c>
      <c r="I1919" s="2">
        <v>0</v>
      </c>
      <c r="J1919" s="2">
        <v>0</v>
      </c>
      <c r="K1919" s="20">
        <v>183.68</v>
      </c>
      <c r="L1919" t="s">
        <v>794</v>
      </c>
      <c r="M1919">
        <f t="shared" si="29"/>
        <v>2025</v>
      </c>
    </row>
    <row r="1920" spans="1:13" ht="12.75" hidden="1" customHeight="1">
      <c r="A1920" t="s">
        <v>801</v>
      </c>
      <c r="B1920" t="s">
        <v>13</v>
      </c>
      <c r="C1920" t="s">
        <v>726</v>
      </c>
      <c r="D1920" t="s">
        <v>1178</v>
      </c>
      <c r="E1920" s="1">
        <v>45841</v>
      </c>
      <c r="F1920" s="1">
        <v>45860</v>
      </c>
      <c r="G1920" s="12">
        <v>20.400000000000002</v>
      </c>
      <c r="H1920" s="2">
        <v>0</v>
      </c>
      <c r="I1920" s="2">
        <v>0</v>
      </c>
      <c r="J1920" s="2">
        <v>0</v>
      </c>
      <c r="K1920" s="20">
        <v>20.400000000000002</v>
      </c>
      <c r="L1920" t="s">
        <v>794</v>
      </c>
      <c r="M1920">
        <f t="shared" si="29"/>
        <v>2025</v>
      </c>
    </row>
    <row r="1921" spans="1:13" ht="12.75" hidden="1" customHeight="1">
      <c r="A1921" t="s">
        <v>801</v>
      </c>
      <c r="B1921" t="s">
        <v>13</v>
      </c>
      <c r="C1921" t="s">
        <v>726</v>
      </c>
      <c r="D1921" t="s">
        <v>1178</v>
      </c>
      <c r="E1921" s="1">
        <v>45842</v>
      </c>
      <c r="F1921" s="1">
        <v>45860</v>
      </c>
      <c r="G1921" s="12">
        <v>30.6</v>
      </c>
      <c r="H1921" s="2">
        <v>0</v>
      </c>
      <c r="I1921" s="2">
        <v>0</v>
      </c>
      <c r="J1921" s="2">
        <v>0</v>
      </c>
      <c r="K1921" s="20">
        <v>30.6</v>
      </c>
      <c r="L1921" t="s">
        <v>794</v>
      </c>
      <c r="M1921">
        <f t="shared" si="29"/>
        <v>2025</v>
      </c>
    </row>
    <row r="1922" spans="1:13" ht="12.75" hidden="1" customHeight="1">
      <c r="A1922" t="s">
        <v>801</v>
      </c>
      <c r="B1922" t="s">
        <v>13</v>
      </c>
      <c r="C1922" t="s">
        <v>726</v>
      </c>
      <c r="D1922" t="s">
        <v>1178</v>
      </c>
      <c r="E1922" s="1">
        <v>45845</v>
      </c>
      <c r="F1922" s="1">
        <v>45860</v>
      </c>
      <c r="G1922" s="12">
        <v>75.48</v>
      </c>
      <c r="H1922" s="2">
        <v>0</v>
      </c>
      <c r="I1922" s="2">
        <v>0</v>
      </c>
      <c r="J1922" s="2">
        <v>0</v>
      </c>
      <c r="K1922" s="20">
        <v>75.48</v>
      </c>
      <c r="L1922" t="s">
        <v>794</v>
      </c>
      <c r="M1922">
        <f t="shared" si="29"/>
        <v>2025</v>
      </c>
    </row>
    <row r="1923" spans="1:13" ht="12.75" hidden="1" customHeight="1">
      <c r="A1923" t="s">
        <v>801</v>
      </c>
      <c r="B1923" t="s">
        <v>13</v>
      </c>
      <c r="C1923" t="s">
        <v>717</v>
      </c>
      <c r="D1923" t="s">
        <v>1178</v>
      </c>
      <c r="E1923" s="1">
        <v>45846</v>
      </c>
      <c r="F1923" s="1">
        <v>45860</v>
      </c>
      <c r="G1923" s="12">
        <v>1007.76</v>
      </c>
      <c r="H1923" s="2">
        <v>0</v>
      </c>
      <c r="I1923" s="2">
        <v>0</v>
      </c>
      <c r="J1923" s="2">
        <v>0</v>
      </c>
      <c r="K1923" s="20">
        <v>1007.76</v>
      </c>
      <c r="L1923" t="s">
        <v>794</v>
      </c>
      <c r="M1923">
        <f t="shared" ref="M1923:M1986" si="30">YEAR(F1923)</f>
        <v>2025</v>
      </c>
    </row>
    <row r="1924" spans="1:13" ht="12.75" hidden="1" customHeight="1">
      <c r="A1924" t="s">
        <v>801</v>
      </c>
      <c r="B1924" t="s">
        <v>13</v>
      </c>
      <c r="C1924" t="s">
        <v>726</v>
      </c>
      <c r="D1924" t="s">
        <v>1178</v>
      </c>
      <c r="E1924" s="1">
        <v>45848</v>
      </c>
      <c r="F1924" s="1">
        <v>45860</v>
      </c>
      <c r="G1924" s="12">
        <v>4.1900000000000004</v>
      </c>
      <c r="H1924" s="2">
        <v>0</v>
      </c>
      <c r="I1924" s="2">
        <v>0</v>
      </c>
      <c r="J1924" s="2">
        <v>0</v>
      </c>
      <c r="K1924" s="20">
        <v>4.1900000000000004</v>
      </c>
      <c r="L1924" t="s">
        <v>794</v>
      </c>
      <c r="M1924">
        <f t="shared" si="30"/>
        <v>2025</v>
      </c>
    </row>
    <row r="1925" spans="1:13" ht="12.75" hidden="1" customHeight="1">
      <c r="A1925" t="s">
        <v>801</v>
      </c>
      <c r="B1925" t="s">
        <v>13</v>
      </c>
      <c r="C1925" t="s">
        <v>740</v>
      </c>
      <c r="D1925" t="s">
        <v>1178</v>
      </c>
      <c r="E1925" s="1">
        <v>45860</v>
      </c>
      <c r="F1925" s="1">
        <v>45860</v>
      </c>
      <c r="G1925" s="12">
        <v>254.91</v>
      </c>
      <c r="H1925" s="2">
        <v>0</v>
      </c>
      <c r="I1925" s="2">
        <v>0</v>
      </c>
      <c r="J1925" s="2">
        <v>0</v>
      </c>
      <c r="K1925" s="20">
        <v>254.91</v>
      </c>
      <c r="L1925" t="s">
        <v>794</v>
      </c>
      <c r="M1925">
        <f t="shared" si="30"/>
        <v>2025</v>
      </c>
    </row>
    <row r="1926" spans="1:13" ht="12.75" hidden="1" customHeight="1">
      <c r="A1926" t="s">
        <v>801</v>
      </c>
      <c r="B1926" t="s">
        <v>13</v>
      </c>
      <c r="C1926" t="s">
        <v>726</v>
      </c>
      <c r="D1926" t="s">
        <v>1178</v>
      </c>
      <c r="E1926" s="1">
        <v>45849</v>
      </c>
      <c r="F1926" s="1">
        <v>45860</v>
      </c>
      <c r="G1926" s="12">
        <v>2.04</v>
      </c>
      <c r="H1926" s="2">
        <v>0</v>
      </c>
      <c r="I1926" s="2">
        <v>0</v>
      </c>
      <c r="J1926" s="2">
        <v>0</v>
      </c>
      <c r="K1926" s="20">
        <v>2.04</v>
      </c>
      <c r="L1926" t="s">
        <v>794</v>
      </c>
      <c r="M1926">
        <f t="shared" si="30"/>
        <v>2025</v>
      </c>
    </row>
    <row r="1927" spans="1:13" ht="12.75" hidden="1" customHeight="1">
      <c r="A1927" t="s">
        <v>801</v>
      </c>
      <c r="B1927" t="s">
        <v>13</v>
      </c>
      <c r="C1927" t="s">
        <v>717</v>
      </c>
      <c r="D1927" t="s">
        <v>1178</v>
      </c>
      <c r="E1927" s="1">
        <v>45852</v>
      </c>
      <c r="F1927" s="1">
        <v>45860</v>
      </c>
      <c r="G1927" s="12">
        <v>8.32</v>
      </c>
      <c r="H1927" s="2">
        <v>0</v>
      </c>
      <c r="I1927" s="2">
        <v>0</v>
      </c>
      <c r="J1927" s="2">
        <v>0</v>
      </c>
      <c r="K1927" s="20">
        <v>8.32</v>
      </c>
      <c r="L1927" t="s">
        <v>794</v>
      </c>
      <c r="M1927">
        <f t="shared" si="30"/>
        <v>2025</v>
      </c>
    </row>
    <row r="1928" spans="1:13" ht="12.75" hidden="1" customHeight="1">
      <c r="A1928" t="s">
        <v>801</v>
      </c>
      <c r="B1928" t="s">
        <v>13</v>
      </c>
      <c r="C1928" t="s">
        <v>726</v>
      </c>
      <c r="D1928" t="s">
        <v>1178</v>
      </c>
      <c r="E1928" s="1">
        <v>45852</v>
      </c>
      <c r="F1928" s="1">
        <v>45860</v>
      </c>
      <c r="G1928" s="12">
        <v>173.4</v>
      </c>
      <c r="H1928" s="2">
        <v>0</v>
      </c>
      <c r="I1928" s="2">
        <v>0</v>
      </c>
      <c r="J1928" s="2">
        <v>0</v>
      </c>
      <c r="K1928" s="20">
        <v>173.4</v>
      </c>
      <c r="L1928" t="s">
        <v>794</v>
      </c>
      <c r="M1928">
        <f t="shared" si="30"/>
        <v>2025</v>
      </c>
    </row>
    <row r="1929" spans="1:13" ht="12.75" hidden="1" customHeight="1">
      <c r="A1929" t="s">
        <v>801</v>
      </c>
      <c r="B1929" t="s">
        <v>13</v>
      </c>
      <c r="C1929" t="s">
        <v>739</v>
      </c>
      <c r="D1929" t="s">
        <v>1178</v>
      </c>
      <c r="E1929" s="1">
        <v>45860</v>
      </c>
      <c r="F1929" s="1">
        <v>45860</v>
      </c>
      <c r="G1929" s="12">
        <v>211.96</v>
      </c>
      <c r="H1929" s="2">
        <v>0</v>
      </c>
      <c r="I1929" s="2">
        <v>0</v>
      </c>
      <c r="J1929" s="2">
        <v>0</v>
      </c>
      <c r="K1929" s="20">
        <v>211.96</v>
      </c>
      <c r="L1929" t="s">
        <v>794</v>
      </c>
      <c r="M1929">
        <f t="shared" si="30"/>
        <v>2025</v>
      </c>
    </row>
    <row r="1930" spans="1:13" ht="12.75" hidden="1" customHeight="1">
      <c r="A1930" t="s">
        <v>801</v>
      </c>
      <c r="B1930" t="s">
        <v>13</v>
      </c>
      <c r="C1930" t="s">
        <v>739</v>
      </c>
      <c r="D1930" t="s">
        <v>1178</v>
      </c>
      <c r="E1930" s="1">
        <v>45853</v>
      </c>
      <c r="F1930" s="1">
        <v>45860</v>
      </c>
      <c r="G1930" s="12">
        <v>12.24</v>
      </c>
      <c r="H1930" s="2">
        <v>0</v>
      </c>
      <c r="I1930" s="2">
        <v>0</v>
      </c>
      <c r="J1930" s="2">
        <v>0</v>
      </c>
      <c r="K1930" s="20">
        <v>12.24</v>
      </c>
      <c r="L1930" t="s">
        <v>794</v>
      </c>
      <c r="M1930">
        <f t="shared" si="30"/>
        <v>2025</v>
      </c>
    </row>
    <row r="1931" spans="1:13" ht="12.75" hidden="1" customHeight="1">
      <c r="A1931" t="s">
        <v>801</v>
      </c>
      <c r="B1931" t="s">
        <v>13</v>
      </c>
      <c r="C1931" t="s">
        <v>739</v>
      </c>
      <c r="D1931" t="s">
        <v>1178</v>
      </c>
      <c r="E1931" s="1">
        <v>45860</v>
      </c>
      <c r="F1931" s="1">
        <v>45860</v>
      </c>
      <c r="G1931" s="12">
        <v>504</v>
      </c>
      <c r="H1931" s="2">
        <v>0</v>
      </c>
      <c r="I1931" s="2">
        <v>0</v>
      </c>
      <c r="J1931" s="2">
        <v>0</v>
      </c>
      <c r="K1931" s="20">
        <v>504</v>
      </c>
      <c r="L1931" t="s">
        <v>794</v>
      </c>
      <c r="M1931">
        <f t="shared" si="30"/>
        <v>2025</v>
      </c>
    </row>
    <row r="1932" spans="1:13" ht="12.75" hidden="1" customHeight="1">
      <c r="A1932" t="s">
        <v>801</v>
      </c>
      <c r="B1932" t="s">
        <v>13</v>
      </c>
      <c r="C1932" t="s">
        <v>726</v>
      </c>
      <c r="D1932" t="s">
        <v>1178</v>
      </c>
      <c r="E1932" s="1">
        <v>45860</v>
      </c>
      <c r="F1932" s="1">
        <v>45860</v>
      </c>
      <c r="G1932" s="12">
        <v>135.52000000000001</v>
      </c>
      <c r="H1932" s="2">
        <v>0</v>
      </c>
      <c r="I1932" s="2">
        <v>0</v>
      </c>
      <c r="J1932" s="2">
        <v>0</v>
      </c>
      <c r="K1932" s="20">
        <v>135.52000000000001</v>
      </c>
      <c r="L1932" t="s">
        <v>794</v>
      </c>
      <c r="M1932">
        <f t="shared" si="30"/>
        <v>2025</v>
      </c>
    </row>
    <row r="1933" spans="1:13" ht="12.75" hidden="1" customHeight="1">
      <c r="A1933" t="s">
        <v>801</v>
      </c>
      <c r="B1933" t="s">
        <v>13</v>
      </c>
      <c r="C1933" t="s">
        <v>726</v>
      </c>
      <c r="D1933" t="s">
        <v>1178</v>
      </c>
      <c r="E1933" s="1">
        <v>45860</v>
      </c>
      <c r="F1933" s="1">
        <v>45860</v>
      </c>
      <c r="G1933" s="12">
        <v>75.48</v>
      </c>
      <c r="H1933" s="2">
        <v>0</v>
      </c>
      <c r="I1933" s="2">
        <v>0</v>
      </c>
      <c r="J1933" s="2">
        <v>0</v>
      </c>
      <c r="K1933" s="20">
        <v>75.48</v>
      </c>
      <c r="L1933" t="s">
        <v>794</v>
      </c>
      <c r="M1933">
        <f t="shared" si="30"/>
        <v>2025</v>
      </c>
    </row>
    <row r="1934" spans="1:13" ht="12.75" hidden="1" customHeight="1">
      <c r="A1934" t="s">
        <v>801</v>
      </c>
      <c r="B1934" t="s">
        <v>13</v>
      </c>
      <c r="C1934" t="s">
        <v>726</v>
      </c>
      <c r="D1934" t="s">
        <v>1178</v>
      </c>
      <c r="E1934" s="1">
        <v>45860</v>
      </c>
      <c r="F1934" s="1">
        <v>45860</v>
      </c>
      <c r="G1934" s="12">
        <v>4.08</v>
      </c>
      <c r="H1934" s="2">
        <v>0</v>
      </c>
      <c r="I1934" s="2">
        <v>0</v>
      </c>
      <c r="J1934" s="2">
        <v>0</v>
      </c>
      <c r="K1934" s="20">
        <v>4.08</v>
      </c>
      <c r="L1934" t="s">
        <v>794</v>
      </c>
      <c r="M1934">
        <f t="shared" si="30"/>
        <v>2025</v>
      </c>
    </row>
    <row r="1935" spans="1:13" ht="12.75" hidden="1" customHeight="1">
      <c r="A1935" t="s">
        <v>801</v>
      </c>
      <c r="B1935" t="s">
        <v>13</v>
      </c>
      <c r="C1935" t="s">
        <v>726</v>
      </c>
      <c r="D1935" t="s">
        <v>1178</v>
      </c>
      <c r="E1935" s="1">
        <v>45860</v>
      </c>
      <c r="F1935" s="1">
        <v>45860</v>
      </c>
      <c r="G1935" s="12">
        <v>2.04</v>
      </c>
      <c r="H1935" s="2">
        <v>0</v>
      </c>
      <c r="I1935" s="2">
        <v>0</v>
      </c>
      <c r="J1935" s="2">
        <v>0</v>
      </c>
      <c r="K1935" s="20">
        <v>2.04</v>
      </c>
      <c r="L1935" t="s">
        <v>794</v>
      </c>
      <c r="M1935">
        <f t="shared" si="30"/>
        <v>2025</v>
      </c>
    </row>
    <row r="1936" spans="1:13" ht="12.75" hidden="1" customHeight="1">
      <c r="A1936" t="s">
        <v>801</v>
      </c>
      <c r="B1936" t="s">
        <v>13</v>
      </c>
      <c r="C1936" t="s">
        <v>726</v>
      </c>
      <c r="D1936" t="s">
        <v>1178</v>
      </c>
      <c r="E1936" s="1">
        <v>45860</v>
      </c>
      <c r="F1936" s="1">
        <v>45860</v>
      </c>
      <c r="G1936" s="12">
        <v>4.08</v>
      </c>
      <c r="H1936" s="2">
        <v>0</v>
      </c>
      <c r="I1936" s="2">
        <v>0</v>
      </c>
      <c r="J1936" s="2">
        <v>0</v>
      </c>
      <c r="K1936" s="20">
        <v>4.08</v>
      </c>
      <c r="L1936" t="s">
        <v>794</v>
      </c>
      <c r="M1936">
        <f t="shared" si="30"/>
        <v>2025</v>
      </c>
    </row>
    <row r="1937" spans="1:13" ht="12.75" hidden="1" customHeight="1">
      <c r="A1937" t="s">
        <v>801</v>
      </c>
      <c r="B1937" t="s">
        <v>13</v>
      </c>
      <c r="C1937" t="s">
        <v>726</v>
      </c>
      <c r="D1937" t="s">
        <v>1178</v>
      </c>
      <c r="E1937" s="1">
        <v>45860</v>
      </c>
      <c r="F1937" s="1">
        <v>45860</v>
      </c>
      <c r="G1937" s="12">
        <v>8.16</v>
      </c>
      <c r="H1937" s="2">
        <v>0</v>
      </c>
      <c r="I1937" s="2">
        <v>0</v>
      </c>
      <c r="J1937" s="2">
        <v>0</v>
      </c>
      <c r="K1937" s="20">
        <v>8.16</v>
      </c>
      <c r="L1937" t="s">
        <v>794</v>
      </c>
      <c r="M1937">
        <f t="shared" si="30"/>
        <v>2025</v>
      </c>
    </row>
    <row r="1938" spans="1:13" ht="12.75" hidden="1" customHeight="1">
      <c r="A1938" t="s">
        <v>801</v>
      </c>
      <c r="B1938" t="s">
        <v>13</v>
      </c>
      <c r="C1938" t="s">
        <v>726</v>
      </c>
      <c r="D1938" t="s">
        <v>1178</v>
      </c>
      <c r="E1938" s="1">
        <v>45860</v>
      </c>
      <c r="F1938" s="1">
        <v>45860</v>
      </c>
      <c r="G1938" s="12">
        <v>6.12</v>
      </c>
      <c r="H1938" s="2">
        <v>0</v>
      </c>
      <c r="I1938" s="2">
        <v>0</v>
      </c>
      <c r="J1938" s="2">
        <v>0</v>
      </c>
      <c r="K1938" s="20">
        <v>6.12</v>
      </c>
      <c r="L1938" t="s">
        <v>794</v>
      </c>
      <c r="M1938">
        <f t="shared" si="30"/>
        <v>2025</v>
      </c>
    </row>
    <row r="1939" spans="1:13" ht="12.75" hidden="1" customHeight="1">
      <c r="A1939" t="s">
        <v>801</v>
      </c>
      <c r="B1939" t="s">
        <v>13</v>
      </c>
      <c r="C1939" t="s">
        <v>717</v>
      </c>
      <c r="D1939" t="s">
        <v>1178</v>
      </c>
      <c r="E1939" s="1">
        <v>45860</v>
      </c>
      <c r="F1939" s="1">
        <v>45860</v>
      </c>
      <c r="G1939" s="12">
        <v>5552</v>
      </c>
      <c r="H1939" s="2">
        <v>0</v>
      </c>
      <c r="I1939" s="2">
        <v>0</v>
      </c>
      <c r="J1939" s="2">
        <v>0</v>
      </c>
      <c r="K1939" s="20">
        <v>5552</v>
      </c>
      <c r="L1939" t="s">
        <v>794</v>
      </c>
      <c r="M1939">
        <f t="shared" si="30"/>
        <v>2025</v>
      </c>
    </row>
    <row r="1940" spans="1:13" ht="12.75" hidden="1" customHeight="1">
      <c r="A1940" t="s">
        <v>792</v>
      </c>
      <c r="B1940" t="s">
        <v>35</v>
      </c>
      <c r="C1940" t="s">
        <v>206</v>
      </c>
      <c r="D1940" t="s">
        <v>1178</v>
      </c>
      <c r="E1940" s="1">
        <v>45842</v>
      </c>
      <c r="F1940" s="1">
        <v>45860</v>
      </c>
      <c r="G1940" s="12">
        <v>1026.9000000000001</v>
      </c>
      <c r="H1940" s="2">
        <v>0</v>
      </c>
      <c r="I1940" s="2">
        <v>0</v>
      </c>
      <c r="J1940" s="2">
        <v>0</v>
      </c>
      <c r="K1940" s="20">
        <v>1026.9000000000001</v>
      </c>
      <c r="L1940" t="s">
        <v>794</v>
      </c>
      <c r="M1940">
        <f t="shared" si="30"/>
        <v>2025</v>
      </c>
    </row>
    <row r="1941" spans="1:13" ht="12.75" hidden="1" customHeight="1">
      <c r="A1941" t="s">
        <v>792</v>
      </c>
      <c r="B1941" t="s">
        <v>35</v>
      </c>
      <c r="C1941" t="s">
        <v>206</v>
      </c>
      <c r="D1941" t="s">
        <v>1178</v>
      </c>
      <c r="E1941" s="1">
        <v>45860</v>
      </c>
      <c r="F1941" s="1">
        <v>45860</v>
      </c>
      <c r="G1941" s="12">
        <v>1027</v>
      </c>
      <c r="H1941" s="2">
        <v>0</v>
      </c>
      <c r="I1941" s="2">
        <v>0</v>
      </c>
      <c r="J1941" s="2">
        <v>0</v>
      </c>
      <c r="K1941" s="20">
        <v>1027</v>
      </c>
      <c r="L1941" t="s">
        <v>794</v>
      </c>
      <c r="M1941">
        <f t="shared" si="30"/>
        <v>2025</v>
      </c>
    </row>
    <row r="1942" spans="1:13" ht="12.75" hidden="1" customHeight="1">
      <c r="A1942" t="s">
        <v>792</v>
      </c>
      <c r="B1942" t="s">
        <v>35</v>
      </c>
      <c r="C1942" t="s">
        <v>206</v>
      </c>
      <c r="D1942" t="s">
        <v>1178</v>
      </c>
      <c r="E1942" s="1">
        <v>45860</v>
      </c>
      <c r="F1942" s="1">
        <v>45860</v>
      </c>
      <c r="G1942" s="12">
        <v>671.2</v>
      </c>
      <c r="H1942" s="2">
        <v>0</v>
      </c>
      <c r="I1942" s="2">
        <v>0</v>
      </c>
      <c r="J1942" s="2">
        <v>0</v>
      </c>
      <c r="K1942" s="20">
        <v>671.2</v>
      </c>
      <c r="L1942" t="s">
        <v>794</v>
      </c>
      <c r="M1942">
        <f t="shared" si="30"/>
        <v>2025</v>
      </c>
    </row>
    <row r="1943" spans="1:13" ht="12.75" hidden="1" customHeight="1">
      <c r="A1943" t="s">
        <v>797</v>
      </c>
      <c r="B1943" t="s">
        <v>25</v>
      </c>
      <c r="C1943" t="s">
        <v>206</v>
      </c>
      <c r="D1943" t="s">
        <v>1178</v>
      </c>
      <c r="E1943" s="1">
        <v>45860</v>
      </c>
      <c r="F1943" s="1">
        <v>45860</v>
      </c>
      <c r="G1943" s="12">
        <v>1328.8</v>
      </c>
      <c r="H1943" s="2">
        <v>0</v>
      </c>
      <c r="I1943" s="2">
        <v>0</v>
      </c>
      <c r="J1943" s="2">
        <v>0</v>
      </c>
      <c r="K1943" s="20">
        <v>1328.8</v>
      </c>
      <c r="L1943" t="s">
        <v>794</v>
      </c>
      <c r="M1943">
        <f t="shared" si="30"/>
        <v>2025</v>
      </c>
    </row>
    <row r="1944" spans="1:13" ht="12.75" hidden="1" customHeight="1">
      <c r="A1944" t="s">
        <v>812</v>
      </c>
      <c r="B1944" t="s">
        <v>31</v>
      </c>
      <c r="C1944" t="s">
        <v>141</v>
      </c>
      <c r="D1944" t="s">
        <v>1178</v>
      </c>
      <c r="E1944" s="1">
        <v>45860</v>
      </c>
      <c r="F1944" s="1">
        <v>45860</v>
      </c>
      <c r="G1944" s="12">
        <v>200</v>
      </c>
      <c r="H1944" s="2">
        <v>0</v>
      </c>
      <c r="I1944" s="2">
        <v>0</v>
      </c>
      <c r="J1944" s="2">
        <v>0</v>
      </c>
      <c r="K1944" s="20">
        <v>200</v>
      </c>
      <c r="L1944" t="s">
        <v>794</v>
      </c>
      <c r="M1944">
        <f t="shared" si="30"/>
        <v>2025</v>
      </c>
    </row>
    <row r="1945" spans="1:13" ht="12.75" hidden="1" customHeight="1">
      <c r="A1945" t="s">
        <v>818</v>
      </c>
      <c r="B1945" t="s">
        <v>30</v>
      </c>
      <c r="C1945" t="s">
        <v>141</v>
      </c>
      <c r="D1945" t="s">
        <v>1178</v>
      </c>
      <c r="E1945" s="1">
        <v>45859</v>
      </c>
      <c r="F1945" s="1">
        <v>45860</v>
      </c>
      <c r="G1945" s="12">
        <v>200</v>
      </c>
      <c r="H1945" s="2">
        <v>0</v>
      </c>
      <c r="I1945" s="2">
        <v>0</v>
      </c>
      <c r="J1945" s="2">
        <v>0</v>
      </c>
      <c r="K1945" s="20">
        <v>200</v>
      </c>
      <c r="L1945" t="s">
        <v>794</v>
      </c>
      <c r="M1945">
        <f t="shared" si="30"/>
        <v>2025</v>
      </c>
    </row>
    <row r="1946" spans="1:13" ht="12.75" hidden="1" customHeight="1">
      <c r="A1946" t="s">
        <v>1219</v>
      </c>
      <c r="B1946" t="s">
        <v>396</v>
      </c>
      <c r="C1946" t="s">
        <v>201</v>
      </c>
      <c r="D1946" t="s">
        <v>1178</v>
      </c>
      <c r="E1946" s="1">
        <v>45859</v>
      </c>
      <c r="F1946" s="1">
        <v>45860</v>
      </c>
      <c r="G1946" s="12">
        <v>500</v>
      </c>
      <c r="H1946" s="2">
        <v>0</v>
      </c>
      <c r="I1946" s="2">
        <v>0</v>
      </c>
      <c r="J1946" s="2">
        <v>0</v>
      </c>
      <c r="K1946" s="20">
        <v>500</v>
      </c>
      <c r="L1946" t="s">
        <v>794</v>
      </c>
      <c r="M1946">
        <f t="shared" si="30"/>
        <v>2025</v>
      </c>
    </row>
    <row r="1947" spans="1:13" ht="12.75" hidden="1" customHeight="1">
      <c r="A1947" t="s">
        <v>1210</v>
      </c>
      <c r="B1947" t="s">
        <v>22</v>
      </c>
      <c r="C1947" t="s">
        <v>717</v>
      </c>
      <c r="D1947" t="s">
        <v>1178</v>
      </c>
      <c r="E1947" s="1">
        <v>45860</v>
      </c>
      <c r="F1947" s="1">
        <v>45860</v>
      </c>
      <c r="G1947" s="12">
        <v>2890</v>
      </c>
      <c r="H1947" s="2">
        <v>0</v>
      </c>
      <c r="I1947" s="2">
        <v>0</v>
      </c>
      <c r="J1947" s="2">
        <v>0</v>
      </c>
      <c r="K1947" s="20">
        <v>2890</v>
      </c>
      <c r="L1947" t="s">
        <v>794</v>
      </c>
      <c r="M1947">
        <f t="shared" si="30"/>
        <v>2025</v>
      </c>
    </row>
    <row r="1948" spans="1:13" ht="12.75" hidden="1" customHeight="1">
      <c r="A1948" t="s">
        <v>801</v>
      </c>
      <c r="B1948" t="s">
        <v>13</v>
      </c>
      <c r="C1948" t="s">
        <v>717</v>
      </c>
      <c r="D1948" t="s">
        <v>1178</v>
      </c>
      <c r="E1948" s="1">
        <v>45860</v>
      </c>
      <c r="F1948" s="1">
        <v>45860</v>
      </c>
      <c r="G1948" s="12">
        <v>4202.0600000000004</v>
      </c>
      <c r="H1948" s="2">
        <v>0</v>
      </c>
      <c r="I1948" s="2">
        <v>0</v>
      </c>
      <c r="J1948" s="2">
        <v>0</v>
      </c>
      <c r="K1948" s="20">
        <v>4202.0600000000004</v>
      </c>
      <c r="L1948" t="s">
        <v>794</v>
      </c>
      <c r="M1948">
        <f t="shared" si="30"/>
        <v>2025</v>
      </c>
    </row>
    <row r="1949" spans="1:13" ht="12.75" hidden="1" customHeight="1">
      <c r="A1949" t="s">
        <v>1182</v>
      </c>
      <c r="B1949" t="s">
        <v>354</v>
      </c>
      <c r="C1949" t="s">
        <v>204</v>
      </c>
      <c r="D1949" t="s">
        <v>1178</v>
      </c>
      <c r="E1949" s="1">
        <v>45862</v>
      </c>
      <c r="F1949" s="1">
        <v>45862</v>
      </c>
      <c r="G1949" s="12">
        <v>459.40000000000003</v>
      </c>
      <c r="H1949" s="2">
        <v>0</v>
      </c>
      <c r="I1949" s="2">
        <v>0</v>
      </c>
      <c r="J1949" s="2">
        <v>0</v>
      </c>
      <c r="K1949" s="20">
        <v>459.40000000000003</v>
      </c>
      <c r="L1949" t="s">
        <v>794</v>
      </c>
      <c r="M1949">
        <f t="shared" si="30"/>
        <v>2025</v>
      </c>
    </row>
    <row r="1950" spans="1:13" ht="12.75" hidden="1" customHeight="1">
      <c r="A1950" t="s">
        <v>792</v>
      </c>
      <c r="B1950" t="s">
        <v>35</v>
      </c>
      <c r="C1950" t="s">
        <v>206</v>
      </c>
      <c r="D1950" t="s">
        <v>1178</v>
      </c>
      <c r="E1950" s="1">
        <v>45842</v>
      </c>
      <c r="F1950" s="1">
        <v>45862</v>
      </c>
      <c r="G1950" s="12">
        <v>698</v>
      </c>
      <c r="H1950" s="2">
        <v>0</v>
      </c>
      <c r="I1950" s="2">
        <v>0</v>
      </c>
      <c r="J1950" s="2">
        <v>0</v>
      </c>
      <c r="K1950" s="20">
        <v>698</v>
      </c>
      <c r="L1950" t="s">
        <v>794</v>
      </c>
      <c r="M1950">
        <f t="shared" si="30"/>
        <v>2025</v>
      </c>
    </row>
    <row r="1951" spans="1:13" ht="12.75" hidden="1" customHeight="1">
      <c r="A1951" t="s">
        <v>1220</v>
      </c>
      <c r="B1951" t="s">
        <v>560</v>
      </c>
      <c r="C1951" t="s">
        <v>201</v>
      </c>
      <c r="D1951" t="s">
        <v>1178</v>
      </c>
      <c r="E1951" s="1">
        <v>45862</v>
      </c>
      <c r="F1951" s="1">
        <v>45862</v>
      </c>
      <c r="G1951" s="12">
        <v>80</v>
      </c>
      <c r="H1951" s="2">
        <v>0</v>
      </c>
      <c r="I1951" s="2">
        <v>0</v>
      </c>
      <c r="J1951" s="2">
        <v>0</v>
      </c>
      <c r="K1951" s="20">
        <v>80</v>
      </c>
      <c r="L1951" t="s">
        <v>794</v>
      </c>
      <c r="M1951">
        <f t="shared" si="30"/>
        <v>2025</v>
      </c>
    </row>
    <row r="1952" spans="1:13" ht="12.75" hidden="1" customHeight="1">
      <c r="A1952" t="s">
        <v>1009</v>
      </c>
      <c r="B1952" t="s">
        <v>62</v>
      </c>
      <c r="C1952" t="s">
        <v>139</v>
      </c>
      <c r="D1952" t="s">
        <v>1178</v>
      </c>
      <c r="E1952" s="1">
        <v>45860</v>
      </c>
      <c r="F1952" s="1">
        <v>45862</v>
      </c>
      <c r="G1952" s="12">
        <v>108</v>
      </c>
      <c r="H1952" s="2">
        <v>0</v>
      </c>
      <c r="I1952" s="2">
        <v>0</v>
      </c>
      <c r="J1952" s="2">
        <v>0</v>
      </c>
      <c r="K1952" s="20">
        <v>108</v>
      </c>
      <c r="L1952" t="s">
        <v>794</v>
      </c>
      <c r="M1952">
        <f t="shared" si="30"/>
        <v>2025</v>
      </c>
    </row>
    <row r="1953" spans="1:13" ht="12.75" hidden="1" customHeight="1">
      <c r="A1953" t="s">
        <v>825</v>
      </c>
      <c r="B1953" t="s">
        <v>46</v>
      </c>
      <c r="C1953" t="s">
        <v>723</v>
      </c>
      <c r="D1953" t="s">
        <v>1178</v>
      </c>
      <c r="E1953" s="1">
        <v>45861</v>
      </c>
      <c r="F1953" s="1">
        <v>45862</v>
      </c>
      <c r="G1953" s="12">
        <v>100</v>
      </c>
      <c r="H1953" s="2">
        <v>0</v>
      </c>
      <c r="I1953" s="2">
        <v>0</v>
      </c>
      <c r="J1953" s="2">
        <v>0</v>
      </c>
      <c r="K1953" s="20">
        <v>100</v>
      </c>
      <c r="L1953" t="s">
        <v>794</v>
      </c>
      <c r="M1953">
        <f t="shared" si="30"/>
        <v>2025</v>
      </c>
    </row>
    <row r="1954" spans="1:13" ht="12.75" hidden="1" customHeight="1">
      <c r="A1954" t="s">
        <v>888</v>
      </c>
      <c r="B1954" t="s">
        <v>16</v>
      </c>
      <c r="C1954" t="s">
        <v>713</v>
      </c>
      <c r="D1954" t="s">
        <v>1178</v>
      </c>
      <c r="E1954" s="1">
        <v>45840</v>
      </c>
      <c r="F1954" s="1">
        <v>45862</v>
      </c>
      <c r="G1954" s="12">
        <v>2462.16</v>
      </c>
      <c r="H1954" s="2">
        <v>0</v>
      </c>
      <c r="I1954" s="2">
        <v>0</v>
      </c>
      <c r="J1954" s="2">
        <v>0</v>
      </c>
      <c r="K1954" s="20">
        <v>2462.16</v>
      </c>
      <c r="L1954" t="s">
        <v>794</v>
      </c>
      <c r="M1954">
        <f t="shared" si="30"/>
        <v>2025</v>
      </c>
    </row>
    <row r="1955" spans="1:13" ht="12.75" hidden="1" customHeight="1">
      <c r="A1955" t="s">
        <v>1166</v>
      </c>
      <c r="B1955" t="s">
        <v>274</v>
      </c>
      <c r="C1955" t="s">
        <v>483</v>
      </c>
      <c r="D1955" t="s">
        <v>1178</v>
      </c>
      <c r="E1955" s="1">
        <v>45860</v>
      </c>
      <c r="F1955" s="1">
        <v>45862</v>
      </c>
      <c r="G1955" s="12">
        <v>37.550000000000004</v>
      </c>
      <c r="H1955" s="2">
        <v>0</v>
      </c>
      <c r="I1955" s="2">
        <v>0</v>
      </c>
      <c r="J1955" s="2">
        <v>0</v>
      </c>
      <c r="K1955" s="20">
        <v>37.550000000000004</v>
      </c>
      <c r="L1955" t="s">
        <v>794</v>
      </c>
      <c r="M1955">
        <f t="shared" si="30"/>
        <v>2025</v>
      </c>
    </row>
    <row r="1956" spans="1:13" ht="12.75" hidden="1" customHeight="1">
      <c r="A1956" t="s">
        <v>1166</v>
      </c>
      <c r="B1956" t="s">
        <v>274</v>
      </c>
      <c r="C1956" t="s">
        <v>483</v>
      </c>
      <c r="D1956" t="s">
        <v>1178</v>
      </c>
      <c r="E1956" s="1">
        <v>45860</v>
      </c>
      <c r="F1956" s="1">
        <v>45862</v>
      </c>
      <c r="G1956" s="12">
        <v>37.550000000000004</v>
      </c>
      <c r="H1956" s="2">
        <v>0</v>
      </c>
      <c r="I1956" s="2">
        <v>0</v>
      </c>
      <c r="J1956" s="2">
        <v>0</v>
      </c>
      <c r="K1956" s="20">
        <v>37.550000000000004</v>
      </c>
      <c r="L1956" t="s">
        <v>794</v>
      </c>
      <c r="M1956">
        <f t="shared" si="30"/>
        <v>2025</v>
      </c>
    </row>
    <row r="1957" spans="1:13" ht="12.75" hidden="1" customHeight="1">
      <c r="A1957" t="s">
        <v>801</v>
      </c>
      <c r="B1957" t="s">
        <v>13</v>
      </c>
      <c r="C1957" t="s">
        <v>726</v>
      </c>
      <c r="D1957" t="s">
        <v>1178</v>
      </c>
      <c r="E1957" s="1">
        <v>45860</v>
      </c>
      <c r="F1957" s="1">
        <v>45862</v>
      </c>
      <c r="G1957" s="12">
        <v>4.08</v>
      </c>
      <c r="H1957" s="2">
        <v>0</v>
      </c>
      <c r="I1957" s="2">
        <v>0</v>
      </c>
      <c r="J1957" s="2">
        <v>0</v>
      </c>
      <c r="K1957" s="20">
        <v>4.08</v>
      </c>
      <c r="L1957" t="s">
        <v>794</v>
      </c>
      <c r="M1957">
        <f t="shared" si="30"/>
        <v>2025</v>
      </c>
    </row>
    <row r="1958" spans="1:13" ht="12.75" hidden="1" customHeight="1">
      <c r="A1958" t="s">
        <v>801</v>
      </c>
      <c r="B1958" t="s">
        <v>13</v>
      </c>
      <c r="C1958" t="s">
        <v>726</v>
      </c>
      <c r="D1958" t="s">
        <v>1178</v>
      </c>
      <c r="E1958" s="1">
        <v>45862</v>
      </c>
      <c r="F1958" s="1">
        <v>45862</v>
      </c>
      <c r="G1958" s="12">
        <v>2.04</v>
      </c>
      <c r="H1958" s="2">
        <v>0</v>
      </c>
      <c r="I1958" s="2">
        <v>0</v>
      </c>
      <c r="J1958" s="2">
        <v>0</v>
      </c>
      <c r="K1958" s="20">
        <v>2.04</v>
      </c>
      <c r="L1958" t="s">
        <v>794</v>
      </c>
      <c r="M1958">
        <f t="shared" si="30"/>
        <v>2025</v>
      </c>
    </row>
    <row r="1959" spans="1:13" ht="12.75" hidden="1" customHeight="1">
      <c r="A1959" t="s">
        <v>801</v>
      </c>
      <c r="B1959" t="s">
        <v>13</v>
      </c>
      <c r="C1959" t="s">
        <v>726</v>
      </c>
      <c r="D1959" t="s">
        <v>1178</v>
      </c>
      <c r="E1959" s="1">
        <v>45861</v>
      </c>
      <c r="F1959" s="1">
        <v>45862</v>
      </c>
      <c r="G1959" s="12">
        <v>2.04</v>
      </c>
      <c r="H1959" s="2">
        <v>0</v>
      </c>
      <c r="I1959" s="2">
        <v>0</v>
      </c>
      <c r="J1959" s="2">
        <v>0</v>
      </c>
      <c r="K1959" s="20">
        <v>2.04</v>
      </c>
      <c r="L1959" t="s">
        <v>794</v>
      </c>
      <c r="M1959">
        <f t="shared" si="30"/>
        <v>2025</v>
      </c>
    </row>
    <row r="1960" spans="1:13" ht="12.75" hidden="1" customHeight="1">
      <c r="A1960" t="s">
        <v>989</v>
      </c>
      <c r="B1960" t="s">
        <v>381</v>
      </c>
      <c r="C1960" t="s">
        <v>99</v>
      </c>
      <c r="D1960" t="s">
        <v>1178</v>
      </c>
      <c r="E1960" s="1">
        <v>45863</v>
      </c>
      <c r="F1960" s="1">
        <v>45863</v>
      </c>
      <c r="G1960" s="12">
        <v>500</v>
      </c>
      <c r="H1960" s="2">
        <v>0</v>
      </c>
      <c r="I1960" s="2">
        <v>0</v>
      </c>
      <c r="J1960" s="2">
        <v>0</v>
      </c>
      <c r="K1960" s="20">
        <v>500</v>
      </c>
      <c r="L1960" t="s">
        <v>794</v>
      </c>
      <c r="M1960">
        <f t="shared" si="30"/>
        <v>2025</v>
      </c>
    </row>
    <row r="1961" spans="1:13" ht="12.75" hidden="1" customHeight="1">
      <c r="A1961" t="s">
        <v>1221</v>
      </c>
      <c r="B1961" t="s">
        <v>100</v>
      </c>
      <c r="C1961" t="s">
        <v>183</v>
      </c>
      <c r="D1961" t="s">
        <v>1178</v>
      </c>
      <c r="E1961" s="1">
        <v>45849</v>
      </c>
      <c r="F1961" s="1">
        <v>45866</v>
      </c>
      <c r="G1961" s="12">
        <v>2475</v>
      </c>
      <c r="H1961" s="2">
        <v>0</v>
      </c>
      <c r="I1961" s="2">
        <v>0</v>
      </c>
      <c r="J1961" s="2">
        <v>0</v>
      </c>
      <c r="K1961" s="20">
        <v>2475</v>
      </c>
      <c r="L1961" t="s">
        <v>794</v>
      </c>
      <c r="M1961">
        <f t="shared" si="30"/>
        <v>2025</v>
      </c>
    </row>
    <row r="1962" spans="1:13" ht="12.75" hidden="1" customHeight="1">
      <c r="A1962" t="s">
        <v>1072</v>
      </c>
      <c r="B1962" t="s">
        <v>65</v>
      </c>
      <c r="C1962" t="s">
        <v>756</v>
      </c>
      <c r="D1962" t="s">
        <v>1178</v>
      </c>
      <c r="E1962" s="1">
        <v>45856</v>
      </c>
      <c r="F1962" s="1">
        <v>45866</v>
      </c>
      <c r="G1962" s="12">
        <v>87.86</v>
      </c>
      <c r="H1962" s="2">
        <v>0</v>
      </c>
      <c r="I1962" s="2">
        <v>0</v>
      </c>
      <c r="J1962" s="2">
        <v>0</v>
      </c>
      <c r="K1962" s="20">
        <v>87.86</v>
      </c>
      <c r="L1962" t="s">
        <v>794</v>
      </c>
      <c r="M1962">
        <f t="shared" si="30"/>
        <v>2025</v>
      </c>
    </row>
    <row r="1963" spans="1:13" ht="12.75" hidden="1" customHeight="1">
      <c r="A1963" t="s">
        <v>895</v>
      </c>
      <c r="B1963" t="s">
        <v>155</v>
      </c>
      <c r="C1963" t="s">
        <v>384</v>
      </c>
      <c r="D1963" t="s">
        <v>1178</v>
      </c>
      <c r="E1963" s="1">
        <v>45863</v>
      </c>
      <c r="F1963" s="1">
        <v>45866</v>
      </c>
      <c r="G1963" s="12">
        <v>390</v>
      </c>
      <c r="H1963" s="2">
        <v>0</v>
      </c>
      <c r="I1963" s="2">
        <v>0</v>
      </c>
      <c r="J1963" s="2">
        <v>0</v>
      </c>
      <c r="K1963" s="20">
        <v>390</v>
      </c>
      <c r="L1963" t="s">
        <v>794</v>
      </c>
      <c r="M1963">
        <f t="shared" si="30"/>
        <v>2025</v>
      </c>
    </row>
    <row r="1964" spans="1:13" ht="12.75" hidden="1" customHeight="1">
      <c r="A1964" t="s">
        <v>935</v>
      </c>
      <c r="B1964" t="s">
        <v>158</v>
      </c>
      <c r="C1964" t="s">
        <v>741</v>
      </c>
      <c r="D1964" t="s">
        <v>1178</v>
      </c>
      <c r="E1964" s="1">
        <v>45863</v>
      </c>
      <c r="F1964" s="1">
        <v>45866</v>
      </c>
      <c r="G1964" s="12">
        <v>370</v>
      </c>
      <c r="H1964" s="2">
        <v>0</v>
      </c>
      <c r="I1964" s="2">
        <v>0</v>
      </c>
      <c r="J1964" s="2">
        <v>0</v>
      </c>
      <c r="K1964" s="20">
        <v>370</v>
      </c>
      <c r="L1964" t="s">
        <v>794</v>
      </c>
      <c r="M1964">
        <f t="shared" si="30"/>
        <v>2025</v>
      </c>
    </row>
    <row r="1965" spans="1:13" ht="12.75" hidden="1" customHeight="1">
      <c r="A1965" t="s">
        <v>833</v>
      </c>
      <c r="B1965" t="s">
        <v>27</v>
      </c>
      <c r="C1965" t="s">
        <v>140</v>
      </c>
      <c r="D1965" t="s">
        <v>1178</v>
      </c>
      <c r="E1965" s="1">
        <v>45866</v>
      </c>
      <c r="F1965" s="1">
        <v>45866</v>
      </c>
      <c r="G1965" s="12">
        <v>300</v>
      </c>
      <c r="H1965" s="2">
        <v>0</v>
      </c>
      <c r="I1965" s="2">
        <v>0</v>
      </c>
      <c r="J1965" s="2">
        <v>0</v>
      </c>
      <c r="K1965" s="20">
        <v>300</v>
      </c>
      <c r="L1965" t="s">
        <v>794</v>
      </c>
      <c r="M1965">
        <f t="shared" si="30"/>
        <v>2025</v>
      </c>
    </row>
    <row r="1966" spans="1:13" ht="12.75" hidden="1" customHeight="1">
      <c r="A1966" t="s">
        <v>801</v>
      </c>
      <c r="B1966" t="s">
        <v>13</v>
      </c>
      <c r="C1966" t="s">
        <v>726</v>
      </c>
      <c r="D1966" t="s">
        <v>1178</v>
      </c>
      <c r="E1966" s="1">
        <v>45866</v>
      </c>
      <c r="F1966" s="1">
        <v>45866</v>
      </c>
      <c r="G1966" s="12">
        <v>9.14</v>
      </c>
      <c r="H1966" s="2">
        <v>0</v>
      </c>
      <c r="I1966" s="2">
        <v>0</v>
      </c>
      <c r="J1966" s="2">
        <v>0</v>
      </c>
      <c r="K1966" s="20">
        <v>9.14</v>
      </c>
      <c r="L1966" t="s">
        <v>794</v>
      </c>
      <c r="M1966">
        <f t="shared" si="30"/>
        <v>2025</v>
      </c>
    </row>
    <row r="1967" spans="1:13" ht="12.75" hidden="1" customHeight="1">
      <c r="A1967" t="s">
        <v>801</v>
      </c>
      <c r="B1967" t="s">
        <v>13</v>
      </c>
      <c r="C1967" t="s">
        <v>726</v>
      </c>
      <c r="D1967" t="s">
        <v>1178</v>
      </c>
      <c r="E1967" s="1">
        <v>45866</v>
      </c>
      <c r="F1967" s="1">
        <v>45866</v>
      </c>
      <c r="G1967" s="12">
        <v>4.08</v>
      </c>
      <c r="H1967" s="2">
        <v>0</v>
      </c>
      <c r="I1967" s="2">
        <v>0</v>
      </c>
      <c r="J1967" s="2">
        <v>0</v>
      </c>
      <c r="K1967" s="20">
        <v>4.08</v>
      </c>
      <c r="L1967" t="s">
        <v>794</v>
      </c>
      <c r="M1967">
        <f t="shared" si="30"/>
        <v>2025</v>
      </c>
    </row>
    <row r="1968" spans="1:13" ht="12.75" hidden="1" customHeight="1">
      <c r="A1968" t="s">
        <v>1009</v>
      </c>
      <c r="B1968" t="s">
        <v>62</v>
      </c>
      <c r="C1968" t="s">
        <v>141</v>
      </c>
      <c r="D1968" t="s">
        <v>1178</v>
      </c>
      <c r="E1968" s="1">
        <v>45866</v>
      </c>
      <c r="F1968" s="1">
        <v>45866</v>
      </c>
      <c r="G1968" s="12">
        <v>200</v>
      </c>
      <c r="H1968" s="2">
        <v>0</v>
      </c>
      <c r="I1968" s="2">
        <v>0</v>
      </c>
      <c r="J1968" s="2">
        <v>0</v>
      </c>
      <c r="K1968" s="20">
        <v>200</v>
      </c>
      <c r="L1968" t="s">
        <v>794</v>
      </c>
      <c r="M1968">
        <f t="shared" si="30"/>
        <v>2025</v>
      </c>
    </row>
    <row r="1969" spans="1:13" ht="12.75" hidden="1" customHeight="1">
      <c r="A1969" t="s">
        <v>812</v>
      </c>
      <c r="B1969" t="s">
        <v>31</v>
      </c>
      <c r="C1969" t="s">
        <v>141</v>
      </c>
      <c r="D1969" t="s">
        <v>1178</v>
      </c>
      <c r="E1969" s="1">
        <v>45866</v>
      </c>
      <c r="F1969" s="1">
        <v>45866</v>
      </c>
      <c r="G1969" s="12">
        <v>218</v>
      </c>
      <c r="H1969" s="2">
        <v>0</v>
      </c>
      <c r="I1969" s="2">
        <v>0</v>
      </c>
      <c r="J1969" s="2">
        <v>0</v>
      </c>
      <c r="K1969" s="20">
        <v>218</v>
      </c>
      <c r="L1969" t="s">
        <v>794</v>
      </c>
      <c r="M1969">
        <f t="shared" si="30"/>
        <v>2025</v>
      </c>
    </row>
    <row r="1970" spans="1:13" ht="12.75" hidden="1" customHeight="1">
      <c r="A1970" t="s">
        <v>1139</v>
      </c>
      <c r="B1970" t="s">
        <v>222</v>
      </c>
      <c r="C1970" t="s">
        <v>722</v>
      </c>
      <c r="D1970" t="s">
        <v>1142</v>
      </c>
      <c r="E1970" s="1">
        <v>45862</v>
      </c>
      <c r="F1970" s="1">
        <v>45867</v>
      </c>
      <c r="G1970" s="12">
        <v>803.48</v>
      </c>
      <c r="H1970" s="2">
        <v>0</v>
      </c>
      <c r="I1970" s="2">
        <v>0</v>
      </c>
      <c r="J1970" s="2">
        <v>0</v>
      </c>
      <c r="K1970" s="20">
        <v>803.48</v>
      </c>
      <c r="L1970" t="s">
        <v>794</v>
      </c>
      <c r="M1970">
        <f t="shared" si="30"/>
        <v>2025</v>
      </c>
    </row>
    <row r="1971" spans="1:13" ht="12.75" hidden="1" customHeight="1">
      <c r="A1971" t="s">
        <v>1222</v>
      </c>
      <c r="B1971" t="s">
        <v>176</v>
      </c>
      <c r="C1971" t="s">
        <v>723</v>
      </c>
      <c r="D1971" t="s">
        <v>1178</v>
      </c>
      <c r="E1971" s="1">
        <v>45848</v>
      </c>
      <c r="F1971" s="1">
        <v>45867</v>
      </c>
      <c r="G1971" s="12">
        <v>475.37</v>
      </c>
      <c r="H1971" s="2">
        <v>0</v>
      </c>
      <c r="I1971" s="2">
        <v>0</v>
      </c>
      <c r="J1971" s="2">
        <v>0</v>
      </c>
      <c r="K1971" s="20">
        <v>475.37</v>
      </c>
      <c r="L1971" t="s">
        <v>794</v>
      </c>
      <c r="M1971">
        <f t="shared" si="30"/>
        <v>2025</v>
      </c>
    </row>
    <row r="1972" spans="1:13" ht="12.75" hidden="1" customHeight="1">
      <c r="A1972" t="s">
        <v>801</v>
      </c>
      <c r="B1972" t="s">
        <v>13</v>
      </c>
      <c r="C1972" t="s">
        <v>718</v>
      </c>
      <c r="D1972" t="s">
        <v>1118</v>
      </c>
      <c r="E1972" s="1">
        <v>45805</v>
      </c>
      <c r="F1972" s="1">
        <v>45867</v>
      </c>
      <c r="G1972" s="12">
        <v>18479.46</v>
      </c>
      <c r="H1972" s="2">
        <v>0</v>
      </c>
      <c r="I1972" s="2">
        <v>0</v>
      </c>
      <c r="J1972" s="2">
        <v>0</v>
      </c>
      <c r="K1972" s="20">
        <v>18479.46</v>
      </c>
      <c r="L1972" t="s">
        <v>794</v>
      </c>
      <c r="M1972">
        <f t="shared" si="30"/>
        <v>2025</v>
      </c>
    </row>
    <row r="1973" spans="1:13" ht="12.75" hidden="1" customHeight="1">
      <c r="A1973" t="s">
        <v>801</v>
      </c>
      <c r="B1973" t="s">
        <v>13</v>
      </c>
      <c r="C1973" t="s">
        <v>717</v>
      </c>
      <c r="D1973" t="s">
        <v>1178</v>
      </c>
      <c r="E1973" s="1">
        <v>45866</v>
      </c>
      <c r="F1973" s="1">
        <v>45867</v>
      </c>
      <c r="G1973" s="12">
        <v>1060.8900000000001</v>
      </c>
      <c r="H1973" s="2">
        <v>0</v>
      </c>
      <c r="I1973" s="2">
        <v>0</v>
      </c>
      <c r="J1973" s="2">
        <v>0</v>
      </c>
      <c r="K1973" s="20">
        <v>1060.8900000000001</v>
      </c>
      <c r="L1973" t="s">
        <v>794</v>
      </c>
      <c r="M1973">
        <f t="shared" si="30"/>
        <v>2025</v>
      </c>
    </row>
    <row r="1974" spans="1:13" ht="12.75" hidden="1" customHeight="1">
      <c r="A1974" t="s">
        <v>801</v>
      </c>
      <c r="B1974" t="s">
        <v>13</v>
      </c>
      <c r="C1974" t="s">
        <v>726</v>
      </c>
      <c r="D1974" t="s">
        <v>1178</v>
      </c>
      <c r="E1974" s="1">
        <v>45867</v>
      </c>
      <c r="F1974" s="1">
        <v>45867</v>
      </c>
      <c r="G1974" s="12">
        <v>6.12</v>
      </c>
      <c r="H1974" s="2">
        <v>0</v>
      </c>
      <c r="I1974" s="2">
        <v>0</v>
      </c>
      <c r="J1974" s="2">
        <v>0</v>
      </c>
      <c r="K1974" s="20">
        <v>6.12</v>
      </c>
      <c r="L1974" t="s">
        <v>794</v>
      </c>
      <c r="M1974">
        <f t="shared" si="30"/>
        <v>2025</v>
      </c>
    </row>
    <row r="1975" spans="1:13" ht="12.75" hidden="1" customHeight="1">
      <c r="A1975" t="s">
        <v>801</v>
      </c>
      <c r="B1975" t="s">
        <v>13</v>
      </c>
      <c r="C1975" t="s">
        <v>717</v>
      </c>
      <c r="D1975" t="s">
        <v>1178</v>
      </c>
      <c r="E1975" s="1">
        <v>45866</v>
      </c>
      <c r="F1975" s="1">
        <v>45867</v>
      </c>
      <c r="G1975" s="12">
        <v>2183.1</v>
      </c>
      <c r="H1975" s="2">
        <v>0</v>
      </c>
      <c r="I1975" s="2">
        <v>0</v>
      </c>
      <c r="J1975" s="2">
        <v>0</v>
      </c>
      <c r="K1975" s="20">
        <v>2183.1</v>
      </c>
      <c r="L1975" t="s">
        <v>794</v>
      </c>
      <c r="M1975">
        <f t="shared" si="30"/>
        <v>2025</v>
      </c>
    </row>
    <row r="1976" spans="1:13" ht="12.75" hidden="1" customHeight="1">
      <c r="A1976" t="s">
        <v>905</v>
      </c>
      <c r="B1976" t="s">
        <v>15</v>
      </c>
      <c r="C1976" t="s">
        <v>715</v>
      </c>
      <c r="D1976" t="s">
        <v>1178</v>
      </c>
      <c r="E1976" s="1">
        <v>45868</v>
      </c>
      <c r="F1976" s="1">
        <v>45868</v>
      </c>
      <c r="G1976" s="12">
        <v>685.61</v>
      </c>
      <c r="H1976" s="2">
        <v>0</v>
      </c>
      <c r="I1976" s="2">
        <v>0</v>
      </c>
      <c r="J1976" s="2">
        <v>0</v>
      </c>
      <c r="K1976" s="20">
        <v>685.61</v>
      </c>
      <c r="L1976" t="s">
        <v>794</v>
      </c>
      <c r="M1976">
        <f t="shared" si="30"/>
        <v>2025</v>
      </c>
    </row>
    <row r="1977" spans="1:13" ht="12.75" hidden="1" customHeight="1">
      <c r="A1977" t="s">
        <v>799</v>
      </c>
      <c r="B1977" t="s">
        <v>24</v>
      </c>
      <c r="C1977" t="s">
        <v>139</v>
      </c>
      <c r="D1977" t="s">
        <v>1178</v>
      </c>
      <c r="E1977" s="1">
        <v>45869</v>
      </c>
      <c r="F1977" s="1">
        <v>45869</v>
      </c>
      <c r="G1977" s="12">
        <v>7578.8</v>
      </c>
      <c r="H1977" s="2">
        <v>0</v>
      </c>
      <c r="I1977" s="2">
        <v>0</v>
      </c>
      <c r="J1977" s="2">
        <v>0</v>
      </c>
      <c r="K1977" s="20">
        <v>7578.8</v>
      </c>
      <c r="L1977" t="s">
        <v>794</v>
      </c>
      <c r="M1977">
        <f t="shared" si="30"/>
        <v>2025</v>
      </c>
    </row>
    <row r="1978" spans="1:13" ht="12.75" hidden="1" customHeight="1">
      <c r="A1978" t="s">
        <v>1223</v>
      </c>
      <c r="B1978" t="s">
        <v>1224</v>
      </c>
      <c r="C1978" t="s">
        <v>725</v>
      </c>
      <c r="D1978" t="s">
        <v>1142</v>
      </c>
      <c r="E1978" s="1">
        <v>45868</v>
      </c>
      <c r="F1978" s="1">
        <v>45869</v>
      </c>
      <c r="G1978" s="12">
        <v>4718.9400000000005</v>
      </c>
      <c r="H1978" s="2">
        <v>0</v>
      </c>
      <c r="I1978" s="2">
        <v>0</v>
      </c>
      <c r="J1978" s="2">
        <v>0</v>
      </c>
      <c r="K1978" s="20">
        <v>4718.9400000000005</v>
      </c>
      <c r="L1978" t="s">
        <v>794</v>
      </c>
      <c r="M1978">
        <f t="shared" si="30"/>
        <v>2025</v>
      </c>
    </row>
    <row r="1979" spans="1:13" ht="12.75" hidden="1" customHeight="1">
      <c r="A1979" t="s">
        <v>1225</v>
      </c>
      <c r="B1979" t="s">
        <v>225</v>
      </c>
      <c r="C1979" t="s">
        <v>723</v>
      </c>
      <c r="D1979" t="s">
        <v>1178</v>
      </c>
      <c r="E1979" s="1">
        <v>45868</v>
      </c>
      <c r="F1979" s="1">
        <v>45869</v>
      </c>
      <c r="G1979" s="12">
        <v>1000</v>
      </c>
      <c r="H1979" s="2">
        <v>0</v>
      </c>
      <c r="I1979" s="2">
        <v>0</v>
      </c>
      <c r="J1979" s="2">
        <v>0</v>
      </c>
      <c r="K1979" s="20">
        <v>1000</v>
      </c>
      <c r="L1979" t="s">
        <v>794</v>
      </c>
      <c r="M1979">
        <f t="shared" si="30"/>
        <v>2025</v>
      </c>
    </row>
    <row r="1980" spans="1:13" ht="12.75" hidden="1" customHeight="1">
      <c r="A1980" t="s">
        <v>801</v>
      </c>
      <c r="B1980" t="s">
        <v>13</v>
      </c>
      <c r="C1980" t="s">
        <v>726</v>
      </c>
      <c r="D1980" t="s">
        <v>1178</v>
      </c>
      <c r="E1980" s="1">
        <v>45867</v>
      </c>
      <c r="F1980" s="1">
        <v>45869</v>
      </c>
      <c r="G1980" s="12">
        <v>6.12</v>
      </c>
      <c r="H1980" s="2">
        <v>0</v>
      </c>
      <c r="I1980" s="2">
        <v>0</v>
      </c>
      <c r="J1980" s="2">
        <v>0</v>
      </c>
      <c r="K1980" s="20">
        <v>6.12</v>
      </c>
      <c r="L1980" t="s">
        <v>794</v>
      </c>
      <c r="M1980">
        <f t="shared" si="30"/>
        <v>2025</v>
      </c>
    </row>
    <row r="1981" spans="1:13" ht="12.75" hidden="1" customHeight="1">
      <c r="A1981" t="s">
        <v>801</v>
      </c>
      <c r="B1981" t="s">
        <v>13</v>
      </c>
      <c r="C1981" t="s">
        <v>726</v>
      </c>
      <c r="D1981" t="s">
        <v>1178</v>
      </c>
      <c r="E1981" s="1">
        <v>45868</v>
      </c>
      <c r="F1981" s="1">
        <v>45869</v>
      </c>
      <c r="G1981" s="12">
        <v>6.12</v>
      </c>
      <c r="H1981" s="2">
        <v>0</v>
      </c>
      <c r="I1981" s="2">
        <v>0</v>
      </c>
      <c r="J1981" s="2">
        <v>0</v>
      </c>
      <c r="K1981" s="20">
        <v>6.12</v>
      </c>
      <c r="L1981" t="s">
        <v>794</v>
      </c>
      <c r="M1981">
        <f t="shared" si="30"/>
        <v>2025</v>
      </c>
    </row>
    <row r="1982" spans="1:13" ht="12.75" hidden="1" customHeight="1">
      <c r="A1982" t="s">
        <v>1072</v>
      </c>
      <c r="B1982" t="s">
        <v>177</v>
      </c>
      <c r="C1982" t="s">
        <v>141</v>
      </c>
      <c r="D1982" t="s">
        <v>1178</v>
      </c>
      <c r="E1982" s="1">
        <v>45848</v>
      </c>
      <c r="F1982" s="1">
        <v>45848</v>
      </c>
      <c r="G1982" s="12">
        <v>1250</v>
      </c>
      <c r="H1982" s="2">
        <v>0</v>
      </c>
      <c r="I1982" s="2">
        <v>0</v>
      </c>
      <c r="J1982" s="2">
        <v>0</v>
      </c>
      <c r="K1982" s="20">
        <v>1250</v>
      </c>
      <c r="L1982" t="s">
        <v>794</v>
      </c>
      <c r="M1982">
        <f t="shared" si="30"/>
        <v>2025</v>
      </c>
    </row>
    <row r="1983" spans="1:13" ht="12.75" hidden="1" customHeight="1">
      <c r="A1983" t="s">
        <v>912</v>
      </c>
      <c r="B1983" t="s">
        <v>117</v>
      </c>
      <c r="C1983" t="s">
        <v>200</v>
      </c>
      <c r="D1983" t="s">
        <v>1178</v>
      </c>
      <c r="E1983" s="1">
        <v>45849</v>
      </c>
      <c r="F1983" s="1">
        <v>45849</v>
      </c>
      <c r="G1983" s="12">
        <v>880</v>
      </c>
      <c r="H1983" s="2">
        <v>0</v>
      </c>
      <c r="I1983" s="2">
        <v>0</v>
      </c>
      <c r="J1983" s="2">
        <v>0</v>
      </c>
      <c r="K1983" s="20">
        <v>880</v>
      </c>
      <c r="L1983" t="s">
        <v>794</v>
      </c>
      <c r="M1983">
        <f t="shared" si="30"/>
        <v>2025</v>
      </c>
    </row>
    <row r="1984" spans="1:13" ht="12.75" hidden="1" customHeight="1">
      <c r="A1984" t="s">
        <v>917</v>
      </c>
      <c r="B1984" t="s">
        <v>120</v>
      </c>
      <c r="C1984" t="s">
        <v>139</v>
      </c>
      <c r="D1984" t="s">
        <v>1178</v>
      </c>
      <c r="E1984" s="1">
        <v>45849</v>
      </c>
      <c r="F1984" s="1">
        <v>45849</v>
      </c>
      <c r="G1984" s="12">
        <v>300</v>
      </c>
      <c r="H1984" s="2">
        <v>0</v>
      </c>
      <c r="I1984" s="2">
        <v>0</v>
      </c>
      <c r="J1984" s="2">
        <v>0</v>
      </c>
      <c r="K1984" s="20">
        <v>300</v>
      </c>
      <c r="L1984" t="s">
        <v>794</v>
      </c>
      <c r="M1984">
        <f t="shared" si="30"/>
        <v>2025</v>
      </c>
    </row>
    <row r="1985" spans="1:13" ht="12.75" hidden="1" customHeight="1">
      <c r="A1985" t="s">
        <v>1000</v>
      </c>
      <c r="B1985" t="s">
        <v>31</v>
      </c>
      <c r="C1985" t="s">
        <v>141</v>
      </c>
      <c r="D1985" t="s">
        <v>1178</v>
      </c>
      <c r="E1985" s="1">
        <v>45853</v>
      </c>
      <c r="F1985" s="1">
        <v>45853</v>
      </c>
      <c r="G1985" s="12">
        <v>40</v>
      </c>
      <c r="H1985" s="2">
        <v>0</v>
      </c>
      <c r="I1985" s="2">
        <v>0</v>
      </c>
      <c r="J1985" s="2">
        <v>0</v>
      </c>
      <c r="K1985" s="20">
        <v>40</v>
      </c>
      <c r="L1985" t="s">
        <v>794</v>
      </c>
      <c r="M1985">
        <f t="shared" si="30"/>
        <v>2025</v>
      </c>
    </row>
    <row r="1986" spans="1:13" ht="12.75" hidden="1" customHeight="1">
      <c r="A1986" t="s">
        <v>798</v>
      </c>
      <c r="B1986" t="s">
        <v>454</v>
      </c>
      <c r="C1986" t="s">
        <v>140</v>
      </c>
      <c r="D1986" t="s">
        <v>1178</v>
      </c>
      <c r="E1986" s="1">
        <v>45853</v>
      </c>
      <c r="F1986" s="1">
        <v>45853</v>
      </c>
      <c r="G1986" s="12">
        <v>150</v>
      </c>
      <c r="H1986" s="2">
        <v>0</v>
      </c>
      <c r="I1986" s="2">
        <v>0</v>
      </c>
      <c r="J1986" s="2">
        <v>0</v>
      </c>
      <c r="K1986" s="20">
        <v>150</v>
      </c>
      <c r="L1986" t="s">
        <v>794</v>
      </c>
      <c r="M1986">
        <f t="shared" si="30"/>
        <v>2025</v>
      </c>
    </row>
    <row r="1987" spans="1:13" ht="12.75" hidden="1" customHeight="1">
      <c r="A1987" t="s">
        <v>882</v>
      </c>
      <c r="B1987" t="s">
        <v>75</v>
      </c>
      <c r="C1987" t="s">
        <v>140</v>
      </c>
      <c r="D1987" t="s">
        <v>1178</v>
      </c>
      <c r="E1987" s="1">
        <v>45853</v>
      </c>
      <c r="F1987" s="1">
        <v>45853</v>
      </c>
      <c r="G1987" s="12">
        <v>60</v>
      </c>
      <c r="H1987" s="2">
        <v>0</v>
      </c>
      <c r="I1987" s="2">
        <v>0</v>
      </c>
      <c r="J1987" s="2">
        <v>0</v>
      </c>
      <c r="K1987" s="20">
        <v>60</v>
      </c>
      <c r="L1987" t="s">
        <v>794</v>
      </c>
      <c r="M1987">
        <f t="shared" ref="M1987:M2050" si="31">YEAR(F1987)</f>
        <v>2025</v>
      </c>
    </row>
    <row r="1988" spans="1:13" ht="12.75" hidden="1" customHeight="1">
      <c r="A1988" t="s">
        <v>880</v>
      </c>
      <c r="B1988" t="s">
        <v>179</v>
      </c>
      <c r="C1988" t="s">
        <v>140</v>
      </c>
      <c r="D1988" t="s">
        <v>1178</v>
      </c>
      <c r="E1988" s="1">
        <v>45853</v>
      </c>
      <c r="F1988" s="1">
        <v>45853</v>
      </c>
      <c r="G1988" s="12">
        <v>60</v>
      </c>
      <c r="H1988" s="2">
        <v>0</v>
      </c>
      <c r="I1988" s="2">
        <v>0</v>
      </c>
      <c r="J1988" s="2">
        <v>0</v>
      </c>
      <c r="K1988" s="20">
        <v>60</v>
      </c>
      <c r="L1988" t="s">
        <v>794</v>
      </c>
      <c r="M1988">
        <f t="shared" si="31"/>
        <v>2025</v>
      </c>
    </row>
    <row r="1989" spans="1:13" ht="12.75" hidden="1" customHeight="1">
      <c r="A1989" t="s">
        <v>887</v>
      </c>
      <c r="B1989" t="s">
        <v>678</v>
      </c>
      <c r="C1989" t="s">
        <v>723</v>
      </c>
      <c r="D1989" t="s">
        <v>1178</v>
      </c>
      <c r="E1989" s="1">
        <v>45854</v>
      </c>
      <c r="F1989" s="1">
        <v>45854</v>
      </c>
      <c r="G1989" s="12">
        <v>20</v>
      </c>
      <c r="H1989" s="2">
        <v>0</v>
      </c>
      <c r="I1989" s="2">
        <v>0</v>
      </c>
      <c r="J1989" s="2">
        <v>0</v>
      </c>
      <c r="K1989" s="20">
        <v>20</v>
      </c>
      <c r="L1989" t="s">
        <v>794</v>
      </c>
      <c r="M1989">
        <f t="shared" si="31"/>
        <v>2025</v>
      </c>
    </row>
    <row r="1990" spans="1:13" ht="12.75" hidden="1" customHeight="1">
      <c r="A1990" t="s">
        <v>1051</v>
      </c>
      <c r="B1990" t="s">
        <v>257</v>
      </c>
      <c r="C1990" t="s">
        <v>201</v>
      </c>
      <c r="D1990" t="s">
        <v>1178</v>
      </c>
      <c r="E1990" s="1">
        <v>45849</v>
      </c>
      <c r="F1990" s="1">
        <v>45849</v>
      </c>
      <c r="G1990" s="12">
        <v>320</v>
      </c>
      <c r="H1990" s="2">
        <v>0</v>
      </c>
      <c r="I1990" s="2">
        <v>0</v>
      </c>
      <c r="J1990" s="2">
        <v>0</v>
      </c>
      <c r="K1990" s="20">
        <v>320</v>
      </c>
      <c r="L1990" t="s">
        <v>794</v>
      </c>
      <c r="M1990">
        <f t="shared" si="31"/>
        <v>2025</v>
      </c>
    </row>
    <row r="1991" spans="1:13" ht="12.75" hidden="1" customHeight="1">
      <c r="A1991" t="s">
        <v>1226</v>
      </c>
      <c r="B1991" t="s">
        <v>419</v>
      </c>
      <c r="C1991" t="s">
        <v>723</v>
      </c>
      <c r="D1991" t="s">
        <v>1178</v>
      </c>
      <c r="E1991" s="1">
        <v>45842</v>
      </c>
      <c r="F1991" s="1">
        <v>45853</v>
      </c>
      <c r="G1991" s="12">
        <v>376.5</v>
      </c>
      <c r="H1991" s="2">
        <v>0</v>
      </c>
      <c r="I1991" s="2">
        <v>0</v>
      </c>
      <c r="J1991" s="2">
        <v>0</v>
      </c>
      <c r="K1991" s="20">
        <v>376.5</v>
      </c>
      <c r="L1991" t="s">
        <v>794</v>
      </c>
      <c r="M1991">
        <f t="shared" si="31"/>
        <v>2025</v>
      </c>
    </row>
    <row r="1992" spans="1:13" ht="12.75" hidden="1" customHeight="1">
      <c r="A1992" t="s">
        <v>1227</v>
      </c>
      <c r="B1992" t="s">
        <v>275</v>
      </c>
      <c r="C1992" t="s">
        <v>438</v>
      </c>
      <c r="D1992" t="s">
        <v>1178</v>
      </c>
      <c r="E1992" s="1">
        <v>45839</v>
      </c>
      <c r="F1992" s="1">
        <v>45854</v>
      </c>
      <c r="G1992" s="12">
        <v>1593.75</v>
      </c>
      <c r="H1992" s="2">
        <v>0</v>
      </c>
      <c r="I1992" s="2">
        <v>0</v>
      </c>
      <c r="J1992" s="2">
        <v>0</v>
      </c>
      <c r="K1992" s="20">
        <v>1593.75</v>
      </c>
      <c r="L1992" t="s">
        <v>794</v>
      </c>
      <c r="M1992">
        <f t="shared" si="31"/>
        <v>2025</v>
      </c>
    </row>
    <row r="1993" spans="1:13" ht="12.75" hidden="1" customHeight="1">
      <c r="A1993" t="s">
        <v>1228</v>
      </c>
      <c r="B1993" t="s">
        <v>436</v>
      </c>
      <c r="C1993" t="s">
        <v>438</v>
      </c>
      <c r="D1993" t="s">
        <v>1178</v>
      </c>
      <c r="E1993" s="1">
        <v>45854</v>
      </c>
      <c r="F1993" s="1">
        <v>45854</v>
      </c>
      <c r="G1993" s="12">
        <v>297.5</v>
      </c>
      <c r="H1993" s="2">
        <v>0</v>
      </c>
      <c r="I1993" s="2">
        <v>0</v>
      </c>
      <c r="J1993" s="2">
        <v>0</v>
      </c>
      <c r="K1993" s="20">
        <v>297.5</v>
      </c>
      <c r="L1993" t="s">
        <v>794</v>
      </c>
      <c r="M1993">
        <f t="shared" si="31"/>
        <v>2025</v>
      </c>
    </row>
    <row r="1994" spans="1:13" ht="12.75" hidden="1" customHeight="1">
      <c r="A1994" t="s">
        <v>883</v>
      </c>
      <c r="B1994" t="s">
        <v>110</v>
      </c>
      <c r="C1994" t="s">
        <v>733</v>
      </c>
      <c r="D1994" t="s">
        <v>1178</v>
      </c>
      <c r="E1994" s="1">
        <v>45855</v>
      </c>
      <c r="F1994" s="1">
        <v>45855</v>
      </c>
      <c r="G1994" s="12">
        <v>280</v>
      </c>
      <c r="H1994" s="2">
        <v>0</v>
      </c>
      <c r="I1994" s="2">
        <v>0</v>
      </c>
      <c r="J1994" s="2">
        <v>0</v>
      </c>
      <c r="K1994" s="20">
        <v>280</v>
      </c>
      <c r="L1994" t="s">
        <v>794</v>
      </c>
      <c r="M1994">
        <f t="shared" si="31"/>
        <v>2025</v>
      </c>
    </row>
    <row r="1995" spans="1:13" ht="12.75" hidden="1" customHeight="1">
      <c r="A1995" t="s">
        <v>952</v>
      </c>
      <c r="B1995" t="s">
        <v>27</v>
      </c>
      <c r="C1995" t="s">
        <v>141</v>
      </c>
      <c r="D1995" t="s">
        <v>1178</v>
      </c>
      <c r="E1995" s="1">
        <v>45855</v>
      </c>
      <c r="F1995" s="1">
        <v>45855</v>
      </c>
      <c r="G1995" s="12">
        <v>700</v>
      </c>
      <c r="H1995" s="2">
        <v>0</v>
      </c>
      <c r="I1995" s="2">
        <v>0</v>
      </c>
      <c r="J1995" s="2">
        <v>0</v>
      </c>
      <c r="K1995" s="20">
        <v>700</v>
      </c>
      <c r="L1995" t="s">
        <v>794</v>
      </c>
      <c r="M1995">
        <f t="shared" si="31"/>
        <v>2025</v>
      </c>
    </row>
    <row r="1996" spans="1:13" ht="12.75" hidden="1" customHeight="1">
      <c r="A1996" t="s">
        <v>895</v>
      </c>
      <c r="B1996" t="s">
        <v>147</v>
      </c>
      <c r="C1996" t="s">
        <v>738</v>
      </c>
      <c r="D1996" t="s">
        <v>1178</v>
      </c>
      <c r="E1996" s="1">
        <v>45859</v>
      </c>
      <c r="F1996" s="1">
        <v>45860</v>
      </c>
      <c r="G1996" s="12">
        <v>350</v>
      </c>
      <c r="H1996" s="2">
        <v>0</v>
      </c>
      <c r="I1996" s="2">
        <v>0</v>
      </c>
      <c r="J1996" s="2">
        <v>0</v>
      </c>
      <c r="K1996" s="20">
        <v>350</v>
      </c>
      <c r="L1996" t="s">
        <v>794</v>
      </c>
      <c r="M1996">
        <f t="shared" si="31"/>
        <v>2025</v>
      </c>
    </row>
    <row r="1997" spans="1:13" ht="12.75" hidden="1" customHeight="1">
      <c r="A1997" t="s">
        <v>801</v>
      </c>
      <c r="B1997" t="s">
        <v>13</v>
      </c>
      <c r="C1997" t="s">
        <v>717</v>
      </c>
      <c r="D1997" t="s">
        <v>1178</v>
      </c>
      <c r="E1997" s="1">
        <v>45845</v>
      </c>
      <c r="F1997" s="1">
        <v>45862</v>
      </c>
      <c r="G1997" s="12">
        <v>84.04</v>
      </c>
      <c r="H1997" s="2">
        <v>0</v>
      </c>
      <c r="I1997" s="2">
        <v>0</v>
      </c>
      <c r="J1997" s="2">
        <v>0</v>
      </c>
      <c r="K1997" s="20">
        <v>84.04</v>
      </c>
      <c r="L1997" t="s">
        <v>794</v>
      </c>
      <c r="M1997">
        <f t="shared" si="31"/>
        <v>2025</v>
      </c>
    </row>
    <row r="1998" spans="1:13" ht="12.75" hidden="1" customHeight="1">
      <c r="A1998" t="s">
        <v>1229</v>
      </c>
      <c r="B1998" t="s">
        <v>628</v>
      </c>
      <c r="C1998" t="s">
        <v>452</v>
      </c>
      <c r="D1998" t="s">
        <v>1178</v>
      </c>
      <c r="E1998" s="1">
        <v>45861</v>
      </c>
      <c r="F1998" s="1">
        <v>45862</v>
      </c>
      <c r="G1998" s="12">
        <v>49</v>
      </c>
      <c r="H1998" s="2">
        <v>0</v>
      </c>
      <c r="I1998" s="2">
        <v>0</v>
      </c>
      <c r="J1998" s="2">
        <v>0</v>
      </c>
      <c r="K1998" s="20">
        <v>49</v>
      </c>
      <c r="L1998" t="s">
        <v>794</v>
      </c>
      <c r="M1998">
        <f t="shared" si="31"/>
        <v>2025</v>
      </c>
    </row>
    <row r="1999" spans="1:13" ht="12.75" hidden="1" customHeight="1">
      <c r="A1999" t="s">
        <v>946</v>
      </c>
      <c r="B1999" t="s">
        <v>130</v>
      </c>
      <c r="C1999" t="s">
        <v>713</v>
      </c>
      <c r="D1999" t="s">
        <v>1178</v>
      </c>
      <c r="E1999" s="1">
        <v>45861</v>
      </c>
      <c r="F1999" s="1">
        <v>45862</v>
      </c>
      <c r="G1999" s="12">
        <v>2601.9299999999998</v>
      </c>
      <c r="H1999" s="2">
        <v>0</v>
      </c>
      <c r="I1999" s="2">
        <v>0</v>
      </c>
      <c r="J1999" s="2">
        <v>0</v>
      </c>
      <c r="K1999" s="20">
        <v>2601.9299999999998</v>
      </c>
      <c r="L1999" t="s">
        <v>794</v>
      </c>
      <c r="M1999">
        <f t="shared" si="31"/>
        <v>2025</v>
      </c>
    </row>
    <row r="2000" spans="1:13" ht="12.75" hidden="1" customHeight="1">
      <c r="A2000" t="s">
        <v>1230</v>
      </c>
      <c r="B2000" t="s">
        <v>361</v>
      </c>
      <c r="C2000" t="s">
        <v>438</v>
      </c>
      <c r="D2000" t="s">
        <v>1178</v>
      </c>
      <c r="E2000" s="1">
        <v>45866</v>
      </c>
      <c r="F2000" s="1">
        <v>45867</v>
      </c>
      <c r="G2000" s="12">
        <v>700</v>
      </c>
      <c r="H2000" s="2">
        <v>0</v>
      </c>
      <c r="I2000" s="2">
        <v>0</v>
      </c>
      <c r="J2000" s="2">
        <v>0</v>
      </c>
      <c r="K2000" s="20">
        <v>700</v>
      </c>
      <c r="L2000" t="s">
        <v>794</v>
      </c>
      <c r="M2000">
        <f t="shared" si="31"/>
        <v>2025</v>
      </c>
    </row>
    <row r="2001" spans="1:13" ht="12.75" hidden="1" customHeight="1">
      <c r="A2001" t="s">
        <v>883</v>
      </c>
      <c r="B2001" t="s">
        <v>110</v>
      </c>
      <c r="C2001" t="s">
        <v>733</v>
      </c>
      <c r="D2001" t="s">
        <v>1178</v>
      </c>
      <c r="E2001" s="1">
        <v>45868</v>
      </c>
      <c r="F2001" s="1">
        <v>45869</v>
      </c>
      <c r="G2001" s="12">
        <v>475</v>
      </c>
      <c r="H2001" s="2">
        <v>0</v>
      </c>
      <c r="I2001" s="2">
        <v>0</v>
      </c>
      <c r="J2001" s="2">
        <v>0</v>
      </c>
      <c r="K2001" s="20">
        <v>475</v>
      </c>
      <c r="L2001" t="s">
        <v>794</v>
      </c>
      <c r="M2001">
        <f t="shared" si="31"/>
        <v>2025</v>
      </c>
    </row>
    <row r="2002" spans="1:13" ht="12.75" hidden="1" customHeight="1">
      <c r="A2002" t="s">
        <v>1231</v>
      </c>
      <c r="B2002" t="s">
        <v>546</v>
      </c>
      <c r="C2002" t="s">
        <v>452</v>
      </c>
      <c r="D2002" t="s">
        <v>1178</v>
      </c>
      <c r="E2002" s="1">
        <v>45868</v>
      </c>
      <c r="F2002" s="1">
        <v>45869</v>
      </c>
      <c r="G2002" s="12">
        <v>99</v>
      </c>
      <c r="H2002" s="2">
        <v>0</v>
      </c>
      <c r="I2002" s="2">
        <v>0</v>
      </c>
      <c r="J2002" s="2">
        <v>0</v>
      </c>
      <c r="K2002" s="20">
        <v>99</v>
      </c>
      <c r="L2002" t="s">
        <v>794</v>
      </c>
      <c r="M2002">
        <f t="shared" si="31"/>
        <v>2025</v>
      </c>
    </row>
    <row r="2003" spans="1:13" ht="12.75" hidden="1" customHeight="1">
      <c r="A2003" t="s">
        <v>907</v>
      </c>
      <c r="B2003" t="s">
        <v>291</v>
      </c>
      <c r="C2003" t="s">
        <v>749</v>
      </c>
      <c r="D2003" t="s">
        <v>1178</v>
      </c>
      <c r="E2003" s="1">
        <v>45839</v>
      </c>
      <c r="F2003" s="1">
        <v>45870</v>
      </c>
      <c r="G2003" s="12">
        <v>26.3</v>
      </c>
      <c r="H2003" s="2">
        <v>0</v>
      </c>
      <c r="I2003" s="2">
        <v>0</v>
      </c>
      <c r="J2003" s="2">
        <v>0</v>
      </c>
      <c r="K2003" s="20">
        <v>26.3</v>
      </c>
      <c r="L2003" t="s">
        <v>794</v>
      </c>
      <c r="M2003">
        <f t="shared" si="31"/>
        <v>2025</v>
      </c>
    </row>
    <row r="2004" spans="1:13" ht="12.75" hidden="1" customHeight="1">
      <c r="A2004" t="s">
        <v>1232</v>
      </c>
      <c r="B2004" t="s">
        <v>652</v>
      </c>
      <c r="C2004" t="s">
        <v>647</v>
      </c>
      <c r="D2004" t="s">
        <v>1233</v>
      </c>
      <c r="E2004" s="1">
        <v>45870</v>
      </c>
      <c r="F2004" s="1">
        <v>45870</v>
      </c>
      <c r="G2004" s="12">
        <v>37.5</v>
      </c>
      <c r="H2004" s="2">
        <v>0</v>
      </c>
      <c r="I2004" s="2">
        <v>0</v>
      </c>
      <c r="J2004" s="2">
        <v>0</v>
      </c>
      <c r="K2004" s="20">
        <v>37.5</v>
      </c>
      <c r="L2004" t="s">
        <v>794</v>
      </c>
      <c r="M2004">
        <f t="shared" si="31"/>
        <v>2025</v>
      </c>
    </row>
    <row r="2005" spans="1:13" ht="12.75" hidden="1" customHeight="1">
      <c r="A2005" t="s">
        <v>1104</v>
      </c>
      <c r="B2005" t="s">
        <v>53</v>
      </c>
      <c r="C2005" t="s">
        <v>749</v>
      </c>
      <c r="D2005" t="s">
        <v>1233</v>
      </c>
      <c r="E2005" s="1">
        <v>45870</v>
      </c>
      <c r="F2005" s="1">
        <v>45870</v>
      </c>
      <c r="G2005" s="12">
        <v>12.5</v>
      </c>
      <c r="H2005" s="2">
        <v>0</v>
      </c>
      <c r="I2005" s="2">
        <v>0</v>
      </c>
      <c r="J2005" s="2">
        <v>0</v>
      </c>
      <c r="K2005" s="20">
        <v>12.5</v>
      </c>
      <c r="L2005" t="s">
        <v>794</v>
      </c>
      <c r="M2005">
        <f t="shared" si="31"/>
        <v>2025</v>
      </c>
    </row>
    <row r="2006" spans="1:13" ht="12.75" hidden="1" customHeight="1">
      <c r="A2006" t="s">
        <v>992</v>
      </c>
      <c r="B2006" t="s">
        <v>277</v>
      </c>
      <c r="C2006" t="s">
        <v>99</v>
      </c>
      <c r="D2006" t="s">
        <v>1233</v>
      </c>
      <c r="E2006" s="1">
        <v>45870</v>
      </c>
      <c r="F2006" s="1">
        <v>45870</v>
      </c>
      <c r="G2006" s="12">
        <v>13.98</v>
      </c>
      <c r="H2006" s="2">
        <v>0</v>
      </c>
      <c r="I2006" s="2">
        <v>0</v>
      </c>
      <c r="J2006" s="2">
        <v>0</v>
      </c>
      <c r="K2006" s="20">
        <v>13.98</v>
      </c>
      <c r="L2006" t="s">
        <v>794</v>
      </c>
      <c r="M2006">
        <f t="shared" si="31"/>
        <v>2025</v>
      </c>
    </row>
    <row r="2007" spans="1:13" ht="12.75" hidden="1" customHeight="1">
      <c r="A2007" t="s">
        <v>799</v>
      </c>
      <c r="B2007" t="s">
        <v>24</v>
      </c>
      <c r="C2007" t="s">
        <v>138</v>
      </c>
      <c r="D2007" t="s">
        <v>1233</v>
      </c>
      <c r="E2007" s="1">
        <v>45870</v>
      </c>
      <c r="F2007" s="1">
        <v>45870</v>
      </c>
      <c r="G2007" s="12">
        <v>5599.49</v>
      </c>
      <c r="H2007" s="2">
        <v>0</v>
      </c>
      <c r="I2007" s="2">
        <v>0</v>
      </c>
      <c r="J2007" s="2">
        <v>0</v>
      </c>
      <c r="K2007" s="20">
        <v>5599.49</v>
      </c>
      <c r="L2007" t="s">
        <v>794</v>
      </c>
      <c r="M2007">
        <f t="shared" si="31"/>
        <v>2025</v>
      </c>
    </row>
    <row r="2008" spans="1:13" ht="12.75" hidden="1" customHeight="1">
      <c r="A2008" t="s">
        <v>1141</v>
      </c>
      <c r="B2008" t="s">
        <v>69</v>
      </c>
      <c r="C2008" t="s">
        <v>139</v>
      </c>
      <c r="D2008" t="s">
        <v>1178</v>
      </c>
      <c r="E2008" s="1">
        <v>45869</v>
      </c>
      <c r="F2008" s="1">
        <v>45870</v>
      </c>
      <c r="G2008" s="12">
        <v>290</v>
      </c>
      <c r="H2008" s="2">
        <v>0</v>
      </c>
      <c r="I2008" s="2">
        <v>0</v>
      </c>
      <c r="J2008" s="2">
        <v>0</v>
      </c>
      <c r="K2008" s="20">
        <v>290</v>
      </c>
      <c r="L2008" t="s">
        <v>794</v>
      </c>
      <c r="M2008">
        <f t="shared" si="31"/>
        <v>2025</v>
      </c>
    </row>
    <row r="2009" spans="1:13" ht="12.75" hidden="1" customHeight="1">
      <c r="A2009" t="s">
        <v>864</v>
      </c>
      <c r="B2009" t="s">
        <v>36</v>
      </c>
      <c r="C2009" t="s">
        <v>201</v>
      </c>
      <c r="D2009" t="s">
        <v>1233</v>
      </c>
      <c r="E2009" s="1">
        <v>45881</v>
      </c>
      <c r="F2009" s="1">
        <v>45881</v>
      </c>
      <c r="G2009" s="12">
        <v>5040</v>
      </c>
      <c r="H2009" s="2">
        <v>0</v>
      </c>
      <c r="I2009" s="2">
        <v>0</v>
      </c>
      <c r="J2009" s="2">
        <v>0</v>
      </c>
      <c r="K2009" s="20">
        <v>5040</v>
      </c>
      <c r="L2009" t="s">
        <v>794</v>
      </c>
      <c r="M2009">
        <f t="shared" si="31"/>
        <v>2025</v>
      </c>
    </row>
    <row r="2010" spans="1:13" ht="12.75" hidden="1" customHeight="1">
      <c r="A2010" t="s">
        <v>1141</v>
      </c>
      <c r="B2010" t="s">
        <v>69</v>
      </c>
      <c r="C2010" t="s">
        <v>141</v>
      </c>
      <c r="D2010" t="s">
        <v>1233</v>
      </c>
      <c r="E2010" s="1">
        <v>45871</v>
      </c>
      <c r="F2010" s="1">
        <v>45871</v>
      </c>
      <c r="G2010" s="12">
        <v>50</v>
      </c>
      <c r="H2010" s="2">
        <v>0</v>
      </c>
      <c r="I2010" s="2">
        <v>0</v>
      </c>
      <c r="J2010" s="2">
        <v>0</v>
      </c>
      <c r="K2010" s="20">
        <v>50</v>
      </c>
      <c r="L2010" t="s">
        <v>794</v>
      </c>
      <c r="M2010">
        <f t="shared" si="31"/>
        <v>2025</v>
      </c>
    </row>
    <row r="2011" spans="1:13" ht="12.75" hidden="1" customHeight="1">
      <c r="A2011" t="s">
        <v>1004</v>
      </c>
      <c r="B2011" t="s">
        <v>57</v>
      </c>
      <c r="C2011" t="s">
        <v>141</v>
      </c>
      <c r="D2011" t="s">
        <v>1233</v>
      </c>
      <c r="E2011" s="1">
        <v>45871</v>
      </c>
      <c r="F2011" s="1">
        <v>45871</v>
      </c>
      <c r="G2011" s="12">
        <v>50</v>
      </c>
      <c r="H2011" s="2">
        <v>0</v>
      </c>
      <c r="I2011" s="2">
        <v>0</v>
      </c>
      <c r="J2011" s="2">
        <v>0</v>
      </c>
      <c r="K2011" s="20">
        <v>50</v>
      </c>
      <c r="L2011" t="s">
        <v>794</v>
      </c>
      <c r="M2011">
        <f t="shared" si="31"/>
        <v>2025</v>
      </c>
    </row>
    <row r="2012" spans="1:13" ht="12.75" hidden="1" customHeight="1">
      <c r="A2012" t="s">
        <v>1234</v>
      </c>
      <c r="B2012" t="s">
        <v>616</v>
      </c>
      <c r="C2012" t="s">
        <v>762</v>
      </c>
      <c r="D2012" t="s">
        <v>1233</v>
      </c>
      <c r="E2012" s="1">
        <v>45873</v>
      </c>
      <c r="F2012" s="1">
        <v>45873</v>
      </c>
      <c r="G2012" s="12">
        <v>50</v>
      </c>
      <c r="H2012" s="2">
        <v>0</v>
      </c>
      <c r="I2012" s="2">
        <v>0</v>
      </c>
      <c r="J2012" s="2">
        <v>0</v>
      </c>
      <c r="K2012" s="20">
        <v>50</v>
      </c>
      <c r="L2012" t="s">
        <v>794</v>
      </c>
      <c r="M2012">
        <f t="shared" si="31"/>
        <v>2025</v>
      </c>
    </row>
    <row r="2013" spans="1:13" ht="12.75" hidden="1" customHeight="1">
      <c r="A2013" t="s">
        <v>811</v>
      </c>
      <c r="B2013" t="s">
        <v>39</v>
      </c>
      <c r="C2013" t="s">
        <v>141</v>
      </c>
      <c r="D2013" t="s">
        <v>1233</v>
      </c>
      <c r="E2013" s="1">
        <v>45873</v>
      </c>
      <c r="F2013" s="1">
        <v>45873</v>
      </c>
      <c r="G2013" s="12">
        <v>36</v>
      </c>
      <c r="H2013" s="2">
        <v>0</v>
      </c>
      <c r="I2013" s="2">
        <v>0</v>
      </c>
      <c r="J2013" s="2">
        <v>0</v>
      </c>
      <c r="K2013" s="20">
        <v>36</v>
      </c>
      <c r="L2013" t="s">
        <v>794</v>
      </c>
      <c r="M2013">
        <f t="shared" si="31"/>
        <v>2025</v>
      </c>
    </row>
    <row r="2014" spans="1:13" ht="12.75" hidden="1" customHeight="1">
      <c r="A2014" t="s">
        <v>810</v>
      </c>
      <c r="B2014" t="s">
        <v>54</v>
      </c>
      <c r="C2014" t="s">
        <v>141</v>
      </c>
      <c r="D2014" t="s">
        <v>1233</v>
      </c>
      <c r="E2014" s="1">
        <v>45873</v>
      </c>
      <c r="F2014" s="1">
        <v>45873</v>
      </c>
      <c r="G2014" s="12">
        <v>226</v>
      </c>
      <c r="H2014" s="2">
        <v>0</v>
      </c>
      <c r="I2014" s="2">
        <v>0</v>
      </c>
      <c r="J2014" s="2">
        <v>0</v>
      </c>
      <c r="K2014" s="20">
        <v>226</v>
      </c>
      <c r="L2014" t="s">
        <v>794</v>
      </c>
      <c r="M2014">
        <f t="shared" si="31"/>
        <v>2025</v>
      </c>
    </row>
    <row r="2015" spans="1:13" ht="12.75" hidden="1" customHeight="1">
      <c r="A2015" t="s">
        <v>1009</v>
      </c>
      <c r="B2015" t="s">
        <v>62</v>
      </c>
      <c r="C2015" t="s">
        <v>141</v>
      </c>
      <c r="D2015" t="s">
        <v>1233</v>
      </c>
      <c r="E2015" s="1">
        <v>45873</v>
      </c>
      <c r="F2015" s="1">
        <v>45873</v>
      </c>
      <c r="G2015" s="12">
        <v>200</v>
      </c>
      <c r="H2015" s="2">
        <v>0</v>
      </c>
      <c r="I2015" s="2">
        <v>0</v>
      </c>
      <c r="J2015" s="2">
        <v>0</v>
      </c>
      <c r="K2015" s="20">
        <v>200</v>
      </c>
      <c r="L2015" t="s">
        <v>794</v>
      </c>
      <c r="M2015">
        <f t="shared" si="31"/>
        <v>2025</v>
      </c>
    </row>
    <row r="2016" spans="1:13" ht="12.75" hidden="1" customHeight="1">
      <c r="A2016" t="s">
        <v>921</v>
      </c>
      <c r="B2016" t="s">
        <v>184</v>
      </c>
      <c r="C2016" t="s">
        <v>483</v>
      </c>
      <c r="D2016" t="s">
        <v>1233</v>
      </c>
      <c r="E2016" s="1">
        <v>45873</v>
      </c>
      <c r="F2016" s="1">
        <v>45873</v>
      </c>
      <c r="G2016" s="12">
        <v>7.05</v>
      </c>
      <c r="H2016" s="2">
        <v>0</v>
      </c>
      <c r="I2016" s="2">
        <v>0</v>
      </c>
      <c r="J2016" s="2">
        <v>0</v>
      </c>
      <c r="K2016" s="20">
        <v>7.05</v>
      </c>
      <c r="L2016" t="s">
        <v>794</v>
      </c>
      <c r="M2016">
        <f t="shared" si="31"/>
        <v>2025</v>
      </c>
    </row>
    <row r="2017" spans="1:13" ht="12.75" hidden="1" customHeight="1">
      <c r="A2017" t="s">
        <v>1144</v>
      </c>
      <c r="B2017" t="s">
        <v>389</v>
      </c>
      <c r="C2017" t="s">
        <v>491</v>
      </c>
      <c r="D2017" t="s">
        <v>1233</v>
      </c>
      <c r="E2017" s="1">
        <v>45873</v>
      </c>
      <c r="F2017" s="1">
        <v>45873</v>
      </c>
      <c r="G2017" s="12">
        <v>20</v>
      </c>
      <c r="H2017" s="2">
        <v>0</v>
      </c>
      <c r="I2017" s="2">
        <v>0</v>
      </c>
      <c r="J2017" s="2">
        <v>0</v>
      </c>
      <c r="K2017" s="20">
        <v>20</v>
      </c>
      <c r="L2017" t="s">
        <v>794</v>
      </c>
      <c r="M2017">
        <f t="shared" si="31"/>
        <v>2025</v>
      </c>
    </row>
    <row r="2018" spans="1:13" ht="12.75" hidden="1" customHeight="1">
      <c r="A2018" t="s">
        <v>825</v>
      </c>
      <c r="B2018" t="s">
        <v>46</v>
      </c>
      <c r="C2018" t="s">
        <v>141</v>
      </c>
      <c r="D2018" t="s">
        <v>1233</v>
      </c>
      <c r="E2018" s="1">
        <v>45871</v>
      </c>
      <c r="F2018" s="1">
        <v>45873</v>
      </c>
      <c r="G2018" s="12">
        <v>50</v>
      </c>
      <c r="H2018" s="2">
        <v>0</v>
      </c>
      <c r="I2018" s="2">
        <v>0</v>
      </c>
      <c r="J2018" s="2">
        <v>0</v>
      </c>
      <c r="K2018" s="20">
        <v>50</v>
      </c>
      <c r="L2018" t="s">
        <v>794</v>
      </c>
      <c r="M2018">
        <f t="shared" si="31"/>
        <v>2025</v>
      </c>
    </row>
    <row r="2019" spans="1:13" ht="12.75" hidden="1" customHeight="1">
      <c r="A2019" t="s">
        <v>812</v>
      </c>
      <c r="B2019" t="s">
        <v>31</v>
      </c>
      <c r="C2019" t="s">
        <v>141</v>
      </c>
      <c r="D2019" t="s">
        <v>1233</v>
      </c>
      <c r="E2019" s="1">
        <v>45873</v>
      </c>
      <c r="F2019" s="1">
        <v>45873</v>
      </c>
      <c r="G2019" s="12">
        <v>106</v>
      </c>
      <c r="H2019" s="2">
        <v>0</v>
      </c>
      <c r="I2019" s="2">
        <v>0</v>
      </c>
      <c r="J2019" s="2">
        <v>0</v>
      </c>
      <c r="K2019" s="20">
        <v>106</v>
      </c>
      <c r="L2019" t="s">
        <v>794</v>
      </c>
      <c r="M2019">
        <f t="shared" si="31"/>
        <v>2025</v>
      </c>
    </row>
    <row r="2020" spans="1:13" ht="12.75" hidden="1" customHeight="1">
      <c r="A2020" t="s">
        <v>841</v>
      </c>
      <c r="B2020" t="s">
        <v>164</v>
      </c>
      <c r="C2020" t="s">
        <v>722</v>
      </c>
      <c r="D2020" t="s">
        <v>1178</v>
      </c>
      <c r="E2020" s="1">
        <v>45868</v>
      </c>
      <c r="F2020" s="1">
        <v>45873</v>
      </c>
      <c r="G2020" s="12">
        <v>391.33</v>
      </c>
      <c r="H2020" s="2">
        <v>0</v>
      </c>
      <c r="I2020" s="2">
        <v>0</v>
      </c>
      <c r="J2020" s="2">
        <v>0</v>
      </c>
      <c r="K2020" s="20">
        <v>391.33</v>
      </c>
      <c r="L2020" t="s">
        <v>794</v>
      </c>
      <c r="M2020">
        <f t="shared" si="31"/>
        <v>2025</v>
      </c>
    </row>
    <row r="2021" spans="1:13" ht="12.75" hidden="1" customHeight="1">
      <c r="A2021" t="s">
        <v>1139</v>
      </c>
      <c r="B2021" t="s">
        <v>222</v>
      </c>
      <c r="C2021" t="s">
        <v>722</v>
      </c>
      <c r="D2021" t="s">
        <v>1233</v>
      </c>
      <c r="E2021" s="1">
        <v>45873</v>
      </c>
      <c r="F2021" s="1">
        <v>45873</v>
      </c>
      <c r="G2021" s="12">
        <v>799.06000000000006</v>
      </c>
      <c r="H2021" s="2">
        <v>0</v>
      </c>
      <c r="I2021" s="2">
        <v>0</v>
      </c>
      <c r="J2021" s="2">
        <v>0</v>
      </c>
      <c r="K2021" s="20">
        <v>799.06000000000006</v>
      </c>
      <c r="L2021" t="s">
        <v>794</v>
      </c>
      <c r="M2021">
        <f t="shared" si="31"/>
        <v>2025</v>
      </c>
    </row>
    <row r="2022" spans="1:13" ht="12.75" hidden="1" customHeight="1">
      <c r="A2022" t="s">
        <v>1138</v>
      </c>
      <c r="B2022" t="s">
        <v>104</v>
      </c>
      <c r="C2022" t="s">
        <v>141</v>
      </c>
      <c r="D2022" t="s">
        <v>1233</v>
      </c>
      <c r="E2022" s="1">
        <v>45873</v>
      </c>
      <c r="F2022" s="1">
        <v>45873</v>
      </c>
      <c r="G2022" s="12">
        <v>36</v>
      </c>
      <c r="H2022" s="2">
        <v>0</v>
      </c>
      <c r="I2022" s="2">
        <v>0</v>
      </c>
      <c r="J2022" s="2">
        <v>0</v>
      </c>
      <c r="K2022" s="20">
        <v>36</v>
      </c>
      <c r="L2022" t="s">
        <v>794</v>
      </c>
      <c r="M2022">
        <f t="shared" si="31"/>
        <v>2025</v>
      </c>
    </row>
    <row r="2023" spans="1:13" ht="12.75" hidden="1" customHeight="1">
      <c r="A2023" t="s">
        <v>792</v>
      </c>
      <c r="B2023" t="s">
        <v>35</v>
      </c>
      <c r="C2023" t="s">
        <v>206</v>
      </c>
      <c r="D2023" t="s">
        <v>1233</v>
      </c>
      <c r="E2023" s="1">
        <v>45873</v>
      </c>
      <c r="F2023" s="1">
        <v>45873</v>
      </c>
      <c r="G2023" s="12">
        <v>691.2</v>
      </c>
      <c r="H2023" s="2">
        <v>0</v>
      </c>
      <c r="I2023" s="2">
        <v>0</v>
      </c>
      <c r="J2023" s="2">
        <v>0</v>
      </c>
      <c r="K2023" s="20">
        <v>691.2</v>
      </c>
      <c r="L2023" t="s">
        <v>794</v>
      </c>
      <c r="M2023">
        <f t="shared" si="31"/>
        <v>2025</v>
      </c>
    </row>
    <row r="2024" spans="1:13" ht="12.75" hidden="1" customHeight="1">
      <c r="A2024" t="s">
        <v>797</v>
      </c>
      <c r="B2024" t="s">
        <v>25</v>
      </c>
      <c r="C2024" t="s">
        <v>206</v>
      </c>
      <c r="D2024" t="s">
        <v>1233</v>
      </c>
      <c r="E2024" s="1">
        <v>45873</v>
      </c>
      <c r="F2024" s="1">
        <v>45873</v>
      </c>
      <c r="G2024" s="12">
        <v>1308.8</v>
      </c>
      <c r="H2024" s="2">
        <v>0</v>
      </c>
      <c r="I2024" s="2">
        <v>0</v>
      </c>
      <c r="J2024" s="2">
        <v>0</v>
      </c>
      <c r="K2024" s="20">
        <v>1308.8</v>
      </c>
      <c r="L2024" t="s">
        <v>794</v>
      </c>
      <c r="M2024">
        <f t="shared" si="31"/>
        <v>2025</v>
      </c>
    </row>
    <row r="2025" spans="1:13" ht="12.75" hidden="1" customHeight="1">
      <c r="A2025" t="s">
        <v>1235</v>
      </c>
      <c r="B2025" t="s">
        <v>633</v>
      </c>
      <c r="C2025" t="s">
        <v>452</v>
      </c>
      <c r="D2025" t="s">
        <v>1233</v>
      </c>
      <c r="E2025" s="1">
        <v>45870</v>
      </c>
      <c r="F2025" s="1">
        <v>45873</v>
      </c>
      <c r="G2025" s="12">
        <v>49</v>
      </c>
      <c r="H2025" s="2">
        <v>0</v>
      </c>
      <c r="I2025" s="2">
        <v>0</v>
      </c>
      <c r="J2025" s="2">
        <v>0</v>
      </c>
      <c r="K2025" s="20">
        <v>49</v>
      </c>
      <c r="L2025" t="s">
        <v>794</v>
      </c>
      <c r="M2025">
        <f t="shared" si="31"/>
        <v>2025</v>
      </c>
    </row>
    <row r="2026" spans="1:13" ht="12.75" hidden="1" customHeight="1">
      <c r="A2026" t="s">
        <v>801</v>
      </c>
      <c r="B2026" t="s">
        <v>13</v>
      </c>
      <c r="C2026" t="s">
        <v>740</v>
      </c>
      <c r="D2026" t="s">
        <v>1233</v>
      </c>
      <c r="E2026" s="1">
        <v>45873</v>
      </c>
      <c r="F2026" s="1">
        <v>45873</v>
      </c>
      <c r="G2026" s="12">
        <v>177.25</v>
      </c>
      <c r="H2026" s="2">
        <v>0</v>
      </c>
      <c r="I2026" s="2">
        <v>0</v>
      </c>
      <c r="J2026" s="2">
        <v>0</v>
      </c>
      <c r="K2026" s="20">
        <v>177.25</v>
      </c>
      <c r="L2026" t="s">
        <v>794</v>
      </c>
      <c r="M2026">
        <f t="shared" si="31"/>
        <v>2025</v>
      </c>
    </row>
    <row r="2027" spans="1:13" ht="12.75" hidden="1" customHeight="1">
      <c r="A2027" t="s">
        <v>801</v>
      </c>
      <c r="B2027" t="s">
        <v>13</v>
      </c>
      <c r="C2027" t="s">
        <v>717</v>
      </c>
      <c r="D2027" t="s">
        <v>1233</v>
      </c>
      <c r="E2027" s="1">
        <v>45873</v>
      </c>
      <c r="F2027" s="1">
        <v>45873</v>
      </c>
      <c r="G2027" s="12">
        <v>4253.32</v>
      </c>
      <c r="H2027" s="2">
        <v>0</v>
      </c>
      <c r="I2027" s="2">
        <v>0</v>
      </c>
      <c r="J2027" s="2">
        <v>0</v>
      </c>
      <c r="K2027" s="20">
        <v>4253.32</v>
      </c>
      <c r="L2027" t="s">
        <v>794</v>
      </c>
      <c r="M2027">
        <f t="shared" si="31"/>
        <v>2025</v>
      </c>
    </row>
    <row r="2028" spans="1:13" ht="12.75" hidden="1" customHeight="1">
      <c r="A2028" t="s">
        <v>801</v>
      </c>
      <c r="B2028" t="s">
        <v>13</v>
      </c>
      <c r="C2028" t="s">
        <v>726</v>
      </c>
      <c r="D2028" t="s">
        <v>1233</v>
      </c>
      <c r="E2028" s="1">
        <v>45870</v>
      </c>
      <c r="F2028" s="1">
        <v>45873</v>
      </c>
      <c r="G2028" s="12">
        <v>2.04</v>
      </c>
      <c r="H2028" s="2">
        <v>0</v>
      </c>
      <c r="I2028" s="2">
        <v>0</v>
      </c>
      <c r="J2028" s="2">
        <v>0</v>
      </c>
      <c r="K2028" s="20">
        <v>2.04</v>
      </c>
      <c r="L2028" t="s">
        <v>794</v>
      </c>
      <c r="M2028">
        <f t="shared" si="31"/>
        <v>2025</v>
      </c>
    </row>
    <row r="2029" spans="1:13" ht="12.75" hidden="1" customHeight="1">
      <c r="A2029" t="s">
        <v>801</v>
      </c>
      <c r="B2029" t="s">
        <v>13</v>
      </c>
      <c r="C2029" t="s">
        <v>726</v>
      </c>
      <c r="D2029" t="s">
        <v>1233</v>
      </c>
      <c r="E2029" s="1">
        <v>45873</v>
      </c>
      <c r="F2029" s="1">
        <v>45873</v>
      </c>
      <c r="G2029" s="12">
        <v>20.400000000000002</v>
      </c>
      <c r="H2029" s="2">
        <v>0</v>
      </c>
      <c r="I2029" s="2">
        <v>0</v>
      </c>
      <c r="J2029" s="2">
        <v>0</v>
      </c>
      <c r="K2029" s="20">
        <v>20.400000000000002</v>
      </c>
      <c r="L2029" t="s">
        <v>794</v>
      </c>
      <c r="M2029">
        <f t="shared" si="31"/>
        <v>2025</v>
      </c>
    </row>
    <row r="2030" spans="1:13" ht="12.75" hidden="1" customHeight="1">
      <c r="A2030" t="s">
        <v>801</v>
      </c>
      <c r="B2030" t="s">
        <v>13</v>
      </c>
      <c r="C2030" t="s">
        <v>740</v>
      </c>
      <c r="D2030" t="s">
        <v>1233</v>
      </c>
      <c r="E2030" s="1">
        <v>45873</v>
      </c>
      <c r="F2030" s="1">
        <v>45873</v>
      </c>
      <c r="G2030" s="12">
        <v>146.94</v>
      </c>
      <c r="H2030" s="2">
        <v>0</v>
      </c>
      <c r="I2030" s="2">
        <v>0</v>
      </c>
      <c r="J2030" s="2">
        <v>0</v>
      </c>
      <c r="K2030" s="20">
        <v>146.94</v>
      </c>
      <c r="L2030" t="s">
        <v>794</v>
      </c>
      <c r="M2030">
        <f t="shared" si="31"/>
        <v>2025</v>
      </c>
    </row>
    <row r="2031" spans="1:13" ht="12.75" hidden="1" customHeight="1">
      <c r="A2031" t="s">
        <v>801</v>
      </c>
      <c r="B2031" t="s">
        <v>13</v>
      </c>
      <c r="C2031" t="s">
        <v>740</v>
      </c>
      <c r="D2031" t="s">
        <v>1233</v>
      </c>
      <c r="E2031" s="1">
        <v>45873</v>
      </c>
      <c r="F2031" s="1">
        <v>45873</v>
      </c>
      <c r="G2031" s="12">
        <v>150.88</v>
      </c>
      <c r="H2031" s="2">
        <v>0</v>
      </c>
      <c r="I2031" s="2">
        <v>0</v>
      </c>
      <c r="J2031" s="2">
        <v>0</v>
      </c>
      <c r="K2031" s="20">
        <v>150.88</v>
      </c>
      <c r="L2031" t="s">
        <v>794</v>
      </c>
      <c r="M2031">
        <f t="shared" si="31"/>
        <v>2025</v>
      </c>
    </row>
    <row r="2032" spans="1:13" ht="12.75" hidden="1" customHeight="1">
      <c r="A2032" t="s">
        <v>819</v>
      </c>
      <c r="B2032" t="s">
        <v>38</v>
      </c>
      <c r="C2032" t="s">
        <v>138</v>
      </c>
      <c r="D2032" t="s">
        <v>1233</v>
      </c>
      <c r="E2032" s="1">
        <v>45870</v>
      </c>
      <c r="F2032" s="1">
        <v>45873</v>
      </c>
      <c r="G2032" s="12">
        <v>255.42000000000002</v>
      </c>
      <c r="H2032" s="2">
        <v>0</v>
      </c>
      <c r="I2032" s="2">
        <v>0</v>
      </c>
      <c r="J2032" s="2">
        <v>0</v>
      </c>
      <c r="K2032" s="20">
        <v>255.42000000000002</v>
      </c>
      <c r="L2032" t="s">
        <v>794</v>
      </c>
      <c r="M2032">
        <f t="shared" si="31"/>
        <v>2025</v>
      </c>
    </row>
    <row r="2033" spans="1:13" ht="12.75" hidden="1" customHeight="1">
      <c r="A2033" t="s">
        <v>855</v>
      </c>
      <c r="B2033" t="s">
        <v>20</v>
      </c>
      <c r="C2033" t="s">
        <v>759</v>
      </c>
      <c r="D2033" t="s">
        <v>1233</v>
      </c>
      <c r="E2033" s="1">
        <v>45873</v>
      </c>
      <c r="F2033" s="1">
        <v>45873</v>
      </c>
      <c r="G2033" s="12">
        <v>500</v>
      </c>
      <c r="H2033" s="2">
        <v>0</v>
      </c>
      <c r="I2033" s="2">
        <v>0</v>
      </c>
      <c r="J2033" s="2">
        <v>0</v>
      </c>
      <c r="K2033" s="20">
        <v>500</v>
      </c>
      <c r="L2033" t="s">
        <v>794</v>
      </c>
      <c r="M2033">
        <f t="shared" si="31"/>
        <v>2025</v>
      </c>
    </row>
    <row r="2034" spans="1:13" ht="12.75" hidden="1" customHeight="1">
      <c r="A2034" t="s">
        <v>1236</v>
      </c>
      <c r="B2034" t="s">
        <v>500</v>
      </c>
      <c r="C2034" t="s">
        <v>759</v>
      </c>
      <c r="D2034" t="s">
        <v>1233</v>
      </c>
      <c r="E2034" s="1">
        <v>45873</v>
      </c>
      <c r="F2034" s="1">
        <v>45873</v>
      </c>
      <c r="G2034" s="12">
        <v>142.78</v>
      </c>
      <c r="H2034" s="2">
        <v>0</v>
      </c>
      <c r="I2034" s="2">
        <v>0</v>
      </c>
      <c r="J2034" s="2">
        <v>0</v>
      </c>
      <c r="K2034" s="20">
        <v>142.78</v>
      </c>
      <c r="L2034" t="s">
        <v>794</v>
      </c>
      <c r="M2034">
        <f t="shared" si="31"/>
        <v>2025</v>
      </c>
    </row>
    <row r="2035" spans="1:13" ht="12.75" hidden="1" customHeight="1">
      <c r="A2035" t="s">
        <v>1181</v>
      </c>
      <c r="B2035" t="s">
        <v>75</v>
      </c>
      <c r="C2035" t="s">
        <v>141</v>
      </c>
      <c r="D2035" t="s">
        <v>1233</v>
      </c>
      <c r="E2035" s="1">
        <v>45874</v>
      </c>
      <c r="F2035" s="1">
        <v>45874</v>
      </c>
      <c r="G2035" s="12">
        <v>66</v>
      </c>
      <c r="H2035" s="2">
        <v>0</v>
      </c>
      <c r="I2035" s="2">
        <v>0</v>
      </c>
      <c r="J2035" s="2">
        <v>0</v>
      </c>
      <c r="K2035" s="20">
        <v>66</v>
      </c>
      <c r="L2035" t="s">
        <v>794</v>
      </c>
      <c r="M2035">
        <f t="shared" si="31"/>
        <v>2025</v>
      </c>
    </row>
    <row r="2036" spans="1:13" ht="12.75" hidden="1" customHeight="1">
      <c r="A2036" t="s">
        <v>921</v>
      </c>
      <c r="B2036" t="s">
        <v>184</v>
      </c>
      <c r="C2036" t="s">
        <v>483</v>
      </c>
      <c r="D2036" t="s">
        <v>1233</v>
      </c>
      <c r="E2036" s="1">
        <v>45874</v>
      </c>
      <c r="F2036" s="1">
        <v>45874</v>
      </c>
      <c r="G2036" s="12">
        <v>12.59</v>
      </c>
      <c r="H2036" s="2">
        <v>0</v>
      </c>
      <c r="I2036" s="2">
        <v>0</v>
      </c>
      <c r="J2036" s="2">
        <v>0</v>
      </c>
      <c r="K2036" s="20">
        <v>12.59</v>
      </c>
      <c r="L2036" t="s">
        <v>794</v>
      </c>
      <c r="M2036">
        <f t="shared" si="31"/>
        <v>2025</v>
      </c>
    </row>
    <row r="2037" spans="1:13" ht="12.75" hidden="1" customHeight="1">
      <c r="A2037" t="s">
        <v>1183</v>
      </c>
      <c r="B2037" t="s">
        <v>504</v>
      </c>
      <c r="C2037" t="s">
        <v>681</v>
      </c>
      <c r="D2037" t="s">
        <v>1233</v>
      </c>
      <c r="E2037" s="1">
        <v>45874</v>
      </c>
      <c r="F2037" s="1">
        <v>45874</v>
      </c>
      <c r="G2037" s="12">
        <v>14.8</v>
      </c>
      <c r="H2037" s="2">
        <v>0</v>
      </c>
      <c r="I2037" s="2">
        <v>0</v>
      </c>
      <c r="J2037" s="2">
        <v>0</v>
      </c>
      <c r="K2037" s="20">
        <v>14.8</v>
      </c>
      <c r="L2037" t="s">
        <v>794</v>
      </c>
      <c r="M2037">
        <f t="shared" si="31"/>
        <v>2025</v>
      </c>
    </row>
    <row r="2038" spans="1:13" ht="12.75" hidden="1" customHeight="1">
      <c r="A2038" t="s">
        <v>808</v>
      </c>
      <c r="B2038" t="s">
        <v>154</v>
      </c>
      <c r="C2038" t="s">
        <v>693</v>
      </c>
      <c r="D2038" t="s">
        <v>1233</v>
      </c>
      <c r="E2038" s="1">
        <v>45874</v>
      </c>
      <c r="F2038" s="1">
        <v>45874</v>
      </c>
      <c r="G2038" s="12">
        <v>500</v>
      </c>
      <c r="H2038" s="2">
        <v>0</v>
      </c>
      <c r="I2038" s="2">
        <v>0</v>
      </c>
      <c r="J2038" s="2">
        <v>0</v>
      </c>
      <c r="K2038" s="20">
        <v>500</v>
      </c>
      <c r="L2038" t="s">
        <v>794</v>
      </c>
      <c r="M2038">
        <f t="shared" si="31"/>
        <v>2025</v>
      </c>
    </row>
    <row r="2039" spans="1:13" ht="12.75" hidden="1" customHeight="1">
      <c r="A2039" t="s">
        <v>1144</v>
      </c>
      <c r="B2039" t="s">
        <v>389</v>
      </c>
      <c r="C2039" t="s">
        <v>491</v>
      </c>
      <c r="D2039" t="s">
        <v>1233</v>
      </c>
      <c r="E2039" s="1">
        <v>45874</v>
      </c>
      <c r="F2039" s="1">
        <v>45874</v>
      </c>
      <c r="G2039" s="12">
        <v>27</v>
      </c>
      <c r="H2039" s="2">
        <v>0</v>
      </c>
      <c r="I2039" s="2">
        <v>0</v>
      </c>
      <c r="J2039" s="2">
        <v>0</v>
      </c>
      <c r="K2039" s="20">
        <v>27</v>
      </c>
      <c r="L2039" t="s">
        <v>794</v>
      </c>
      <c r="M2039">
        <f t="shared" si="31"/>
        <v>2025</v>
      </c>
    </row>
    <row r="2040" spans="1:13" ht="12.75" hidden="1" customHeight="1">
      <c r="A2040" t="s">
        <v>981</v>
      </c>
      <c r="B2040" t="s">
        <v>55</v>
      </c>
      <c r="C2040" t="s">
        <v>99</v>
      </c>
      <c r="D2040" t="s">
        <v>1233</v>
      </c>
      <c r="E2040" s="1">
        <v>45874</v>
      </c>
      <c r="F2040" s="1">
        <v>45874</v>
      </c>
      <c r="G2040" s="12">
        <v>500</v>
      </c>
      <c r="H2040" s="2">
        <v>0</v>
      </c>
      <c r="I2040" s="2">
        <v>0</v>
      </c>
      <c r="J2040" s="2">
        <v>0</v>
      </c>
      <c r="K2040" s="20">
        <v>500</v>
      </c>
      <c r="L2040" t="s">
        <v>794</v>
      </c>
      <c r="M2040">
        <f t="shared" si="31"/>
        <v>2025</v>
      </c>
    </row>
    <row r="2041" spans="1:13" ht="12.75" hidden="1" customHeight="1">
      <c r="A2041" t="s">
        <v>1237</v>
      </c>
      <c r="B2041" t="s">
        <v>677</v>
      </c>
      <c r="C2041" t="s">
        <v>140</v>
      </c>
      <c r="D2041" t="s">
        <v>1233</v>
      </c>
      <c r="E2041" s="1">
        <v>45874</v>
      </c>
      <c r="F2041" s="1">
        <v>45874</v>
      </c>
      <c r="G2041" s="12">
        <v>20</v>
      </c>
      <c r="H2041" s="2">
        <v>0</v>
      </c>
      <c r="I2041" s="2">
        <v>0</v>
      </c>
      <c r="J2041" s="2">
        <v>0</v>
      </c>
      <c r="K2041" s="20">
        <v>20</v>
      </c>
      <c r="L2041" t="s">
        <v>794</v>
      </c>
      <c r="M2041">
        <f t="shared" si="31"/>
        <v>2025</v>
      </c>
    </row>
    <row r="2042" spans="1:13" ht="12.75" hidden="1" customHeight="1">
      <c r="A2042" t="s">
        <v>924</v>
      </c>
      <c r="B2042" t="s">
        <v>87</v>
      </c>
      <c r="C2042" t="s">
        <v>139</v>
      </c>
      <c r="D2042" t="s">
        <v>1233</v>
      </c>
      <c r="E2042" s="1">
        <v>45874</v>
      </c>
      <c r="F2042" s="1">
        <v>45874</v>
      </c>
      <c r="G2042" s="12">
        <v>61.2</v>
      </c>
      <c r="H2042" s="2">
        <v>0</v>
      </c>
      <c r="I2042" s="2">
        <v>0</v>
      </c>
      <c r="J2042" s="2">
        <v>0</v>
      </c>
      <c r="K2042" s="20">
        <v>61.2</v>
      </c>
      <c r="L2042" t="s">
        <v>794</v>
      </c>
      <c r="M2042">
        <f t="shared" si="31"/>
        <v>2025</v>
      </c>
    </row>
    <row r="2043" spans="1:13" ht="12.75" hidden="1" customHeight="1">
      <c r="A2043" t="s">
        <v>797</v>
      </c>
      <c r="B2043" t="s">
        <v>25</v>
      </c>
      <c r="C2043" t="s">
        <v>206</v>
      </c>
      <c r="D2043" t="s">
        <v>1233</v>
      </c>
      <c r="E2043" s="1">
        <v>45874</v>
      </c>
      <c r="F2043" s="1">
        <v>45874</v>
      </c>
      <c r="G2043" s="12">
        <v>1963.2</v>
      </c>
      <c r="H2043" s="2">
        <v>0</v>
      </c>
      <c r="I2043" s="2">
        <v>0</v>
      </c>
      <c r="J2043" s="2">
        <v>0</v>
      </c>
      <c r="K2043" s="20">
        <v>1963.2</v>
      </c>
      <c r="L2043" t="s">
        <v>794</v>
      </c>
      <c r="M2043">
        <f t="shared" si="31"/>
        <v>2025</v>
      </c>
    </row>
    <row r="2044" spans="1:13" ht="12.75" hidden="1" customHeight="1">
      <c r="A2044" t="s">
        <v>792</v>
      </c>
      <c r="B2044" t="s">
        <v>35</v>
      </c>
      <c r="C2044" t="s">
        <v>206</v>
      </c>
      <c r="D2044" t="s">
        <v>1233</v>
      </c>
      <c r="E2044" s="1">
        <v>45874</v>
      </c>
      <c r="F2044" s="1">
        <v>45874</v>
      </c>
      <c r="G2044" s="12">
        <v>1036.8</v>
      </c>
      <c r="H2044" s="2">
        <v>0</v>
      </c>
      <c r="I2044" s="2">
        <v>0</v>
      </c>
      <c r="J2044" s="2">
        <v>0</v>
      </c>
      <c r="K2044" s="20">
        <v>1036.8</v>
      </c>
      <c r="L2044" t="s">
        <v>794</v>
      </c>
      <c r="M2044">
        <f t="shared" si="31"/>
        <v>2025</v>
      </c>
    </row>
    <row r="2045" spans="1:13" ht="12.75" hidden="1" customHeight="1">
      <c r="A2045" t="s">
        <v>801</v>
      </c>
      <c r="B2045" t="s">
        <v>13</v>
      </c>
      <c r="C2045" t="s">
        <v>726</v>
      </c>
      <c r="D2045" t="s">
        <v>1233</v>
      </c>
      <c r="E2045" s="1">
        <v>45874</v>
      </c>
      <c r="F2045" s="1">
        <v>45874</v>
      </c>
      <c r="G2045" s="12">
        <v>135.52000000000001</v>
      </c>
      <c r="H2045" s="2">
        <v>0</v>
      </c>
      <c r="I2045" s="2">
        <v>0</v>
      </c>
      <c r="J2045" s="2">
        <v>0</v>
      </c>
      <c r="K2045" s="20">
        <v>135.52000000000001</v>
      </c>
      <c r="L2045" t="s">
        <v>794</v>
      </c>
      <c r="M2045">
        <f t="shared" si="31"/>
        <v>2025</v>
      </c>
    </row>
    <row r="2046" spans="1:13" ht="12.75" hidden="1" customHeight="1">
      <c r="A2046" t="s">
        <v>823</v>
      </c>
      <c r="B2046" t="s">
        <v>245</v>
      </c>
      <c r="C2046" t="s">
        <v>723</v>
      </c>
      <c r="D2046" t="s">
        <v>1233</v>
      </c>
      <c r="E2046" s="1">
        <v>45870</v>
      </c>
      <c r="F2046" s="1">
        <v>45874</v>
      </c>
      <c r="G2046" s="12">
        <v>252.28</v>
      </c>
      <c r="H2046" s="2">
        <v>0</v>
      </c>
      <c r="I2046" s="2">
        <v>0</v>
      </c>
      <c r="J2046" s="2">
        <v>0</v>
      </c>
      <c r="K2046" s="20">
        <v>252.28</v>
      </c>
      <c r="L2046" t="s">
        <v>794</v>
      </c>
      <c r="M2046">
        <f t="shared" si="31"/>
        <v>2025</v>
      </c>
    </row>
    <row r="2047" spans="1:13" ht="12.75" hidden="1" customHeight="1">
      <c r="A2047" t="s">
        <v>837</v>
      </c>
      <c r="B2047" t="s">
        <v>58</v>
      </c>
      <c r="C2047" t="s">
        <v>206</v>
      </c>
      <c r="D2047" t="s">
        <v>1233</v>
      </c>
      <c r="E2047" s="1">
        <v>45874</v>
      </c>
      <c r="F2047" s="1">
        <v>45874</v>
      </c>
      <c r="G2047" s="12">
        <v>1877.16</v>
      </c>
      <c r="H2047" s="2">
        <v>0</v>
      </c>
      <c r="I2047" s="2">
        <v>0</v>
      </c>
      <c r="J2047" s="2">
        <v>0</v>
      </c>
      <c r="K2047" s="20">
        <v>1877.16</v>
      </c>
      <c r="L2047" t="s">
        <v>794</v>
      </c>
      <c r="M2047">
        <f t="shared" si="31"/>
        <v>2025</v>
      </c>
    </row>
    <row r="2048" spans="1:13" ht="12.75" hidden="1" customHeight="1">
      <c r="A2048" t="s">
        <v>821</v>
      </c>
      <c r="B2048" t="s">
        <v>72</v>
      </c>
      <c r="C2048" t="s">
        <v>722</v>
      </c>
      <c r="D2048" t="s">
        <v>1233</v>
      </c>
      <c r="E2048" s="1">
        <v>45873</v>
      </c>
      <c r="F2048" s="1">
        <v>45874</v>
      </c>
      <c r="G2048" s="12">
        <v>1409.45</v>
      </c>
      <c r="H2048" s="2">
        <v>0</v>
      </c>
      <c r="I2048" s="2">
        <v>0</v>
      </c>
      <c r="J2048" s="2">
        <v>0</v>
      </c>
      <c r="K2048" s="20">
        <v>1409.45</v>
      </c>
      <c r="L2048" t="s">
        <v>794</v>
      </c>
      <c r="M2048">
        <f t="shared" si="31"/>
        <v>2025</v>
      </c>
    </row>
    <row r="2049" spans="1:13" ht="12.75" hidden="1" customHeight="1">
      <c r="A2049" t="s">
        <v>1238</v>
      </c>
      <c r="B2049" t="s">
        <v>626</v>
      </c>
      <c r="C2049" t="s">
        <v>759</v>
      </c>
      <c r="D2049" t="s">
        <v>1233</v>
      </c>
      <c r="E2049" s="1">
        <v>45874</v>
      </c>
      <c r="F2049" s="1">
        <v>45874</v>
      </c>
      <c r="G2049" s="12">
        <v>25.43</v>
      </c>
      <c r="H2049" s="2">
        <v>0</v>
      </c>
      <c r="I2049" s="2">
        <v>0</v>
      </c>
      <c r="J2049" s="2">
        <v>0</v>
      </c>
      <c r="K2049" s="20">
        <v>25.43</v>
      </c>
      <c r="L2049" t="s">
        <v>794</v>
      </c>
      <c r="M2049">
        <f t="shared" si="31"/>
        <v>2025</v>
      </c>
    </row>
    <row r="2050" spans="1:13" ht="12.75" hidden="1" customHeight="1">
      <c r="A2050" t="s">
        <v>801</v>
      </c>
      <c r="B2050" t="s">
        <v>13</v>
      </c>
      <c r="C2050" t="s">
        <v>726</v>
      </c>
      <c r="D2050" t="s">
        <v>1233</v>
      </c>
      <c r="E2050" s="1">
        <v>45874</v>
      </c>
      <c r="F2050" s="1">
        <v>45874</v>
      </c>
      <c r="G2050" s="12">
        <v>38.76</v>
      </c>
      <c r="H2050" s="2">
        <v>0</v>
      </c>
      <c r="I2050" s="2">
        <v>0</v>
      </c>
      <c r="J2050" s="2">
        <v>0</v>
      </c>
      <c r="K2050" s="20">
        <v>38.76</v>
      </c>
      <c r="L2050" t="s">
        <v>794</v>
      </c>
      <c r="M2050">
        <f t="shared" si="31"/>
        <v>2025</v>
      </c>
    </row>
    <row r="2051" spans="1:13" ht="12.75" hidden="1" customHeight="1">
      <c r="A2051" t="s">
        <v>1180</v>
      </c>
      <c r="B2051" t="s">
        <v>179</v>
      </c>
      <c r="C2051" t="s">
        <v>141</v>
      </c>
      <c r="D2051" t="s">
        <v>1233</v>
      </c>
      <c r="E2051" s="1">
        <v>45873</v>
      </c>
      <c r="F2051" s="1">
        <v>45874</v>
      </c>
      <c r="G2051" s="12">
        <v>186</v>
      </c>
      <c r="H2051" s="2">
        <v>0</v>
      </c>
      <c r="I2051" s="2">
        <v>0</v>
      </c>
      <c r="J2051" s="2">
        <v>0</v>
      </c>
      <c r="K2051" s="20">
        <v>186</v>
      </c>
      <c r="L2051" t="s">
        <v>794</v>
      </c>
      <c r="M2051">
        <f t="shared" ref="M2051:M2114" si="32">YEAR(F2051)</f>
        <v>2025</v>
      </c>
    </row>
    <row r="2052" spans="1:13" ht="12.75" hidden="1" customHeight="1">
      <c r="A2052" t="s">
        <v>1144</v>
      </c>
      <c r="B2052" t="s">
        <v>389</v>
      </c>
      <c r="C2052" t="s">
        <v>491</v>
      </c>
      <c r="D2052" t="s">
        <v>1233</v>
      </c>
      <c r="E2052" s="1">
        <v>45875</v>
      </c>
      <c r="F2052" s="1">
        <v>45875</v>
      </c>
      <c r="G2052" s="12">
        <v>81</v>
      </c>
      <c r="H2052" s="2">
        <v>0</v>
      </c>
      <c r="I2052" s="2">
        <v>0</v>
      </c>
      <c r="J2052" s="2">
        <v>0</v>
      </c>
      <c r="K2052" s="20">
        <v>81</v>
      </c>
      <c r="L2052" t="s">
        <v>794</v>
      </c>
      <c r="M2052">
        <f t="shared" si="32"/>
        <v>2025</v>
      </c>
    </row>
    <row r="2053" spans="1:13" ht="12.75" hidden="1" customHeight="1">
      <c r="A2053" t="s">
        <v>1239</v>
      </c>
      <c r="B2053" t="s">
        <v>224</v>
      </c>
      <c r="C2053" t="s">
        <v>140</v>
      </c>
      <c r="D2053" t="s">
        <v>1233</v>
      </c>
      <c r="E2053" s="1">
        <v>45875</v>
      </c>
      <c r="F2053" s="1">
        <v>45875</v>
      </c>
      <c r="G2053" s="12">
        <v>30</v>
      </c>
      <c r="H2053" s="2">
        <v>0</v>
      </c>
      <c r="I2053" s="2">
        <v>0</v>
      </c>
      <c r="J2053" s="2">
        <v>0</v>
      </c>
      <c r="K2053" s="20">
        <v>30</v>
      </c>
      <c r="L2053" t="s">
        <v>794</v>
      </c>
      <c r="M2053">
        <f t="shared" si="32"/>
        <v>2025</v>
      </c>
    </row>
    <row r="2054" spans="1:13" ht="12.75" hidden="1" customHeight="1">
      <c r="A2054" t="s">
        <v>1240</v>
      </c>
      <c r="B2054" t="s">
        <v>263</v>
      </c>
      <c r="C2054" t="s">
        <v>140</v>
      </c>
      <c r="D2054" t="s">
        <v>1233</v>
      </c>
      <c r="E2054" s="1">
        <v>45875</v>
      </c>
      <c r="F2054" s="1">
        <v>45875</v>
      </c>
      <c r="G2054" s="12">
        <v>60</v>
      </c>
      <c r="H2054" s="2">
        <v>0</v>
      </c>
      <c r="I2054" s="2">
        <v>0</v>
      </c>
      <c r="J2054" s="2">
        <v>0</v>
      </c>
      <c r="K2054" s="20">
        <v>60</v>
      </c>
      <c r="L2054" t="s">
        <v>794</v>
      </c>
      <c r="M2054">
        <f t="shared" si="32"/>
        <v>2025</v>
      </c>
    </row>
    <row r="2055" spans="1:13" ht="12.75" hidden="1" customHeight="1">
      <c r="A2055" t="s">
        <v>825</v>
      </c>
      <c r="B2055" t="s">
        <v>46</v>
      </c>
      <c r="C2055" t="s">
        <v>723</v>
      </c>
      <c r="D2055" t="s">
        <v>1233</v>
      </c>
      <c r="E2055" s="1">
        <v>45875</v>
      </c>
      <c r="F2055" s="1">
        <v>45875</v>
      </c>
      <c r="G2055" s="12">
        <v>100</v>
      </c>
      <c r="H2055" s="2">
        <v>0</v>
      </c>
      <c r="I2055" s="2">
        <v>0</v>
      </c>
      <c r="J2055" s="2">
        <v>0</v>
      </c>
      <c r="K2055" s="20">
        <v>100</v>
      </c>
      <c r="L2055" t="s">
        <v>794</v>
      </c>
      <c r="M2055">
        <f t="shared" si="32"/>
        <v>2025</v>
      </c>
    </row>
    <row r="2056" spans="1:13" ht="12.75" hidden="1" customHeight="1">
      <c r="A2056" t="s">
        <v>1241</v>
      </c>
      <c r="B2056" t="s">
        <v>697</v>
      </c>
      <c r="C2056" t="s">
        <v>723</v>
      </c>
      <c r="D2056" t="s">
        <v>1142</v>
      </c>
      <c r="E2056" s="1">
        <v>45816</v>
      </c>
      <c r="F2056" s="1">
        <v>45875</v>
      </c>
      <c r="G2056" s="12">
        <v>14.8</v>
      </c>
      <c r="H2056" s="2">
        <v>0</v>
      </c>
      <c r="I2056" s="2">
        <v>0</v>
      </c>
      <c r="J2056" s="2">
        <v>0</v>
      </c>
      <c r="K2056" s="20">
        <v>14.8</v>
      </c>
      <c r="L2056" t="s">
        <v>794</v>
      </c>
      <c r="M2056">
        <f t="shared" si="32"/>
        <v>2025</v>
      </c>
    </row>
    <row r="2057" spans="1:13" ht="12.75" hidden="1" customHeight="1">
      <c r="A2057" t="s">
        <v>921</v>
      </c>
      <c r="B2057" t="s">
        <v>184</v>
      </c>
      <c r="C2057" t="s">
        <v>483</v>
      </c>
      <c r="D2057" t="s">
        <v>1142</v>
      </c>
      <c r="E2057" s="1">
        <v>45816</v>
      </c>
      <c r="F2057" s="1">
        <v>45875</v>
      </c>
      <c r="G2057" s="12">
        <v>91.960000000000008</v>
      </c>
      <c r="H2057" s="2">
        <v>0</v>
      </c>
      <c r="I2057" s="2">
        <v>0</v>
      </c>
      <c r="J2057" s="2">
        <v>0</v>
      </c>
      <c r="K2057" s="20">
        <v>91.960000000000008</v>
      </c>
      <c r="L2057" t="s">
        <v>794</v>
      </c>
      <c r="M2057">
        <f t="shared" si="32"/>
        <v>2025</v>
      </c>
    </row>
    <row r="2058" spans="1:13" ht="12.75" hidden="1" customHeight="1">
      <c r="A2058" t="s">
        <v>1238</v>
      </c>
      <c r="B2058" t="s">
        <v>626</v>
      </c>
      <c r="C2058" t="s">
        <v>759</v>
      </c>
      <c r="D2058" t="s">
        <v>1233</v>
      </c>
      <c r="E2058" s="1">
        <v>45875</v>
      </c>
      <c r="F2058" s="1">
        <v>45875</v>
      </c>
      <c r="G2058" s="12">
        <v>24.04</v>
      </c>
      <c r="H2058" s="2">
        <v>0</v>
      </c>
      <c r="I2058" s="2">
        <v>0</v>
      </c>
      <c r="J2058" s="2">
        <v>0</v>
      </c>
      <c r="K2058" s="20">
        <v>24.04</v>
      </c>
      <c r="L2058" t="s">
        <v>794</v>
      </c>
      <c r="M2058">
        <f t="shared" si="32"/>
        <v>2025</v>
      </c>
    </row>
    <row r="2059" spans="1:13" ht="12.75" hidden="1" customHeight="1">
      <c r="A2059" t="s">
        <v>1180</v>
      </c>
      <c r="B2059" t="s">
        <v>179</v>
      </c>
      <c r="C2059" t="s">
        <v>137</v>
      </c>
      <c r="D2059" t="s">
        <v>1233</v>
      </c>
      <c r="E2059" s="1">
        <v>45875</v>
      </c>
      <c r="F2059" s="1">
        <v>45875</v>
      </c>
      <c r="G2059" s="12">
        <v>352.44</v>
      </c>
      <c r="H2059" s="2">
        <v>0</v>
      </c>
      <c r="I2059" s="2">
        <v>0</v>
      </c>
      <c r="J2059" s="2">
        <v>0</v>
      </c>
      <c r="K2059" s="20">
        <v>352.44</v>
      </c>
      <c r="L2059" t="s">
        <v>794</v>
      </c>
      <c r="M2059">
        <f t="shared" si="32"/>
        <v>2025</v>
      </c>
    </row>
    <row r="2060" spans="1:13" ht="12.75" hidden="1" customHeight="1">
      <c r="A2060" t="s">
        <v>1112</v>
      </c>
      <c r="B2060" t="s">
        <v>68</v>
      </c>
      <c r="C2060" t="s">
        <v>137</v>
      </c>
      <c r="D2060" t="s">
        <v>1233</v>
      </c>
      <c r="E2060" s="1">
        <v>45875</v>
      </c>
      <c r="F2060" s="1">
        <v>45875</v>
      </c>
      <c r="G2060" s="12">
        <v>900</v>
      </c>
      <c r="H2060" s="2">
        <v>0</v>
      </c>
      <c r="I2060" s="2">
        <v>0</v>
      </c>
      <c r="J2060" s="2">
        <v>0</v>
      </c>
      <c r="K2060" s="20">
        <v>900</v>
      </c>
      <c r="L2060" t="s">
        <v>794</v>
      </c>
      <c r="M2060">
        <f t="shared" si="32"/>
        <v>2025</v>
      </c>
    </row>
    <row r="2061" spans="1:13" ht="12.75" hidden="1" customHeight="1">
      <c r="A2061" t="s">
        <v>819</v>
      </c>
      <c r="B2061" t="s">
        <v>38</v>
      </c>
      <c r="C2061" t="s">
        <v>137</v>
      </c>
      <c r="D2061" t="s">
        <v>1233</v>
      </c>
      <c r="E2061" s="1">
        <v>45875</v>
      </c>
      <c r="F2061" s="1">
        <v>45875</v>
      </c>
      <c r="G2061" s="12">
        <v>1656</v>
      </c>
      <c r="H2061" s="2">
        <v>0</v>
      </c>
      <c r="I2061" s="2">
        <v>0</v>
      </c>
      <c r="J2061" s="2">
        <v>0</v>
      </c>
      <c r="K2061" s="20">
        <v>1656</v>
      </c>
      <c r="L2061" t="s">
        <v>794</v>
      </c>
      <c r="M2061">
        <f t="shared" si="32"/>
        <v>2025</v>
      </c>
    </row>
    <row r="2062" spans="1:13" ht="12.75" hidden="1" customHeight="1">
      <c r="A2062" t="s">
        <v>1009</v>
      </c>
      <c r="B2062" t="s">
        <v>62</v>
      </c>
      <c r="C2062" t="s">
        <v>137</v>
      </c>
      <c r="D2062" t="s">
        <v>1233</v>
      </c>
      <c r="E2062" s="1">
        <v>45875</v>
      </c>
      <c r="F2062" s="1">
        <v>45875</v>
      </c>
      <c r="G2062" s="12">
        <v>1298</v>
      </c>
      <c r="H2062" s="2">
        <v>0</v>
      </c>
      <c r="I2062" s="2">
        <v>0</v>
      </c>
      <c r="J2062" s="2">
        <v>0</v>
      </c>
      <c r="K2062" s="20">
        <v>1298</v>
      </c>
      <c r="L2062" t="s">
        <v>794</v>
      </c>
      <c r="M2062">
        <f t="shared" si="32"/>
        <v>2025</v>
      </c>
    </row>
    <row r="2063" spans="1:13" ht="12.75" hidden="1" customHeight="1">
      <c r="A2063" t="s">
        <v>924</v>
      </c>
      <c r="B2063" t="s">
        <v>87</v>
      </c>
      <c r="C2063" t="s">
        <v>137</v>
      </c>
      <c r="D2063" t="s">
        <v>1025</v>
      </c>
      <c r="E2063" s="1">
        <v>45875</v>
      </c>
      <c r="F2063" s="1">
        <v>45875</v>
      </c>
      <c r="G2063" s="12">
        <v>638.66</v>
      </c>
      <c r="H2063" s="2">
        <v>0</v>
      </c>
      <c r="I2063" s="2">
        <v>0</v>
      </c>
      <c r="J2063" s="2">
        <v>0</v>
      </c>
      <c r="K2063" s="20">
        <v>638.66</v>
      </c>
      <c r="L2063" t="s">
        <v>794</v>
      </c>
      <c r="M2063">
        <f t="shared" si="32"/>
        <v>2025</v>
      </c>
    </row>
    <row r="2064" spans="1:13" ht="12.75" hidden="1" customHeight="1">
      <c r="A2064" t="s">
        <v>1141</v>
      </c>
      <c r="B2064" t="s">
        <v>69</v>
      </c>
      <c r="C2064" t="s">
        <v>137</v>
      </c>
      <c r="D2064" t="s">
        <v>1233</v>
      </c>
      <c r="E2064" s="1">
        <v>45875</v>
      </c>
      <c r="F2064" s="1">
        <v>45875</v>
      </c>
      <c r="G2064" s="12">
        <v>1405</v>
      </c>
      <c r="H2064" s="2">
        <v>0</v>
      </c>
      <c r="I2064" s="2">
        <v>0</v>
      </c>
      <c r="J2064" s="2">
        <v>0</v>
      </c>
      <c r="K2064" s="20">
        <v>1405</v>
      </c>
      <c r="L2064" t="s">
        <v>794</v>
      </c>
      <c r="M2064">
        <f t="shared" si="32"/>
        <v>2025</v>
      </c>
    </row>
    <row r="2065" spans="1:13" ht="12.75" hidden="1" customHeight="1">
      <c r="A2065" t="s">
        <v>1173</v>
      </c>
      <c r="B2065" t="s">
        <v>45</v>
      </c>
      <c r="C2065" t="s">
        <v>137</v>
      </c>
      <c r="D2065" t="s">
        <v>1233</v>
      </c>
      <c r="E2065" s="1">
        <v>45875</v>
      </c>
      <c r="F2065" s="1">
        <v>45875</v>
      </c>
      <c r="G2065" s="12">
        <v>1821</v>
      </c>
      <c r="H2065" s="2">
        <v>0</v>
      </c>
      <c r="I2065" s="2">
        <v>0</v>
      </c>
      <c r="J2065" s="2">
        <v>0</v>
      </c>
      <c r="K2065" s="20">
        <v>1821</v>
      </c>
      <c r="L2065" t="s">
        <v>794</v>
      </c>
      <c r="M2065">
        <f t="shared" si="32"/>
        <v>2025</v>
      </c>
    </row>
    <row r="2066" spans="1:13" ht="12.75" hidden="1" customHeight="1">
      <c r="A2066" t="s">
        <v>1105</v>
      </c>
      <c r="B2066" t="s">
        <v>84</v>
      </c>
      <c r="C2066" t="s">
        <v>137</v>
      </c>
      <c r="D2066" t="s">
        <v>1233</v>
      </c>
      <c r="E2066" s="1">
        <v>45875</v>
      </c>
      <c r="F2066" s="1">
        <v>45875</v>
      </c>
      <c r="G2066" s="12">
        <v>1548</v>
      </c>
      <c r="H2066" s="2">
        <v>0</v>
      </c>
      <c r="I2066" s="2">
        <v>0</v>
      </c>
      <c r="J2066" s="2">
        <v>0</v>
      </c>
      <c r="K2066" s="20">
        <v>1548</v>
      </c>
      <c r="L2066" t="s">
        <v>794</v>
      </c>
      <c r="M2066">
        <f t="shared" si="32"/>
        <v>2025</v>
      </c>
    </row>
    <row r="2067" spans="1:13" ht="12.75" hidden="1" customHeight="1">
      <c r="A2067" t="s">
        <v>1125</v>
      </c>
      <c r="B2067" t="s">
        <v>150</v>
      </c>
      <c r="C2067" t="s">
        <v>137</v>
      </c>
      <c r="D2067" t="s">
        <v>1233</v>
      </c>
      <c r="E2067" s="1">
        <v>45875</v>
      </c>
      <c r="F2067" s="1">
        <v>45875</v>
      </c>
      <c r="G2067" s="12">
        <v>900</v>
      </c>
      <c r="H2067" s="2">
        <v>0</v>
      </c>
      <c r="I2067" s="2">
        <v>0</v>
      </c>
      <c r="J2067" s="2">
        <v>0</v>
      </c>
      <c r="K2067" s="20">
        <v>900</v>
      </c>
      <c r="L2067" t="s">
        <v>794</v>
      </c>
      <c r="M2067">
        <f t="shared" si="32"/>
        <v>2025</v>
      </c>
    </row>
    <row r="2068" spans="1:13" ht="12.75" hidden="1" customHeight="1">
      <c r="A2068" t="s">
        <v>836</v>
      </c>
      <c r="B2068" t="s">
        <v>37</v>
      </c>
      <c r="C2068" t="s">
        <v>137</v>
      </c>
      <c r="D2068" t="s">
        <v>1233</v>
      </c>
      <c r="E2068" s="1">
        <v>45875</v>
      </c>
      <c r="F2068" s="1">
        <v>45875</v>
      </c>
      <c r="G2068" s="12">
        <v>1606</v>
      </c>
      <c r="H2068" s="2">
        <v>0</v>
      </c>
      <c r="I2068" s="2">
        <v>0</v>
      </c>
      <c r="J2068" s="2">
        <v>0</v>
      </c>
      <c r="K2068" s="20">
        <v>1606</v>
      </c>
      <c r="L2068" t="s">
        <v>794</v>
      </c>
      <c r="M2068">
        <f t="shared" si="32"/>
        <v>2025</v>
      </c>
    </row>
    <row r="2069" spans="1:13" ht="12.75" hidden="1" customHeight="1">
      <c r="A2069" t="s">
        <v>1181</v>
      </c>
      <c r="B2069" t="s">
        <v>75</v>
      </c>
      <c r="C2069" t="s">
        <v>137</v>
      </c>
      <c r="D2069" t="s">
        <v>1233</v>
      </c>
      <c r="E2069" s="1">
        <v>45875</v>
      </c>
      <c r="F2069" s="1">
        <v>45875</v>
      </c>
      <c r="G2069" s="12">
        <v>763.62</v>
      </c>
      <c r="H2069" s="2">
        <v>0</v>
      </c>
      <c r="I2069" s="2">
        <v>0</v>
      </c>
      <c r="J2069" s="2">
        <v>0</v>
      </c>
      <c r="K2069" s="20">
        <v>763.62</v>
      </c>
      <c r="L2069" t="s">
        <v>794</v>
      </c>
      <c r="M2069">
        <f t="shared" si="32"/>
        <v>2025</v>
      </c>
    </row>
    <row r="2070" spans="1:13" ht="12.75" hidden="1" customHeight="1">
      <c r="A2070" t="s">
        <v>1196</v>
      </c>
      <c r="B2070" t="s">
        <v>1197</v>
      </c>
      <c r="C2070" t="s">
        <v>137</v>
      </c>
      <c r="D2070" t="s">
        <v>1233</v>
      </c>
      <c r="E2070" s="1">
        <v>45875</v>
      </c>
      <c r="F2070" s="1">
        <v>45875</v>
      </c>
      <c r="G2070" s="12">
        <v>300</v>
      </c>
      <c r="H2070" s="2">
        <v>0</v>
      </c>
      <c r="I2070" s="2">
        <v>0</v>
      </c>
      <c r="J2070" s="2">
        <v>0</v>
      </c>
      <c r="K2070" s="20">
        <v>300</v>
      </c>
      <c r="L2070" t="s">
        <v>794</v>
      </c>
      <c r="M2070">
        <f t="shared" si="32"/>
        <v>2025</v>
      </c>
    </row>
    <row r="2071" spans="1:13" ht="12.75" hidden="1" customHeight="1">
      <c r="A2071" t="s">
        <v>833</v>
      </c>
      <c r="B2071" t="s">
        <v>27</v>
      </c>
      <c r="C2071" t="s">
        <v>137</v>
      </c>
      <c r="D2071" t="s">
        <v>1233</v>
      </c>
      <c r="E2071" s="1">
        <v>45875</v>
      </c>
      <c r="F2071" s="1">
        <v>45875</v>
      </c>
      <c r="G2071" s="12">
        <v>1000</v>
      </c>
      <c r="H2071" s="2">
        <v>0</v>
      </c>
      <c r="I2071" s="2">
        <v>0</v>
      </c>
      <c r="J2071" s="2">
        <v>0</v>
      </c>
      <c r="K2071" s="20">
        <v>1000</v>
      </c>
      <c r="L2071" t="s">
        <v>794</v>
      </c>
      <c r="M2071">
        <f t="shared" si="32"/>
        <v>2025</v>
      </c>
    </row>
    <row r="2072" spans="1:13" ht="12.75" hidden="1" customHeight="1">
      <c r="A2072" t="s">
        <v>855</v>
      </c>
      <c r="B2072" t="s">
        <v>20</v>
      </c>
      <c r="C2072" t="s">
        <v>721</v>
      </c>
      <c r="D2072" t="s">
        <v>1233</v>
      </c>
      <c r="E2072" s="1">
        <v>45875</v>
      </c>
      <c r="F2072" s="1">
        <v>45875</v>
      </c>
      <c r="G2072" s="12">
        <v>1000</v>
      </c>
      <c r="H2072" s="2">
        <v>0</v>
      </c>
      <c r="I2072" s="2">
        <v>0</v>
      </c>
      <c r="J2072" s="2">
        <v>0</v>
      </c>
      <c r="K2072" s="20">
        <v>1000</v>
      </c>
      <c r="L2072" t="s">
        <v>794</v>
      </c>
      <c r="M2072">
        <f t="shared" si="32"/>
        <v>2025</v>
      </c>
    </row>
    <row r="2073" spans="1:13" ht="12.75" hidden="1" customHeight="1">
      <c r="A2073" t="s">
        <v>855</v>
      </c>
      <c r="B2073" t="s">
        <v>20</v>
      </c>
      <c r="C2073" t="s">
        <v>721</v>
      </c>
      <c r="D2073" t="s">
        <v>1233</v>
      </c>
      <c r="E2073" s="1">
        <v>45875</v>
      </c>
      <c r="F2073" s="1">
        <v>45875</v>
      </c>
      <c r="G2073" s="12">
        <v>5000</v>
      </c>
      <c r="H2073" s="2">
        <v>0</v>
      </c>
      <c r="I2073" s="2">
        <v>0</v>
      </c>
      <c r="J2073" s="2">
        <v>0</v>
      </c>
      <c r="K2073" s="20">
        <v>5000</v>
      </c>
      <c r="L2073" t="s">
        <v>794</v>
      </c>
      <c r="M2073">
        <f t="shared" si="32"/>
        <v>2025</v>
      </c>
    </row>
    <row r="2074" spans="1:13" ht="12.75" hidden="1" customHeight="1">
      <c r="A2074" t="s">
        <v>801</v>
      </c>
      <c r="B2074" t="s">
        <v>13</v>
      </c>
      <c r="C2074" t="s">
        <v>726</v>
      </c>
      <c r="D2074" t="s">
        <v>1233</v>
      </c>
      <c r="E2074" s="1">
        <v>45875</v>
      </c>
      <c r="F2074" s="1">
        <v>45875</v>
      </c>
      <c r="G2074" s="12">
        <v>53.04</v>
      </c>
      <c r="H2074" s="2">
        <v>0</v>
      </c>
      <c r="I2074" s="2">
        <v>0</v>
      </c>
      <c r="J2074" s="2">
        <v>0</v>
      </c>
      <c r="K2074" s="20">
        <v>53.04</v>
      </c>
      <c r="L2074" t="s">
        <v>794</v>
      </c>
      <c r="M2074">
        <f t="shared" si="32"/>
        <v>2025</v>
      </c>
    </row>
    <row r="2075" spans="1:13" ht="12.75" hidden="1" customHeight="1">
      <c r="A2075" t="s">
        <v>810</v>
      </c>
      <c r="B2075" t="s">
        <v>54</v>
      </c>
      <c r="C2075" t="s">
        <v>137</v>
      </c>
      <c r="D2075" t="s">
        <v>1233</v>
      </c>
      <c r="E2075" s="1">
        <v>45875</v>
      </c>
      <c r="F2075" s="1">
        <v>45875</v>
      </c>
      <c r="G2075" s="12">
        <v>884</v>
      </c>
      <c r="H2075" s="2">
        <v>0</v>
      </c>
      <c r="I2075" s="2">
        <v>0</v>
      </c>
      <c r="J2075" s="2">
        <v>0</v>
      </c>
      <c r="K2075" s="20">
        <v>884</v>
      </c>
      <c r="L2075" t="s">
        <v>794</v>
      </c>
      <c r="M2075">
        <f t="shared" si="32"/>
        <v>2025</v>
      </c>
    </row>
    <row r="2076" spans="1:13" ht="12.75" hidden="1" customHeight="1">
      <c r="A2076" t="s">
        <v>811</v>
      </c>
      <c r="B2076" t="s">
        <v>39</v>
      </c>
      <c r="C2076" t="s">
        <v>137</v>
      </c>
      <c r="D2076" t="s">
        <v>1233</v>
      </c>
      <c r="E2076" s="1">
        <v>45875</v>
      </c>
      <c r="F2076" s="1">
        <v>45875</v>
      </c>
      <c r="G2076" s="12">
        <v>1524</v>
      </c>
      <c r="H2076" s="2">
        <v>0</v>
      </c>
      <c r="I2076" s="2">
        <v>0</v>
      </c>
      <c r="J2076" s="2">
        <v>0</v>
      </c>
      <c r="K2076" s="20">
        <v>1524</v>
      </c>
      <c r="L2076" t="s">
        <v>794</v>
      </c>
      <c r="M2076">
        <f t="shared" si="32"/>
        <v>2025</v>
      </c>
    </row>
    <row r="2077" spans="1:13" ht="12.75" hidden="1" customHeight="1">
      <c r="A2077" t="s">
        <v>818</v>
      </c>
      <c r="B2077" t="s">
        <v>30</v>
      </c>
      <c r="C2077" t="s">
        <v>137</v>
      </c>
      <c r="D2077" t="s">
        <v>1233</v>
      </c>
      <c r="E2077" s="1">
        <v>45875</v>
      </c>
      <c r="F2077" s="1">
        <v>45875</v>
      </c>
      <c r="G2077" s="12">
        <v>535</v>
      </c>
      <c r="H2077" s="2">
        <v>0</v>
      </c>
      <c r="I2077" s="2">
        <v>0</v>
      </c>
      <c r="J2077" s="2">
        <v>0</v>
      </c>
      <c r="K2077" s="20">
        <v>535</v>
      </c>
      <c r="L2077" t="s">
        <v>794</v>
      </c>
      <c r="M2077">
        <f t="shared" si="32"/>
        <v>2025</v>
      </c>
    </row>
    <row r="2078" spans="1:13" ht="12.75" hidden="1" customHeight="1">
      <c r="A2078" t="s">
        <v>833</v>
      </c>
      <c r="B2078" t="s">
        <v>27</v>
      </c>
      <c r="C2078" t="s">
        <v>137</v>
      </c>
      <c r="D2078" t="s">
        <v>1233</v>
      </c>
      <c r="E2078" s="1">
        <v>45875</v>
      </c>
      <c r="F2078" s="1">
        <v>45875</v>
      </c>
      <c r="G2078" s="12">
        <v>1895</v>
      </c>
      <c r="H2078" s="2">
        <v>0</v>
      </c>
      <c r="I2078" s="2">
        <v>0</v>
      </c>
      <c r="J2078" s="2">
        <v>0</v>
      </c>
      <c r="K2078" s="20">
        <v>1895</v>
      </c>
      <c r="L2078" t="s">
        <v>794</v>
      </c>
      <c r="M2078">
        <f t="shared" si="32"/>
        <v>2025</v>
      </c>
    </row>
    <row r="2079" spans="1:13" ht="12.75" hidden="1" customHeight="1">
      <c r="A2079" t="s">
        <v>1196</v>
      </c>
      <c r="B2079" t="s">
        <v>1197</v>
      </c>
      <c r="C2079" t="s">
        <v>137</v>
      </c>
      <c r="D2079" t="s">
        <v>1233</v>
      </c>
      <c r="E2079" s="1">
        <v>45875</v>
      </c>
      <c r="F2079" s="1">
        <v>45875</v>
      </c>
      <c r="G2079" s="12">
        <v>1607</v>
      </c>
      <c r="H2079" s="2">
        <v>0</v>
      </c>
      <c r="I2079" s="2">
        <v>0</v>
      </c>
      <c r="J2079" s="2">
        <v>0</v>
      </c>
      <c r="K2079" s="20">
        <v>1607</v>
      </c>
      <c r="L2079" t="s">
        <v>794</v>
      </c>
      <c r="M2079">
        <f t="shared" si="32"/>
        <v>2025</v>
      </c>
    </row>
    <row r="2080" spans="1:13" ht="12.75" hidden="1" customHeight="1">
      <c r="A2080" t="s">
        <v>1004</v>
      </c>
      <c r="B2080" t="s">
        <v>57</v>
      </c>
      <c r="C2080" t="s">
        <v>137</v>
      </c>
      <c r="D2080" t="s">
        <v>1233</v>
      </c>
      <c r="E2080" s="1">
        <v>45875</v>
      </c>
      <c r="F2080" s="1">
        <v>45875</v>
      </c>
      <c r="G2080" s="12">
        <v>1538</v>
      </c>
      <c r="H2080" s="2">
        <v>0</v>
      </c>
      <c r="I2080" s="2">
        <v>0</v>
      </c>
      <c r="J2080" s="2">
        <v>0</v>
      </c>
      <c r="K2080" s="20">
        <v>1538</v>
      </c>
      <c r="L2080" t="s">
        <v>794</v>
      </c>
      <c r="M2080">
        <f t="shared" si="32"/>
        <v>2025</v>
      </c>
    </row>
    <row r="2081" spans="1:13" ht="12.75" hidden="1" customHeight="1">
      <c r="A2081" t="s">
        <v>1167</v>
      </c>
      <c r="B2081" t="s">
        <v>47</v>
      </c>
      <c r="C2081" t="s">
        <v>137</v>
      </c>
      <c r="D2081" t="s">
        <v>1233</v>
      </c>
      <c r="E2081" s="1">
        <v>45875</v>
      </c>
      <c r="F2081" s="1">
        <v>45875</v>
      </c>
      <c r="G2081" s="12">
        <v>1884</v>
      </c>
      <c r="H2081" s="2">
        <v>0</v>
      </c>
      <c r="I2081" s="2">
        <v>0</v>
      </c>
      <c r="J2081" s="2">
        <v>0</v>
      </c>
      <c r="K2081" s="20">
        <v>1884</v>
      </c>
      <c r="L2081" t="s">
        <v>794</v>
      </c>
      <c r="M2081">
        <f t="shared" si="32"/>
        <v>2025</v>
      </c>
    </row>
    <row r="2082" spans="1:13" ht="12.75" hidden="1" customHeight="1">
      <c r="A2082" t="s">
        <v>961</v>
      </c>
      <c r="B2082" t="s">
        <v>41</v>
      </c>
      <c r="C2082" t="s">
        <v>137</v>
      </c>
      <c r="D2082" t="s">
        <v>1233</v>
      </c>
      <c r="E2082" s="1">
        <v>45875</v>
      </c>
      <c r="F2082" s="1">
        <v>45875</v>
      </c>
      <c r="G2082" s="12">
        <v>1635</v>
      </c>
      <c r="H2082" s="2">
        <v>0</v>
      </c>
      <c r="I2082" s="2">
        <v>0</v>
      </c>
      <c r="J2082" s="2">
        <v>0</v>
      </c>
      <c r="K2082" s="20">
        <v>1635</v>
      </c>
      <c r="L2082" t="s">
        <v>794</v>
      </c>
      <c r="M2082">
        <f t="shared" si="32"/>
        <v>2025</v>
      </c>
    </row>
    <row r="2083" spans="1:13" ht="12.75" hidden="1" customHeight="1">
      <c r="A2083" t="s">
        <v>814</v>
      </c>
      <c r="B2083" t="s">
        <v>56</v>
      </c>
      <c r="C2083" t="s">
        <v>137</v>
      </c>
      <c r="D2083" t="s">
        <v>1233</v>
      </c>
      <c r="E2083" s="1">
        <v>45875</v>
      </c>
      <c r="F2083" s="1">
        <v>45875</v>
      </c>
      <c r="G2083" s="12">
        <v>1763</v>
      </c>
      <c r="H2083" s="2">
        <v>0</v>
      </c>
      <c r="I2083" s="2">
        <v>0</v>
      </c>
      <c r="J2083" s="2">
        <v>0</v>
      </c>
      <c r="K2083" s="20">
        <v>1763</v>
      </c>
      <c r="L2083" t="s">
        <v>794</v>
      </c>
      <c r="M2083">
        <f t="shared" si="32"/>
        <v>2025</v>
      </c>
    </row>
    <row r="2084" spans="1:13" ht="12.75" hidden="1" customHeight="1">
      <c r="A2084" t="s">
        <v>812</v>
      </c>
      <c r="B2084" t="s">
        <v>31</v>
      </c>
      <c r="C2084" t="s">
        <v>137</v>
      </c>
      <c r="D2084" t="s">
        <v>1233</v>
      </c>
      <c r="E2084" s="1">
        <v>45875</v>
      </c>
      <c r="F2084" s="1">
        <v>45875</v>
      </c>
      <c r="G2084" s="12">
        <v>1092</v>
      </c>
      <c r="H2084" s="2">
        <v>0</v>
      </c>
      <c r="I2084" s="2">
        <v>0</v>
      </c>
      <c r="J2084" s="2">
        <v>0</v>
      </c>
      <c r="K2084" s="20">
        <v>1092</v>
      </c>
      <c r="L2084" t="s">
        <v>794</v>
      </c>
      <c r="M2084">
        <f t="shared" si="32"/>
        <v>2025</v>
      </c>
    </row>
    <row r="2085" spans="1:13" ht="12.75" hidden="1" customHeight="1">
      <c r="A2085" t="s">
        <v>1181</v>
      </c>
      <c r="B2085" t="s">
        <v>75</v>
      </c>
      <c r="C2085" t="s">
        <v>137</v>
      </c>
      <c r="D2085" t="s">
        <v>1233</v>
      </c>
      <c r="E2085" s="1">
        <v>45875</v>
      </c>
      <c r="F2085" s="1">
        <v>45875</v>
      </c>
      <c r="G2085" s="12">
        <v>53</v>
      </c>
      <c r="H2085" s="2">
        <v>0</v>
      </c>
      <c r="I2085" s="2">
        <v>0</v>
      </c>
      <c r="J2085" s="2">
        <v>0</v>
      </c>
      <c r="K2085" s="20">
        <v>53</v>
      </c>
      <c r="L2085" t="s">
        <v>794</v>
      </c>
      <c r="M2085">
        <f t="shared" si="32"/>
        <v>2025</v>
      </c>
    </row>
    <row r="2086" spans="1:13" ht="12.75" hidden="1" customHeight="1">
      <c r="A2086" t="s">
        <v>1134</v>
      </c>
      <c r="B2086" t="s">
        <v>33</v>
      </c>
      <c r="C2086" t="s">
        <v>137</v>
      </c>
      <c r="D2086" t="s">
        <v>1233</v>
      </c>
      <c r="E2086" s="1">
        <v>45875</v>
      </c>
      <c r="F2086" s="1">
        <v>45875</v>
      </c>
      <c r="G2086" s="12">
        <v>1571</v>
      </c>
      <c r="H2086" s="2">
        <v>0</v>
      </c>
      <c r="I2086" s="2">
        <v>0</v>
      </c>
      <c r="J2086" s="2">
        <v>0</v>
      </c>
      <c r="K2086" s="20">
        <v>1571</v>
      </c>
      <c r="L2086" t="s">
        <v>794</v>
      </c>
      <c r="M2086">
        <f t="shared" si="32"/>
        <v>2025</v>
      </c>
    </row>
    <row r="2087" spans="1:13" ht="12.75" hidden="1" customHeight="1">
      <c r="A2087" t="s">
        <v>1138</v>
      </c>
      <c r="B2087" t="s">
        <v>104</v>
      </c>
      <c r="C2087" t="s">
        <v>137</v>
      </c>
      <c r="D2087" t="s">
        <v>1233</v>
      </c>
      <c r="E2087" s="1">
        <v>45875</v>
      </c>
      <c r="F2087" s="1">
        <v>45875</v>
      </c>
      <c r="G2087" s="12">
        <v>1532</v>
      </c>
      <c r="H2087" s="2">
        <v>0</v>
      </c>
      <c r="I2087" s="2">
        <v>0</v>
      </c>
      <c r="J2087" s="2">
        <v>0</v>
      </c>
      <c r="K2087" s="20">
        <v>1532</v>
      </c>
      <c r="L2087" t="s">
        <v>794</v>
      </c>
      <c r="M2087">
        <f t="shared" si="32"/>
        <v>2025</v>
      </c>
    </row>
    <row r="2088" spans="1:13" ht="12.75" hidden="1" customHeight="1">
      <c r="A2088" t="s">
        <v>825</v>
      </c>
      <c r="B2088" t="s">
        <v>46</v>
      </c>
      <c r="C2088" t="s">
        <v>137</v>
      </c>
      <c r="D2088" t="s">
        <v>1233</v>
      </c>
      <c r="E2088" s="1">
        <v>45875</v>
      </c>
      <c r="F2088" s="1">
        <v>45875</v>
      </c>
      <c r="G2088" s="12">
        <v>1022</v>
      </c>
      <c r="H2088" s="2">
        <v>0</v>
      </c>
      <c r="I2088" s="2">
        <v>0</v>
      </c>
      <c r="J2088" s="2">
        <v>0</v>
      </c>
      <c r="K2088" s="20">
        <v>1022</v>
      </c>
      <c r="L2088" t="s">
        <v>794</v>
      </c>
      <c r="M2088">
        <f t="shared" si="32"/>
        <v>2025</v>
      </c>
    </row>
    <row r="2089" spans="1:13" ht="12.75" hidden="1" customHeight="1">
      <c r="A2089" t="s">
        <v>826</v>
      </c>
      <c r="B2089" t="s">
        <v>21</v>
      </c>
      <c r="C2089" t="s">
        <v>137</v>
      </c>
      <c r="D2089" t="s">
        <v>1233</v>
      </c>
      <c r="E2089" s="1">
        <v>45875</v>
      </c>
      <c r="F2089" s="1">
        <v>45875</v>
      </c>
      <c r="G2089" s="12">
        <v>2354</v>
      </c>
      <c r="H2089" s="2">
        <v>0</v>
      </c>
      <c r="I2089" s="2">
        <v>0</v>
      </c>
      <c r="J2089" s="2">
        <v>0</v>
      </c>
      <c r="K2089" s="20">
        <v>2354</v>
      </c>
      <c r="L2089" t="s">
        <v>794</v>
      </c>
      <c r="M2089">
        <f t="shared" si="32"/>
        <v>2025</v>
      </c>
    </row>
    <row r="2090" spans="1:13" ht="12.75" hidden="1" customHeight="1">
      <c r="A2090" t="s">
        <v>1111</v>
      </c>
      <c r="B2090" t="s">
        <v>144</v>
      </c>
      <c r="C2090" t="s">
        <v>137</v>
      </c>
      <c r="D2090" t="s">
        <v>1233</v>
      </c>
      <c r="E2090" s="1">
        <v>45875</v>
      </c>
      <c r="F2090" s="1">
        <v>45875</v>
      </c>
      <c r="G2090" s="12">
        <v>1579</v>
      </c>
      <c r="H2090" s="2">
        <v>0</v>
      </c>
      <c r="I2090" s="2">
        <v>0</v>
      </c>
      <c r="J2090" s="2">
        <v>0</v>
      </c>
      <c r="K2090" s="20">
        <v>1579</v>
      </c>
      <c r="L2090" t="s">
        <v>794</v>
      </c>
      <c r="M2090">
        <f t="shared" si="32"/>
        <v>2025</v>
      </c>
    </row>
    <row r="2091" spans="1:13" ht="12.75" hidden="1" customHeight="1">
      <c r="A2091" t="s">
        <v>1183</v>
      </c>
      <c r="B2091" t="s">
        <v>504</v>
      </c>
      <c r="C2091" t="s">
        <v>681</v>
      </c>
      <c r="D2091" t="s">
        <v>1233</v>
      </c>
      <c r="E2091" s="1">
        <v>45876</v>
      </c>
      <c r="F2091" s="1">
        <v>45876</v>
      </c>
      <c r="G2091" s="12">
        <v>16.8</v>
      </c>
      <c r="H2091" s="2">
        <v>0</v>
      </c>
      <c r="I2091" s="2">
        <v>0</v>
      </c>
      <c r="J2091" s="2">
        <v>0</v>
      </c>
      <c r="K2091" s="20">
        <v>16.8</v>
      </c>
      <c r="L2091" t="s">
        <v>794</v>
      </c>
      <c r="M2091">
        <f t="shared" si="32"/>
        <v>2025</v>
      </c>
    </row>
    <row r="2092" spans="1:13" ht="12.75" hidden="1" customHeight="1">
      <c r="A2092" t="s">
        <v>1186</v>
      </c>
      <c r="B2092" t="s">
        <v>487</v>
      </c>
      <c r="C2092" t="s">
        <v>710</v>
      </c>
      <c r="D2092" t="s">
        <v>1233</v>
      </c>
      <c r="E2092" s="1">
        <v>45876</v>
      </c>
      <c r="F2092" s="1">
        <v>45876</v>
      </c>
      <c r="G2092" s="12">
        <v>76</v>
      </c>
      <c r="H2092" s="2">
        <v>0</v>
      </c>
      <c r="I2092" s="2">
        <v>0</v>
      </c>
      <c r="J2092" s="2">
        <v>0</v>
      </c>
      <c r="K2092" s="20">
        <v>76</v>
      </c>
      <c r="L2092" t="s">
        <v>794</v>
      </c>
      <c r="M2092">
        <f t="shared" si="32"/>
        <v>2025</v>
      </c>
    </row>
    <row r="2093" spans="1:13" ht="12.75" hidden="1" customHeight="1">
      <c r="A2093" t="s">
        <v>834</v>
      </c>
      <c r="B2093" t="s">
        <v>135</v>
      </c>
      <c r="C2093" t="s">
        <v>137</v>
      </c>
      <c r="D2093" t="s">
        <v>1233</v>
      </c>
      <c r="E2093" s="1">
        <v>45875</v>
      </c>
      <c r="F2093" s="1">
        <v>45876</v>
      </c>
      <c r="G2093" s="12">
        <v>1635</v>
      </c>
      <c r="H2093" s="2">
        <v>0</v>
      </c>
      <c r="I2093" s="2">
        <v>0</v>
      </c>
      <c r="J2093" s="2">
        <v>0</v>
      </c>
      <c r="K2093" s="20">
        <v>1635</v>
      </c>
      <c r="L2093" t="s">
        <v>794</v>
      </c>
      <c r="M2093">
        <f t="shared" si="32"/>
        <v>2025</v>
      </c>
    </row>
    <row r="2094" spans="1:13" ht="12.75" hidden="1" customHeight="1">
      <c r="A2094" t="s">
        <v>1180</v>
      </c>
      <c r="B2094" t="s">
        <v>179</v>
      </c>
      <c r="C2094" t="s">
        <v>137</v>
      </c>
      <c r="D2094" t="s">
        <v>1233</v>
      </c>
      <c r="E2094" s="1">
        <v>45875</v>
      </c>
      <c r="F2094" s="1">
        <v>45876</v>
      </c>
      <c r="G2094" s="12">
        <v>458</v>
      </c>
      <c r="H2094" s="2">
        <v>0</v>
      </c>
      <c r="I2094" s="2">
        <v>0</v>
      </c>
      <c r="J2094" s="2">
        <v>0</v>
      </c>
      <c r="K2094" s="20">
        <v>458</v>
      </c>
      <c r="L2094" t="s">
        <v>794</v>
      </c>
      <c r="M2094">
        <f t="shared" si="32"/>
        <v>2025</v>
      </c>
    </row>
    <row r="2095" spans="1:13" ht="12.75" hidden="1" customHeight="1">
      <c r="A2095" t="s">
        <v>1104</v>
      </c>
      <c r="B2095" t="s">
        <v>53</v>
      </c>
      <c r="C2095" t="s">
        <v>137</v>
      </c>
      <c r="D2095" t="s">
        <v>1233</v>
      </c>
      <c r="E2095" s="1">
        <v>45875</v>
      </c>
      <c r="F2095" s="1">
        <v>45876</v>
      </c>
      <c r="G2095" s="12">
        <v>1672</v>
      </c>
      <c r="H2095" s="2">
        <v>0</v>
      </c>
      <c r="I2095" s="2">
        <v>0</v>
      </c>
      <c r="J2095" s="2">
        <v>0</v>
      </c>
      <c r="K2095" s="20">
        <v>1672</v>
      </c>
      <c r="L2095" t="s">
        <v>794</v>
      </c>
      <c r="M2095">
        <f t="shared" si="32"/>
        <v>2025</v>
      </c>
    </row>
    <row r="2096" spans="1:13" ht="12.75" hidden="1" customHeight="1">
      <c r="A2096" t="s">
        <v>1239</v>
      </c>
      <c r="B2096" t="s">
        <v>224</v>
      </c>
      <c r="C2096" t="s">
        <v>140</v>
      </c>
      <c r="D2096" t="s">
        <v>1233</v>
      </c>
      <c r="E2096" s="1">
        <v>45877</v>
      </c>
      <c r="F2096" s="1">
        <v>45877</v>
      </c>
      <c r="G2096" s="12">
        <v>90</v>
      </c>
      <c r="H2096" s="2">
        <v>0</v>
      </c>
      <c r="I2096" s="2">
        <v>0</v>
      </c>
      <c r="J2096" s="2">
        <v>0</v>
      </c>
      <c r="K2096" s="20">
        <v>90</v>
      </c>
      <c r="L2096" t="s">
        <v>794</v>
      </c>
      <c r="M2096">
        <f t="shared" si="32"/>
        <v>2025</v>
      </c>
    </row>
    <row r="2097" spans="1:13" ht="12.75" hidden="1" customHeight="1">
      <c r="A2097" t="s">
        <v>1108</v>
      </c>
      <c r="B2097" t="s">
        <v>328</v>
      </c>
      <c r="C2097" t="s">
        <v>483</v>
      </c>
      <c r="D2097" t="s">
        <v>1233</v>
      </c>
      <c r="E2097" s="1">
        <v>45880</v>
      </c>
      <c r="F2097" s="1">
        <v>45880</v>
      </c>
      <c r="G2097" s="12">
        <v>32.49</v>
      </c>
      <c r="H2097" s="2">
        <v>0</v>
      </c>
      <c r="I2097" s="2">
        <v>0</v>
      </c>
      <c r="J2097" s="2">
        <v>0</v>
      </c>
      <c r="K2097" s="20">
        <v>32.49</v>
      </c>
      <c r="L2097" t="s">
        <v>794</v>
      </c>
      <c r="M2097">
        <f t="shared" si="32"/>
        <v>2025</v>
      </c>
    </row>
    <row r="2098" spans="1:13" ht="12.75" hidden="1" customHeight="1">
      <c r="A2098" t="s">
        <v>832</v>
      </c>
      <c r="B2098" t="s">
        <v>120</v>
      </c>
      <c r="C2098" t="s">
        <v>140</v>
      </c>
      <c r="D2098" t="s">
        <v>1233</v>
      </c>
      <c r="E2098" s="1">
        <v>45880</v>
      </c>
      <c r="F2098" s="1">
        <v>45880</v>
      </c>
      <c r="G2098" s="12">
        <v>600</v>
      </c>
      <c r="H2098" s="2">
        <v>0</v>
      </c>
      <c r="I2098" s="2">
        <v>0</v>
      </c>
      <c r="J2098" s="2">
        <v>0</v>
      </c>
      <c r="K2098" s="20">
        <v>600</v>
      </c>
      <c r="L2098" t="s">
        <v>794</v>
      </c>
      <c r="M2098">
        <f t="shared" si="32"/>
        <v>2025</v>
      </c>
    </row>
    <row r="2099" spans="1:13" ht="12.75" hidden="1" customHeight="1">
      <c r="A2099" t="s">
        <v>826</v>
      </c>
      <c r="B2099" t="s">
        <v>21</v>
      </c>
      <c r="C2099" t="s">
        <v>141</v>
      </c>
      <c r="D2099" t="s">
        <v>1233</v>
      </c>
      <c r="E2099" s="1">
        <v>45880</v>
      </c>
      <c r="F2099" s="1">
        <v>45880</v>
      </c>
      <c r="G2099" s="12">
        <v>3000</v>
      </c>
      <c r="H2099" s="2">
        <v>0</v>
      </c>
      <c r="I2099" s="2">
        <v>0</v>
      </c>
      <c r="J2099" s="2">
        <v>0</v>
      </c>
      <c r="K2099" s="20">
        <v>3000</v>
      </c>
      <c r="L2099" t="s">
        <v>794</v>
      </c>
      <c r="M2099">
        <f t="shared" si="32"/>
        <v>2025</v>
      </c>
    </row>
    <row r="2100" spans="1:13" ht="12.75" hidden="1" customHeight="1">
      <c r="A2100" t="s">
        <v>812</v>
      </c>
      <c r="B2100" t="s">
        <v>31</v>
      </c>
      <c r="C2100" t="s">
        <v>141</v>
      </c>
      <c r="D2100" t="s">
        <v>1233</v>
      </c>
      <c r="E2100" s="1">
        <v>45880</v>
      </c>
      <c r="F2100" s="1">
        <v>45880</v>
      </c>
      <c r="G2100" s="12">
        <v>1000</v>
      </c>
      <c r="H2100" s="2">
        <v>0</v>
      </c>
      <c r="I2100" s="2">
        <v>0</v>
      </c>
      <c r="J2100" s="2">
        <v>0</v>
      </c>
      <c r="K2100" s="20">
        <v>1000</v>
      </c>
      <c r="L2100" t="s">
        <v>794</v>
      </c>
      <c r="M2100">
        <f t="shared" si="32"/>
        <v>2025</v>
      </c>
    </row>
    <row r="2101" spans="1:13" ht="12.75" hidden="1" customHeight="1">
      <c r="A2101" t="s">
        <v>812</v>
      </c>
      <c r="B2101" t="s">
        <v>31</v>
      </c>
      <c r="C2101" t="s">
        <v>141</v>
      </c>
      <c r="D2101" t="s">
        <v>1233</v>
      </c>
      <c r="E2101" s="1">
        <v>45880</v>
      </c>
      <c r="F2101" s="1">
        <v>45880</v>
      </c>
      <c r="G2101" s="12">
        <v>300</v>
      </c>
      <c r="H2101" s="2">
        <v>0</v>
      </c>
      <c r="I2101" s="2">
        <v>0</v>
      </c>
      <c r="J2101" s="2">
        <v>0</v>
      </c>
      <c r="K2101" s="20">
        <v>300</v>
      </c>
      <c r="L2101" t="s">
        <v>794</v>
      </c>
      <c r="M2101">
        <f t="shared" si="32"/>
        <v>2025</v>
      </c>
    </row>
    <row r="2102" spans="1:13" ht="12.75" hidden="1" customHeight="1">
      <c r="A2102" t="s">
        <v>1239</v>
      </c>
      <c r="B2102" t="s">
        <v>224</v>
      </c>
      <c r="C2102" t="s">
        <v>140</v>
      </c>
      <c r="D2102" t="s">
        <v>1233</v>
      </c>
      <c r="E2102" s="1">
        <v>45880</v>
      </c>
      <c r="F2102" s="1">
        <v>45880</v>
      </c>
      <c r="G2102" s="12">
        <v>60</v>
      </c>
      <c r="H2102" s="2">
        <v>0</v>
      </c>
      <c r="I2102" s="2">
        <v>0</v>
      </c>
      <c r="J2102" s="2">
        <v>0</v>
      </c>
      <c r="K2102" s="20">
        <v>60</v>
      </c>
      <c r="L2102" t="s">
        <v>794</v>
      </c>
      <c r="M2102">
        <f t="shared" si="32"/>
        <v>2025</v>
      </c>
    </row>
    <row r="2103" spans="1:13" ht="12.75" hidden="1" customHeight="1">
      <c r="A2103" t="s">
        <v>818</v>
      </c>
      <c r="B2103" t="s">
        <v>30</v>
      </c>
      <c r="C2103" t="s">
        <v>141</v>
      </c>
      <c r="D2103" t="s">
        <v>1233</v>
      </c>
      <c r="E2103" s="1">
        <v>45880</v>
      </c>
      <c r="F2103" s="1">
        <v>45880</v>
      </c>
      <c r="G2103" s="12">
        <v>120</v>
      </c>
      <c r="H2103" s="2">
        <v>0</v>
      </c>
      <c r="I2103" s="2">
        <v>0</v>
      </c>
      <c r="J2103" s="2">
        <v>0</v>
      </c>
      <c r="K2103" s="20">
        <v>120</v>
      </c>
      <c r="L2103" t="s">
        <v>794</v>
      </c>
      <c r="M2103">
        <f t="shared" si="32"/>
        <v>2025</v>
      </c>
    </row>
    <row r="2104" spans="1:13" ht="12.75" hidden="1" customHeight="1">
      <c r="A2104" t="s">
        <v>810</v>
      </c>
      <c r="B2104" t="s">
        <v>54</v>
      </c>
      <c r="C2104" t="s">
        <v>141</v>
      </c>
      <c r="D2104" t="s">
        <v>1233</v>
      </c>
      <c r="E2104" s="1">
        <v>45880</v>
      </c>
      <c r="F2104" s="1">
        <v>45880</v>
      </c>
      <c r="G2104" s="12">
        <v>480</v>
      </c>
      <c r="H2104" s="2">
        <v>0</v>
      </c>
      <c r="I2104" s="2">
        <v>0</v>
      </c>
      <c r="J2104" s="2">
        <v>0</v>
      </c>
      <c r="K2104" s="20">
        <v>480</v>
      </c>
      <c r="L2104" t="s">
        <v>794</v>
      </c>
      <c r="M2104">
        <f t="shared" si="32"/>
        <v>2025</v>
      </c>
    </row>
    <row r="2105" spans="1:13" ht="12.75" hidden="1" customHeight="1">
      <c r="A2105" t="s">
        <v>961</v>
      </c>
      <c r="B2105" t="s">
        <v>41</v>
      </c>
      <c r="C2105" t="s">
        <v>141</v>
      </c>
      <c r="D2105" t="s">
        <v>1233</v>
      </c>
      <c r="E2105" s="1">
        <v>45881</v>
      </c>
      <c r="F2105" s="1">
        <v>45881</v>
      </c>
      <c r="G2105" s="12">
        <v>100</v>
      </c>
      <c r="H2105" s="2">
        <v>0</v>
      </c>
      <c r="I2105" s="2">
        <v>0</v>
      </c>
      <c r="J2105" s="2">
        <v>0</v>
      </c>
      <c r="K2105" s="20">
        <v>100</v>
      </c>
      <c r="L2105" t="s">
        <v>794</v>
      </c>
      <c r="M2105">
        <f t="shared" si="32"/>
        <v>2025</v>
      </c>
    </row>
    <row r="2106" spans="1:13" ht="12.75" hidden="1" customHeight="1">
      <c r="A2106" t="s">
        <v>836</v>
      </c>
      <c r="B2106" t="s">
        <v>37</v>
      </c>
      <c r="C2106" t="s">
        <v>141</v>
      </c>
      <c r="D2106" t="s">
        <v>1233</v>
      </c>
      <c r="E2106" s="1">
        <v>45881</v>
      </c>
      <c r="F2106" s="1">
        <v>45881</v>
      </c>
      <c r="G2106" s="12">
        <v>300</v>
      </c>
      <c r="H2106" s="2">
        <v>0</v>
      </c>
      <c r="I2106" s="2">
        <v>0</v>
      </c>
      <c r="J2106" s="2">
        <v>0</v>
      </c>
      <c r="K2106" s="20">
        <v>300</v>
      </c>
      <c r="L2106" t="s">
        <v>794</v>
      </c>
      <c r="M2106">
        <f t="shared" si="32"/>
        <v>2025</v>
      </c>
    </row>
    <row r="2107" spans="1:13" ht="12.75" hidden="1" customHeight="1">
      <c r="A2107" t="s">
        <v>811</v>
      </c>
      <c r="B2107" t="s">
        <v>39</v>
      </c>
      <c r="C2107" t="s">
        <v>141</v>
      </c>
      <c r="D2107" t="s">
        <v>1233</v>
      </c>
      <c r="E2107" s="1">
        <v>45881</v>
      </c>
      <c r="F2107" s="1">
        <v>45881</v>
      </c>
      <c r="G2107" s="12">
        <v>72</v>
      </c>
      <c r="H2107" s="2">
        <v>0</v>
      </c>
      <c r="I2107" s="2">
        <v>0</v>
      </c>
      <c r="J2107" s="2">
        <v>0</v>
      </c>
      <c r="K2107" s="20">
        <v>72</v>
      </c>
      <c r="L2107" t="s">
        <v>794</v>
      </c>
      <c r="M2107">
        <f t="shared" si="32"/>
        <v>2025</v>
      </c>
    </row>
    <row r="2108" spans="1:13" ht="12.75" hidden="1" customHeight="1">
      <c r="A2108" t="s">
        <v>811</v>
      </c>
      <c r="B2108" t="s">
        <v>39</v>
      </c>
      <c r="C2108" t="s">
        <v>141</v>
      </c>
      <c r="D2108" t="s">
        <v>1233</v>
      </c>
      <c r="E2108" s="1">
        <v>45881</v>
      </c>
      <c r="F2108" s="1">
        <v>45881</v>
      </c>
      <c r="G2108" s="12">
        <v>520</v>
      </c>
      <c r="H2108" s="2">
        <v>0</v>
      </c>
      <c r="I2108" s="2">
        <v>0</v>
      </c>
      <c r="J2108" s="2">
        <v>0</v>
      </c>
      <c r="K2108" s="20">
        <v>520</v>
      </c>
      <c r="L2108" t="s">
        <v>794</v>
      </c>
      <c r="M2108">
        <f t="shared" si="32"/>
        <v>2025</v>
      </c>
    </row>
    <row r="2109" spans="1:13" ht="12.75" hidden="1" customHeight="1">
      <c r="A2109" t="s">
        <v>1105</v>
      </c>
      <c r="B2109" t="s">
        <v>84</v>
      </c>
      <c r="C2109" t="s">
        <v>141</v>
      </c>
      <c r="D2109" t="s">
        <v>1233</v>
      </c>
      <c r="E2109" s="1">
        <v>45881</v>
      </c>
      <c r="F2109" s="1">
        <v>45881</v>
      </c>
      <c r="G2109" s="12">
        <v>100</v>
      </c>
      <c r="H2109" s="2">
        <v>0</v>
      </c>
      <c r="I2109" s="2">
        <v>0</v>
      </c>
      <c r="J2109" s="2">
        <v>0</v>
      </c>
      <c r="K2109" s="20">
        <v>100</v>
      </c>
      <c r="L2109" t="s">
        <v>794</v>
      </c>
      <c r="M2109">
        <f t="shared" si="32"/>
        <v>2025</v>
      </c>
    </row>
    <row r="2110" spans="1:13" ht="12.75" hidden="1" customHeight="1">
      <c r="A2110" t="s">
        <v>1063</v>
      </c>
      <c r="B2110" t="s">
        <v>31</v>
      </c>
      <c r="C2110" t="s">
        <v>141</v>
      </c>
      <c r="D2110" t="s">
        <v>1233</v>
      </c>
      <c r="E2110" s="1">
        <v>45881</v>
      </c>
      <c r="F2110" s="1">
        <v>45881</v>
      </c>
      <c r="G2110" s="12">
        <v>40</v>
      </c>
      <c r="H2110" s="2">
        <v>0</v>
      </c>
      <c r="I2110" s="2">
        <v>0</v>
      </c>
      <c r="J2110" s="2">
        <v>0</v>
      </c>
      <c r="K2110" s="20">
        <v>40</v>
      </c>
      <c r="L2110" t="s">
        <v>794</v>
      </c>
      <c r="M2110">
        <f t="shared" si="32"/>
        <v>2025</v>
      </c>
    </row>
    <row r="2111" spans="1:13" ht="12.75" hidden="1" customHeight="1">
      <c r="A2111" t="s">
        <v>1180</v>
      </c>
      <c r="B2111" t="s">
        <v>179</v>
      </c>
      <c r="C2111" t="s">
        <v>141</v>
      </c>
      <c r="D2111" t="s">
        <v>1233</v>
      </c>
      <c r="E2111" s="1">
        <v>45881</v>
      </c>
      <c r="F2111" s="1">
        <v>45881</v>
      </c>
      <c r="G2111" s="12">
        <v>40</v>
      </c>
      <c r="H2111" s="2">
        <v>0</v>
      </c>
      <c r="I2111" s="2">
        <v>0</v>
      </c>
      <c r="J2111" s="2">
        <v>0</v>
      </c>
      <c r="K2111" s="20">
        <v>40</v>
      </c>
      <c r="L2111" t="s">
        <v>794</v>
      </c>
      <c r="M2111">
        <f t="shared" si="32"/>
        <v>2025</v>
      </c>
    </row>
    <row r="2112" spans="1:13" ht="12.75" hidden="1" customHeight="1">
      <c r="A2112" t="s">
        <v>1180</v>
      </c>
      <c r="B2112" t="s">
        <v>179</v>
      </c>
      <c r="C2112" t="s">
        <v>141</v>
      </c>
      <c r="D2112" t="s">
        <v>1233</v>
      </c>
      <c r="E2112" s="1">
        <v>45881</v>
      </c>
      <c r="F2112" s="1">
        <v>45881</v>
      </c>
      <c r="G2112" s="12">
        <v>400</v>
      </c>
      <c r="H2112" s="2">
        <v>0</v>
      </c>
      <c r="I2112" s="2">
        <v>0</v>
      </c>
      <c r="J2112" s="2">
        <v>0</v>
      </c>
      <c r="K2112" s="20">
        <v>400</v>
      </c>
      <c r="L2112" t="s">
        <v>794</v>
      </c>
      <c r="M2112">
        <f t="shared" si="32"/>
        <v>2025</v>
      </c>
    </row>
    <row r="2113" spans="1:13" ht="12.75" hidden="1" customHeight="1">
      <c r="A2113" t="s">
        <v>1112</v>
      </c>
      <c r="B2113" t="s">
        <v>68</v>
      </c>
      <c r="C2113" t="s">
        <v>141</v>
      </c>
      <c r="D2113" t="s">
        <v>1233</v>
      </c>
      <c r="E2113" s="1">
        <v>45881</v>
      </c>
      <c r="F2113" s="1">
        <v>45881</v>
      </c>
      <c r="G2113" s="12">
        <v>50</v>
      </c>
      <c r="H2113" s="2">
        <v>0</v>
      </c>
      <c r="I2113" s="2">
        <v>0</v>
      </c>
      <c r="J2113" s="2">
        <v>0</v>
      </c>
      <c r="K2113" s="20">
        <v>50</v>
      </c>
      <c r="L2113" t="s">
        <v>794</v>
      </c>
      <c r="M2113">
        <f t="shared" si="32"/>
        <v>2025</v>
      </c>
    </row>
    <row r="2114" spans="1:13" ht="12.75" hidden="1" customHeight="1">
      <c r="A2114" t="s">
        <v>1138</v>
      </c>
      <c r="B2114" t="s">
        <v>104</v>
      </c>
      <c r="C2114" t="s">
        <v>141</v>
      </c>
      <c r="D2114" t="s">
        <v>1233</v>
      </c>
      <c r="E2114" s="1">
        <v>45881</v>
      </c>
      <c r="F2114" s="1">
        <v>45881</v>
      </c>
      <c r="G2114" s="12">
        <v>222</v>
      </c>
      <c r="H2114" s="2">
        <v>0</v>
      </c>
      <c r="I2114" s="2">
        <v>0</v>
      </c>
      <c r="J2114" s="2">
        <v>0</v>
      </c>
      <c r="K2114" s="20">
        <v>222</v>
      </c>
      <c r="L2114" t="s">
        <v>794</v>
      </c>
      <c r="M2114">
        <f t="shared" si="32"/>
        <v>2025</v>
      </c>
    </row>
    <row r="2115" spans="1:13" ht="12.75" hidden="1" customHeight="1">
      <c r="A2115" t="s">
        <v>1138</v>
      </c>
      <c r="B2115" t="s">
        <v>104</v>
      </c>
      <c r="C2115" t="s">
        <v>141</v>
      </c>
      <c r="D2115" t="s">
        <v>1233</v>
      </c>
      <c r="E2115" s="1">
        <v>45881</v>
      </c>
      <c r="F2115" s="1">
        <v>45881</v>
      </c>
      <c r="G2115" s="12">
        <v>600</v>
      </c>
      <c r="H2115" s="2">
        <v>0</v>
      </c>
      <c r="I2115" s="2">
        <v>0</v>
      </c>
      <c r="J2115" s="2">
        <v>0</v>
      </c>
      <c r="K2115" s="20">
        <v>600</v>
      </c>
      <c r="L2115" t="s">
        <v>794</v>
      </c>
      <c r="M2115">
        <f t="shared" ref="M2115:M2178" si="33">YEAR(F2115)</f>
        <v>2025</v>
      </c>
    </row>
    <row r="2116" spans="1:13" ht="12.75" hidden="1" customHeight="1">
      <c r="A2116" t="s">
        <v>819</v>
      </c>
      <c r="B2116" t="s">
        <v>38</v>
      </c>
      <c r="C2116" t="s">
        <v>141</v>
      </c>
      <c r="D2116" t="s">
        <v>1233</v>
      </c>
      <c r="E2116" s="1">
        <v>45881</v>
      </c>
      <c r="F2116" s="1">
        <v>45881</v>
      </c>
      <c r="G2116" s="12">
        <v>100</v>
      </c>
      <c r="H2116" s="2">
        <v>0</v>
      </c>
      <c r="I2116" s="2">
        <v>0</v>
      </c>
      <c r="J2116" s="2">
        <v>0</v>
      </c>
      <c r="K2116" s="20">
        <v>100</v>
      </c>
      <c r="L2116" t="s">
        <v>794</v>
      </c>
      <c r="M2116">
        <f t="shared" si="33"/>
        <v>2025</v>
      </c>
    </row>
    <row r="2117" spans="1:13" ht="12.75" hidden="1" customHeight="1">
      <c r="A2117" t="s">
        <v>819</v>
      </c>
      <c r="B2117" t="s">
        <v>38</v>
      </c>
      <c r="C2117" t="s">
        <v>141</v>
      </c>
      <c r="D2117" t="s">
        <v>1025</v>
      </c>
      <c r="E2117" s="1">
        <v>45759</v>
      </c>
      <c r="F2117" s="1">
        <v>45881</v>
      </c>
      <c r="G2117" s="12">
        <v>100</v>
      </c>
      <c r="H2117" s="2">
        <v>0</v>
      </c>
      <c r="I2117" s="2">
        <v>0</v>
      </c>
      <c r="J2117" s="2">
        <v>0</v>
      </c>
      <c r="K2117" s="20">
        <v>100</v>
      </c>
      <c r="L2117" t="s">
        <v>794</v>
      </c>
      <c r="M2117">
        <f t="shared" si="33"/>
        <v>2025</v>
      </c>
    </row>
    <row r="2118" spans="1:13" ht="12.75" hidden="1" customHeight="1">
      <c r="A2118" t="s">
        <v>810</v>
      </c>
      <c r="B2118" t="s">
        <v>54</v>
      </c>
      <c r="C2118" t="s">
        <v>141</v>
      </c>
      <c r="D2118" t="s">
        <v>1233</v>
      </c>
      <c r="E2118" s="1">
        <v>45881</v>
      </c>
      <c r="F2118" s="1">
        <v>45881</v>
      </c>
      <c r="G2118" s="12">
        <v>40</v>
      </c>
      <c r="H2118" s="2">
        <v>0</v>
      </c>
      <c r="I2118" s="2">
        <v>0</v>
      </c>
      <c r="J2118" s="2">
        <v>0</v>
      </c>
      <c r="K2118" s="20">
        <v>40</v>
      </c>
      <c r="L2118" t="s">
        <v>794</v>
      </c>
      <c r="M2118">
        <f t="shared" si="33"/>
        <v>2025</v>
      </c>
    </row>
    <row r="2119" spans="1:13" ht="12.75" hidden="1" customHeight="1">
      <c r="A2119" t="s">
        <v>1196</v>
      </c>
      <c r="B2119" t="s">
        <v>1197</v>
      </c>
      <c r="C2119" t="s">
        <v>141</v>
      </c>
      <c r="D2119" t="s">
        <v>1233</v>
      </c>
      <c r="E2119" s="1">
        <v>45881</v>
      </c>
      <c r="F2119" s="1">
        <v>45881</v>
      </c>
      <c r="G2119" s="12">
        <v>475</v>
      </c>
      <c r="H2119" s="2">
        <v>0</v>
      </c>
      <c r="I2119" s="2">
        <v>0</v>
      </c>
      <c r="J2119" s="2">
        <v>0</v>
      </c>
      <c r="K2119" s="20">
        <v>475</v>
      </c>
      <c r="L2119" t="s">
        <v>794</v>
      </c>
      <c r="M2119">
        <f t="shared" si="33"/>
        <v>2025</v>
      </c>
    </row>
    <row r="2120" spans="1:13" ht="12.75" hidden="1" customHeight="1">
      <c r="A2120" t="s">
        <v>864</v>
      </c>
      <c r="B2120" t="s">
        <v>36</v>
      </c>
      <c r="C2120" t="s">
        <v>200</v>
      </c>
      <c r="D2120" t="s">
        <v>1242</v>
      </c>
      <c r="E2120" s="1">
        <v>45910</v>
      </c>
      <c r="F2120" s="1">
        <v>45910</v>
      </c>
      <c r="G2120" s="12">
        <v>800</v>
      </c>
      <c r="H2120" s="2">
        <v>0</v>
      </c>
      <c r="I2120" s="2">
        <v>0</v>
      </c>
      <c r="J2120" s="2">
        <v>0</v>
      </c>
      <c r="K2120" s="20">
        <v>800</v>
      </c>
      <c r="L2120" t="s">
        <v>794</v>
      </c>
      <c r="M2120">
        <f t="shared" si="33"/>
        <v>2025</v>
      </c>
    </row>
    <row r="2121" spans="1:13" ht="12.75" hidden="1" customHeight="1">
      <c r="A2121" t="s">
        <v>855</v>
      </c>
      <c r="B2121" t="s">
        <v>20</v>
      </c>
      <c r="C2121" t="s">
        <v>141</v>
      </c>
      <c r="D2121" t="s">
        <v>1233</v>
      </c>
      <c r="E2121" s="1">
        <v>45881</v>
      </c>
      <c r="F2121" s="1">
        <v>45881</v>
      </c>
      <c r="G2121" s="12">
        <v>225</v>
      </c>
      <c r="H2121" s="2">
        <v>0</v>
      </c>
      <c r="I2121" s="2">
        <v>0</v>
      </c>
      <c r="J2121" s="2">
        <v>0</v>
      </c>
      <c r="K2121" s="20">
        <v>225</v>
      </c>
      <c r="L2121" t="s">
        <v>794</v>
      </c>
      <c r="M2121">
        <f t="shared" si="33"/>
        <v>2025</v>
      </c>
    </row>
    <row r="2122" spans="1:13" ht="12.75" hidden="1" customHeight="1">
      <c r="A2122" t="s">
        <v>801</v>
      </c>
      <c r="B2122" t="s">
        <v>13</v>
      </c>
      <c r="C2122" t="s">
        <v>726</v>
      </c>
      <c r="D2122" t="s">
        <v>1233</v>
      </c>
      <c r="E2122" s="1">
        <v>45881</v>
      </c>
      <c r="F2122" s="1">
        <v>45881</v>
      </c>
      <c r="G2122" s="12">
        <v>38.76</v>
      </c>
      <c r="H2122" s="2">
        <v>0</v>
      </c>
      <c r="I2122" s="2">
        <v>0</v>
      </c>
      <c r="J2122" s="2">
        <v>0</v>
      </c>
      <c r="K2122" s="20">
        <v>38.76</v>
      </c>
      <c r="L2122" t="s">
        <v>794</v>
      </c>
      <c r="M2122">
        <f t="shared" si="33"/>
        <v>2025</v>
      </c>
    </row>
    <row r="2123" spans="1:13" ht="12.75" hidden="1" customHeight="1">
      <c r="A2123" t="s">
        <v>801</v>
      </c>
      <c r="B2123" t="s">
        <v>13</v>
      </c>
      <c r="C2123" t="s">
        <v>726</v>
      </c>
      <c r="D2123" t="s">
        <v>1233</v>
      </c>
      <c r="E2123" s="1">
        <v>45881</v>
      </c>
      <c r="F2123" s="1">
        <v>45881</v>
      </c>
      <c r="G2123" s="12">
        <v>932.28</v>
      </c>
      <c r="H2123" s="2">
        <v>0</v>
      </c>
      <c r="I2123" s="2">
        <v>0</v>
      </c>
      <c r="J2123" s="2">
        <v>0</v>
      </c>
      <c r="K2123" s="20">
        <v>932.28</v>
      </c>
      <c r="L2123" t="s">
        <v>794</v>
      </c>
      <c r="M2123">
        <f t="shared" si="33"/>
        <v>2025</v>
      </c>
    </row>
    <row r="2124" spans="1:13" ht="12.75" hidden="1" customHeight="1">
      <c r="A2124" t="s">
        <v>801</v>
      </c>
      <c r="B2124" t="s">
        <v>13</v>
      </c>
      <c r="C2124" t="s">
        <v>726</v>
      </c>
      <c r="D2124" t="s">
        <v>1233</v>
      </c>
      <c r="E2124" s="1">
        <v>45881</v>
      </c>
      <c r="F2124" s="1">
        <v>45881</v>
      </c>
      <c r="G2124" s="12">
        <v>75.48</v>
      </c>
      <c r="H2124" s="2">
        <v>0</v>
      </c>
      <c r="I2124" s="2">
        <v>0</v>
      </c>
      <c r="J2124" s="2">
        <v>0</v>
      </c>
      <c r="K2124" s="20">
        <v>75.48</v>
      </c>
      <c r="L2124" t="s">
        <v>794</v>
      </c>
      <c r="M2124">
        <f t="shared" si="33"/>
        <v>2025</v>
      </c>
    </row>
    <row r="2125" spans="1:13" ht="12.75" hidden="1" customHeight="1">
      <c r="A2125" t="s">
        <v>801</v>
      </c>
      <c r="B2125" t="s">
        <v>13</v>
      </c>
      <c r="C2125" t="s">
        <v>739</v>
      </c>
      <c r="D2125" t="s">
        <v>1233</v>
      </c>
      <c r="E2125" s="1">
        <v>45881</v>
      </c>
      <c r="F2125" s="1">
        <v>45881</v>
      </c>
      <c r="G2125" s="12">
        <v>15.860000000000001</v>
      </c>
      <c r="H2125" s="2">
        <v>0</v>
      </c>
      <c r="I2125" s="2">
        <v>0</v>
      </c>
      <c r="J2125" s="2">
        <v>0</v>
      </c>
      <c r="K2125" s="20">
        <v>15.860000000000001</v>
      </c>
      <c r="L2125" t="s">
        <v>794</v>
      </c>
      <c r="M2125">
        <f t="shared" si="33"/>
        <v>2025</v>
      </c>
    </row>
    <row r="2126" spans="1:13" ht="12.75" hidden="1" customHeight="1">
      <c r="A2126" t="s">
        <v>864</v>
      </c>
      <c r="B2126" t="s">
        <v>36</v>
      </c>
      <c r="C2126" t="s">
        <v>200</v>
      </c>
      <c r="D2126" t="s">
        <v>1242</v>
      </c>
      <c r="E2126" s="1">
        <v>45910</v>
      </c>
      <c r="F2126" s="1">
        <v>45910</v>
      </c>
      <c r="G2126" s="12">
        <v>2240</v>
      </c>
      <c r="H2126" s="2">
        <v>0</v>
      </c>
      <c r="I2126" s="2">
        <v>0</v>
      </c>
      <c r="J2126" s="2">
        <v>0</v>
      </c>
      <c r="K2126" s="20">
        <v>2240</v>
      </c>
      <c r="L2126" t="s">
        <v>794</v>
      </c>
      <c r="M2126">
        <f t="shared" si="33"/>
        <v>2025</v>
      </c>
    </row>
    <row r="2127" spans="1:13" ht="12.75" hidden="1" customHeight="1">
      <c r="A2127" t="s">
        <v>1243</v>
      </c>
      <c r="B2127" t="s">
        <v>233</v>
      </c>
      <c r="C2127" t="s">
        <v>200</v>
      </c>
      <c r="D2127" t="s">
        <v>1242</v>
      </c>
      <c r="E2127" s="1">
        <v>45910</v>
      </c>
      <c r="F2127" s="1">
        <v>45910</v>
      </c>
      <c r="G2127" s="12">
        <v>480</v>
      </c>
      <c r="H2127" s="2">
        <v>0</v>
      </c>
      <c r="I2127" s="2">
        <v>0</v>
      </c>
      <c r="J2127" s="2">
        <v>0</v>
      </c>
      <c r="K2127" s="20">
        <v>480</v>
      </c>
      <c r="L2127" t="s">
        <v>794</v>
      </c>
      <c r="M2127">
        <f t="shared" si="33"/>
        <v>2025</v>
      </c>
    </row>
    <row r="2128" spans="1:13" ht="12.75" hidden="1" customHeight="1">
      <c r="A2128" t="s">
        <v>1244</v>
      </c>
      <c r="B2128" t="s">
        <v>241</v>
      </c>
      <c r="C2128" t="s">
        <v>200</v>
      </c>
      <c r="D2128" t="s">
        <v>1233</v>
      </c>
      <c r="E2128" s="1">
        <v>45881</v>
      </c>
      <c r="F2128" s="1">
        <v>45881</v>
      </c>
      <c r="G2128" s="12">
        <v>840</v>
      </c>
      <c r="H2128" s="2">
        <v>0</v>
      </c>
      <c r="I2128" s="2">
        <v>0</v>
      </c>
      <c r="J2128" s="2">
        <v>0</v>
      </c>
      <c r="K2128" s="20">
        <v>840</v>
      </c>
      <c r="L2128" t="s">
        <v>794</v>
      </c>
      <c r="M2128">
        <f t="shared" si="33"/>
        <v>2025</v>
      </c>
    </row>
    <row r="2129" spans="1:13" ht="12.75" hidden="1" customHeight="1">
      <c r="A2129" t="s">
        <v>1244</v>
      </c>
      <c r="B2129" t="s">
        <v>241</v>
      </c>
      <c r="C2129" t="s">
        <v>200</v>
      </c>
      <c r="D2129" t="s">
        <v>1242</v>
      </c>
      <c r="E2129" s="1">
        <v>45910</v>
      </c>
      <c r="F2129" s="1">
        <v>45910</v>
      </c>
      <c r="G2129" s="12">
        <v>1400</v>
      </c>
      <c r="H2129" s="2">
        <v>0</v>
      </c>
      <c r="I2129" s="2">
        <v>0</v>
      </c>
      <c r="J2129" s="2">
        <v>0</v>
      </c>
      <c r="K2129" s="20">
        <v>1400</v>
      </c>
      <c r="L2129" t="s">
        <v>794</v>
      </c>
      <c r="M2129">
        <f t="shared" si="33"/>
        <v>2025</v>
      </c>
    </row>
    <row r="2130" spans="1:13" ht="12.75" hidden="1" customHeight="1">
      <c r="A2130" t="s">
        <v>1216</v>
      </c>
      <c r="B2130" t="s">
        <v>109</v>
      </c>
      <c r="C2130" t="s">
        <v>200</v>
      </c>
      <c r="D2130" t="s">
        <v>1233</v>
      </c>
      <c r="E2130" s="1">
        <v>45881</v>
      </c>
      <c r="F2130" s="1">
        <v>45881</v>
      </c>
      <c r="G2130" s="12">
        <v>3040</v>
      </c>
      <c r="H2130" s="2">
        <v>0</v>
      </c>
      <c r="I2130" s="2">
        <v>0</v>
      </c>
      <c r="J2130" s="2">
        <v>0</v>
      </c>
      <c r="K2130" s="20">
        <v>3040</v>
      </c>
      <c r="L2130" t="s">
        <v>794</v>
      </c>
      <c r="M2130">
        <f t="shared" si="33"/>
        <v>2025</v>
      </c>
    </row>
    <row r="2131" spans="1:13" ht="12.75" hidden="1" customHeight="1">
      <c r="A2131" t="s">
        <v>1216</v>
      </c>
      <c r="B2131" t="s">
        <v>109</v>
      </c>
      <c r="C2131" t="s">
        <v>200</v>
      </c>
      <c r="D2131" t="s">
        <v>1242</v>
      </c>
      <c r="E2131" s="1">
        <v>45910</v>
      </c>
      <c r="F2131" s="1">
        <v>45910</v>
      </c>
      <c r="G2131" s="12">
        <v>1760</v>
      </c>
      <c r="H2131" s="2">
        <v>0</v>
      </c>
      <c r="I2131" s="2">
        <v>0</v>
      </c>
      <c r="J2131" s="2">
        <v>0</v>
      </c>
      <c r="K2131" s="20">
        <v>1760</v>
      </c>
      <c r="L2131" t="s">
        <v>794</v>
      </c>
      <c r="M2131">
        <f t="shared" si="33"/>
        <v>2025</v>
      </c>
    </row>
    <row r="2132" spans="1:13" ht="12.75" hidden="1" customHeight="1">
      <c r="A2132" t="s">
        <v>1184</v>
      </c>
      <c r="B2132" t="s">
        <v>187</v>
      </c>
      <c r="C2132" t="s">
        <v>200</v>
      </c>
      <c r="D2132" t="s">
        <v>1233</v>
      </c>
      <c r="E2132" s="1">
        <v>45881</v>
      </c>
      <c r="F2132" s="1">
        <v>45881</v>
      </c>
      <c r="G2132" s="12">
        <v>240</v>
      </c>
      <c r="H2132" s="2">
        <v>0</v>
      </c>
      <c r="I2132" s="2">
        <v>0</v>
      </c>
      <c r="J2132" s="2">
        <v>0</v>
      </c>
      <c r="K2132" s="20">
        <v>240</v>
      </c>
      <c r="L2132" t="s">
        <v>794</v>
      </c>
      <c r="M2132">
        <f t="shared" si="33"/>
        <v>2025</v>
      </c>
    </row>
    <row r="2133" spans="1:13" ht="12.75" hidden="1" customHeight="1">
      <c r="A2133" t="s">
        <v>1245</v>
      </c>
      <c r="B2133" t="s">
        <v>156</v>
      </c>
      <c r="C2133" t="s">
        <v>200</v>
      </c>
      <c r="D2133" t="s">
        <v>1233</v>
      </c>
      <c r="E2133" s="1">
        <v>45881</v>
      </c>
      <c r="F2133" s="1">
        <v>45881</v>
      </c>
      <c r="G2133" s="12">
        <v>640</v>
      </c>
      <c r="H2133" s="2">
        <v>0</v>
      </c>
      <c r="I2133" s="2">
        <v>0</v>
      </c>
      <c r="J2133" s="2">
        <v>0</v>
      </c>
      <c r="K2133" s="20">
        <v>640</v>
      </c>
      <c r="L2133" t="s">
        <v>794</v>
      </c>
      <c r="M2133">
        <f t="shared" si="33"/>
        <v>2025</v>
      </c>
    </row>
    <row r="2134" spans="1:13" ht="12.75" hidden="1" customHeight="1">
      <c r="A2134" t="s">
        <v>1245</v>
      </c>
      <c r="B2134" t="s">
        <v>156</v>
      </c>
      <c r="C2134" t="s">
        <v>200</v>
      </c>
      <c r="D2134" t="s">
        <v>1242</v>
      </c>
      <c r="E2134" s="1">
        <v>45910</v>
      </c>
      <c r="F2134" s="1">
        <v>45910</v>
      </c>
      <c r="G2134" s="12">
        <v>1600</v>
      </c>
      <c r="H2134" s="2">
        <v>0</v>
      </c>
      <c r="I2134" s="2">
        <v>0</v>
      </c>
      <c r="J2134" s="2">
        <v>0</v>
      </c>
      <c r="K2134" s="20">
        <v>1600</v>
      </c>
      <c r="L2134" t="s">
        <v>794</v>
      </c>
      <c r="M2134">
        <f t="shared" si="33"/>
        <v>2025</v>
      </c>
    </row>
    <row r="2135" spans="1:13" ht="12.75" hidden="1" customHeight="1">
      <c r="A2135" t="s">
        <v>1130</v>
      </c>
      <c r="B2135" t="s">
        <v>127</v>
      </c>
      <c r="C2135" t="s">
        <v>200</v>
      </c>
      <c r="D2135" t="s">
        <v>1233</v>
      </c>
      <c r="E2135" s="1">
        <v>45881</v>
      </c>
      <c r="F2135" s="1">
        <v>45881</v>
      </c>
      <c r="G2135" s="12">
        <v>1520</v>
      </c>
      <c r="H2135" s="2">
        <v>0</v>
      </c>
      <c r="I2135" s="2">
        <v>0</v>
      </c>
      <c r="J2135" s="2">
        <v>0</v>
      </c>
      <c r="K2135" s="20">
        <v>1520</v>
      </c>
      <c r="L2135" t="s">
        <v>794</v>
      </c>
      <c r="M2135">
        <f t="shared" si="33"/>
        <v>2025</v>
      </c>
    </row>
    <row r="2136" spans="1:13" ht="12.75" hidden="1" customHeight="1">
      <c r="A2136" t="s">
        <v>1130</v>
      </c>
      <c r="B2136" t="s">
        <v>127</v>
      </c>
      <c r="C2136" t="s">
        <v>200</v>
      </c>
      <c r="D2136" t="s">
        <v>1242</v>
      </c>
      <c r="E2136" s="1">
        <v>45910</v>
      </c>
      <c r="F2136" s="1">
        <v>45910</v>
      </c>
      <c r="G2136" s="12">
        <v>1040</v>
      </c>
      <c r="H2136" s="2">
        <v>0</v>
      </c>
      <c r="I2136" s="2">
        <v>0</v>
      </c>
      <c r="J2136" s="2">
        <v>0</v>
      </c>
      <c r="K2136" s="20">
        <v>1040</v>
      </c>
      <c r="L2136" t="s">
        <v>794</v>
      </c>
      <c r="M2136">
        <f t="shared" si="33"/>
        <v>2025</v>
      </c>
    </row>
    <row r="2137" spans="1:13" ht="12.75" hidden="1" customHeight="1">
      <c r="A2137" t="s">
        <v>875</v>
      </c>
      <c r="B2137" t="s">
        <v>115</v>
      </c>
      <c r="C2137" t="s">
        <v>200</v>
      </c>
      <c r="D2137" t="s">
        <v>1233</v>
      </c>
      <c r="E2137" s="1">
        <v>45881</v>
      </c>
      <c r="F2137" s="1">
        <v>45881</v>
      </c>
      <c r="G2137" s="12">
        <v>4800</v>
      </c>
      <c r="H2137" s="2">
        <v>0</v>
      </c>
      <c r="I2137" s="2">
        <v>0</v>
      </c>
      <c r="J2137" s="2">
        <v>0</v>
      </c>
      <c r="K2137" s="20">
        <v>4800</v>
      </c>
      <c r="L2137" t="s">
        <v>794</v>
      </c>
      <c r="M2137">
        <f t="shared" si="33"/>
        <v>2025</v>
      </c>
    </row>
    <row r="2138" spans="1:13" ht="12.75" hidden="1" customHeight="1">
      <c r="A2138" t="s">
        <v>875</v>
      </c>
      <c r="B2138" t="s">
        <v>115</v>
      </c>
      <c r="C2138" t="s">
        <v>201</v>
      </c>
      <c r="D2138" t="s">
        <v>1233</v>
      </c>
      <c r="E2138" s="1">
        <v>45881</v>
      </c>
      <c r="F2138" s="1">
        <v>45883</v>
      </c>
      <c r="G2138" s="12">
        <v>400</v>
      </c>
      <c r="H2138" s="2">
        <v>0</v>
      </c>
      <c r="I2138" s="2">
        <v>0</v>
      </c>
      <c r="J2138" s="2">
        <v>0</v>
      </c>
      <c r="K2138" s="20">
        <v>400</v>
      </c>
      <c r="L2138" t="s">
        <v>794</v>
      </c>
      <c r="M2138">
        <f t="shared" si="33"/>
        <v>2025</v>
      </c>
    </row>
    <row r="2139" spans="1:13" ht="12.75" hidden="1" customHeight="1">
      <c r="A2139" t="s">
        <v>875</v>
      </c>
      <c r="B2139" t="s">
        <v>115</v>
      </c>
      <c r="C2139" t="s">
        <v>201</v>
      </c>
      <c r="D2139" t="s">
        <v>1242</v>
      </c>
      <c r="E2139" s="1">
        <v>45910</v>
      </c>
      <c r="F2139" s="1">
        <v>45910</v>
      </c>
      <c r="G2139" s="12">
        <v>80</v>
      </c>
      <c r="H2139" s="2">
        <v>0</v>
      </c>
      <c r="I2139" s="2">
        <v>0</v>
      </c>
      <c r="J2139" s="2">
        <v>0</v>
      </c>
      <c r="K2139" s="20">
        <v>80</v>
      </c>
      <c r="L2139" t="s">
        <v>794</v>
      </c>
      <c r="M2139">
        <f t="shared" si="33"/>
        <v>2025</v>
      </c>
    </row>
    <row r="2140" spans="1:13" ht="12.75" hidden="1" customHeight="1">
      <c r="A2140" t="s">
        <v>1134</v>
      </c>
      <c r="B2140" t="s">
        <v>33</v>
      </c>
      <c r="C2140" t="s">
        <v>200</v>
      </c>
      <c r="D2140" t="s">
        <v>1233</v>
      </c>
      <c r="E2140" s="1">
        <v>45881</v>
      </c>
      <c r="F2140" s="1">
        <v>45881</v>
      </c>
      <c r="G2140" s="12">
        <v>1680</v>
      </c>
      <c r="H2140" s="2">
        <v>0</v>
      </c>
      <c r="I2140" s="2">
        <v>0</v>
      </c>
      <c r="J2140" s="2">
        <v>0</v>
      </c>
      <c r="K2140" s="20">
        <v>1680</v>
      </c>
      <c r="L2140" t="s">
        <v>794</v>
      </c>
      <c r="M2140">
        <f t="shared" si="33"/>
        <v>2025</v>
      </c>
    </row>
    <row r="2141" spans="1:13" ht="12.75" hidden="1" customHeight="1">
      <c r="A2141" t="s">
        <v>1134</v>
      </c>
      <c r="B2141" t="s">
        <v>33</v>
      </c>
      <c r="C2141" t="s">
        <v>200</v>
      </c>
      <c r="D2141" t="s">
        <v>1242</v>
      </c>
      <c r="E2141" s="1">
        <v>45910</v>
      </c>
      <c r="F2141" s="1">
        <v>45910</v>
      </c>
      <c r="G2141" s="12">
        <v>2000</v>
      </c>
      <c r="H2141" s="2">
        <v>0</v>
      </c>
      <c r="I2141" s="2">
        <v>0</v>
      </c>
      <c r="J2141" s="2">
        <v>0</v>
      </c>
      <c r="K2141" s="20">
        <v>2000</v>
      </c>
      <c r="L2141" t="s">
        <v>794</v>
      </c>
      <c r="M2141">
        <f t="shared" si="33"/>
        <v>2025</v>
      </c>
    </row>
    <row r="2142" spans="1:13" ht="12.75" hidden="1" customHeight="1">
      <c r="A2142" t="s">
        <v>900</v>
      </c>
      <c r="B2142" t="s">
        <v>250</v>
      </c>
      <c r="C2142" t="s">
        <v>200</v>
      </c>
      <c r="D2142" t="s">
        <v>1233</v>
      </c>
      <c r="E2142" s="1">
        <v>45870</v>
      </c>
      <c r="F2142" s="1">
        <v>45870</v>
      </c>
      <c r="G2142" s="12">
        <v>1440</v>
      </c>
      <c r="H2142" s="2">
        <v>0</v>
      </c>
      <c r="I2142" s="2">
        <v>0</v>
      </c>
      <c r="J2142" s="2">
        <v>0</v>
      </c>
      <c r="K2142" s="20">
        <v>1440</v>
      </c>
      <c r="L2142" t="s">
        <v>794</v>
      </c>
      <c r="M2142">
        <f t="shared" si="33"/>
        <v>2025</v>
      </c>
    </row>
    <row r="2143" spans="1:13" ht="12.75" hidden="1" customHeight="1">
      <c r="A2143" t="s">
        <v>1246</v>
      </c>
      <c r="B2143" t="s">
        <v>63</v>
      </c>
      <c r="C2143" t="s">
        <v>200</v>
      </c>
      <c r="D2143" t="s">
        <v>1233</v>
      </c>
      <c r="E2143" s="1">
        <v>45881</v>
      </c>
      <c r="F2143" s="1">
        <v>45881</v>
      </c>
      <c r="G2143" s="12">
        <v>4640</v>
      </c>
      <c r="H2143" s="2">
        <v>0</v>
      </c>
      <c r="I2143" s="2">
        <v>0</v>
      </c>
      <c r="J2143" s="2">
        <v>0</v>
      </c>
      <c r="K2143" s="20">
        <v>4640</v>
      </c>
      <c r="L2143" t="s">
        <v>794</v>
      </c>
      <c r="M2143">
        <f t="shared" si="33"/>
        <v>2025</v>
      </c>
    </row>
    <row r="2144" spans="1:13" ht="12.75" hidden="1" customHeight="1">
      <c r="A2144" t="s">
        <v>881</v>
      </c>
      <c r="B2144" t="s">
        <v>48</v>
      </c>
      <c r="C2144" t="s">
        <v>200</v>
      </c>
      <c r="D2144" t="s">
        <v>1233</v>
      </c>
      <c r="E2144" s="1">
        <v>45910</v>
      </c>
      <c r="F2144" s="1">
        <v>45910</v>
      </c>
      <c r="G2144" s="12">
        <v>4000</v>
      </c>
      <c r="H2144" s="2">
        <v>0</v>
      </c>
      <c r="I2144" s="2">
        <v>0</v>
      </c>
      <c r="J2144" s="2">
        <v>0</v>
      </c>
      <c r="K2144" s="20">
        <v>4000</v>
      </c>
      <c r="L2144" t="s">
        <v>794</v>
      </c>
      <c r="M2144">
        <f t="shared" si="33"/>
        <v>2025</v>
      </c>
    </row>
    <row r="2145" spans="1:13" ht="12.75" hidden="1" customHeight="1">
      <c r="A2145" t="s">
        <v>1173</v>
      </c>
      <c r="B2145" t="s">
        <v>45</v>
      </c>
      <c r="C2145" t="s">
        <v>137</v>
      </c>
      <c r="D2145" t="s">
        <v>1233</v>
      </c>
      <c r="E2145" s="1">
        <v>45881</v>
      </c>
      <c r="F2145" s="1">
        <v>45881</v>
      </c>
      <c r="G2145" s="12">
        <v>1140</v>
      </c>
      <c r="H2145" s="2">
        <v>0</v>
      </c>
      <c r="I2145" s="2">
        <v>0</v>
      </c>
      <c r="J2145" s="2">
        <v>0</v>
      </c>
      <c r="K2145" s="20">
        <v>1140</v>
      </c>
      <c r="L2145" t="s">
        <v>794</v>
      </c>
      <c r="M2145">
        <f t="shared" si="33"/>
        <v>2025</v>
      </c>
    </row>
    <row r="2146" spans="1:13" ht="12.75" hidden="1" customHeight="1">
      <c r="A2146" t="s">
        <v>1199</v>
      </c>
      <c r="B2146" t="s">
        <v>107</v>
      </c>
      <c r="C2146" t="s">
        <v>201</v>
      </c>
      <c r="D2146" t="s">
        <v>1233</v>
      </c>
      <c r="E2146" s="1">
        <v>45881</v>
      </c>
      <c r="F2146" s="1">
        <v>45881</v>
      </c>
      <c r="G2146" s="12">
        <v>240</v>
      </c>
      <c r="H2146" s="2">
        <v>0</v>
      </c>
      <c r="I2146" s="2">
        <v>0</v>
      </c>
      <c r="J2146" s="2">
        <v>0</v>
      </c>
      <c r="K2146" s="20">
        <v>240</v>
      </c>
      <c r="L2146" t="s">
        <v>1247</v>
      </c>
      <c r="M2146">
        <f t="shared" si="33"/>
        <v>2025</v>
      </c>
    </row>
    <row r="2147" spans="1:13" ht="12.75" hidden="1" customHeight="1">
      <c r="A2147" t="s">
        <v>847</v>
      </c>
      <c r="B2147" t="s">
        <v>169</v>
      </c>
      <c r="C2147" t="s">
        <v>722</v>
      </c>
      <c r="D2147" t="s">
        <v>1233</v>
      </c>
      <c r="E2147" s="1">
        <v>45879</v>
      </c>
      <c r="F2147" s="1">
        <v>45881</v>
      </c>
      <c r="G2147" s="12">
        <v>221.3</v>
      </c>
      <c r="H2147" s="2">
        <v>0</v>
      </c>
      <c r="I2147" s="2">
        <v>0</v>
      </c>
      <c r="J2147" s="2">
        <v>0</v>
      </c>
      <c r="K2147" s="20">
        <v>221.3</v>
      </c>
      <c r="L2147" t="s">
        <v>794</v>
      </c>
      <c r="M2147">
        <f t="shared" si="33"/>
        <v>2025</v>
      </c>
    </row>
    <row r="2148" spans="1:13" ht="12.75" hidden="1" customHeight="1">
      <c r="A2148" t="s">
        <v>995</v>
      </c>
      <c r="B2148" t="s">
        <v>122</v>
      </c>
      <c r="C2148" t="s">
        <v>735</v>
      </c>
      <c r="D2148" t="s">
        <v>1233</v>
      </c>
      <c r="E2148" s="1">
        <v>45879</v>
      </c>
      <c r="F2148" s="1">
        <v>45881</v>
      </c>
      <c r="G2148" s="12">
        <v>605</v>
      </c>
      <c r="H2148" s="2">
        <v>0</v>
      </c>
      <c r="I2148" s="2">
        <v>0</v>
      </c>
      <c r="J2148" s="2">
        <v>0</v>
      </c>
      <c r="K2148" s="20">
        <v>605</v>
      </c>
      <c r="L2148" t="s">
        <v>794</v>
      </c>
      <c r="M2148">
        <f t="shared" si="33"/>
        <v>2025</v>
      </c>
    </row>
    <row r="2149" spans="1:13" ht="12.75" hidden="1" customHeight="1">
      <c r="A2149" t="s">
        <v>1248</v>
      </c>
      <c r="B2149" t="s">
        <v>111</v>
      </c>
      <c r="C2149" t="s">
        <v>183</v>
      </c>
      <c r="D2149" t="s">
        <v>1233</v>
      </c>
      <c r="E2149" s="1">
        <v>45879</v>
      </c>
      <c r="F2149" s="1">
        <v>45881</v>
      </c>
      <c r="G2149" s="12">
        <v>997.5</v>
      </c>
      <c r="H2149" s="2">
        <v>0</v>
      </c>
      <c r="I2149" s="2">
        <v>0</v>
      </c>
      <c r="J2149" s="2">
        <v>0</v>
      </c>
      <c r="K2149" s="20">
        <v>997.5</v>
      </c>
      <c r="L2149" t="s">
        <v>794</v>
      </c>
      <c r="M2149">
        <f t="shared" si="33"/>
        <v>2025</v>
      </c>
    </row>
    <row r="2150" spans="1:13" ht="12.75" hidden="1" customHeight="1">
      <c r="A2150" t="s">
        <v>1181</v>
      </c>
      <c r="B2150" t="s">
        <v>75</v>
      </c>
      <c r="C2150" t="s">
        <v>141</v>
      </c>
      <c r="D2150" t="s">
        <v>1233</v>
      </c>
      <c r="E2150" s="1">
        <v>45881</v>
      </c>
      <c r="F2150" s="1">
        <v>45881</v>
      </c>
      <c r="G2150" s="12">
        <v>120</v>
      </c>
      <c r="H2150" s="2">
        <v>0</v>
      </c>
      <c r="I2150" s="2">
        <v>0</v>
      </c>
      <c r="J2150" s="2">
        <v>0</v>
      </c>
      <c r="K2150" s="20">
        <v>120</v>
      </c>
      <c r="L2150" t="s">
        <v>794</v>
      </c>
      <c r="M2150">
        <f t="shared" si="33"/>
        <v>2025</v>
      </c>
    </row>
    <row r="2151" spans="1:13" ht="12.75" hidden="1" customHeight="1">
      <c r="A2151" t="s">
        <v>1211</v>
      </c>
      <c r="B2151" t="s">
        <v>73</v>
      </c>
      <c r="C2151" t="s">
        <v>721</v>
      </c>
      <c r="D2151" t="s">
        <v>1233</v>
      </c>
      <c r="E2151" s="1">
        <v>45881</v>
      </c>
      <c r="F2151" s="1">
        <v>45881</v>
      </c>
      <c r="G2151" s="12">
        <v>1500</v>
      </c>
      <c r="H2151" s="2">
        <v>0</v>
      </c>
      <c r="I2151" s="2">
        <v>0</v>
      </c>
      <c r="J2151" s="2">
        <v>0</v>
      </c>
      <c r="K2151" s="20">
        <v>1500</v>
      </c>
      <c r="L2151" t="s">
        <v>794</v>
      </c>
      <c r="M2151">
        <f t="shared" si="33"/>
        <v>2025</v>
      </c>
    </row>
    <row r="2152" spans="1:13" ht="12.75" hidden="1" customHeight="1">
      <c r="A2152" t="s">
        <v>924</v>
      </c>
      <c r="B2152" t="s">
        <v>87</v>
      </c>
      <c r="C2152" t="s">
        <v>141</v>
      </c>
      <c r="D2152" t="s">
        <v>1233</v>
      </c>
      <c r="E2152" s="1">
        <v>45881</v>
      </c>
      <c r="F2152" s="1">
        <v>45881</v>
      </c>
      <c r="G2152" s="12">
        <v>340</v>
      </c>
      <c r="H2152" s="2">
        <v>0</v>
      </c>
      <c r="I2152" s="2">
        <v>0</v>
      </c>
      <c r="J2152" s="2">
        <v>0</v>
      </c>
      <c r="K2152" s="20">
        <v>340</v>
      </c>
      <c r="L2152" t="s">
        <v>794</v>
      </c>
      <c r="M2152">
        <f t="shared" si="33"/>
        <v>2025</v>
      </c>
    </row>
    <row r="2153" spans="1:13" ht="12.75" hidden="1" customHeight="1">
      <c r="A2153" t="s">
        <v>833</v>
      </c>
      <c r="B2153" t="s">
        <v>27</v>
      </c>
      <c r="C2153" t="s">
        <v>141</v>
      </c>
      <c r="D2153" t="s">
        <v>1233</v>
      </c>
      <c r="E2153" s="1">
        <v>45881</v>
      </c>
      <c r="F2153" s="1">
        <v>45881</v>
      </c>
      <c r="G2153" s="12">
        <v>950</v>
      </c>
      <c r="H2153" s="2">
        <v>0</v>
      </c>
      <c r="I2153" s="2">
        <v>0</v>
      </c>
      <c r="J2153" s="2">
        <v>0</v>
      </c>
      <c r="K2153" s="20">
        <v>950</v>
      </c>
      <c r="L2153" t="s">
        <v>794</v>
      </c>
      <c r="M2153">
        <f t="shared" si="33"/>
        <v>2025</v>
      </c>
    </row>
    <row r="2154" spans="1:13" ht="12.75" hidden="1" customHeight="1">
      <c r="A2154" t="s">
        <v>1199</v>
      </c>
      <c r="B2154" t="s">
        <v>107</v>
      </c>
      <c r="C2154" t="s">
        <v>201</v>
      </c>
      <c r="D2154" t="s">
        <v>1242</v>
      </c>
      <c r="E2154" s="1">
        <v>45910</v>
      </c>
      <c r="F2154" s="1">
        <v>45910</v>
      </c>
      <c r="G2154" s="12">
        <v>2480</v>
      </c>
      <c r="H2154" s="2">
        <v>0</v>
      </c>
      <c r="I2154" s="2">
        <v>0</v>
      </c>
      <c r="J2154" s="2">
        <v>0</v>
      </c>
      <c r="K2154" s="20">
        <v>2480</v>
      </c>
      <c r="L2154" t="s">
        <v>794</v>
      </c>
      <c r="M2154">
        <f t="shared" si="33"/>
        <v>2025</v>
      </c>
    </row>
    <row r="2155" spans="1:13" ht="12.75" hidden="1" customHeight="1">
      <c r="A2155" t="s">
        <v>980</v>
      </c>
      <c r="B2155" t="s">
        <v>246</v>
      </c>
      <c r="C2155" t="s">
        <v>398</v>
      </c>
      <c r="D2155" t="s">
        <v>1233</v>
      </c>
      <c r="E2155" s="1">
        <v>45879</v>
      </c>
      <c r="F2155" s="1">
        <v>45881</v>
      </c>
      <c r="G2155" s="12">
        <v>383.11</v>
      </c>
      <c r="H2155" s="2">
        <v>0</v>
      </c>
      <c r="I2155" s="2">
        <v>0</v>
      </c>
      <c r="J2155" s="2">
        <v>0</v>
      </c>
      <c r="K2155" s="20">
        <v>383.11</v>
      </c>
      <c r="L2155" t="s">
        <v>794</v>
      </c>
      <c r="M2155">
        <f t="shared" si="33"/>
        <v>2025</v>
      </c>
    </row>
    <row r="2156" spans="1:13" ht="12.75" hidden="1" customHeight="1">
      <c r="A2156" t="s">
        <v>844</v>
      </c>
      <c r="B2156" t="s">
        <v>18</v>
      </c>
      <c r="C2156" t="s">
        <v>719</v>
      </c>
      <c r="D2156" t="s">
        <v>1233</v>
      </c>
      <c r="E2156" s="1">
        <v>45881</v>
      </c>
      <c r="F2156" s="1">
        <v>45881</v>
      </c>
      <c r="G2156" s="12">
        <v>10754.09</v>
      </c>
      <c r="H2156" s="2">
        <v>0</v>
      </c>
      <c r="I2156" s="2">
        <v>0</v>
      </c>
      <c r="J2156" s="2">
        <v>0</v>
      </c>
      <c r="K2156" s="20">
        <v>10754.09</v>
      </c>
      <c r="L2156" t="s">
        <v>794</v>
      </c>
      <c r="M2156">
        <f t="shared" si="33"/>
        <v>2025</v>
      </c>
    </row>
    <row r="2157" spans="1:13" ht="12.75" hidden="1" customHeight="1">
      <c r="A2157" t="s">
        <v>1249</v>
      </c>
      <c r="B2157" t="s">
        <v>390</v>
      </c>
      <c r="C2157" t="s">
        <v>398</v>
      </c>
      <c r="D2157" t="s">
        <v>1233</v>
      </c>
      <c r="E2157" s="1">
        <v>45881</v>
      </c>
      <c r="F2157" s="1">
        <v>45881</v>
      </c>
      <c r="G2157" s="12">
        <v>540.66999999999996</v>
      </c>
      <c r="H2157" s="2">
        <v>0</v>
      </c>
      <c r="I2157" s="2">
        <v>0</v>
      </c>
      <c r="J2157" s="2">
        <v>0</v>
      </c>
      <c r="K2157" s="20">
        <v>540.66999999999996</v>
      </c>
      <c r="L2157" t="s">
        <v>794</v>
      </c>
      <c r="M2157">
        <f t="shared" si="33"/>
        <v>2025</v>
      </c>
    </row>
    <row r="2158" spans="1:13" ht="12.75" hidden="1" customHeight="1">
      <c r="A2158" t="s">
        <v>1250</v>
      </c>
      <c r="B2158" t="s">
        <v>548</v>
      </c>
      <c r="C2158" t="s">
        <v>452</v>
      </c>
      <c r="D2158" t="s">
        <v>1233</v>
      </c>
      <c r="E2158" s="1">
        <v>45880</v>
      </c>
      <c r="F2158" s="1">
        <v>45881</v>
      </c>
      <c r="G2158" s="12">
        <v>99</v>
      </c>
      <c r="H2158" s="2">
        <v>0</v>
      </c>
      <c r="I2158" s="2">
        <v>0</v>
      </c>
      <c r="J2158" s="2">
        <v>0</v>
      </c>
      <c r="K2158" s="20">
        <v>99</v>
      </c>
      <c r="L2158" t="s">
        <v>794</v>
      </c>
      <c r="M2158">
        <f t="shared" si="33"/>
        <v>2025</v>
      </c>
    </row>
    <row r="2159" spans="1:13" ht="12.75" hidden="1" customHeight="1">
      <c r="A2159" t="s">
        <v>1251</v>
      </c>
      <c r="B2159" t="s">
        <v>430</v>
      </c>
      <c r="C2159" t="s">
        <v>201</v>
      </c>
      <c r="D2159" t="s">
        <v>1233</v>
      </c>
      <c r="E2159" s="1">
        <v>45881</v>
      </c>
      <c r="F2159" s="1">
        <v>45881</v>
      </c>
      <c r="G2159" s="12">
        <v>320</v>
      </c>
      <c r="H2159" s="2">
        <v>0</v>
      </c>
      <c r="I2159" s="2">
        <v>0</v>
      </c>
      <c r="J2159" s="2">
        <v>0</v>
      </c>
      <c r="K2159" s="20">
        <v>320</v>
      </c>
      <c r="L2159" t="s">
        <v>794</v>
      </c>
      <c r="M2159">
        <f t="shared" si="33"/>
        <v>2025</v>
      </c>
    </row>
    <row r="2160" spans="1:13" ht="12.75" hidden="1" customHeight="1">
      <c r="A2160" t="s">
        <v>801</v>
      </c>
      <c r="B2160" t="s">
        <v>13</v>
      </c>
      <c r="C2160" t="s">
        <v>726</v>
      </c>
      <c r="D2160" t="s">
        <v>1233</v>
      </c>
      <c r="E2160" s="1">
        <v>45881</v>
      </c>
      <c r="F2160" s="1">
        <v>45881</v>
      </c>
      <c r="G2160" s="12">
        <v>135.52000000000001</v>
      </c>
      <c r="H2160" s="2">
        <v>0</v>
      </c>
      <c r="I2160" s="2">
        <v>0</v>
      </c>
      <c r="J2160" s="2">
        <v>0</v>
      </c>
      <c r="K2160" s="20">
        <v>135.52000000000001</v>
      </c>
      <c r="L2160" t="s">
        <v>794</v>
      </c>
      <c r="M2160">
        <f t="shared" si="33"/>
        <v>2025</v>
      </c>
    </row>
    <row r="2161" spans="1:13" ht="12.75" hidden="1" customHeight="1">
      <c r="A2161" t="s">
        <v>801</v>
      </c>
      <c r="B2161" t="s">
        <v>13</v>
      </c>
      <c r="C2161" t="s">
        <v>739</v>
      </c>
      <c r="D2161" t="s">
        <v>1233</v>
      </c>
      <c r="E2161" s="1">
        <v>45881</v>
      </c>
      <c r="F2161" s="1">
        <v>45881</v>
      </c>
      <c r="G2161" s="12">
        <v>451.91</v>
      </c>
      <c r="H2161" s="2">
        <v>0</v>
      </c>
      <c r="I2161" s="2">
        <v>0</v>
      </c>
      <c r="J2161" s="2">
        <v>0</v>
      </c>
      <c r="K2161" s="20">
        <v>451.91</v>
      </c>
      <c r="L2161" t="s">
        <v>794</v>
      </c>
      <c r="M2161">
        <f t="shared" si="33"/>
        <v>2025</v>
      </c>
    </row>
    <row r="2162" spans="1:13" ht="12.75" hidden="1" customHeight="1">
      <c r="A2162" t="s">
        <v>855</v>
      </c>
      <c r="B2162" t="s">
        <v>20</v>
      </c>
      <c r="C2162" t="s">
        <v>200</v>
      </c>
      <c r="D2162" t="s">
        <v>1233</v>
      </c>
      <c r="E2162" s="1">
        <v>45881</v>
      </c>
      <c r="F2162" s="1">
        <v>45881</v>
      </c>
      <c r="G2162" s="12">
        <v>1360</v>
      </c>
      <c r="H2162" s="2">
        <v>0</v>
      </c>
      <c r="I2162" s="2">
        <v>0</v>
      </c>
      <c r="J2162" s="2">
        <v>0</v>
      </c>
      <c r="K2162" s="20">
        <v>1360</v>
      </c>
      <c r="L2162" t="s">
        <v>794</v>
      </c>
      <c r="M2162">
        <f t="shared" si="33"/>
        <v>2025</v>
      </c>
    </row>
    <row r="2163" spans="1:13" ht="12.75" hidden="1" customHeight="1">
      <c r="A2163" t="s">
        <v>855</v>
      </c>
      <c r="B2163" t="s">
        <v>20</v>
      </c>
      <c r="C2163" t="s">
        <v>200</v>
      </c>
      <c r="D2163" t="s">
        <v>1242</v>
      </c>
      <c r="E2163" s="1">
        <v>45910</v>
      </c>
      <c r="F2163" s="1">
        <v>45910</v>
      </c>
      <c r="G2163" s="12">
        <v>1200</v>
      </c>
      <c r="H2163" s="2">
        <v>0</v>
      </c>
      <c r="I2163" s="2">
        <v>0</v>
      </c>
      <c r="J2163" s="2">
        <v>0</v>
      </c>
      <c r="K2163" s="20">
        <v>1200</v>
      </c>
      <c r="L2163" t="s">
        <v>794</v>
      </c>
      <c r="M2163">
        <f t="shared" si="33"/>
        <v>2025</v>
      </c>
    </row>
    <row r="2164" spans="1:13" ht="12.75" hidden="1" customHeight="1">
      <c r="A2164" t="s">
        <v>1252</v>
      </c>
      <c r="B2164" t="s">
        <v>234</v>
      </c>
      <c r="C2164" t="s">
        <v>200</v>
      </c>
      <c r="D2164" t="s">
        <v>1233</v>
      </c>
      <c r="E2164" s="1">
        <v>45881</v>
      </c>
      <c r="F2164" s="1">
        <v>45881</v>
      </c>
      <c r="G2164" s="12">
        <v>1120</v>
      </c>
      <c r="H2164" s="2">
        <v>0</v>
      </c>
      <c r="I2164" s="2">
        <v>0</v>
      </c>
      <c r="J2164" s="2">
        <v>0</v>
      </c>
      <c r="K2164" s="20">
        <v>1120</v>
      </c>
      <c r="L2164" t="s">
        <v>794</v>
      </c>
      <c r="M2164">
        <f t="shared" si="33"/>
        <v>2025</v>
      </c>
    </row>
    <row r="2165" spans="1:13" ht="12.75" hidden="1" customHeight="1">
      <c r="A2165" t="s">
        <v>1252</v>
      </c>
      <c r="B2165" t="s">
        <v>234</v>
      </c>
      <c r="C2165" t="s">
        <v>200</v>
      </c>
      <c r="D2165" t="s">
        <v>1242</v>
      </c>
      <c r="E2165" s="1">
        <v>45911</v>
      </c>
      <c r="F2165" s="1">
        <v>45911</v>
      </c>
      <c r="G2165" s="12">
        <v>1040</v>
      </c>
      <c r="H2165" s="2">
        <v>0</v>
      </c>
      <c r="I2165" s="2">
        <v>0</v>
      </c>
      <c r="J2165" s="2">
        <v>0</v>
      </c>
      <c r="K2165" s="20">
        <v>1040</v>
      </c>
      <c r="L2165" t="s">
        <v>794</v>
      </c>
      <c r="M2165">
        <f t="shared" si="33"/>
        <v>2025</v>
      </c>
    </row>
    <row r="2166" spans="1:13" ht="12.75" hidden="1" customHeight="1">
      <c r="A2166" t="s">
        <v>1253</v>
      </c>
      <c r="B2166" t="s">
        <v>420</v>
      </c>
      <c r="C2166" t="s">
        <v>201</v>
      </c>
      <c r="D2166" t="s">
        <v>1242</v>
      </c>
      <c r="E2166" s="1">
        <v>45918</v>
      </c>
      <c r="F2166" s="1">
        <v>45918</v>
      </c>
      <c r="G2166" s="12">
        <v>375</v>
      </c>
      <c r="H2166" s="2">
        <v>0</v>
      </c>
      <c r="I2166" s="2">
        <v>0</v>
      </c>
      <c r="J2166" s="2">
        <v>0</v>
      </c>
      <c r="K2166" s="20">
        <v>375</v>
      </c>
      <c r="L2166" t="s">
        <v>794</v>
      </c>
      <c r="M2166">
        <f t="shared" si="33"/>
        <v>2025</v>
      </c>
    </row>
    <row r="2167" spans="1:13" ht="12.75" hidden="1" customHeight="1">
      <c r="A2167" t="s">
        <v>870</v>
      </c>
      <c r="B2167" t="s">
        <v>119</v>
      </c>
      <c r="C2167" t="s">
        <v>200</v>
      </c>
      <c r="D2167" t="s">
        <v>1233</v>
      </c>
      <c r="E2167" s="1">
        <v>45881</v>
      </c>
      <c r="F2167" s="1">
        <v>45881</v>
      </c>
      <c r="G2167" s="12">
        <v>1040</v>
      </c>
      <c r="H2167" s="2">
        <v>0</v>
      </c>
      <c r="I2167" s="2">
        <v>0</v>
      </c>
      <c r="J2167" s="2">
        <v>0</v>
      </c>
      <c r="K2167" s="20">
        <v>1040</v>
      </c>
      <c r="L2167" t="s">
        <v>794</v>
      </c>
      <c r="M2167">
        <f t="shared" si="33"/>
        <v>2025</v>
      </c>
    </row>
    <row r="2168" spans="1:13" ht="12.75" hidden="1" customHeight="1">
      <c r="A2168" t="s">
        <v>801</v>
      </c>
      <c r="B2168" t="s">
        <v>13</v>
      </c>
      <c r="C2168" t="s">
        <v>739</v>
      </c>
      <c r="D2168" t="s">
        <v>1233</v>
      </c>
      <c r="E2168" s="1">
        <v>45873</v>
      </c>
      <c r="F2168" s="1">
        <v>45881</v>
      </c>
      <c r="G2168" s="12">
        <v>428.40000000000003</v>
      </c>
      <c r="H2168" s="2">
        <v>0</v>
      </c>
      <c r="I2168" s="2">
        <v>0</v>
      </c>
      <c r="J2168" s="2">
        <v>0</v>
      </c>
      <c r="K2168" s="20">
        <v>428.40000000000003</v>
      </c>
      <c r="L2168" t="s">
        <v>794</v>
      </c>
      <c r="M2168">
        <f t="shared" si="33"/>
        <v>2025</v>
      </c>
    </row>
    <row r="2169" spans="1:13" ht="12.75" hidden="1" customHeight="1">
      <c r="A2169" t="s">
        <v>948</v>
      </c>
      <c r="B2169" t="s">
        <v>89</v>
      </c>
      <c r="C2169" t="s">
        <v>723</v>
      </c>
      <c r="D2169" t="s">
        <v>1233</v>
      </c>
      <c r="E2169" s="1">
        <v>45870</v>
      </c>
      <c r="F2169" s="1">
        <v>45881</v>
      </c>
      <c r="G2169" s="12">
        <v>850</v>
      </c>
      <c r="H2169" s="2">
        <v>0</v>
      </c>
      <c r="I2169" s="2">
        <v>0</v>
      </c>
      <c r="J2169" s="2">
        <v>0</v>
      </c>
      <c r="K2169" s="20">
        <v>850</v>
      </c>
      <c r="L2169" t="s">
        <v>794</v>
      </c>
      <c r="M2169">
        <f t="shared" si="33"/>
        <v>2025</v>
      </c>
    </row>
    <row r="2170" spans="1:13" ht="12.75" hidden="1" customHeight="1">
      <c r="A2170" t="s">
        <v>1210</v>
      </c>
      <c r="B2170" t="s">
        <v>22</v>
      </c>
      <c r="C2170" t="s">
        <v>717</v>
      </c>
      <c r="D2170" t="s">
        <v>1233</v>
      </c>
      <c r="E2170" s="1">
        <v>45875</v>
      </c>
      <c r="F2170" s="1">
        <v>45881</v>
      </c>
      <c r="G2170" s="12">
        <v>2890</v>
      </c>
      <c r="H2170" s="2">
        <v>0</v>
      </c>
      <c r="I2170" s="2">
        <v>0</v>
      </c>
      <c r="J2170" s="2">
        <v>0</v>
      </c>
      <c r="K2170" s="20">
        <v>2890</v>
      </c>
      <c r="L2170" t="s">
        <v>794</v>
      </c>
      <c r="M2170">
        <f t="shared" si="33"/>
        <v>2025</v>
      </c>
    </row>
    <row r="2171" spans="1:13" ht="12.75" hidden="1" customHeight="1">
      <c r="A2171" t="s">
        <v>1254</v>
      </c>
      <c r="B2171" t="s">
        <v>565</v>
      </c>
      <c r="C2171" t="s">
        <v>759</v>
      </c>
      <c r="D2171" t="s">
        <v>1233</v>
      </c>
      <c r="E2171" s="1">
        <v>45876</v>
      </c>
      <c r="F2171" s="1">
        <v>45881</v>
      </c>
      <c r="G2171" s="12">
        <v>76.89</v>
      </c>
      <c r="H2171" s="2">
        <v>0</v>
      </c>
      <c r="I2171" s="2">
        <v>0</v>
      </c>
      <c r="J2171" s="2">
        <v>0</v>
      </c>
      <c r="K2171" s="20">
        <v>76.89</v>
      </c>
      <c r="L2171" t="s">
        <v>794</v>
      </c>
      <c r="M2171">
        <f t="shared" si="33"/>
        <v>2025</v>
      </c>
    </row>
    <row r="2172" spans="1:13" ht="12.75" hidden="1" customHeight="1">
      <c r="A2172" t="s">
        <v>797</v>
      </c>
      <c r="B2172" t="s">
        <v>25</v>
      </c>
      <c r="C2172" t="s">
        <v>206</v>
      </c>
      <c r="D2172" t="s">
        <v>1233</v>
      </c>
      <c r="E2172" s="1">
        <v>45881</v>
      </c>
      <c r="F2172" s="1">
        <v>45881</v>
      </c>
      <c r="G2172" s="12">
        <v>300</v>
      </c>
      <c r="H2172" s="2">
        <v>0</v>
      </c>
      <c r="I2172" s="2">
        <v>0</v>
      </c>
      <c r="J2172" s="2">
        <v>0</v>
      </c>
      <c r="K2172" s="20">
        <v>300</v>
      </c>
      <c r="L2172" t="s">
        <v>794</v>
      </c>
      <c r="M2172">
        <f t="shared" si="33"/>
        <v>2025</v>
      </c>
    </row>
    <row r="2173" spans="1:13" ht="12.75" hidden="1" customHeight="1">
      <c r="A2173" t="s">
        <v>1255</v>
      </c>
      <c r="B2173" t="s">
        <v>632</v>
      </c>
      <c r="C2173" t="s">
        <v>766</v>
      </c>
      <c r="D2173" t="s">
        <v>1233</v>
      </c>
      <c r="E2173" s="1">
        <v>45877</v>
      </c>
      <c r="F2173" s="1">
        <v>45881</v>
      </c>
      <c r="G2173" s="12">
        <v>49</v>
      </c>
      <c r="H2173" s="2">
        <v>0</v>
      </c>
      <c r="I2173" s="2">
        <v>0</v>
      </c>
      <c r="J2173" s="2">
        <v>0</v>
      </c>
      <c r="K2173" s="20">
        <v>49</v>
      </c>
      <c r="L2173" t="s">
        <v>794</v>
      </c>
      <c r="M2173">
        <f t="shared" si="33"/>
        <v>2025</v>
      </c>
    </row>
    <row r="2174" spans="1:13" ht="12.75" hidden="1" customHeight="1">
      <c r="A2174" t="s">
        <v>1256</v>
      </c>
      <c r="B2174" t="s">
        <v>585</v>
      </c>
      <c r="C2174" t="s">
        <v>766</v>
      </c>
      <c r="D2174" t="s">
        <v>1233</v>
      </c>
      <c r="E2174" s="1">
        <v>45874</v>
      </c>
      <c r="F2174" s="1">
        <v>45881</v>
      </c>
      <c r="G2174" s="12">
        <v>42</v>
      </c>
      <c r="H2174" s="2">
        <v>0</v>
      </c>
      <c r="I2174" s="2">
        <v>0</v>
      </c>
      <c r="J2174" s="2">
        <v>0</v>
      </c>
      <c r="K2174" s="20">
        <v>42</v>
      </c>
      <c r="L2174" t="s">
        <v>794</v>
      </c>
      <c r="M2174">
        <f t="shared" si="33"/>
        <v>2025</v>
      </c>
    </row>
    <row r="2175" spans="1:13" ht="12.75" hidden="1" customHeight="1">
      <c r="A2175" t="s">
        <v>1256</v>
      </c>
      <c r="B2175" t="s">
        <v>585</v>
      </c>
      <c r="C2175" t="s">
        <v>766</v>
      </c>
      <c r="D2175" t="s">
        <v>1233</v>
      </c>
      <c r="E2175" s="1">
        <v>45873</v>
      </c>
      <c r="F2175" s="1">
        <v>45881</v>
      </c>
      <c r="G2175" s="12">
        <v>23</v>
      </c>
      <c r="H2175" s="2">
        <v>0</v>
      </c>
      <c r="I2175" s="2">
        <v>0</v>
      </c>
      <c r="J2175" s="2">
        <v>0</v>
      </c>
      <c r="K2175" s="20">
        <v>23</v>
      </c>
      <c r="L2175" t="s">
        <v>794</v>
      </c>
      <c r="M2175">
        <f t="shared" si="33"/>
        <v>2025</v>
      </c>
    </row>
    <row r="2176" spans="1:13" ht="12.75" hidden="1" customHeight="1">
      <c r="A2176" t="s">
        <v>1257</v>
      </c>
      <c r="B2176" t="s">
        <v>682</v>
      </c>
      <c r="C2176" t="s">
        <v>733</v>
      </c>
      <c r="D2176" t="s">
        <v>1233</v>
      </c>
      <c r="E2176" s="1">
        <v>45873</v>
      </c>
      <c r="F2176" s="1">
        <v>45881</v>
      </c>
      <c r="G2176" s="12">
        <v>18.350000000000001</v>
      </c>
      <c r="H2176" s="2">
        <v>0</v>
      </c>
      <c r="I2176" s="2">
        <v>0</v>
      </c>
      <c r="J2176" s="2">
        <v>0</v>
      </c>
      <c r="K2176" s="20">
        <v>18.350000000000001</v>
      </c>
      <c r="L2176" t="s">
        <v>794</v>
      </c>
      <c r="M2176">
        <f t="shared" si="33"/>
        <v>2025</v>
      </c>
    </row>
    <row r="2177" spans="1:13" ht="12.75" hidden="1" customHeight="1">
      <c r="A2177" t="s">
        <v>870</v>
      </c>
      <c r="B2177" t="s">
        <v>119</v>
      </c>
      <c r="C2177" t="s">
        <v>200</v>
      </c>
      <c r="D2177" t="s">
        <v>1242</v>
      </c>
      <c r="E2177" s="1">
        <v>45910</v>
      </c>
      <c r="F2177" s="1">
        <v>45910</v>
      </c>
      <c r="G2177" s="12">
        <v>320</v>
      </c>
      <c r="H2177" s="2">
        <v>0</v>
      </c>
      <c r="I2177" s="2">
        <v>0</v>
      </c>
      <c r="J2177" s="2">
        <v>0</v>
      </c>
      <c r="K2177" s="20">
        <v>320</v>
      </c>
      <c r="L2177" t="s">
        <v>794</v>
      </c>
      <c r="M2177">
        <f t="shared" si="33"/>
        <v>2025</v>
      </c>
    </row>
    <row r="2178" spans="1:13" ht="12.75" hidden="1" customHeight="1">
      <c r="A2178" t="s">
        <v>848</v>
      </c>
      <c r="B2178" t="s">
        <v>14</v>
      </c>
      <c r="C2178" t="s">
        <v>714</v>
      </c>
      <c r="D2178" t="s">
        <v>1233</v>
      </c>
      <c r="E2178" s="1">
        <v>45879</v>
      </c>
      <c r="F2178" s="1">
        <v>45881</v>
      </c>
      <c r="G2178" s="12">
        <v>29955.31</v>
      </c>
      <c r="H2178" s="2">
        <v>0</v>
      </c>
      <c r="I2178" s="2">
        <v>0</v>
      </c>
      <c r="J2178" s="2">
        <v>0</v>
      </c>
      <c r="K2178" s="20">
        <v>29955.31</v>
      </c>
      <c r="L2178" t="s">
        <v>794</v>
      </c>
      <c r="M2178">
        <f t="shared" si="33"/>
        <v>2025</v>
      </c>
    </row>
    <row r="2179" spans="1:13" ht="12.75" hidden="1" customHeight="1">
      <c r="A2179" t="s">
        <v>801</v>
      </c>
      <c r="B2179" t="s">
        <v>13</v>
      </c>
      <c r="C2179" t="s">
        <v>726</v>
      </c>
      <c r="D2179" t="s">
        <v>1233</v>
      </c>
      <c r="E2179" s="1">
        <v>45880</v>
      </c>
      <c r="F2179" s="1">
        <v>45881</v>
      </c>
      <c r="G2179" s="12">
        <v>2.04</v>
      </c>
      <c r="H2179" s="2">
        <v>0</v>
      </c>
      <c r="I2179" s="2">
        <v>0</v>
      </c>
      <c r="J2179" s="2">
        <v>0</v>
      </c>
      <c r="K2179" s="20">
        <v>2.04</v>
      </c>
      <c r="L2179" t="s">
        <v>794</v>
      </c>
      <c r="M2179">
        <f t="shared" ref="M2179:M2242" si="34">YEAR(F2179)</f>
        <v>2025</v>
      </c>
    </row>
    <row r="2180" spans="1:13" ht="12.75" hidden="1" customHeight="1">
      <c r="A2180" t="s">
        <v>801</v>
      </c>
      <c r="B2180" t="s">
        <v>13</v>
      </c>
      <c r="C2180" t="s">
        <v>726</v>
      </c>
      <c r="D2180" t="s">
        <v>1233</v>
      </c>
      <c r="E2180" s="1">
        <v>45880</v>
      </c>
      <c r="F2180" s="1">
        <v>45881</v>
      </c>
      <c r="G2180" s="12">
        <v>67.320000000000007</v>
      </c>
      <c r="H2180" s="2">
        <v>0</v>
      </c>
      <c r="I2180" s="2">
        <v>0</v>
      </c>
      <c r="J2180" s="2">
        <v>0</v>
      </c>
      <c r="K2180" s="20">
        <v>67.320000000000007</v>
      </c>
      <c r="L2180" t="s">
        <v>794</v>
      </c>
      <c r="M2180">
        <f t="shared" si="34"/>
        <v>2025</v>
      </c>
    </row>
    <row r="2181" spans="1:13" ht="12.75" hidden="1" customHeight="1">
      <c r="A2181" t="s">
        <v>801</v>
      </c>
      <c r="B2181" t="s">
        <v>13</v>
      </c>
      <c r="C2181" t="s">
        <v>717</v>
      </c>
      <c r="D2181" t="s">
        <v>1233</v>
      </c>
      <c r="E2181" s="1">
        <v>45880</v>
      </c>
      <c r="F2181" s="1">
        <v>45881</v>
      </c>
      <c r="G2181" s="12">
        <v>210.39000000000001</v>
      </c>
      <c r="H2181" s="2">
        <v>0</v>
      </c>
      <c r="I2181" s="2">
        <v>0</v>
      </c>
      <c r="J2181" s="2">
        <v>0</v>
      </c>
      <c r="K2181" s="20">
        <v>210.39000000000001</v>
      </c>
      <c r="L2181" t="s">
        <v>794</v>
      </c>
      <c r="M2181">
        <f t="shared" si="34"/>
        <v>2025</v>
      </c>
    </row>
    <row r="2182" spans="1:13" ht="12.75" hidden="1" customHeight="1">
      <c r="A2182" t="s">
        <v>879</v>
      </c>
      <c r="B2182" t="s">
        <v>23</v>
      </c>
      <c r="C2182" t="s">
        <v>716</v>
      </c>
      <c r="D2182" t="s">
        <v>1233</v>
      </c>
      <c r="E2182" s="1">
        <v>45883</v>
      </c>
      <c r="F2182" s="1">
        <v>45881</v>
      </c>
      <c r="G2182" s="12">
        <v>1082.33</v>
      </c>
      <c r="H2182" s="2">
        <v>0</v>
      </c>
      <c r="I2182" s="2">
        <v>0</v>
      </c>
      <c r="J2182" s="2">
        <v>0</v>
      </c>
      <c r="K2182" s="20">
        <v>1082.33</v>
      </c>
      <c r="L2182" t="s">
        <v>794</v>
      </c>
      <c r="M2182">
        <f t="shared" si="34"/>
        <v>2025</v>
      </c>
    </row>
    <row r="2183" spans="1:13" ht="12.75" hidden="1" customHeight="1">
      <c r="A2183" t="s">
        <v>1240</v>
      </c>
      <c r="B2183" t="s">
        <v>263</v>
      </c>
      <c r="C2183" t="s">
        <v>139</v>
      </c>
      <c r="D2183" t="s">
        <v>1233</v>
      </c>
      <c r="E2183" s="1">
        <v>45882</v>
      </c>
      <c r="F2183" s="1">
        <v>45882</v>
      </c>
      <c r="G2183" s="12">
        <v>59</v>
      </c>
      <c r="H2183" s="2">
        <v>0</v>
      </c>
      <c r="I2183" s="2">
        <v>0</v>
      </c>
      <c r="J2183" s="2">
        <v>0</v>
      </c>
      <c r="K2183" s="20">
        <v>59</v>
      </c>
      <c r="L2183" t="s">
        <v>794</v>
      </c>
      <c r="M2183">
        <f t="shared" si="34"/>
        <v>2025</v>
      </c>
    </row>
    <row r="2184" spans="1:13" ht="12.75" hidden="1" customHeight="1">
      <c r="A2184" t="s">
        <v>1121</v>
      </c>
      <c r="B2184" t="s">
        <v>295</v>
      </c>
      <c r="C2184" t="s">
        <v>142</v>
      </c>
      <c r="D2184" t="s">
        <v>1233</v>
      </c>
      <c r="E2184" s="1">
        <v>45883</v>
      </c>
      <c r="F2184" s="1">
        <v>45883</v>
      </c>
      <c r="G2184" s="12">
        <v>35</v>
      </c>
      <c r="H2184" s="2">
        <v>0</v>
      </c>
      <c r="I2184" s="2">
        <v>0</v>
      </c>
      <c r="J2184" s="2">
        <v>0</v>
      </c>
      <c r="K2184" s="20">
        <v>35</v>
      </c>
      <c r="L2184" t="s">
        <v>794</v>
      </c>
      <c r="M2184">
        <f t="shared" si="34"/>
        <v>2025</v>
      </c>
    </row>
    <row r="2185" spans="1:13" ht="12.75" hidden="1" customHeight="1">
      <c r="A2185" t="s">
        <v>1121</v>
      </c>
      <c r="B2185" t="s">
        <v>295</v>
      </c>
      <c r="C2185" t="s">
        <v>142</v>
      </c>
      <c r="D2185" t="s">
        <v>1233</v>
      </c>
      <c r="E2185" s="1">
        <v>45882</v>
      </c>
      <c r="F2185" s="1">
        <v>45883</v>
      </c>
      <c r="G2185" s="12">
        <v>35</v>
      </c>
      <c r="H2185" s="2">
        <v>0</v>
      </c>
      <c r="I2185" s="2">
        <v>0</v>
      </c>
      <c r="J2185" s="2">
        <v>0</v>
      </c>
      <c r="K2185" s="20">
        <v>35</v>
      </c>
      <c r="L2185" t="s">
        <v>794</v>
      </c>
      <c r="M2185">
        <f t="shared" si="34"/>
        <v>2025</v>
      </c>
    </row>
    <row r="2186" spans="1:13" ht="12.75" hidden="1" customHeight="1">
      <c r="A2186" t="s">
        <v>1121</v>
      </c>
      <c r="B2186" t="s">
        <v>295</v>
      </c>
      <c r="C2186" t="s">
        <v>142</v>
      </c>
      <c r="D2186" t="s">
        <v>1233</v>
      </c>
      <c r="E2186" s="1">
        <v>45882</v>
      </c>
      <c r="F2186" s="1">
        <v>45883</v>
      </c>
      <c r="G2186" s="12">
        <v>35</v>
      </c>
      <c r="H2186" s="2">
        <v>0</v>
      </c>
      <c r="I2186" s="2">
        <v>0</v>
      </c>
      <c r="J2186" s="2">
        <v>0</v>
      </c>
      <c r="K2186" s="20">
        <v>35</v>
      </c>
      <c r="L2186" t="s">
        <v>794</v>
      </c>
      <c r="M2186">
        <f t="shared" si="34"/>
        <v>2025</v>
      </c>
    </row>
    <row r="2187" spans="1:13" ht="12.75" hidden="1" customHeight="1">
      <c r="A2187" t="s">
        <v>921</v>
      </c>
      <c r="B2187" t="s">
        <v>184</v>
      </c>
      <c r="C2187" t="s">
        <v>483</v>
      </c>
      <c r="D2187" t="s">
        <v>1233</v>
      </c>
      <c r="E2187" s="1">
        <v>45882</v>
      </c>
      <c r="F2187" s="1">
        <v>45883</v>
      </c>
      <c r="G2187" s="12">
        <v>99.86</v>
      </c>
      <c r="H2187" s="2">
        <v>0</v>
      </c>
      <c r="I2187" s="2">
        <v>0</v>
      </c>
      <c r="J2187" s="2">
        <v>0</v>
      </c>
      <c r="K2187" s="20">
        <v>99.86</v>
      </c>
      <c r="L2187" t="s">
        <v>794</v>
      </c>
      <c r="M2187">
        <f t="shared" si="34"/>
        <v>2025</v>
      </c>
    </row>
    <row r="2188" spans="1:13" ht="12.75" hidden="1" customHeight="1">
      <c r="A2188" t="s">
        <v>1108</v>
      </c>
      <c r="B2188" t="s">
        <v>328</v>
      </c>
      <c r="C2188" t="s">
        <v>483</v>
      </c>
      <c r="D2188" t="s">
        <v>1233</v>
      </c>
      <c r="E2188" s="1">
        <v>45883</v>
      </c>
      <c r="F2188" s="1">
        <v>45883</v>
      </c>
      <c r="G2188" s="12">
        <v>35.49</v>
      </c>
      <c r="H2188" s="2">
        <v>0</v>
      </c>
      <c r="I2188" s="2">
        <v>0</v>
      </c>
      <c r="J2188" s="2">
        <v>0</v>
      </c>
      <c r="K2188" s="20">
        <v>35.49</v>
      </c>
      <c r="L2188" t="s">
        <v>794</v>
      </c>
      <c r="M2188">
        <f t="shared" si="34"/>
        <v>2025</v>
      </c>
    </row>
    <row r="2189" spans="1:13" ht="12.75" hidden="1" customHeight="1">
      <c r="A2189" t="s">
        <v>822</v>
      </c>
      <c r="B2189" t="s">
        <v>101</v>
      </c>
      <c r="C2189" t="s">
        <v>201</v>
      </c>
      <c r="D2189" t="s">
        <v>1242</v>
      </c>
      <c r="E2189" s="1">
        <v>45910</v>
      </c>
      <c r="F2189" s="1">
        <v>45910</v>
      </c>
      <c r="G2189" s="12">
        <v>1000</v>
      </c>
      <c r="H2189" s="2">
        <v>0</v>
      </c>
      <c r="I2189" s="2">
        <v>0</v>
      </c>
      <c r="J2189" s="2">
        <v>0</v>
      </c>
      <c r="K2189" s="20">
        <v>1000</v>
      </c>
      <c r="L2189" t="s">
        <v>794</v>
      </c>
      <c r="M2189">
        <f t="shared" si="34"/>
        <v>2025</v>
      </c>
    </row>
    <row r="2190" spans="1:13" ht="12.75" hidden="1" customHeight="1">
      <c r="A2190" t="s">
        <v>1222</v>
      </c>
      <c r="B2190" t="s">
        <v>176</v>
      </c>
      <c r="C2190" t="s">
        <v>723</v>
      </c>
      <c r="D2190" t="s">
        <v>1178</v>
      </c>
      <c r="E2190" s="1">
        <v>45879</v>
      </c>
      <c r="F2190" s="1">
        <v>45883</v>
      </c>
      <c r="G2190" s="12">
        <v>475.32</v>
      </c>
      <c r="H2190" s="2">
        <v>0</v>
      </c>
      <c r="I2190" s="2">
        <v>0</v>
      </c>
      <c r="J2190" s="2">
        <v>0</v>
      </c>
      <c r="K2190" s="20">
        <v>475.32</v>
      </c>
      <c r="L2190" t="s">
        <v>794</v>
      </c>
      <c r="M2190">
        <f t="shared" si="34"/>
        <v>2025</v>
      </c>
    </row>
    <row r="2191" spans="1:13" ht="12.75" hidden="1" customHeight="1">
      <c r="A2191" t="s">
        <v>845</v>
      </c>
      <c r="B2191" t="s">
        <v>67</v>
      </c>
      <c r="C2191" t="s">
        <v>729</v>
      </c>
      <c r="D2191" t="s">
        <v>1242</v>
      </c>
      <c r="E2191" s="1">
        <v>45879</v>
      </c>
      <c r="F2191" s="1">
        <v>45883</v>
      </c>
      <c r="G2191" s="12">
        <v>1842.31</v>
      </c>
      <c r="H2191" s="2">
        <v>0</v>
      </c>
      <c r="I2191" s="2">
        <v>0</v>
      </c>
      <c r="J2191" s="2">
        <v>0</v>
      </c>
      <c r="K2191" s="20">
        <v>1842.31</v>
      </c>
      <c r="L2191" t="s">
        <v>794</v>
      </c>
      <c r="M2191">
        <f t="shared" si="34"/>
        <v>2025</v>
      </c>
    </row>
    <row r="2192" spans="1:13" ht="12.75" hidden="1" customHeight="1">
      <c r="A2192" t="s">
        <v>896</v>
      </c>
      <c r="B2192" t="s">
        <v>293</v>
      </c>
      <c r="C2192" t="s">
        <v>733</v>
      </c>
      <c r="D2192" t="s">
        <v>1233</v>
      </c>
      <c r="E2192" s="1">
        <v>45881</v>
      </c>
      <c r="F2192" s="1">
        <v>45883</v>
      </c>
      <c r="G2192" s="12">
        <v>54.93</v>
      </c>
      <c r="H2192" s="2">
        <v>0</v>
      </c>
      <c r="I2192" s="2">
        <v>0</v>
      </c>
      <c r="J2192" s="2">
        <v>0</v>
      </c>
      <c r="K2192" s="20">
        <v>54.93</v>
      </c>
      <c r="L2192" t="s">
        <v>794</v>
      </c>
      <c r="M2192">
        <f t="shared" si="34"/>
        <v>2025</v>
      </c>
    </row>
    <row r="2193" spans="1:13" ht="12.75" hidden="1" customHeight="1">
      <c r="A2193" t="s">
        <v>1223</v>
      </c>
      <c r="B2193" t="s">
        <v>1224</v>
      </c>
      <c r="C2193" t="s">
        <v>725</v>
      </c>
      <c r="D2193" t="s">
        <v>1178</v>
      </c>
      <c r="E2193" s="1">
        <v>45861</v>
      </c>
      <c r="F2193" s="1">
        <v>45883</v>
      </c>
      <c r="G2193" s="12">
        <v>4350</v>
      </c>
      <c r="H2193" s="2">
        <v>0</v>
      </c>
      <c r="I2193" s="2">
        <v>0</v>
      </c>
      <c r="J2193" s="2">
        <v>0</v>
      </c>
      <c r="K2193" s="20">
        <v>4350</v>
      </c>
      <c r="L2193" t="s">
        <v>794</v>
      </c>
      <c r="M2193">
        <f t="shared" si="34"/>
        <v>2025</v>
      </c>
    </row>
    <row r="2194" spans="1:13" ht="12.75" hidden="1" customHeight="1">
      <c r="A2194" t="s">
        <v>874</v>
      </c>
      <c r="B2194" t="s">
        <v>116</v>
      </c>
      <c r="C2194" t="s">
        <v>200</v>
      </c>
      <c r="D2194" t="s">
        <v>1233</v>
      </c>
      <c r="E2194" s="1">
        <v>45881</v>
      </c>
      <c r="F2194" s="1">
        <v>45881</v>
      </c>
      <c r="G2194" s="12">
        <v>1200</v>
      </c>
      <c r="H2194" s="2">
        <v>0</v>
      </c>
      <c r="I2194" s="2">
        <v>0</v>
      </c>
      <c r="J2194" s="2">
        <v>0</v>
      </c>
      <c r="K2194" s="20">
        <v>1200</v>
      </c>
      <c r="L2194" t="s">
        <v>794</v>
      </c>
      <c r="M2194">
        <f t="shared" si="34"/>
        <v>2025</v>
      </c>
    </row>
    <row r="2195" spans="1:13" ht="12.75" hidden="1" customHeight="1">
      <c r="A2195" t="s">
        <v>1258</v>
      </c>
      <c r="B2195" t="s">
        <v>1259</v>
      </c>
      <c r="C2195" t="s">
        <v>452</v>
      </c>
      <c r="D2195" t="s">
        <v>1233</v>
      </c>
      <c r="E2195" s="1">
        <v>45881</v>
      </c>
      <c r="F2195" s="1">
        <v>45883</v>
      </c>
      <c r="G2195" s="12">
        <v>938.14</v>
      </c>
      <c r="H2195" s="2">
        <v>0</v>
      </c>
      <c r="I2195" s="2">
        <v>0</v>
      </c>
      <c r="J2195" s="2">
        <v>0</v>
      </c>
      <c r="K2195" s="20">
        <v>938.14</v>
      </c>
      <c r="L2195" t="s">
        <v>794</v>
      </c>
      <c r="M2195">
        <f t="shared" si="34"/>
        <v>2025</v>
      </c>
    </row>
    <row r="2196" spans="1:13" ht="12.75" hidden="1" customHeight="1">
      <c r="A2196" t="s">
        <v>1094</v>
      </c>
      <c r="B2196" t="s">
        <v>80</v>
      </c>
      <c r="C2196" t="s">
        <v>201</v>
      </c>
      <c r="D2196" t="s">
        <v>1242</v>
      </c>
      <c r="E2196" s="1">
        <v>45910</v>
      </c>
      <c r="F2196" s="1">
        <v>45910</v>
      </c>
      <c r="G2196" s="12">
        <v>2880</v>
      </c>
      <c r="H2196" s="2">
        <v>0</v>
      </c>
      <c r="I2196" s="2">
        <v>0</v>
      </c>
      <c r="J2196" s="2">
        <v>0</v>
      </c>
      <c r="K2196" s="20">
        <v>2880</v>
      </c>
      <c r="L2196" t="s">
        <v>794</v>
      </c>
      <c r="M2196">
        <f t="shared" si="34"/>
        <v>2025</v>
      </c>
    </row>
    <row r="2197" spans="1:13" ht="12.75" hidden="1" customHeight="1">
      <c r="A2197" t="s">
        <v>801</v>
      </c>
      <c r="B2197" t="s">
        <v>13</v>
      </c>
      <c r="C2197" t="s">
        <v>726</v>
      </c>
      <c r="D2197" t="s">
        <v>1233</v>
      </c>
      <c r="E2197" s="1">
        <v>45881</v>
      </c>
      <c r="F2197" s="1">
        <v>45883</v>
      </c>
      <c r="G2197" s="12">
        <v>2.04</v>
      </c>
      <c r="H2197" s="2">
        <v>0</v>
      </c>
      <c r="I2197" s="2">
        <v>0</v>
      </c>
      <c r="J2197" s="2">
        <v>0</v>
      </c>
      <c r="K2197" s="20">
        <v>2.04</v>
      </c>
      <c r="L2197" t="s">
        <v>794</v>
      </c>
      <c r="M2197">
        <f t="shared" si="34"/>
        <v>2025</v>
      </c>
    </row>
    <row r="2198" spans="1:13" ht="12.75" hidden="1" customHeight="1">
      <c r="A2198" t="s">
        <v>1163</v>
      </c>
      <c r="B2198" t="s">
        <v>94</v>
      </c>
      <c r="C2198" t="s">
        <v>721</v>
      </c>
      <c r="D2198" t="s">
        <v>1233</v>
      </c>
      <c r="E2198" s="1">
        <v>45882</v>
      </c>
      <c r="F2198" s="1">
        <v>45883</v>
      </c>
      <c r="G2198" s="12">
        <v>1800</v>
      </c>
      <c r="H2198" s="2">
        <v>0</v>
      </c>
      <c r="I2198" s="2">
        <v>0</v>
      </c>
      <c r="J2198" s="2">
        <v>0</v>
      </c>
      <c r="K2198" s="20">
        <v>1800</v>
      </c>
      <c r="L2198" t="s">
        <v>794</v>
      </c>
      <c r="M2198">
        <f t="shared" si="34"/>
        <v>2025</v>
      </c>
    </row>
    <row r="2199" spans="1:13" ht="12.75" hidden="1" customHeight="1">
      <c r="A2199" t="s">
        <v>1214</v>
      </c>
      <c r="B2199" t="s">
        <v>229</v>
      </c>
      <c r="C2199" t="s">
        <v>183</v>
      </c>
      <c r="D2199" t="s">
        <v>1233</v>
      </c>
      <c r="E2199" s="1">
        <v>45882</v>
      </c>
      <c r="F2199" s="1">
        <v>45883</v>
      </c>
      <c r="G2199" s="12">
        <v>200</v>
      </c>
      <c r="H2199" s="2">
        <v>0</v>
      </c>
      <c r="I2199" s="2">
        <v>0</v>
      </c>
      <c r="J2199" s="2">
        <v>0</v>
      </c>
      <c r="K2199" s="20">
        <v>200</v>
      </c>
      <c r="L2199" t="s">
        <v>794</v>
      </c>
      <c r="M2199">
        <f t="shared" si="34"/>
        <v>2025</v>
      </c>
    </row>
    <row r="2200" spans="1:13" ht="12.75" hidden="1" customHeight="1">
      <c r="A2200" t="s">
        <v>801</v>
      </c>
      <c r="B2200" t="s">
        <v>13</v>
      </c>
      <c r="C2200" t="s">
        <v>726</v>
      </c>
      <c r="D2200" t="s">
        <v>1233</v>
      </c>
      <c r="E2200" s="1">
        <v>45882</v>
      </c>
      <c r="F2200" s="1">
        <v>45883</v>
      </c>
      <c r="G2200" s="12">
        <v>731.2</v>
      </c>
      <c r="H2200" s="2">
        <v>0</v>
      </c>
      <c r="I2200" s="2">
        <v>0</v>
      </c>
      <c r="J2200" s="2">
        <v>0</v>
      </c>
      <c r="K2200" s="20">
        <v>731.2</v>
      </c>
      <c r="L2200" t="s">
        <v>794</v>
      </c>
      <c r="M2200">
        <f t="shared" si="34"/>
        <v>2025</v>
      </c>
    </row>
    <row r="2201" spans="1:13" ht="12.75" hidden="1" customHeight="1">
      <c r="A2201" t="s">
        <v>1221</v>
      </c>
      <c r="B2201" t="s">
        <v>100</v>
      </c>
      <c r="C2201" t="s">
        <v>183</v>
      </c>
      <c r="D2201" t="s">
        <v>1233</v>
      </c>
      <c r="E2201" s="1">
        <v>45882</v>
      </c>
      <c r="F2201" s="1">
        <v>45883</v>
      </c>
      <c r="G2201" s="12">
        <v>2610</v>
      </c>
      <c r="H2201" s="2">
        <v>0</v>
      </c>
      <c r="I2201" s="2">
        <v>0</v>
      </c>
      <c r="J2201" s="2">
        <v>0</v>
      </c>
      <c r="K2201" s="20">
        <v>2610</v>
      </c>
      <c r="L2201" t="s">
        <v>794</v>
      </c>
      <c r="M2201">
        <f t="shared" si="34"/>
        <v>2025</v>
      </c>
    </row>
    <row r="2202" spans="1:13" ht="12.75" hidden="1" customHeight="1">
      <c r="A2202" t="s">
        <v>1131</v>
      </c>
      <c r="B2202" t="s">
        <v>81</v>
      </c>
      <c r="C2202" t="s">
        <v>183</v>
      </c>
      <c r="D2202" t="s">
        <v>1233</v>
      </c>
      <c r="E2202" s="1">
        <v>45882</v>
      </c>
      <c r="F2202" s="1">
        <v>45821</v>
      </c>
      <c r="G2202" s="12">
        <v>2520</v>
      </c>
      <c r="H2202" s="2">
        <v>0</v>
      </c>
      <c r="I2202" s="2">
        <v>0</v>
      </c>
      <c r="J2202" s="2">
        <v>0</v>
      </c>
      <c r="K2202" s="20">
        <v>2520</v>
      </c>
      <c r="L2202" t="s">
        <v>794</v>
      </c>
      <c r="M2202">
        <f t="shared" si="34"/>
        <v>2025</v>
      </c>
    </row>
    <row r="2203" spans="1:13" ht="12.75" hidden="1" customHeight="1">
      <c r="A2203" t="s">
        <v>801</v>
      </c>
      <c r="B2203" t="s">
        <v>13</v>
      </c>
      <c r="C2203" t="s">
        <v>726</v>
      </c>
      <c r="D2203" t="s">
        <v>1233</v>
      </c>
      <c r="E2203" s="1">
        <v>45882</v>
      </c>
      <c r="F2203" s="1">
        <v>45883</v>
      </c>
      <c r="G2203" s="12">
        <v>2.04</v>
      </c>
      <c r="H2203" s="2">
        <v>0</v>
      </c>
      <c r="I2203" s="2">
        <v>0</v>
      </c>
      <c r="J2203" s="2">
        <v>0</v>
      </c>
      <c r="K2203" s="20">
        <v>2.04</v>
      </c>
      <c r="L2203" t="s">
        <v>794</v>
      </c>
      <c r="M2203">
        <f t="shared" si="34"/>
        <v>2025</v>
      </c>
    </row>
    <row r="2204" spans="1:13" ht="12.75" hidden="1" customHeight="1">
      <c r="A2204" t="s">
        <v>801</v>
      </c>
      <c r="B2204" t="s">
        <v>13</v>
      </c>
      <c r="C2204" t="s">
        <v>717</v>
      </c>
      <c r="D2204" t="s">
        <v>1233</v>
      </c>
      <c r="E2204" s="1">
        <v>45882</v>
      </c>
      <c r="F2204" s="1">
        <v>45883</v>
      </c>
      <c r="G2204" s="12">
        <v>5552</v>
      </c>
      <c r="H2204" s="2">
        <v>0</v>
      </c>
      <c r="I2204" s="2">
        <v>0</v>
      </c>
      <c r="J2204" s="2">
        <v>0</v>
      </c>
      <c r="K2204" s="20">
        <v>5552</v>
      </c>
      <c r="L2204" t="s">
        <v>794</v>
      </c>
      <c r="M2204">
        <f t="shared" si="34"/>
        <v>2025</v>
      </c>
    </row>
    <row r="2205" spans="1:13" ht="12.75" hidden="1" customHeight="1">
      <c r="A2205" t="s">
        <v>1151</v>
      </c>
      <c r="B2205" t="s">
        <v>413</v>
      </c>
      <c r="C2205" t="s">
        <v>765</v>
      </c>
      <c r="D2205" t="s">
        <v>1233</v>
      </c>
      <c r="E2205" s="1">
        <v>45884</v>
      </c>
      <c r="F2205" s="1">
        <v>45884</v>
      </c>
      <c r="G2205" s="12">
        <v>79</v>
      </c>
      <c r="H2205" s="2">
        <v>0</v>
      </c>
      <c r="I2205" s="2">
        <v>0</v>
      </c>
      <c r="J2205" s="2">
        <v>0</v>
      </c>
      <c r="K2205" s="20">
        <v>79</v>
      </c>
      <c r="L2205" t="s">
        <v>794</v>
      </c>
      <c r="M2205">
        <f t="shared" si="34"/>
        <v>2025</v>
      </c>
    </row>
    <row r="2206" spans="1:13" ht="12.75" hidden="1" customHeight="1">
      <c r="A2206" t="s">
        <v>1239</v>
      </c>
      <c r="B2206" t="s">
        <v>224</v>
      </c>
      <c r="C2206" t="s">
        <v>139</v>
      </c>
      <c r="D2206" t="s">
        <v>1233</v>
      </c>
      <c r="E2206" s="1">
        <v>45884</v>
      </c>
      <c r="F2206" s="1">
        <v>45884</v>
      </c>
      <c r="G2206" s="12">
        <v>58</v>
      </c>
      <c r="H2206" s="2">
        <v>0</v>
      </c>
      <c r="I2206" s="2">
        <v>0</v>
      </c>
      <c r="J2206" s="2">
        <v>0</v>
      </c>
      <c r="K2206" s="20">
        <v>58</v>
      </c>
      <c r="L2206" t="s">
        <v>794</v>
      </c>
      <c r="M2206">
        <f t="shared" si="34"/>
        <v>2025</v>
      </c>
    </row>
    <row r="2207" spans="1:13" ht="12.75" hidden="1" customHeight="1">
      <c r="A2207" t="s">
        <v>1240</v>
      </c>
      <c r="B2207" t="s">
        <v>263</v>
      </c>
      <c r="C2207" t="s">
        <v>139</v>
      </c>
      <c r="D2207" t="s">
        <v>1233</v>
      </c>
      <c r="E2207" s="1">
        <v>45884</v>
      </c>
      <c r="F2207" s="1">
        <v>45884</v>
      </c>
      <c r="G2207" s="12">
        <v>69.600000000000009</v>
      </c>
      <c r="H2207" s="2">
        <v>0</v>
      </c>
      <c r="I2207" s="2">
        <v>0</v>
      </c>
      <c r="J2207" s="2">
        <v>0</v>
      </c>
      <c r="K2207" s="20">
        <v>69.600000000000009</v>
      </c>
      <c r="L2207" t="s">
        <v>794</v>
      </c>
      <c r="M2207">
        <f t="shared" si="34"/>
        <v>2025</v>
      </c>
    </row>
    <row r="2208" spans="1:13" ht="12.75" hidden="1" customHeight="1">
      <c r="A2208" t="s">
        <v>1183</v>
      </c>
      <c r="B2208" t="s">
        <v>504</v>
      </c>
      <c r="C2208" t="s">
        <v>681</v>
      </c>
      <c r="D2208" t="s">
        <v>1233</v>
      </c>
      <c r="E2208" s="1">
        <v>45887</v>
      </c>
      <c r="F2208" s="1">
        <v>45887</v>
      </c>
      <c r="G2208" s="12">
        <v>1.3</v>
      </c>
      <c r="H2208" s="2">
        <v>0</v>
      </c>
      <c r="I2208" s="2">
        <v>0</v>
      </c>
      <c r="J2208" s="2">
        <v>0</v>
      </c>
      <c r="K2208" s="20">
        <v>1.3</v>
      </c>
      <c r="L2208" t="s">
        <v>794</v>
      </c>
      <c r="M2208">
        <f t="shared" si="34"/>
        <v>2025</v>
      </c>
    </row>
    <row r="2209" spans="1:13" ht="12.75" hidden="1" customHeight="1">
      <c r="A2209" t="s">
        <v>921</v>
      </c>
      <c r="B2209" t="s">
        <v>184</v>
      </c>
      <c r="C2209" t="s">
        <v>681</v>
      </c>
      <c r="D2209" t="s">
        <v>1233</v>
      </c>
      <c r="E2209" s="1">
        <v>45887</v>
      </c>
      <c r="F2209" s="1">
        <v>45887</v>
      </c>
      <c r="G2209" s="12">
        <v>11.5</v>
      </c>
      <c r="H2209" s="2">
        <v>0</v>
      </c>
      <c r="I2209" s="2">
        <v>0</v>
      </c>
      <c r="J2209" s="2">
        <v>0</v>
      </c>
      <c r="K2209" s="20">
        <v>11.5</v>
      </c>
      <c r="L2209" t="s">
        <v>794</v>
      </c>
      <c r="M2209">
        <f t="shared" si="34"/>
        <v>2025</v>
      </c>
    </row>
    <row r="2210" spans="1:13" ht="12.75" hidden="1" customHeight="1">
      <c r="A2210" t="s">
        <v>810</v>
      </c>
      <c r="B2210" t="s">
        <v>54</v>
      </c>
      <c r="C2210" t="s">
        <v>141</v>
      </c>
      <c r="D2210" t="s">
        <v>1233</v>
      </c>
      <c r="E2210" s="1">
        <v>45887</v>
      </c>
      <c r="F2210" s="1">
        <v>45887</v>
      </c>
      <c r="G2210" s="12">
        <v>40</v>
      </c>
      <c r="H2210" s="2">
        <v>0</v>
      </c>
      <c r="I2210" s="2">
        <v>0</v>
      </c>
      <c r="J2210" s="2">
        <v>0</v>
      </c>
      <c r="K2210" s="20">
        <v>40</v>
      </c>
      <c r="L2210" t="s">
        <v>794</v>
      </c>
      <c r="M2210">
        <f t="shared" si="34"/>
        <v>2025</v>
      </c>
    </row>
    <row r="2211" spans="1:13" ht="12.75" hidden="1" customHeight="1">
      <c r="A2211" t="s">
        <v>1181</v>
      </c>
      <c r="B2211" t="s">
        <v>75</v>
      </c>
      <c r="C2211" t="s">
        <v>141</v>
      </c>
      <c r="D2211" t="s">
        <v>1233</v>
      </c>
      <c r="E2211" s="1">
        <v>45887</v>
      </c>
      <c r="F2211" s="1">
        <v>45887</v>
      </c>
      <c r="G2211" s="12">
        <v>72</v>
      </c>
      <c r="H2211" s="2">
        <v>0</v>
      </c>
      <c r="I2211" s="2">
        <v>0</v>
      </c>
      <c r="J2211" s="2">
        <v>0</v>
      </c>
      <c r="K2211" s="20">
        <v>72</v>
      </c>
      <c r="L2211" t="s">
        <v>794</v>
      </c>
      <c r="M2211">
        <f t="shared" si="34"/>
        <v>2025</v>
      </c>
    </row>
    <row r="2212" spans="1:13" ht="12.75" hidden="1" customHeight="1">
      <c r="A2212" t="s">
        <v>1260</v>
      </c>
      <c r="B2212" t="s">
        <v>517</v>
      </c>
      <c r="C2212" t="s">
        <v>141</v>
      </c>
      <c r="D2212" t="s">
        <v>1233</v>
      </c>
      <c r="E2212" s="1">
        <v>45887</v>
      </c>
      <c r="F2212" s="1">
        <v>45887</v>
      </c>
      <c r="G2212" s="12">
        <v>100</v>
      </c>
      <c r="H2212" s="2">
        <v>0</v>
      </c>
      <c r="I2212" s="2">
        <v>0</v>
      </c>
      <c r="J2212" s="2">
        <v>0</v>
      </c>
      <c r="K2212" s="20">
        <v>100</v>
      </c>
      <c r="L2212" t="s">
        <v>794</v>
      </c>
      <c r="M2212">
        <f t="shared" si="34"/>
        <v>2025</v>
      </c>
    </row>
    <row r="2213" spans="1:13" ht="12.75" hidden="1" customHeight="1">
      <c r="A2213" t="s">
        <v>914</v>
      </c>
      <c r="B2213" t="s">
        <v>28</v>
      </c>
      <c r="C2213" t="s">
        <v>724</v>
      </c>
      <c r="D2213" t="s">
        <v>1233</v>
      </c>
      <c r="E2213" s="1">
        <v>45887</v>
      </c>
      <c r="F2213" s="1">
        <v>45856</v>
      </c>
      <c r="G2213" s="12">
        <v>3666.06</v>
      </c>
      <c r="H2213" s="2">
        <v>0</v>
      </c>
      <c r="I2213" s="2">
        <v>0</v>
      </c>
      <c r="J2213" s="2">
        <v>0</v>
      </c>
      <c r="K2213" s="20">
        <v>3666.06</v>
      </c>
      <c r="L2213" t="s">
        <v>794</v>
      </c>
      <c r="M2213">
        <f t="shared" si="34"/>
        <v>2025</v>
      </c>
    </row>
    <row r="2214" spans="1:13" ht="12.75" hidden="1" customHeight="1">
      <c r="A2214" t="s">
        <v>1209</v>
      </c>
      <c r="B2214" t="s">
        <v>227</v>
      </c>
      <c r="C2214" t="s">
        <v>558</v>
      </c>
      <c r="D2214" t="s">
        <v>1233</v>
      </c>
      <c r="E2214" s="1">
        <v>45882</v>
      </c>
      <c r="F2214" s="1">
        <v>45887</v>
      </c>
      <c r="G2214" s="12">
        <v>1605.58</v>
      </c>
      <c r="H2214" s="2">
        <v>0</v>
      </c>
      <c r="I2214" s="2">
        <v>0</v>
      </c>
      <c r="J2214" s="2">
        <v>0</v>
      </c>
      <c r="K2214" s="20">
        <v>1605.58</v>
      </c>
      <c r="L2214" t="s">
        <v>794</v>
      </c>
      <c r="M2214">
        <f t="shared" si="34"/>
        <v>2025</v>
      </c>
    </row>
    <row r="2215" spans="1:13" ht="12.75" hidden="1" customHeight="1">
      <c r="A2215" t="s">
        <v>812</v>
      </c>
      <c r="B2215" t="s">
        <v>31</v>
      </c>
      <c r="C2215" t="s">
        <v>730</v>
      </c>
      <c r="D2215" t="s">
        <v>1233</v>
      </c>
      <c r="E2215" s="1">
        <v>45883</v>
      </c>
      <c r="F2215" s="1">
        <v>45887</v>
      </c>
      <c r="G2215" s="12">
        <v>1163.47</v>
      </c>
      <c r="H2215" s="2">
        <v>0</v>
      </c>
      <c r="I2215" s="2">
        <v>0</v>
      </c>
      <c r="J2215" s="2">
        <v>0</v>
      </c>
      <c r="K2215" s="20">
        <v>1163.47</v>
      </c>
      <c r="L2215" t="s">
        <v>794</v>
      </c>
      <c r="M2215">
        <f t="shared" si="34"/>
        <v>2025</v>
      </c>
    </row>
    <row r="2216" spans="1:13" ht="12.75" hidden="1" customHeight="1">
      <c r="A2216" t="s">
        <v>891</v>
      </c>
      <c r="B2216" t="s">
        <v>102</v>
      </c>
      <c r="C2216" t="s">
        <v>710</v>
      </c>
      <c r="D2216" t="s">
        <v>1233</v>
      </c>
      <c r="E2216" s="1">
        <v>45884</v>
      </c>
      <c r="F2216" s="1">
        <v>45887</v>
      </c>
      <c r="G2216" s="12">
        <v>632</v>
      </c>
      <c r="H2216" s="2">
        <v>0</v>
      </c>
      <c r="I2216" s="2">
        <v>0</v>
      </c>
      <c r="J2216" s="2">
        <v>0</v>
      </c>
      <c r="K2216" s="20">
        <v>632</v>
      </c>
      <c r="L2216" t="s">
        <v>794</v>
      </c>
      <c r="M2216">
        <f t="shared" si="34"/>
        <v>2025</v>
      </c>
    </row>
    <row r="2217" spans="1:13" ht="12.75" hidden="1" customHeight="1">
      <c r="A2217" t="s">
        <v>800</v>
      </c>
      <c r="B2217" t="s">
        <v>85</v>
      </c>
      <c r="C2217" t="s">
        <v>734</v>
      </c>
      <c r="D2217" t="s">
        <v>1233</v>
      </c>
      <c r="E2217" s="1">
        <v>45884</v>
      </c>
      <c r="F2217" s="1">
        <v>45887</v>
      </c>
      <c r="G2217" s="12">
        <v>900</v>
      </c>
      <c r="H2217" s="2">
        <v>0</v>
      </c>
      <c r="I2217" s="2">
        <v>0</v>
      </c>
      <c r="J2217" s="2">
        <v>0</v>
      </c>
      <c r="K2217" s="20">
        <v>900</v>
      </c>
      <c r="L2217" t="s">
        <v>794</v>
      </c>
      <c r="M2217">
        <f t="shared" si="34"/>
        <v>2025</v>
      </c>
    </row>
    <row r="2218" spans="1:13" ht="12.75" hidden="1" customHeight="1">
      <c r="A2218" t="s">
        <v>850</v>
      </c>
      <c r="B2218" t="s">
        <v>105</v>
      </c>
      <c r="C2218" t="s">
        <v>384</v>
      </c>
      <c r="D2218" t="s">
        <v>1178</v>
      </c>
      <c r="E2218" s="1">
        <v>45869</v>
      </c>
      <c r="F2218" s="1">
        <v>45887</v>
      </c>
      <c r="G2218" s="12">
        <v>1649.03</v>
      </c>
      <c r="H2218" s="2">
        <v>0</v>
      </c>
      <c r="I2218" s="2">
        <v>0</v>
      </c>
      <c r="J2218" s="2">
        <v>0</v>
      </c>
      <c r="K2218" s="20">
        <v>1649.03</v>
      </c>
      <c r="L2218" t="s">
        <v>794</v>
      </c>
      <c r="M2218">
        <f t="shared" si="34"/>
        <v>2025</v>
      </c>
    </row>
    <row r="2219" spans="1:13" ht="12.75" hidden="1" customHeight="1">
      <c r="A2219" t="s">
        <v>850</v>
      </c>
      <c r="B2219" t="s">
        <v>105</v>
      </c>
      <c r="C2219" t="s">
        <v>384</v>
      </c>
      <c r="D2219" t="s">
        <v>1142</v>
      </c>
      <c r="E2219" s="1">
        <v>45838</v>
      </c>
      <c r="F2219" s="1">
        <v>45856</v>
      </c>
      <c r="G2219" s="12">
        <v>1795.73</v>
      </c>
      <c r="H2219" s="2">
        <v>0</v>
      </c>
      <c r="I2219" s="2">
        <v>0</v>
      </c>
      <c r="J2219" s="2">
        <v>0</v>
      </c>
      <c r="K2219" s="20">
        <v>1795.73</v>
      </c>
      <c r="L2219" t="s">
        <v>794</v>
      </c>
      <c r="M2219">
        <f t="shared" si="34"/>
        <v>2025</v>
      </c>
    </row>
    <row r="2220" spans="1:13" ht="12.75" hidden="1" customHeight="1">
      <c r="A2220" t="s">
        <v>941</v>
      </c>
      <c r="B2220" t="s">
        <v>52</v>
      </c>
      <c r="C2220" t="s">
        <v>672</v>
      </c>
      <c r="D2220" t="s">
        <v>1233</v>
      </c>
      <c r="E2220" s="1">
        <v>45884</v>
      </c>
      <c r="F2220" s="1">
        <v>45887</v>
      </c>
      <c r="G2220" s="12">
        <v>1518</v>
      </c>
      <c r="H2220" s="2">
        <v>0</v>
      </c>
      <c r="I2220" s="2">
        <v>0</v>
      </c>
      <c r="J2220" s="2">
        <v>0</v>
      </c>
      <c r="K2220" s="20">
        <v>1518</v>
      </c>
      <c r="L2220" t="s">
        <v>794</v>
      </c>
      <c r="M2220">
        <f t="shared" si="34"/>
        <v>2025</v>
      </c>
    </row>
    <row r="2221" spans="1:13" ht="12.75" hidden="1" customHeight="1">
      <c r="A2221" t="s">
        <v>894</v>
      </c>
      <c r="B2221" t="s">
        <v>50</v>
      </c>
      <c r="C2221" t="s">
        <v>152</v>
      </c>
      <c r="D2221" t="s">
        <v>1233</v>
      </c>
      <c r="E2221" s="1">
        <v>45884</v>
      </c>
      <c r="F2221" s="1">
        <v>45887</v>
      </c>
      <c r="G2221" s="12">
        <v>1518</v>
      </c>
      <c r="H2221" s="2">
        <v>0</v>
      </c>
      <c r="I2221" s="2">
        <v>0</v>
      </c>
      <c r="J2221" s="2">
        <v>0</v>
      </c>
      <c r="K2221" s="20">
        <v>1518</v>
      </c>
      <c r="L2221" t="s">
        <v>794</v>
      </c>
      <c r="M2221">
        <f t="shared" si="34"/>
        <v>2025</v>
      </c>
    </row>
    <row r="2222" spans="1:13" ht="12.75" hidden="1" customHeight="1">
      <c r="A2222" t="s">
        <v>893</v>
      </c>
      <c r="B2222" t="s">
        <v>212</v>
      </c>
      <c r="C2222" t="s">
        <v>746</v>
      </c>
      <c r="D2222" t="s">
        <v>1233</v>
      </c>
      <c r="E2222" s="1">
        <v>45884</v>
      </c>
      <c r="F2222" s="1">
        <v>45887</v>
      </c>
      <c r="G2222" s="12">
        <v>247.93</v>
      </c>
      <c r="H2222" s="2">
        <v>0</v>
      </c>
      <c r="I2222" s="2">
        <v>0</v>
      </c>
      <c r="J2222" s="2">
        <v>0</v>
      </c>
      <c r="K2222" s="20">
        <v>247.93</v>
      </c>
      <c r="L2222" t="s">
        <v>794</v>
      </c>
      <c r="M2222">
        <f t="shared" si="34"/>
        <v>2025</v>
      </c>
    </row>
    <row r="2223" spans="1:13" ht="12.75" hidden="1" customHeight="1">
      <c r="A2223" t="s">
        <v>879</v>
      </c>
      <c r="B2223" t="s">
        <v>23</v>
      </c>
      <c r="C2223" t="s">
        <v>713</v>
      </c>
      <c r="D2223" t="s">
        <v>1233</v>
      </c>
      <c r="E2223" s="1">
        <v>45884</v>
      </c>
      <c r="F2223" s="1">
        <v>45887</v>
      </c>
      <c r="G2223" s="12">
        <v>700</v>
      </c>
      <c r="H2223" s="2">
        <v>0</v>
      </c>
      <c r="I2223" s="2">
        <v>0</v>
      </c>
      <c r="J2223" s="2">
        <v>0</v>
      </c>
      <c r="K2223" s="20">
        <v>700</v>
      </c>
      <c r="L2223" t="s">
        <v>794</v>
      </c>
      <c r="M2223">
        <f t="shared" si="34"/>
        <v>2025</v>
      </c>
    </row>
    <row r="2224" spans="1:13" ht="12.75" hidden="1" customHeight="1">
      <c r="A2224" t="s">
        <v>879</v>
      </c>
      <c r="B2224" t="s">
        <v>23</v>
      </c>
      <c r="C2224" t="s">
        <v>716</v>
      </c>
      <c r="D2224" t="s">
        <v>1233</v>
      </c>
      <c r="E2224" s="1">
        <v>45884</v>
      </c>
      <c r="F2224" s="1">
        <v>45887</v>
      </c>
      <c r="G2224" s="12">
        <v>2122.1</v>
      </c>
      <c r="H2224" s="2">
        <v>0</v>
      </c>
      <c r="I2224" s="2">
        <v>0</v>
      </c>
      <c r="J2224" s="2">
        <v>0</v>
      </c>
      <c r="K2224" s="20">
        <v>2122.1</v>
      </c>
      <c r="L2224" t="s">
        <v>794</v>
      </c>
      <c r="M2224">
        <f t="shared" si="34"/>
        <v>2025</v>
      </c>
    </row>
    <row r="2225" spans="1:13" ht="12.75" hidden="1" customHeight="1">
      <c r="A2225" t="s">
        <v>886</v>
      </c>
      <c r="B2225" t="s">
        <v>194</v>
      </c>
      <c r="C2225" t="s">
        <v>743</v>
      </c>
      <c r="D2225" t="s">
        <v>1178</v>
      </c>
      <c r="E2225" s="1">
        <v>45884</v>
      </c>
      <c r="F2225" s="1">
        <v>45887</v>
      </c>
      <c r="G2225" s="12">
        <v>217.76</v>
      </c>
      <c r="H2225" s="2">
        <v>0</v>
      </c>
      <c r="I2225" s="2">
        <v>0</v>
      </c>
      <c r="J2225" s="2">
        <v>0</v>
      </c>
      <c r="K2225" s="20">
        <v>217.76</v>
      </c>
      <c r="L2225" t="s">
        <v>794</v>
      </c>
      <c r="M2225">
        <f t="shared" si="34"/>
        <v>2025</v>
      </c>
    </row>
    <row r="2226" spans="1:13" ht="12.75" hidden="1" customHeight="1">
      <c r="A2226" t="s">
        <v>1261</v>
      </c>
      <c r="B2226" t="s">
        <v>297</v>
      </c>
      <c r="C2226" t="s">
        <v>753</v>
      </c>
      <c r="D2226" t="s">
        <v>1233</v>
      </c>
      <c r="E2226" s="1">
        <v>45884</v>
      </c>
      <c r="F2226" s="1">
        <v>45887</v>
      </c>
      <c r="G2226" s="12">
        <v>800</v>
      </c>
      <c r="H2226" s="2">
        <v>0</v>
      </c>
      <c r="I2226" s="2">
        <v>0</v>
      </c>
      <c r="J2226" s="2">
        <v>0</v>
      </c>
      <c r="K2226" s="20">
        <v>800</v>
      </c>
      <c r="L2226" t="s">
        <v>794</v>
      </c>
      <c r="M2226">
        <f t="shared" si="34"/>
        <v>2025</v>
      </c>
    </row>
    <row r="2227" spans="1:13" ht="12.75" hidden="1" customHeight="1">
      <c r="A2227" t="s">
        <v>888</v>
      </c>
      <c r="B2227" t="s">
        <v>16</v>
      </c>
      <c r="C2227" t="s">
        <v>716</v>
      </c>
      <c r="D2227" t="s">
        <v>908</v>
      </c>
      <c r="E2227" s="1">
        <v>45884</v>
      </c>
      <c r="F2227" s="1">
        <v>45887</v>
      </c>
      <c r="G2227" s="12">
        <v>10754.09</v>
      </c>
      <c r="H2227" s="2">
        <v>0</v>
      </c>
      <c r="I2227" s="2">
        <v>0</v>
      </c>
      <c r="J2227" s="2">
        <v>0</v>
      </c>
      <c r="K2227" s="20">
        <v>10754.09</v>
      </c>
      <c r="L2227" t="s">
        <v>794</v>
      </c>
      <c r="M2227">
        <f t="shared" si="34"/>
        <v>2025</v>
      </c>
    </row>
    <row r="2228" spans="1:13" ht="12.75" hidden="1" customHeight="1">
      <c r="A2228" t="s">
        <v>1104</v>
      </c>
      <c r="B2228" t="s">
        <v>53</v>
      </c>
      <c r="C2228" t="s">
        <v>139</v>
      </c>
      <c r="D2228" t="s">
        <v>1233</v>
      </c>
      <c r="E2228" s="1">
        <v>45887</v>
      </c>
      <c r="F2228" s="1">
        <v>45887</v>
      </c>
      <c r="G2228" s="12">
        <v>50</v>
      </c>
      <c r="H2228" s="2">
        <v>0</v>
      </c>
      <c r="I2228" s="2">
        <v>0</v>
      </c>
      <c r="J2228" s="2">
        <v>0</v>
      </c>
      <c r="K2228" s="20">
        <v>50</v>
      </c>
      <c r="L2228" t="s">
        <v>794</v>
      </c>
      <c r="M2228">
        <f t="shared" si="34"/>
        <v>2025</v>
      </c>
    </row>
    <row r="2229" spans="1:13" ht="12.75" hidden="1" customHeight="1">
      <c r="A2229" t="s">
        <v>801</v>
      </c>
      <c r="B2229" t="s">
        <v>13</v>
      </c>
      <c r="C2229" t="s">
        <v>726</v>
      </c>
      <c r="D2229" t="s">
        <v>1233</v>
      </c>
      <c r="E2229" s="1">
        <v>45883</v>
      </c>
      <c r="F2229" s="1">
        <v>45887</v>
      </c>
      <c r="G2229" s="12">
        <v>9.14</v>
      </c>
      <c r="H2229" s="2">
        <v>0</v>
      </c>
      <c r="I2229" s="2">
        <v>0</v>
      </c>
      <c r="J2229" s="2">
        <v>0</v>
      </c>
      <c r="K2229" s="20">
        <v>9.14</v>
      </c>
      <c r="L2229" t="s">
        <v>794</v>
      </c>
      <c r="M2229">
        <f t="shared" si="34"/>
        <v>2025</v>
      </c>
    </row>
    <row r="2230" spans="1:13" ht="12.75" hidden="1" customHeight="1">
      <c r="A2230" t="s">
        <v>801</v>
      </c>
      <c r="B2230" t="s">
        <v>13</v>
      </c>
      <c r="C2230" t="s">
        <v>726</v>
      </c>
      <c r="D2230" t="s">
        <v>1233</v>
      </c>
      <c r="E2230" s="1">
        <v>45887</v>
      </c>
      <c r="F2230" s="1">
        <v>45887</v>
      </c>
      <c r="G2230" s="12">
        <v>2.04</v>
      </c>
      <c r="H2230" s="2">
        <v>0</v>
      </c>
      <c r="I2230" s="2">
        <v>0</v>
      </c>
      <c r="J2230" s="2">
        <v>0</v>
      </c>
      <c r="K2230" s="20">
        <v>2.04</v>
      </c>
      <c r="L2230" t="s">
        <v>794</v>
      </c>
      <c r="M2230">
        <f t="shared" si="34"/>
        <v>2025</v>
      </c>
    </row>
    <row r="2231" spans="1:13" ht="12.75" hidden="1" customHeight="1">
      <c r="A2231" t="s">
        <v>801</v>
      </c>
      <c r="B2231" t="s">
        <v>13</v>
      </c>
      <c r="C2231" t="s">
        <v>726</v>
      </c>
      <c r="D2231" t="s">
        <v>1233</v>
      </c>
      <c r="E2231" s="1">
        <v>45887</v>
      </c>
      <c r="F2231" s="1">
        <v>45887</v>
      </c>
      <c r="G2231" s="12">
        <v>8.16</v>
      </c>
      <c r="H2231" s="2">
        <v>0</v>
      </c>
      <c r="I2231" s="2">
        <v>0</v>
      </c>
      <c r="J2231" s="2">
        <v>0</v>
      </c>
      <c r="K2231" s="20">
        <v>8.16</v>
      </c>
      <c r="L2231" t="s">
        <v>794</v>
      </c>
      <c r="M2231">
        <f t="shared" si="34"/>
        <v>2025</v>
      </c>
    </row>
    <row r="2232" spans="1:13" ht="12.75" hidden="1" customHeight="1">
      <c r="A2232" t="s">
        <v>925</v>
      </c>
      <c r="B2232" t="s">
        <v>189</v>
      </c>
      <c r="C2232" t="s">
        <v>139</v>
      </c>
      <c r="D2232" t="s">
        <v>1233</v>
      </c>
      <c r="E2232" s="1">
        <v>45887</v>
      </c>
      <c r="F2232" s="1">
        <v>45887</v>
      </c>
      <c r="G2232" s="12">
        <v>60</v>
      </c>
      <c r="H2232" s="2">
        <v>0</v>
      </c>
      <c r="I2232" s="2">
        <v>0</v>
      </c>
      <c r="J2232" s="2">
        <v>0</v>
      </c>
      <c r="K2232" s="20">
        <v>60</v>
      </c>
      <c r="L2232" t="s">
        <v>794</v>
      </c>
      <c r="M2232">
        <f t="shared" si="34"/>
        <v>2025</v>
      </c>
    </row>
    <row r="2233" spans="1:13" ht="12.75" hidden="1" customHeight="1">
      <c r="A2233" t="s">
        <v>1262</v>
      </c>
      <c r="B2233" t="s">
        <v>252</v>
      </c>
      <c r="C2233" t="s">
        <v>745</v>
      </c>
      <c r="D2233" t="s">
        <v>1233</v>
      </c>
      <c r="E2233" s="1">
        <v>45884</v>
      </c>
      <c r="F2233" s="1">
        <v>45887</v>
      </c>
      <c r="G2233" s="12">
        <v>1200</v>
      </c>
      <c r="H2233" s="2">
        <v>0</v>
      </c>
      <c r="I2233" s="2">
        <v>0</v>
      </c>
      <c r="J2233" s="2">
        <v>0</v>
      </c>
      <c r="K2233" s="20">
        <v>1200</v>
      </c>
      <c r="L2233" t="s">
        <v>794</v>
      </c>
      <c r="M2233">
        <f t="shared" si="34"/>
        <v>2025</v>
      </c>
    </row>
    <row r="2234" spans="1:13" ht="12.75" hidden="1" customHeight="1">
      <c r="A2234" t="s">
        <v>907</v>
      </c>
      <c r="B2234" t="s">
        <v>291</v>
      </c>
      <c r="C2234" t="s">
        <v>749</v>
      </c>
      <c r="D2234" t="s">
        <v>1233</v>
      </c>
      <c r="E2234" s="1">
        <v>45888</v>
      </c>
      <c r="F2234" s="1">
        <v>45888</v>
      </c>
      <c r="G2234" s="12">
        <v>20.76</v>
      </c>
      <c r="H2234" s="2">
        <v>0</v>
      </c>
      <c r="I2234" s="2">
        <v>0</v>
      </c>
      <c r="J2234" s="2">
        <v>0</v>
      </c>
      <c r="K2234" s="20">
        <v>20.76</v>
      </c>
      <c r="L2234" t="s">
        <v>794</v>
      </c>
      <c r="M2234">
        <f t="shared" si="34"/>
        <v>2025</v>
      </c>
    </row>
    <row r="2235" spans="1:13" ht="12.75" hidden="1" customHeight="1">
      <c r="A2235" t="s">
        <v>1239</v>
      </c>
      <c r="B2235" t="s">
        <v>224</v>
      </c>
      <c r="C2235" t="s">
        <v>139</v>
      </c>
      <c r="D2235" t="s">
        <v>1233</v>
      </c>
      <c r="E2235" s="1">
        <v>45888</v>
      </c>
      <c r="F2235" s="1">
        <v>45888</v>
      </c>
      <c r="G2235" s="12">
        <v>70.8</v>
      </c>
      <c r="H2235" s="2">
        <v>0</v>
      </c>
      <c r="I2235" s="2">
        <v>0</v>
      </c>
      <c r="J2235" s="2">
        <v>0</v>
      </c>
      <c r="K2235" s="20">
        <v>70.8</v>
      </c>
      <c r="L2235" t="s">
        <v>794</v>
      </c>
      <c r="M2235">
        <f t="shared" si="34"/>
        <v>2025</v>
      </c>
    </row>
    <row r="2236" spans="1:13" ht="12.75" hidden="1" customHeight="1">
      <c r="A2236" t="s">
        <v>833</v>
      </c>
      <c r="B2236" t="s">
        <v>27</v>
      </c>
      <c r="C2236" t="s">
        <v>483</v>
      </c>
      <c r="D2236" t="s">
        <v>1233</v>
      </c>
      <c r="E2236" s="1">
        <v>45888</v>
      </c>
      <c r="F2236" s="1">
        <v>45888</v>
      </c>
      <c r="G2236" s="12">
        <v>70</v>
      </c>
      <c r="H2236" s="2">
        <v>0</v>
      </c>
      <c r="I2236" s="2">
        <v>0</v>
      </c>
      <c r="J2236" s="2">
        <v>0</v>
      </c>
      <c r="K2236" s="20">
        <v>70</v>
      </c>
      <c r="L2236" t="s">
        <v>794</v>
      </c>
      <c r="M2236">
        <f t="shared" si="34"/>
        <v>2025</v>
      </c>
    </row>
    <row r="2237" spans="1:13" ht="12.75" hidden="1" customHeight="1">
      <c r="A2237" t="s">
        <v>833</v>
      </c>
      <c r="B2237" t="s">
        <v>27</v>
      </c>
      <c r="C2237" t="s">
        <v>733</v>
      </c>
      <c r="D2237" t="s">
        <v>1233</v>
      </c>
      <c r="E2237" s="1">
        <v>45888</v>
      </c>
      <c r="F2237" s="1">
        <v>45888</v>
      </c>
      <c r="G2237" s="12">
        <v>52.75</v>
      </c>
      <c r="H2237" s="2">
        <v>0</v>
      </c>
      <c r="I2237" s="2">
        <v>0</v>
      </c>
      <c r="J2237" s="2">
        <v>0</v>
      </c>
      <c r="K2237" s="20">
        <v>52.75</v>
      </c>
      <c r="L2237" t="s">
        <v>794</v>
      </c>
      <c r="M2237">
        <f t="shared" si="34"/>
        <v>2025</v>
      </c>
    </row>
    <row r="2238" spans="1:13" ht="12.75" hidden="1" customHeight="1">
      <c r="A2238" t="s">
        <v>992</v>
      </c>
      <c r="B2238" t="s">
        <v>277</v>
      </c>
      <c r="C2238" t="s">
        <v>558</v>
      </c>
      <c r="D2238" t="s">
        <v>1233</v>
      </c>
      <c r="E2238" s="1">
        <v>45888</v>
      </c>
      <c r="F2238" s="1">
        <v>45888</v>
      </c>
      <c r="G2238" s="12">
        <v>27.900000000000002</v>
      </c>
      <c r="H2238" s="2">
        <v>0</v>
      </c>
      <c r="I2238" s="2">
        <v>0</v>
      </c>
      <c r="J2238" s="2">
        <v>0</v>
      </c>
      <c r="K2238" s="20">
        <v>27.900000000000002</v>
      </c>
      <c r="L2238" t="s">
        <v>794</v>
      </c>
      <c r="M2238">
        <f t="shared" si="34"/>
        <v>2025</v>
      </c>
    </row>
    <row r="2239" spans="1:13" ht="12.75" hidden="1" customHeight="1">
      <c r="A2239" t="s">
        <v>898</v>
      </c>
      <c r="B2239" t="s">
        <v>353</v>
      </c>
      <c r="C2239" t="s">
        <v>761</v>
      </c>
      <c r="D2239" t="s">
        <v>1233</v>
      </c>
      <c r="E2239" s="1">
        <v>45889</v>
      </c>
      <c r="F2239" s="1">
        <v>45889</v>
      </c>
      <c r="G2239" s="12">
        <v>121</v>
      </c>
      <c r="H2239" s="2">
        <v>0</v>
      </c>
      <c r="I2239" s="2">
        <v>0</v>
      </c>
      <c r="J2239" s="2">
        <v>0</v>
      </c>
      <c r="K2239" s="20">
        <v>121</v>
      </c>
      <c r="L2239" t="s">
        <v>794</v>
      </c>
      <c r="M2239">
        <f t="shared" si="34"/>
        <v>2025</v>
      </c>
    </row>
    <row r="2240" spans="1:13" ht="12.75" hidden="1" customHeight="1">
      <c r="A2240" t="s">
        <v>1240</v>
      </c>
      <c r="B2240" t="s">
        <v>263</v>
      </c>
      <c r="C2240" t="s">
        <v>139</v>
      </c>
      <c r="D2240" t="s">
        <v>1233</v>
      </c>
      <c r="E2240" s="1">
        <v>45889</v>
      </c>
      <c r="F2240" s="1">
        <v>45889</v>
      </c>
      <c r="G2240" s="12">
        <v>104.60000000000001</v>
      </c>
      <c r="H2240" s="2">
        <v>0</v>
      </c>
      <c r="I2240" s="2">
        <v>0</v>
      </c>
      <c r="J2240" s="2">
        <v>0</v>
      </c>
      <c r="K2240" s="20">
        <v>104.60000000000001</v>
      </c>
      <c r="L2240" t="s">
        <v>794</v>
      </c>
      <c r="M2240">
        <f t="shared" si="34"/>
        <v>2025</v>
      </c>
    </row>
    <row r="2241" spans="1:13" s="5" customFormat="1" ht="12.75" hidden="1" customHeight="1">
      <c r="A2241" t="s">
        <v>1263</v>
      </c>
      <c r="B2241" t="s">
        <v>605</v>
      </c>
      <c r="C2241" t="s">
        <v>141</v>
      </c>
      <c r="D2241" t="s">
        <v>1233</v>
      </c>
      <c r="E2241" s="1">
        <v>45889</v>
      </c>
      <c r="F2241" s="1">
        <v>45889</v>
      </c>
      <c r="G2241" s="12">
        <v>50</v>
      </c>
      <c r="H2241" s="2">
        <v>0</v>
      </c>
      <c r="I2241" s="2">
        <v>0</v>
      </c>
      <c r="J2241" s="2">
        <v>0</v>
      </c>
      <c r="K2241" s="20">
        <v>50</v>
      </c>
      <c r="L2241" t="s">
        <v>794</v>
      </c>
      <c r="M2241">
        <f t="shared" si="34"/>
        <v>2025</v>
      </c>
    </row>
    <row r="2242" spans="1:13" ht="12.75" hidden="1" customHeight="1">
      <c r="A2242" t="s">
        <v>1264</v>
      </c>
      <c r="B2242" t="s">
        <v>344</v>
      </c>
      <c r="C2242" t="s">
        <v>141</v>
      </c>
      <c r="D2242" t="s">
        <v>1233</v>
      </c>
      <c r="E2242" s="1">
        <v>45889</v>
      </c>
      <c r="F2242" s="1">
        <v>45889</v>
      </c>
      <c r="G2242" s="12">
        <v>250</v>
      </c>
      <c r="H2242" s="2">
        <v>0</v>
      </c>
      <c r="I2242" s="2">
        <v>0</v>
      </c>
      <c r="J2242" s="2">
        <v>0</v>
      </c>
      <c r="K2242" s="20">
        <v>250</v>
      </c>
      <c r="L2242" t="s">
        <v>794</v>
      </c>
      <c r="M2242">
        <f t="shared" si="34"/>
        <v>2025</v>
      </c>
    </row>
    <row r="2243" spans="1:13" ht="12.75" hidden="1" customHeight="1">
      <c r="A2243" t="s">
        <v>1009</v>
      </c>
      <c r="B2243" t="s">
        <v>62</v>
      </c>
      <c r="C2243" t="s">
        <v>141</v>
      </c>
      <c r="D2243" t="s">
        <v>1233</v>
      </c>
      <c r="E2243" s="1">
        <v>45889</v>
      </c>
      <c r="F2243" s="1">
        <v>45889</v>
      </c>
      <c r="G2243" s="12">
        <v>80</v>
      </c>
      <c r="H2243" s="2">
        <v>0</v>
      </c>
      <c r="I2243" s="2">
        <v>0</v>
      </c>
      <c r="J2243" s="2">
        <v>0</v>
      </c>
      <c r="K2243" s="20">
        <v>80</v>
      </c>
      <c r="L2243" t="s">
        <v>794</v>
      </c>
      <c r="M2243">
        <f t="shared" ref="M2243:M2306" si="35">YEAR(F2243)</f>
        <v>2025</v>
      </c>
    </row>
    <row r="2244" spans="1:13" ht="12.75" hidden="1" customHeight="1">
      <c r="A2244" t="s">
        <v>992</v>
      </c>
      <c r="B2244" t="s">
        <v>277</v>
      </c>
      <c r="C2244" t="s">
        <v>99</v>
      </c>
      <c r="D2244" t="s">
        <v>1233</v>
      </c>
      <c r="E2244" s="1">
        <v>45890</v>
      </c>
      <c r="F2244" s="1">
        <v>45890</v>
      </c>
      <c r="G2244" s="12">
        <v>19.900000000000002</v>
      </c>
      <c r="H2244" s="2">
        <v>0</v>
      </c>
      <c r="I2244" s="2">
        <v>0</v>
      </c>
      <c r="J2244" s="2">
        <v>0</v>
      </c>
      <c r="K2244" s="20">
        <v>19.900000000000002</v>
      </c>
      <c r="L2244" t="s">
        <v>794</v>
      </c>
      <c r="M2244">
        <f t="shared" si="35"/>
        <v>2025</v>
      </c>
    </row>
    <row r="2245" spans="1:13" ht="12.75" hidden="1" customHeight="1">
      <c r="A2245" t="s">
        <v>992</v>
      </c>
      <c r="B2245" t="s">
        <v>277</v>
      </c>
      <c r="C2245" t="s">
        <v>99</v>
      </c>
      <c r="D2245" t="s">
        <v>1233</v>
      </c>
      <c r="E2245" s="1">
        <v>45890</v>
      </c>
      <c r="F2245" s="1">
        <v>45890</v>
      </c>
      <c r="G2245" s="12">
        <v>43.7</v>
      </c>
      <c r="H2245" s="2">
        <v>0</v>
      </c>
      <c r="I2245" s="2">
        <v>0</v>
      </c>
      <c r="J2245" s="2">
        <v>0</v>
      </c>
      <c r="K2245" s="20">
        <v>43.7</v>
      </c>
      <c r="L2245" t="s">
        <v>794</v>
      </c>
      <c r="M2245">
        <f t="shared" si="35"/>
        <v>2025</v>
      </c>
    </row>
    <row r="2246" spans="1:13" s="5" customFormat="1" ht="12.75" hidden="1" customHeight="1">
      <c r="A2246" t="s">
        <v>1265</v>
      </c>
      <c r="B2246" t="s">
        <v>636</v>
      </c>
      <c r="C2246" t="s">
        <v>99</v>
      </c>
      <c r="D2246" t="s">
        <v>1233</v>
      </c>
      <c r="E2246" s="1">
        <v>45890</v>
      </c>
      <c r="F2246" s="1">
        <v>45890</v>
      </c>
      <c r="G2246" s="12">
        <v>48</v>
      </c>
      <c r="H2246" s="2">
        <v>0</v>
      </c>
      <c r="I2246" s="2">
        <v>0</v>
      </c>
      <c r="J2246" s="2">
        <v>0</v>
      </c>
      <c r="K2246" s="20">
        <v>48</v>
      </c>
      <c r="L2246" t="s">
        <v>794</v>
      </c>
      <c r="M2246">
        <f t="shared" si="35"/>
        <v>2025</v>
      </c>
    </row>
    <row r="2247" spans="1:13" ht="12.75" hidden="1" customHeight="1">
      <c r="A2247" t="s">
        <v>1266</v>
      </c>
      <c r="B2247" t="s">
        <v>446</v>
      </c>
      <c r="C2247" t="s">
        <v>99</v>
      </c>
      <c r="D2247" t="s">
        <v>1233</v>
      </c>
      <c r="E2247" s="1">
        <v>45890</v>
      </c>
      <c r="F2247" s="1">
        <v>45890</v>
      </c>
      <c r="G2247" s="12">
        <v>250</v>
      </c>
      <c r="H2247" s="2">
        <v>0</v>
      </c>
      <c r="I2247" s="2">
        <v>0</v>
      </c>
      <c r="J2247" s="2">
        <v>0</v>
      </c>
      <c r="K2247" s="20">
        <v>250</v>
      </c>
      <c r="L2247" t="s">
        <v>794</v>
      </c>
      <c r="M2247">
        <f t="shared" si="35"/>
        <v>2025</v>
      </c>
    </row>
    <row r="2248" spans="1:13" ht="12.75" hidden="1" customHeight="1">
      <c r="A2248" t="s">
        <v>839</v>
      </c>
      <c r="B2248" t="s">
        <v>44</v>
      </c>
      <c r="C2248" t="s">
        <v>722</v>
      </c>
      <c r="D2248" t="s">
        <v>1233</v>
      </c>
      <c r="E2248" s="1">
        <v>45889</v>
      </c>
      <c r="F2248" s="1">
        <v>45890</v>
      </c>
      <c r="G2248" s="12">
        <v>807.06000000000006</v>
      </c>
      <c r="H2248" s="2">
        <v>0</v>
      </c>
      <c r="I2248" s="2">
        <v>0</v>
      </c>
      <c r="J2248" s="2">
        <v>0</v>
      </c>
      <c r="K2248" s="20">
        <v>807.06000000000006</v>
      </c>
      <c r="L2248" t="s">
        <v>794</v>
      </c>
      <c r="M2248">
        <f t="shared" si="35"/>
        <v>2025</v>
      </c>
    </row>
    <row r="2249" spans="1:13" ht="12.75" hidden="1" customHeight="1">
      <c r="A2249" t="s">
        <v>1069</v>
      </c>
      <c r="B2249" t="s">
        <v>147</v>
      </c>
      <c r="C2249" t="s">
        <v>738</v>
      </c>
      <c r="D2249" t="s">
        <v>1178</v>
      </c>
      <c r="E2249" s="1">
        <v>45889</v>
      </c>
      <c r="F2249" s="1">
        <v>45890</v>
      </c>
      <c r="G2249" s="12">
        <v>357.23</v>
      </c>
      <c r="H2249" s="2">
        <v>0</v>
      </c>
      <c r="I2249" s="2">
        <v>0</v>
      </c>
      <c r="J2249" s="2">
        <v>0</v>
      </c>
      <c r="K2249" s="20">
        <v>357.23</v>
      </c>
      <c r="L2249" t="s">
        <v>794</v>
      </c>
      <c r="M2249">
        <f t="shared" si="35"/>
        <v>2025</v>
      </c>
    </row>
    <row r="2250" spans="1:13" ht="12.75" hidden="1" customHeight="1">
      <c r="A2250" t="s">
        <v>839</v>
      </c>
      <c r="B2250" t="s">
        <v>44</v>
      </c>
      <c r="C2250" t="s">
        <v>722</v>
      </c>
      <c r="D2250" t="s">
        <v>1233</v>
      </c>
      <c r="E2250" s="1">
        <v>45889</v>
      </c>
      <c r="F2250" s="1">
        <v>45890</v>
      </c>
      <c r="G2250" s="12">
        <v>960.4</v>
      </c>
      <c r="H2250" s="2">
        <v>0</v>
      </c>
      <c r="I2250" s="2">
        <v>0</v>
      </c>
      <c r="J2250" s="2">
        <v>0</v>
      </c>
      <c r="K2250" s="20">
        <v>960.4</v>
      </c>
      <c r="L2250" t="s">
        <v>794</v>
      </c>
      <c r="M2250">
        <f t="shared" si="35"/>
        <v>2025</v>
      </c>
    </row>
    <row r="2251" spans="1:13" ht="12.75" hidden="1" customHeight="1">
      <c r="A2251" t="s">
        <v>1111</v>
      </c>
      <c r="B2251" t="s">
        <v>144</v>
      </c>
      <c r="C2251" t="s">
        <v>723</v>
      </c>
      <c r="D2251" t="s">
        <v>1233</v>
      </c>
      <c r="E2251" s="1">
        <v>45890</v>
      </c>
      <c r="F2251" s="1">
        <v>45890</v>
      </c>
      <c r="G2251" s="12">
        <v>59.67</v>
      </c>
      <c r="H2251" s="2">
        <v>0</v>
      </c>
      <c r="I2251" s="2">
        <v>0</v>
      </c>
      <c r="J2251" s="2">
        <v>0</v>
      </c>
      <c r="K2251" s="20">
        <v>59.67</v>
      </c>
      <c r="L2251" t="s">
        <v>794</v>
      </c>
      <c r="M2251">
        <f t="shared" si="35"/>
        <v>2025</v>
      </c>
    </row>
    <row r="2252" spans="1:13" ht="12.75" hidden="1" customHeight="1">
      <c r="A2252" t="s">
        <v>797</v>
      </c>
      <c r="B2252" t="s">
        <v>25</v>
      </c>
      <c r="C2252" t="s">
        <v>206</v>
      </c>
      <c r="D2252" t="s">
        <v>1233</v>
      </c>
      <c r="E2252" s="1">
        <v>45890</v>
      </c>
      <c r="F2252" s="1">
        <v>45890</v>
      </c>
      <c r="G2252" s="12">
        <v>1973.1000000000001</v>
      </c>
      <c r="H2252" s="2">
        <v>0</v>
      </c>
      <c r="I2252" s="2">
        <v>0</v>
      </c>
      <c r="J2252" s="2">
        <v>0</v>
      </c>
      <c r="K2252" s="20">
        <v>1973.1000000000001</v>
      </c>
      <c r="L2252" t="s">
        <v>794</v>
      </c>
      <c r="M2252">
        <f t="shared" si="35"/>
        <v>2025</v>
      </c>
    </row>
    <row r="2253" spans="1:13" ht="12.75" hidden="1" customHeight="1">
      <c r="A2253" t="s">
        <v>792</v>
      </c>
      <c r="B2253" t="s">
        <v>35</v>
      </c>
      <c r="C2253" t="s">
        <v>206</v>
      </c>
      <c r="D2253" t="s">
        <v>1233</v>
      </c>
      <c r="E2253" s="1">
        <v>45890</v>
      </c>
      <c r="F2253" s="1">
        <v>45890</v>
      </c>
      <c r="G2253" s="12">
        <v>583.80000000000007</v>
      </c>
      <c r="H2253" s="2">
        <v>0</v>
      </c>
      <c r="I2253" s="2">
        <v>0</v>
      </c>
      <c r="J2253" s="2">
        <v>0</v>
      </c>
      <c r="K2253" s="20">
        <v>583.80000000000007</v>
      </c>
      <c r="L2253" t="s">
        <v>794</v>
      </c>
      <c r="M2253">
        <f t="shared" si="35"/>
        <v>2025</v>
      </c>
    </row>
    <row r="2254" spans="1:13" ht="12.75" hidden="1" customHeight="1">
      <c r="A2254" t="s">
        <v>797</v>
      </c>
      <c r="B2254" t="s">
        <v>25</v>
      </c>
      <c r="C2254" t="s">
        <v>206</v>
      </c>
      <c r="D2254" t="s">
        <v>1233</v>
      </c>
      <c r="E2254" s="1">
        <v>45890</v>
      </c>
      <c r="F2254" s="1">
        <v>45890</v>
      </c>
      <c r="G2254" s="12">
        <v>1416.2</v>
      </c>
      <c r="H2254" s="2">
        <v>0</v>
      </c>
      <c r="I2254" s="2">
        <v>0</v>
      </c>
      <c r="J2254" s="2">
        <v>0</v>
      </c>
      <c r="K2254" s="20">
        <v>1416.2</v>
      </c>
      <c r="L2254" t="s">
        <v>794</v>
      </c>
      <c r="M2254">
        <f t="shared" si="35"/>
        <v>2025</v>
      </c>
    </row>
    <row r="2255" spans="1:13" ht="12.75" hidden="1" customHeight="1">
      <c r="A2255" t="s">
        <v>825</v>
      </c>
      <c r="B2255" t="s">
        <v>46</v>
      </c>
      <c r="C2255" t="s">
        <v>137</v>
      </c>
      <c r="D2255" t="s">
        <v>1233</v>
      </c>
      <c r="E2255" s="1">
        <v>45890</v>
      </c>
      <c r="F2255" s="1">
        <v>45890</v>
      </c>
      <c r="G2255" s="12">
        <v>546.5</v>
      </c>
      <c r="H2255" s="2">
        <v>0</v>
      </c>
      <c r="I2255" s="2">
        <v>0</v>
      </c>
      <c r="J2255" s="2">
        <v>0</v>
      </c>
      <c r="K2255" s="20">
        <v>546.5</v>
      </c>
      <c r="L2255" t="s">
        <v>794</v>
      </c>
      <c r="M2255">
        <f t="shared" si="35"/>
        <v>2025</v>
      </c>
    </row>
    <row r="2256" spans="1:13" ht="12.75" hidden="1" customHeight="1">
      <c r="A2256" t="s">
        <v>879</v>
      </c>
      <c r="B2256" t="s">
        <v>23</v>
      </c>
      <c r="C2256" t="s">
        <v>716</v>
      </c>
      <c r="D2256" t="s">
        <v>1178</v>
      </c>
      <c r="E2256" s="1">
        <v>45866</v>
      </c>
      <c r="F2256" s="1">
        <v>45890</v>
      </c>
      <c r="G2256" s="12">
        <v>2601.96</v>
      </c>
      <c r="H2256" s="2">
        <v>0</v>
      </c>
      <c r="I2256" s="2">
        <v>0</v>
      </c>
      <c r="J2256" s="2">
        <v>0</v>
      </c>
      <c r="K2256" s="20">
        <v>2601.96</v>
      </c>
      <c r="L2256" t="s">
        <v>794</v>
      </c>
      <c r="M2256">
        <f t="shared" si="35"/>
        <v>2025</v>
      </c>
    </row>
    <row r="2257" spans="1:13" ht="12.75" hidden="1" customHeight="1">
      <c r="A2257" t="s">
        <v>849</v>
      </c>
      <c r="B2257" t="s">
        <v>283</v>
      </c>
      <c r="C2257" t="s">
        <v>722</v>
      </c>
      <c r="D2257" t="s">
        <v>1233</v>
      </c>
      <c r="E2257" s="1">
        <v>45886</v>
      </c>
      <c r="F2257" s="1">
        <v>45890</v>
      </c>
      <c r="G2257" s="12">
        <v>99</v>
      </c>
      <c r="H2257" s="2">
        <v>0</v>
      </c>
      <c r="I2257" s="2">
        <v>0</v>
      </c>
      <c r="J2257" s="2">
        <v>0</v>
      </c>
      <c r="K2257" s="20">
        <v>99</v>
      </c>
      <c r="L2257" t="s">
        <v>794</v>
      </c>
      <c r="M2257">
        <f t="shared" si="35"/>
        <v>2025</v>
      </c>
    </row>
    <row r="2258" spans="1:13" ht="12.75" hidden="1" customHeight="1">
      <c r="A2258" t="s">
        <v>1111</v>
      </c>
      <c r="B2258" t="s">
        <v>144</v>
      </c>
      <c r="C2258" t="s">
        <v>204</v>
      </c>
      <c r="D2258" t="s">
        <v>1233</v>
      </c>
      <c r="E2258" s="1">
        <v>45890</v>
      </c>
      <c r="F2258" s="1">
        <v>45890</v>
      </c>
      <c r="G2258" s="12">
        <v>1654.06</v>
      </c>
      <c r="H2258" s="2">
        <v>0</v>
      </c>
      <c r="I2258" s="2">
        <v>0</v>
      </c>
      <c r="J2258" s="2">
        <v>0</v>
      </c>
      <c r="K2258" s="20">
        <v>1654.06</v>
      </c>
      <c r="L2258" t="s">
        <v>794</v>
      </c>
      <c r="M2258">
        <f t="shared" si="35"/>
        <v>2025</v>
      </c>
    </row>
    <row r="2259" spans="1:13" ht="12.75" hidden="1" customHeight="1">
      <c r="A2259" t="s">
        <v>905</v>
      </c>
      <c r="B2259" t="s">
        <v>15</v>
      </c>
      <c r="C2259" t="s">
        <v>715</v>
      </c>
      <c r="D2259" t="s">
        <v>1233</v>
      </c>
      <c r="E2259" s="1">
        <v>45889</v>
      </c>
      <c r="F2259" s="1">
        <v>45890</v>
      </c>
      <c r="G2259" s="12">
        <v>17936.63</v>
      </c>
      <c r="H2259" s="2">
        <v>0</v>
      </c>
      <c r="I2259" s="2">
        <v>0</v>
      </c>
      <c r="J2259" s="2">
        <v>0</v>
      </c>
      <c r="K2259" s="20">
        <v>17936.63</v>
      </c>
      <c r="L2259" t="s">
        <v>794</v>
      </c>
      <c r="M2259">
        <f t="shared" si="35"/>
        <v>2025</v>
      </c>
    </row>
    <row r="2260" spans="1:13" ht="12.75" hidden="1" customHeight="1">
      <c r="A2260" t="s">
        <v>825</v>
      </c>
      <c r="B2260" t="s">
        <v>46</v>
      </c>
      <c r="C2260" t="s">
        <v>137</v>
      </c>
      <c r="D2260" t="s">
        <v>1233</v>
      </c>
      <c r="E2260" s="1">
        <v>45890</v>
      </c>
      <c r="F2260" s="1">
        <v>45890</v>
      </c>
      <c r="G2260" s="12">
        <v>568.24</v>
      </c>
      <c r="H2260" s="2">
        <v>0</v>
      </c>
      <c r="I2260" s="2">
        <v>0</v>
      </c>
      <c r="J2260" s="2">
        <v>0</v>
      </c>
      <c r="K2260" s="20">
        <v>568.24</v>
      </c>
      <c r="L2260" t="s">
        <v>794</v>
      </c>
      <c r="M2260">
        <f t="shared" si="35"/>
        <v>2025</v>
      </c>
    </row>
    <row r="2261" spans="1:13" ht="12.75" hidden="1" customHeight="1">
      <c r="A2261" t="s">
        <v>1101</v>
      </c>
      <c r="B2261" t="s">
        <v>584</v>
      </c>
      <c r="C2261" t="s">
        <v>749</v>
      </c>
      <c r="D2261" t="s">
        <v>1233</v>
      </c>
      <c r="E2261" s="1">
        <v>45891</v>
      </c>
      <c r="F2261" s="1">
        <v>45891</v>
      </c>
      <c r="G2261" s="12">
        <v>6</v>
      </c>
      <c r="H2261" s="2">
        <v>0</v>
      </c>
      <c r="I2261" s="2">
        <v>0</v>
      </c>
      <c r="J2261" s="2">
        <v>0</v>
      </c>
      <c r="K2261" s="20">
        <v>6</v>
      </c>
      <c r="L2261" t="s">
        <v>794</v>
      </c>
      <c r="M2261">
        <f t="shared" si="35"/>
        <v>2025</v>
      </c>
    </row>
    <row r="2262" spans="1:13" ht="12.75" hidden="1" customHeight="1">
      <c r="A2262" t="s">
        <v>1183</v>
      </c>
      <c r="B2262" t="s">
        <v>504</v>
      </c>
      <c r="C2262" t="s">
        <v>749</v>
      </c>
      <c r="D2262" t="s">
        <v>1233</v>
      </c>
      <c r="E2262" s="1">
        <v>45891</v>
      </c>
      <c r="F2262" s="1">
        <v>45891</v>
      </c>
      <c r="G2262" s="12">
        <v>84.5</v>
      </c>
      <c r="H2262" s="2">
        <v>0</v>
      </c>
      <c r="I2262" s="2">
        <v>0</v>
      </c>
      <c r="J2262" s="2">
        <v>0</v>
      </c>
      <c r="K2262" s="20">
        <v>84.5</v>
      </c>
      <c r="L2262" t="s">
        <v>794</v>
      </c>
      <c r="M2262">
        <f t="shared" si="35"/>
        <v>2025</v>
      </c>
    </row>
    <row r="2263" spans="1:13" ht="12.75" hidden="1" customHeight="1">
      <c r="A2263" t="s">
        <v>1121</v>
      </c>
      <c r="B2263" t="s">
        <v>295</v>
      </c>
      <c r="C2263" t="s">
        <v>142</v>
      </c>
      <c r="D2263" t="s">
        <v>1233</v>
      </c>
      <c r="E2263" s="1">
        <v>45891</v>
      </c>
      <c r="F2263" s="1">
        <v>45891</v>
      </c>
      <c r="G2263" s="12">
        <v>35</v>
      </c>
      <c r="H2263" s="2">
        <v>0</v>
      </c>
      <c r="I2263" s="2">
        <v>0</v>
      </c>
      <c r="J2263" s="2">
        <v>0</v>
      </c>
      <c r="K2263" s="20">
        <v>35</v>
      </c>
      <c r="L2263" t="s">
        <v>794</v>
      </c>
      <c r="M2263">
        <f t="shared" si="35"/>
        <v>2025</v>
      </c>
    </row>
    <row r="2264" spans="1:13" ht="12.75" hidden="1" customHeight="1">
      <c r="A2264" t="s">
        <v>921</v>
      </c>
      <c r="B2264" t="s">
        <v>184</v>
      </c>
      <c r="C2264" t="s">
        <v>483</v>
      </c>
      <c r="D2264" t="s">
        <v>1233</v>
      </c>
      <c r="E2264" s="1">
        <v>45891</v>
      </c>
      <c r="F2264" s="1">
        <v>45891</v>
      </c>
      <c r="G2264" s="12">
        <v>13</v>
      </c>
      <c r="H2264" s="2">
        <v>0</v>
      </c>
      <c r="I2264" s="2">
        <v>0</v>
      </c>
      <c r="J2264" s="2">
        <v>0</v>
      </c>
      <c r="K2264" s="20">
        <v>13</v>
      </c>
      <c r="L2264" t="s">
        <v>794</v>
      </c>
      <c r="M2264">
        <f t="shared" si="35"/>
        <v>2025</v>
      </c>
    </row>
    <row r="2265" spans="1:13" ht="12.75" hidden="1" customHeight="1">
      <c r="A2265" t="s">
        <v>921</v>
      </c>
      <c r="B2265" t="s">
        <v>184</v>
      </c>
      <c r="C2265" t="s">
        <v>483</v>
      </c>
      <c r="D2265" t="s">
        <v>1233</v>
      </c>
      <c r="E2265" s="1">
        <v>45891</v>
      </c>
      <c r="F2265" s="1">
        <v>45891</v>
      </c>
      <c r="G2265" s="12">
        <v>91.960000000000008</v>
      </c>
      <c r="H2265" s="2">
        <v>0</v>
      </c>
      <c r="I2265" s="2">
        <v>0</v>
      </c>
      <c r="J2265" s="2">
        <v>0</v>
      </c>
      <c r="K2265" s="20">
        <v>91.960000000000008</v>
      </c>
      <c r="L2265" t="s">
        <v>794</v>
      </c>
      <c r="M2265">
        <f t="shared" si="35"/>
        <v>2025</v>
      </c>
    </row>
    <row r="2266" spans="1:13" ht="12.75" hidden="1" customHeight="1">
      <c r="A2266" t="s">
        <v>1138</v>
      </c>
      <c r="B2266" t="s">
        <v>104</v>
      </c>
      <c r="C2266" t="s">
        <v>141</v>
      </c>
      <c r="D2266" t="s">
        <v>1233</v>
      </c>
      <c r="E2266" s="1">
        <v>45891</v>
      </c>
      <c r="F2266" s="1">
        <v>45891</v>
      </c>
      <c r="G2266" s="12">
        <v>320</v>
      </c>
      <c r="H2266" s="2">
        <v>0</v>
      </c>
      <c r="I2266" s="2">
        <v>0</v>
      </c>
      <c r="J2266" s="2">
        <v>0</v>
      </c>
      <c r="K2266" s="20">
        <v>320</v>
      </c>
      <c r="L2266" t="s">
        <v>794</v>
      </c>
      <c r="M2266">
        <f t="shared" si="35"/>
        <v>2025</v>
      </c>
    </row>
    <row r="2267" spans="1:13" ht="12.75" hidden="1" customHeight="1">
      <c r="A2267" t="s">
        <v>1072</v>
      </c>
      <c r="B2267" t="s">
        <v>65</v>
      </c>
      <c r="C2267" t="s">
        <v>756</v>
      </c>
      <c r="D2267" t="s">
        <v>1233</v>
      </c>
      <c r="E2267" s="1">
        <v>45889</v>
      </c>
      <c r="F2267" s="1">
        <v>45891</v>
      </c>
      <c r="G2267" s="12">
        <v>82.19</v>
      </c>
      <c r="H2267" s="2">
        <v>0</v>
      </c>
      <c r="I2267" s="2">
        <v>0</v>
      </c>
      <c r="J2267" s="2">
        <v>0</v>
      </c>
      <c r="K2267" s="20">
        <v>82.19</v>
      </c>
      <c r="L2267" t="s">
        <v>794</v>
      </c>
      <c r="M2267">
        <f t="shared" si="35"/>
        <v>2025</v>
      </c>
    </row>
    <row r="2268" spans="1:13" ht="12.75" hidden="1" customHeight="1">
      <c r="A2268" t="s">
        <v>801</v>
      </c>
      <c r="B2268" t="s">
        <v>13</v>
      </c>
      <c r="C2268" t="s">
        <v>726</v>
      </c>
      <c r="D2268" t="s">
        <v>1233</v>
      </c>
      <c r="E2268" s="1">
        <v>45890</v>
      </c>
      <c r="F2268" s="1">
        <v>45891</v>
      </c>
      <c r="G2268" s="12">
        <v>2.04</v>
      </c>
      <c r="H2268" s="2">
        <v>0</v>
      </c>
      <c r="I2268" s="2">
        <v>0</v>
      </c>
      <c r="J2268" s="2">
        <v>0</v>
      </c>
      <c r="K2268" s="20">
        <v>2.04</v>
      </c>
      <c r="L2268" t="s">
        <v>794</v>
      </c>
      <c r="M2268">
        <f t="shared" si="35"/>
        <v>2025</v>
      </c>
    </row>
    <row r="2269" spans="1:13" ht="12.75" hidden="1" customHeight="1">
      <c r="A2269" t="s">
        <v>801</v>
      </c>
      <c r="B2269" t="s">
        <v>13</v>
      </c>
      <c r="C2269" t="s">
        <v>726</v>
      </c>
      <c r="D2269" t="s">
        <v>1233</v>
      </c>
      <c r="E2269" s="1">
        <v>45890</v>
      </c>
      <c r="F2269" s="1">
        <v>45891</v>
      </c>
      <c r="G2269" s="12">
        <v>4.08</v>
      </c>
      <c r="H2269" s="2">
        <v>0</v>
      </c>
      <c r="I2269" s="2">
        <v>0</v>
      </c>
      <c r="J2269" s="2">
        <v>0</v>
      </c>
      <c r="K2269" s="20">
        <v>4.08</v>
      </c>
      <c r="L2269" t="s">
        <v>794</v>
      </c>
      <c r="M2269">
        <f t="shared" si="35"/>
        <v>2025</v>
      </c>
    </row>
    <row r="2270" spans="1:13" ht="12.75" hidden="1" customHeight="1">
      <c r="A2270" t="s">
        <v>801</v>
      </c>
      <c r="B2270" t="s">
        <v>13</v>
      </c>
      <c r="C2270" t="s">
        <v>726</v>
      </c>
      <c r="D2270" t="s">
        <v>1233</v>
      </c>
      <c r="E2270" s="1">
        <v>45891</v>
      </c>
      <c r="F2270" s="1">
        <v>45891</v>
      </c>
      <c r="G2270" s="12">
        <v>2.04</v>
      </c>
      <c r="H2270" s="2">
        <v>0</v>
      </c>
      <c r="I2270" s="2">
        <v>0</v>
      </c>
      <c r="J2270" s="2">
        <v>0</v>
      </c>
      <c r="K2270" s="20">
        <v>2.04</v>
      </c>
      <c r="L2270" t="s">
        <v>794</v>
      </c>
      <c r="M2270">
        <f t="shared" si="35"/>
        <v>2025</v>
      </c>
    </row>
    <row r="2271" spans="1:13" ht="12.75" hidden="1" customHeight="1">
      <c r="A2271" t="s">
        <v>914</v>
      </c>
      <c r="B2271" t="s">
        <v>28</v>
      </c>
      <c r="C2271" t="s">
        <v>732</v>
      </c>
      <c r="D2271" t="s">
        <v>1233</v>
      </c>
      <c r="E2271" s="1">
        <v>45891</v>
      </c>
      <c r="F2271" s="1">
        <v>45891</v>
      </c>
      <c r="G2271" s="12">
        <v>103.98</v>
      </c>
      <c r="H2271" s="2">
        <v>0</v>
      </c>
      <c r="I2271" s="2">
        <v>0</v>
      </c>
      <c r="J2271" s="2">
        <v>0</v>
      </c>
      <c r="K2271" s="20">
        <v>103.98</v>
      </c>
      <c r="L2271" t="s">
        <v>794</v>
      </c>
      <c r="M2271">
        <f t="shared" si="35"/>
        <v>2025</v>
      </c>
    </row>
    <row r="2272" spans="1:13" ht="12.75" hidden="1" customHeight="1">
      <c r="A2272" t="s">
        <v>1138</v>
      </c>
      <c r="B2272" t="s">
        <v>104</v>
      </c>
      <c r="C2272" t="s">
        <v>204</v>
      </c>
      <c r="D2272" t="s">
        <v>1233</v>
      </c>
      <c r="E2272" s="1">
        <v>45891</v>
      </c>
      <c r="F2272" s="1">
        <v>45891</v>
      </c>
      <c r="G2272" s="12">
        <v>1662.53</v>
      </c>
      <c r="H2272" s="2">
        <v>0</v>
      </c>
      <c r="I2272" s="2">
        <v>0</v>
      </c>
      <c r="J2272" s="2">
        <v>0</v>
      </c>
      <c r="K2272" s="20">
        <v>1662.53</v>
      </c>
      <c r="L2272" t="s">
        <v>794</v>
      </c>
      <c r="M2272">
        <f t="shared" si="35"/>
        <v>2025</v>
      </c>
    </row>
    <row r="2273" spans="1:13" ht="12.75" hidden="1" customHeight="1">
      <c r="A2273" t="s">
        <v>907</v>
      </c>
      <c r="B2273" t="s">
        <v>291</v>
      </c>
      <c r="C2273" t="s">
        <v>681</v>
      </c>
      <c r="D2273" t="s">
        <v>1233</v>
      </c>
      <c r="E2273" s="1">
        <v>45894</v>
      </c>
      <c r="F2273" s="1">
        <v>45894</v>
      </c>
      <c r="G2273" s="12">
        <v>6.42</v>
      </c>
      <c r="H2273" s="2">
        <v>0</v>
      </c>
      <c r="I2273" s="2">
        <v>0</v>
      </c>
      <c r="J2273" s="2">
        <v>0</v>
      </c>
      <c r="K2273" s="20">
        <v>6.42</v>
      </c>
      <c r="L2273" t="s">
        <v>794</v>
      </c>
      <c r="M2273">
        <f t="shared" si="35"/>
        <v>2025</v>
      </c>
    </row>
    <row r="2274" spans="1:13" ht="12.75" hidden="1" customHeight="1">
      <c r="A2274" t="s">
        <v>992</v>
      </c>
      <c r="B2274" t="s">
        <v>277</v>
      </c>
      <c r="C2274" t="s">
        <v>99</v>
      </c>
      <c r="D2274" t="s">
        <v>1233</v>
      </c>
      <c r="E2274" s="1">
        <v>45894</v>
      </c>
      <c r="F2274" s="1">
        <v>45894</v>
      </c>
      <c r="G2274" s="12">
        <v>36.200000000000003</v>
      </c>
      <c r="H2274" s="2">
        <v>0</v>
      </c>
      <c r="I2274" s="2">
        <v>0</v>
      </c>
      <c r="J2274" s="2">
        <v>0</v>
      </c>
      <c r="K2274" s="20">
        <v>36.200000000000003</v>
      </c>
      <c r="L2274" t="s">
        <v>794</v>
      </c>
      <c r="M2274">
        <f t="shared" si="35"/>
        <v>2025</v>
      </c>
    </row>
    <row r="2275" spans="1:13" ht="12.75" hidden="1" customHeight="1">
      <c r="A2275" t="s">
        <v>905</v>
      </c>
      <c r="B2275" t="s">
        <v>15</v>
      </c>
      <c r="C2275" t="s">
        <v>727</v>
      </c>
      <c r="D2275" t="s">
        <v>1233</v>
      </c>
      <c r="E2275" s="1">
        <v>45889</v>
      </c>
      <c r="F2275" s="1">
        <v>45894</v>
      </c>
      <c r="G2275" s="12">
        <v>2771.75</v>
      </c>
      <c r="H2275" s="2">
        <v>0</v>
      </c>
      <c r="I2275" s="2">
        <v>0</v>
      </c>
      <c r="J2275" s="2">
        <v>0</v>
      </c>
      <c r="K2275" s="20">
        <v>2771.75</v>
      </c>
      <c r="L2275" t="s">
        <v>794</v>
      </c>
      <c r="M2275">
        <f t="shared" si="35"/>
        <v>2025</v>
      </c>
    </row>
    <row r="2276" spans="1:13" ht="12.75" hidden="1" customHeight="1">
      <c r="A2276" t="s">
        <v>818</v>
      </c>
      <c r="B2276" t="s">
        <v>30</v>
      </c>
      <c r="C2276" t="s">
        <v>141</v>
      </c>
      <c r="D2276" t="s">
        <v>1233</v>
      </c>
      <c r="E2276" s="1">
        <v>45894</v>
      </c>
      <c r="F2276" s="1">
        <v>45894</v>
      </c>
      <c r="G2276" s="12">
        <v>350</v>
      </c>
      <c r="H2276" s="2">
        <v>0</v>
      </c>
      <c r="I2276" s="2">
        <v>0</v>
      </c>
      <c r="J2276" s="2">
        <v>0</v>
      </c>
      <c r="K2276" s="20">
        <v>350</v>
      </c>
      <c r="L2276" t="s">
        <v>794</v>
      </c>
      <c r="M2276">
        <f t="shared" si="35"/>
        <v>2025</v>
      </c>
    </row>
    <row r="2277" spans="1:13" ht="12.75" hidden="1" customHeight="1">
      <c r="A2277" t="s">
        <v>812</v>
      </c>
      <c r="B2277" t="s">
        <v>31</v>
      </c>
      <c r="C2277" t="s">
        <v>141</v>
      </c>
      <c r="D2277" t="s">
        <v>1233</v>
      </c>
      <c r="E2277" s="1">
        <v>45894</v>
      </c>
      <c r="F2277" s="1">
        <v>45894</v>
      </c>
      <c r="G2277" s="12">
        <v>244</v>
      </c>
      <c r="H2277" s="2">
        <v>0</v>
      </c>
      <c r="I2277" s="2">
        <v>0</v>
      </c>
      <c r="J2277" s="2">
        <v>0</v>
      </c>
      <c r="K2277" s="20">
        <v>244</v>
      </c>
      <c r="L2277" t="s">
        <v>794</v>
      </c>
      <c r="M2277">
        <f t="shared" si="35"/>
        <v>2025</v>
      </c>
    </row>
    <row r="2278" spans="1:13" ht="12.75" hidden="1" customHeight="1">
      <c r="A2278" t="s">
        <v>1121</v>
      </c>
      <c r="B2278" t="s">
        <v>295</v>
      </c>
      <c r="C2278" t="s">
        <v>142</v>
      </c>
      <c r="D2278" t="s">
        <v>1233</v>
      </c>
      <c r="E2278" s="1">
        <v>45895</v>
      </c>
      <c r="F2278" s="1">
        <v>45895</v>
      </c>
      <c r="G2278" s="12">
        <v>35</v>
      </c>
      <c r="H2278" s="2">
        <v>0</v>
      </c>
      <c r="I2278" s="2">
        <v>0</v>
      </c>
      <c r="J2278" s="2">
        <v>0</v>
      </c>
      <c r="K2278" s="20">
        <v>35</v>
      </c>
      <c r="L2278" t="s">
        <v>794</v>
      </c>
      <c r="M2278">
        <f t="shared" si="35"/>
        <v>2025</v>
      </c>
    </row>
    <row r="2279" spans="1:13" ht="12.75" hidden="1" customHeight="1">
      <c r="A2279" t="s">
        <v>1267</v>
      </c>
      <c r="B2279" t="s">
        <v>426</v>
      </c>
      <c r="C2279" t="s">
        <v>141</v>
      </c>
      <c r="D2279" t="s">
        <v>1233</v>
      </c>
      <c r="E2279" s="1">
        <v>45895</v>
      </c>
      <c r="F2279" s="1">
        <v>45895</v>
      </c>
      <c r="G2279" s="12">
        <v>79</v>
      </c>
      <c r="H2279" s="2">
        <v>0</v>
      </c>
      <c r="I2279" s="2">
        <v>0</v>
      </c>
      <c r="J2279" s="2">
        <v>0</v>
      </c>
      <c r="K2279" s="20">
        <v>79</v>
      </c>
      <c r="L2279" t="s">
        <v>794</v>
      </c>
      <c r="M2279">
        <f t="shared" si="35"/>
        <v>2025</v>
      </c>
    </row>
    <row r="2280" spans="1:13" ht="12.75" hidden="1" customHeight="1">
      <c r="A2280" t="s">
        <v>935</v>
      </c>
      <c r="B2280" t="s">
        <v>158</v>
      </c>
      <c r="C2280" t="s">
        <v>741</v>
      </c>
      <c r="D2280" t="s">
        <v>1142</v>
      </c>
      <c r="E2280" s="1">
        <v>45894</v>
      </c>
      <c r="F2280" s="1">
        <v>45895</v>
      </c>
      <c r="G2280" s="12">
        <v>370</v>
      </c>
      <c r="H2280" s="2">
        <v>0</v>
      </c>
      <c r="I2280" s="2">
        <v>0</v>
      </c>
      <c r="J2280" s="2">
        <v>0</v>
      </c>
      <c r="K2280" s="20">
        <v>370</v>
      </c>
      <c r="L2280" t="s">
        <v>794</v>
      </c>
      <c r="M2280">
        <f t="shared" si="35"/>
        <v>2025</v>
      </c>
    </row>
    <row r="2281" spans="1:13" ht="12.75" hidden="1" customHeight="1">
      <c r="A2281" t="s">
        <v>895</v>
      </c>
      <c r="B2281" t="s">
        <v>155</v>
      </c>
      <c r="C2281" t="s">
        <v>384</v>
      </c>
      <c r="D2281" t="s">
        <v>1233</v>
      </c>
      <c r="E2281" s="1">
        <v>45894</v>
      </c>
      <c r="F2281" s="1">
        <v>45895</v>
      </c>
      <c r="G2281" s="12">
        <v>390</v>
      </c>
      <c r="H2281" s="2">
        <v>0</v>
      </c>
      <c r="I2281" s="2">
        <v>0</v>
      </c>
      <c r="J2281" s="2">
        <v>0</v>
      </c>
      <c r="K2281" s="20">
        <v>390</v>
      </c>
      <c r="L2281" t="s">
        <v>794</v>
      </c>
      <c r="M2281">
        <f t="shared" si="35"/>
        <v>2025</v>
      </c>
    </row>
    <row r="2282" spans="1:13" ht="12.75" hidden="1" customHeight="1">
      <c r="A2282" t="s">
        <v>1210</v>
      </c>
      <c r="B2282" t="s">
        <v>22</v>
      </c>
      <c r="C2282" t="s">
        <v>717</v>
      </c>
      <c r="D2282" t="s">
        <v>1233</v>
      </c>
      <c r="E2282" s="1">
        <v>45895</v>
      </c>
      <c r="F2282" s="1">
        <v>45895</v>
      </c>
      <c r="G2282" s="12">
        <v>2890</v>
      </c>
      <c r="H2282" s="2">
        <v>0</v>
      </c>
      <c r="I2282" s="2">
        <v>0</v>
      </c>
      <c r="J2282" s="2">
        <v>0</v>
      </c>
      <c r="K2282" s="20">
        <v>2890</v>
      </c>
      <c r="L2282" t="s">
        <v>794</v>
      </c>
      <c r="M2282">
        <f t="shared" si="35"/>
        <v>2025</v>
      </c>
    </row>
    <row r="2283" spans="1:13" ht="12.75" hidden="1" customHeight="1">
      <c r="A2283" t="s">
        <v>906</v>
      </c>
      <c r="B2283" t="s">
        <v>289</v>
      </c>
      <c r="C2283" t="s">
        <v>681</v>
      </c>
      <c r="D2283" t="s">
        <v>1233</v>
      </c>
      <c r="E2283" s="1">
        <v>45895</v>
      </c>
      <c r="F2283" s="1">
        <v>45895</v>
      </c>
      <c r="G2283" s="12">
        <v>76</v>
      </c>
      <c r="H2283" s="2">
        <v>0</v>
      </c>
      <c r="I2283" s="2">
        <v>0</v>
      </c>
      <c r="J2283" s="2">
        <v>0</v>
      </c>
      <c r="K2283" s="20">
        <v>76</v>
      </c>
      <c r="L2283" t="s">
        <v>794</v>
      </c>
      <c r="M2283">
        <f t="shared" si="35"/>
        <v>2025</v>
      </c>
    </row>
    <row r="2284" spans="1:13" ht="12.75" hidden="1" customHeight="1">
      <c r="A2284" t="s">
        <v>801</v>
      </c>
      <c r="B2284" t="s">
        <v>13</v>
      </c>
      <c r="C2284" t="s">
        <v>726</v>
      </c>
      <c r="D2284" t="s">
        <v>1233</v>
      </c>
      <c r="E2284" s="1">
        <v>45895</v>
      </c>
      <c r="F2284" s="1">
        <v>45895</v>
      </c>
      <c r="G2284" s="12">
        <v>9.14</v>
      </c>
      <c r="H2284" s="2">
        <v>0</v>
      </c>
      <c r="I2284" s="2">
        <v>0</v>
      </c>
      <c r="J2284" s="2">
        <v>0</v>
      </c>
      <c r="K2284" s="20">
        <v>9.14</v>
      </c>
      <c r="L2284" t="s">
        <v>794</v>
      </c>
      <c r="M2284">
        <f t="shared" si="35"/>
        <v>2025</v>
      </c>
    </row>
    <row r="2285" spans="1:13" ht="12.75" hidden="1" customHeight="1">
      <c r="A2285" t="s">
        <v>801</v>
      </c>
      <c r="B2285" t="s">
        <v>13</v>
      </c>
      <c r="C2285" t="s">
        <v>726</v>
      </c>
      <c r="D2285" t="s">
        <v>1233</v>
      </c>
      <c r="E2285" s="1">
        <v>45895</v>
      </c>
      <c r="F2285" s="1">
        <v>45895</v>
      </c>
      <c r="G2285" s="12">
        <v>8.16</v>
      </c>
      <c r="H2285" s="2">
        <v>0</v>
      </c>
      <c r="I2285" s="2">
        <v>0</v>
      </c>
      <c r="J2285" s="2">
        <v>0</v>
      </c>
      <c r="K2285" s="20">
        <v>8.16</v>
      </c>
      <c r="L2285" t="s">
        <v>794</v>
      </c>
      <c r="M2285">
        <f t="shared" si="35"/>
        <v>2025</v>
      </c>
    </row>
    <row r="2286" spans="1:13" ht="12.75" hidden="1" customHeight="1">
      <c r="A2286" t="s">
        <v>801</v>
      </c>
      <c r="B2286" t="s">
        <v>13</v>
      </c>
      <c r="C2286" t="s">
        <v>726</v>
      </c>
      <c r="D2286" t="s">
        <v>1233</v>
      </c>
      <c r="E2286" s="1">
        <v>45895</v>
      </c>
      <c r="F2286" s="1">
        <v>45895</v>
      </c>
      <c r="G2286" s="12">
        <v>2.04</v>
      </c>
      <c r="H2286" s="2">
        <v>0</v>
      </c>
      <c r="I2286" s="2">
        <v>0</v>
      </c>
      <c r="J2286" s="2">
        <v>0</v>
      </c>
      <c r="K2286" s="20">
        <v>2.04</v>
      </c>
      <c r="L2286" t="s">
        <v>794</v>
      </c>
      <c r="M2286">
        <f t="shared" si="35"/>
        <v>2025</v>
      </c>
    </row>
    <row r="2287" spans="1:13" s="5" customFormat="1" ht="12.75" hidden="1" customHeight="1">
      <c r="A2287" t="s">
        <v>907</v>
      </c>
      <c r="B2287" t="s">
        <v>291</v>
      </c>
      <c r="C2287" t="s">
        <v>749</v>
      </c>
      <c r="D2287" t="s">
        <v>1233</v>
      </c>
      <c r="E2287" s="1">
        <v>45896</v>
      </c>
      <c r="F2287" s="1">
        <v>45896</v>
      </c>
      <c r="G2287" s="12">
        <v>10.38</v>
      </c>
      <c r="H2287" s="2">
        <v>0</v>
      </c>
      <c r="I2287" s="2">
        <v>0</v>
      </c>
      <c r="J2287" s="2">
        <v>0</v>
      </c>
      <c r="K2287" s="20">
        <v>10.38</v>
      </c>
      <c r="L2287" t="s">
        <v>794</v>
      </c>
      <c r="M2287">
        <f t="shared" si="35"/>
        <v>2025</v>
      </c>
    </row>
    <row r="2288" spans="1:13" ht="12.75" hidden="1" customHeight="1">
      <c r="A2288" t="s">
        <v>801</v>
      </c>
      <c r="B2288" t="s">
        <v>13</v>
      </c>
      <c r="C2288" t="s">
        <v>717</v>
      </c>
      <c r="D2288" t="s">
        <v>1233</v>
      </c>
      <c r="E2288" s="1">
        <v>45896</v>
      </c>
      <c r="F2288" s="1">
        <v>45896</v>
      </c>
      <c r="G2288" s="12">
        <v>2642.35</v>
      </c>
      <c r="H2288" s="2">
        <v>0</v>
      </c>
      <c r="I2288" s="2">
        <v>0</v>
      </c>
      <c r="J2288" s="2">
        <v>0</v>
      </c>
      <c r="K2288" s="20">
        <v>2642.35</v>
      </c>
      <c r="L2288" t="s">
        <v>794</v>
      </c>
      <c r="M2288">
        <f t="shared" si="35"/>
        <v>2025</v>
      </c>
    </row>
    <row r="2289" spans="1:13" ht="12.75" hidden="1" customHeight="1">
      <c r="A2289" t="s">
        <v>801</v>
      </c>
      <c r="B2289" t="s">
        <v>13</v>
      </c>
      <c r="C2289" t="s">
        <v>726</v>
      </c>
      <c r="D2289" t="s">
        <v>1233</v>
      </c>
      <c r="E2289" s="1">
        <v>45896</v>
      </c>
      <c r="F2289" s="1">
        <v>45896</v>
      </c>
      <c r="G2289" s="12">
        <v>8.16</v>
      </c>
      <c r="H2289" s="2">
        <v>0</v>
      </c>
      <c r="I2289" s="2">
        <v>0</v>
      </c>
      <c r="J2289" s="2">
        <v>0</v>
      </c>
      <c r="K2289" s="20">
        <v>8.16</v>
      </c>
      <c r="L2289" t="s">
        <v>794</v>
      </c>
      <c r="M2289">
        <f t="shared" si="35"/>
        <v>2025</v>
      </c>
    </row>
    <row r="2290" spans="1:13" ht="12.75" hidden="1" customHeight="1">
      <c r="A2290" t="s">
        <v>801</v>
      </c>
      <c r="B2290" t="s">
        <v>13</v>
      </c>
      <c r="C2290" t="s">
        <v>726</v>
      </c>
      <c r="D2290" t="s">
        <v>1233</v>
      </c>
      <c r="E2290" s="1">
        <v>45896</v>
      </c>
      <c r="F2290" s="1">
        <v>45896</v>
      </c>
      <c r="G2290" s="12">
        <v>2.04</v>
      </c>
      <c r="H2290" s="2">
        <v>0</v>
      </c>
      <c r="I2290" s="2">
        <v>0</v>
      </c>
      <c r="J2290" s="2">
        <v>0</v>
      </c>
      <c r="K2290" s="20">
        <v>2.04</v>
      </c>
      <c r="L2290" t="s">
        <v>794</v>
      </c>
      <c r="M2290">
        <f t="shared" si="35"/>
        <v>2025</v>
      </c>
    </row>
    <row r="2291" spans="1:13" ht="12.75" hidden="1" customHeight="1">
      <c r="A2291" t="s">
        <v>801</v>
      </c>
      <c r="B2291" t="s">
        <v>13</v>
      </c>
      <c r="C2291" t="s">
        <v>717</v>
      </c>
      <c r="D2291" t="s">
        <v>1233</v>
      </c>
      <c r="E2291" s="1">
        <v>45896</v>
      </c>
      <c r="F2291" s="1">
        <v>45896</v>
      </c>
      <c r="G2291" s="12">
        <v>1484.15</v>
      </c>
      <c r="H2291" s="2">
        <v>0</v>
      </c>
      <c r="I2291" s="2">
        <v>0</v>
      </c>
      <c r="J2291" s="2">
        <v>0</v>
      </c>
      <c r="K2291" s="20">
        <v>1484.15</v>
      </c>
      <c r="L2291" t="s">
        <v>794</v>
      </c>
      <c r="M2291">
        <f t="shared" si="35"/>
        <v>2025</v>
      </c>
    </row>
    <row r="2292" spans="1:13" ht="12.75" hidden="1" customHeight="1">
      <c r="A2292" t="s">
        <v>998</v>
      </c>
      <c r="B2292" t="s">
        <v>368</v>
      </c>
      <c r="C2292" t="s">
        <v>733</v>
      </c>
      <c r="D2292" t="s">
        <v>1233</v>
      </c>
      <c r="E2292" s="1">
        <v>45895</v>
      </c>
      <c r="F2292" s="1">
        <v>45896</v>
      </c>
      <c r="G2292" s="12">
        <v>43.65</v>
      </c>
      <c r="H2292" s="2">
        <v>0</v>
      </c>
      <c r="I2292" s="2">
        <v>0</v>
      </c>
      <c r="J2292" s="2">
        <v>0</v>
      </c>
      <c r="K2292" s="20">
        <v>43.65</v>
      </c>
      <c r="L2292" t="s">
        <v>794</v>
      </c>
      <c r="M2292">
        <f t="shared" si="35"/>
        <v>2025</v>
      </c>
    </row>
    <row r="2293" spans="1:13" ht="12.75" hidden="1" customHeight="1">
      <c r="A2293" t="s">
        <v>826</v>
      </c>
      <c r="B2293" t="s">
        <v>21</v>
      </c>
      <c r="C2293" t="s">
        <v>141</v>
      </c>
      <c r="D2293" t="s">
        <v>1233</v>
      </c>
      <c r="E2293" s="1">
        <v>45896</v>
      </c>
      <c r="F2293" s="1">
        <v>45896</v>
      </c>
      <c r="G2293" s="12">
        <v>250</v>
      </c>
      <c r="H2293" s="2">
        <v>0</v>
      </c>
      <c r="I2293" s="2">
        <v>0</v>
      </c>
      <c r="J2293" s="2">
        <v>0</v>
      </c>
      <c r="K2293" s="20">
        <v>250</v>
      </c>
      <c r="L2293" t="s">
        <v>794</v>
      </c>
      <c r="M2293">
        <f t="shared" si="35"/>
        <v>2025</v>
      </c>
    </row>
    <row r="2294" spans="1:13" ht="12.75" hidden="1" customHeight="1">
      <c r="A2294" t="s">
        <v>921</v>
      </c>
      <c r="B2294" t="s">
        <v>184</v>
      </c>
      <c r="C2294" t="s">
        <v>483</v>
      </c>
      <c r="D2294" t="s">
        <v>1233</v>
      </c>
      <c r="E2294" s="1">
        <v>45897</v>
      </c>
      <c r="F2294" s="1">
        <v>45897</v>
      </c>
      <c r="G2294" s="12">
        <v>110.16</v>
      </c>
      <c r="H2294" s="2">
        <v>0</v>
      </c>
      <c r="I2294" s="2">
        <v>0</v>
      </c>
      <c r="J2294" s="2">
        <v>0</v>
      </c>
      <c r="K2294" s="20">
        <v>110.16</v>
      </c>
      <c r="L2294" t="s">
        <v>794</v>
      </c>
      <c r="M2294">
        <f t="shared" si="35"/>
        <v>2025</v>
      </c>
    </row>
    <row r="2295" spans="1:13" ht="12.75" hidden="1" customHeight="1">
      <c r="A2295" t="s">
        <v>923</v>
      </c>
      <c r="B2295" t="s">
        <v>673</v>
      </c>
      <c r="C2295" t="s">
        <v>139</v>
      </c>
      <c r="D2295" t="s">
        <v>1233</v>
      </c>
      <c r="E2295" s="1">
        <v>45897</v>
      </c>
      <c r="F2295" s="1">
        <v>45897</v>
      </c>
      <c r="G2295" s="12">
        <v>10.4</v>
      </c>
      <c r="H2295" s="2">
        <v>0</v>
      </c>
      <c r="I2295" s="2">
        <v>0</v>
      </c>
      <c r="J2295" s="2">
        <v>0</v>
      </c>
      <c r="K2295" s="20">
        <v>10.4</v>
      </c>
      <c r="L2295" t="s">
        <v>794</v>
      </c>
      <c r="M2295">
        <f t="shared" si="35"/>
        <v>2025</v>
      </c>
    </row>
    <row r="2296" spans="1:13" ht="12.75" hidden="1" customHeight="1">
      <c r="A2296" t="s">
        <v>905</v>
      </c>
      <c r="B2296" t="s">
        <v>15</v>
      </c>
      <c r="C2296" t="s">
        <v>715</v>
      </c>
      <c r="D2296" t="s">
        <v>1233</v>
      </c>
      <c r="E2296" s="1">
        <v>45898</v>
      </c>
      <c r="F2296" s="1">
        <v>45898</v>
      </c>
      <c r="G2296" s="12">
        <v>693.72</v>
      </c>
      <c r="H2296" s="2">
        <v>0</v>
      </c>
      <c r="I2296" s="2">
        <v>0</v>
      </c>
      <c r="J2296" s="2">
        <v>0</v>
      </c>
      <c r="K2296" s="20">
        <v>693.72</v>
      </c>
      <c r="L2296" t="s">
        <v>794</v>
      </c>
      <c r="M2296">
        <f t="shared" si="35"/>
        <v>2025</v>
      </c>
    </row>
    <row r="2297" spans="1:13" ht="12.75" hidden="1" customHeight="1">
      <c r="A2297" t="s">
        <v>1009</v>
      </c>
      <c r="B2297" t="s">
        <v>62</v>
      </c>
      <c r="C2297" t="s">
        <v>139</v>
      </c>
      <c r="D2297" t="s">
        <v>1233</v>
      </c>
      <c r="E2297" s="1">
        <v>45870</v>
      </c>
      <c r="F2297" s="1">
        <v>45870</v>
      </c>
      <c r="G2297" s="12">
        <v>44</v>
      </c>
      <c r="H2297" s="2">
        <v>0</v>
      </c>
      <c r="I2297" s="2">
        <v>0</v>
      </c>
      <c r="J2297" s="2">
        <v>0</v>
      </c>
      <c r="K2297" s="20">
        <v>44</v>
      </c>
      <c r="L2297" t="s">
        <v>794</v>
      </c>
      <c r="M2297">
        <f t="shared" si="35"/>
        <v>2025</v>
      </c>
    </row>
    <row r="2298" spans="1:13" ht="12.75" hidden="1" customHeight="1">
      <c r="A2298" t="s">
        <v>855</v>
      </c>
      <c r="B2298" t="s">
        <v>20</v>
      </c>
      <c r="C2298" t="s">
        <v>140</v>
      </c>
      <c r="D2298" t="s">
        <v>1233</v>
      </c>
      <c r="E2298" s="1">
        <v>45870</v>
      </c>
      <c r="F2298" s="1">
        <v>45870</v>
      </c>
      <c r="G2298" s="12">
        <v>500</v>
      </c>
      <c r="H2298" s="2">
        <v>0</v>
      </c>
      <c r="I2298" s="2">
        <v>0</v>
      </c>
      <c r="J2298" s="2">
        <v>0</v>
      </c>
      <c r="K2298" s="20">
        <v>500</v>
      </c>
      <c r="L2298" t="s">
        <v>794</v>
      </c>
      <c r="M2298">
        <f t="shared" si="35"/>
        <v>2025</v>
      </c>
    </row>
    <row r="2299" spans="1:13" ht="12.75" hidden="1" customHeight="1">
      <c r="A2299" t="s">
        <v>950</v>
      </c>
      <c r="B2299" t="s">
        <v>951</v>
      </c>
      <c r="C2299" t="s">
        <v>139</v>
      </c>
      <c r="D2299" t="s">
        <v>1233</v>
      </c>
      <c r="E2299" s="1">
        <v>45870</v>
      </c>
      <c r="F2299" s="1">
        <v>45870</v>
      </c>
      <c r="G2299" s="12">
        <v>24.7</v>
      </c>
      <c r="H2299" s="2">
        <v>0</v>
      </c>
      <c r="I2299" s="2">
        <v>0</v>
      </c>
      <c r="J2299" s="2">
        <v>0</v>
      </c>
      <c r="K2299" s="20">
        <v>24.7</v>
      </c>
      <c r="L2299" t="s">
        <v>794</v>
      </c>
      <c r="M2299">
        <f t="shared" si="35"/>
        <v>2025</v>
      </c>
    </row>
    <row r="2300" spans="1:13" ht="12.75" hidden="1" customHeight="1">
      <c r="A2300" t="s">
        <v>1268</v>
      </c>
      <c r="B2300" t="s">
        <v>511</v>
      </c>
      <c r="C2300" t="s">
        <v>764</v>
      </c>
      <c r="D2300" t="s">
        <v>1233</v>
      </c>
      <c r="E2300" s="1">
        <v>45874</v>
      </c>
      <c r="F2300" s="1">
        <v>45874</v>
      </c>
      <c r="G2300" s="12">
        <v>19.96</v>
      </c>
      <c r="H2300" s="2">
        <v>0</v>
      </c>
      <c r="I2300" s="2">
        <v>0</v>
      </c>
      <c r="J2300" s="2">
        <v>0</v>
      </c>
      <c r="K2300" s="20">
        <v>19.96</v>
      </c>
      <c r="L2300" t="s">
        <v>794</v>
      </c>
      <c r="M2300">
        <f t="shared" si="35"/>
        <v>2025</v>
      </c>
    </row>
    <row r="2301" spans="1:13" ht="12.75" hidden="1" customHeight="1">
      <c r="A2301" t="s">
        <v>928</v>
      </c>
      <c r="B2301" t="s">
        <v>263</v>
      </c>
      <c r="C2301" t="s">
        <v>140</v>
      </c>
      <c r="D2301" t="s">
        <v>1233</v>
      </c>
      <c r="E2301" s="1">
        <v>45880</v>
      </c>
      <c r="F2301" s="1">
        <v>45880</v>
      </c>
      <c r="G2301" s="12">
        <v>120</v>
      </c>
      <c r="H2301" s="2">
        <v>0</v>
      </c>
      <c r="I2301" s="2">
        <v>0</v>
      </c>
      <c r="J2301" s="2">
        <v>0</v>
      </c>
      <c r="K2301" s="20">
        <v>120</v>
      </c>
      <c r="L2301" t="s">
        <v>794</v>
      </c>
      <c r="M2301">
        <f t="shared" si="35"/>
        <v>2025</v>
      </c>
    </row>
    <row r="2302" spans="1:13" ht="12.75" hidden="1" customHeight="1">
      <c r="A2302" t="s">
        <v>1009</v>
      </c>
      <c r="B2302" t="s">
        <v>62</v>
      </c>
      <c r="C2302" t="s">
        <v>141</v>
      </c>
      <c r="D2302" t="s">
        <v>1233</v>
      </c>
      <c r="E2302" s="1">
        <v>45880</v>
      </c>
      <c r="F2302" s="1">
        <v>45880</v>
      </c>
      <c r="G2302" s="12">
        <v>600</v>
      </c>
      <c r="H2302" s="2">
        <v>0</v>
      </c>
      <c r="I2302" s="2">
        <v>0</v>
      </c>
      <c r="J2302" s="2">
        <v>0</v>
      </c>
      <c r="K2302" s="20">
        <v>600</v>
      </c>
      <c r="L2302" t="s">
        <v>794</v>
      </c>
      <c r="M2302">
        <f t="shared" si="35"/>
        <v>2025</v>
      </c>
    </row>
    <row r="2303" spans="1:13" ht="12.75" hidden="1" customHeight="1">
      <c r="A2303" t="s">
        <v>1173</v>
      </c>
      <c r="B2303" t="s">
        <v>45</v>
      </c>
      <c r="C2303" t="s">
        <v>200</v>
      </c>
      <c r="D2303" t="s">
        <v>1242</v>
      </c>
      <c r="E2303" s="1">
        <v>45910</v>
      </c>
      <c r="F2303" s="1">
        <v>45910</v>
      </c>
      <c r="G2303" s="12">
        <v>1220</v>
      </c>
      <c r="H2303" s="2">
        <v>0</v>
      </c>
      <c r="I2303" s="2">
        <v>0</v>
      </c>
      <c r="J2303" s="2">
        <v>0</v>
      </c>
      <c r="K2303" s="20">
        <v>1220</v>
      </c>
      <c r="L2303" t="s">
        <v>794</v>
      </c>
      <c r="M2303">
        <f t="shared" si="35"/>
        <v>2025</v>
      </c>
    </row>
    <row r="2304" spans="1:13" ht="12.75" hidden="1" customHeight="1">
      <c r="A2304" t="s">
        <v>1176</v>
      </c>
      <c r="B2304" t="s">
        <v>106</v>
      </c>
      <c r="C2304" t="s">
        <v>200</v>
      </c>
      <c r="D2304" t="s">
        <v>1233</v>
      </c>
      <c r="E2304" s="1">
        <v>45881</v>
      </c>
      <c r="F2304" s="1">
        <v>45881</v>
      </c>
      <c r="G2304" s="12">
        <v>400</v>
      </c>
      <c r="H2304" s="2">
        <v>0</v>
      </c>
      <c r="I2304" s="2">
        <v>0</v>
      </c>
      <c r="J2304" s="2">
        <v>0</v>
      </c>
      <c r="K2304" s="20">
        <v>400</v>
      </c>
      <c r="L2304" t="s">
        <v>794</v>
      </c>
      <c r="M2304">
        <f t="shared" si="35"/>
        <v>2025</v>
      </c>
    </row>
    <row r="2305" spans="1:13" ht="12.75" hidden="1" customHeight="1">
      <c r="A2305" t="s">
        <v>888</v>
      </c>
      <c r="B2305" t="s">
        <v>648</v>
      </c>
      <c r="C2305" t="s">
        <v>99</v>
      </c>
      <c r="D2305" t="s">
        <v>1233</v>
      </c>
      <c r="E2305" s="1">
        <v>45881</v>
      </c>
      <c r="F2305" s="1">
        <v>45881</v>
      </c>
      <c r="G2305" s="12">
        <v>17.89</v>
      </c>
      <c r="H2305" s="2">
        <v>0</v>
      </c>
      <c r="I2305" s="2">
        <v>0</v>
      </c>
      <c r="J2305" s="2">
        <v>0</v>
      </c>
      <c r="K2305" s="20">
        <v>17.89</v>
      </c>
      <c r="L2305" t="s">
        <v>794</v>
      </c>
      <c r="M2305">
        <f t="shared" si="35"/>
        <v>2025</v>
      </c>
    </row>
    <row r="2306" spans="1:13" ht="12.75" hidden="1" customHeight="1">
      <c r="A2306" t="s">
        <v>888</v>
      </c>
      <c r="B2306" t="s">
        <v>648</v>
      </c>
      <c r="C2306" t="s">
        <v>99</v>
      </c>
      <c r="D2306" t="s">
        <v>1233</v>
      </c>
      <c r="E2306" s="1">
        <v>45881</v>
      </c>
      <c r="F2306" s="1">
        <v>45881</v>
      </c>
      <c r="G2306" s="12">
        <v>21.8</v>
      </c>
      <c r="H2306" s="2">
        <v>0</v>
      </c>
      <c r="I2306" s="2">
        <v>0</v>
      </c>
      <c r="J2306" s="2">
        <v>0</v>
      </c>
      <c r="K2306" s="20">
        <v>21.8</v>
      </c>
      <c r="L2306" t="s">
        <v>794</v>
      </c>
      <c r="M2306">
        <f t="shared" si="35"/>
        <v>2025</v>
      </c>
    </row>
    <row r="2307" spans="1:13" ht="12.75" hidden="1" customHeight="1">
      <c r="A2307" t="s">
        <v>801</v>
      </c>
      <c r="B2307" t="s">
        <v>13</v>
      </c>
      <c r="C2307" t="s">
        <v>718</v>
      </c>
      <c r="D2307" t="s">
        <v>1118</v>
      </c>
      <c r="E2307" s="1">
        <v>45895</v>
      </c>
      <c r="F2307" s="6">
        <v>45896</v>
      </c>
      <c r="G2307" s="12">
        <v>15100.45</v>
      </c>
      <c r="H2307" s="2">
        <v>0</v>
      </c>
      <c r="I2307" s="2">
        <v>0</v>
      </c>
      <c r="J2307" s="2">
        <v>0</v>
      </c>
      <c r="K2307" s="20">
        <v>15100.45</v>
      </c>
      <c r="L2307" t="s">
        <v>794</v>
      </c>
      <c r="M2307">
        <f t="shared" ref="M2307:M2370" si="36">YEAR(F2307)</f>
        <v>2025</v>
      </c>
    </row>
    <row r="2308" spans="1:13" ht="12.75" hidden="1" customHeight="1">
      <c r="A2308" t="s">
        <v>923</v>
      </c>
      <c r="B2308" t="s">
        <v>673</v>
      </c>
      <c r="C2308" t="s">
        <v>733</v>
      </c>
      <c r="D2308" t="s">
        <v>1242</v>
      </c>
      <c r="E2308" s="1">
        <v>45901</v>
      </c>
      <c r="F2308" s="1">
        <v>45901</v>
      </c>
      <c r="G2308" s="12">
        <v>10.4</v>
      </c>
      <c r="H2308" s="2">
        <v>0</v>
      </c>
      <c r="I2308" s="2">
        <v>0</v>
      </c>
      <c r="J2308" s="2">
        <v>0</v>
      </c>
      <c r="K2308" s="20">
        <v>10.4</v>
      </c>
      <c r="L2308" t="s">
        <v>794</v>
      </c>
      <c r="M2308">
        <f t="shared" si="36"/>
        <v>2025</v>
      </c>
    </row>
    <row r="2309" spans="1:13" ht="12.75" hidden="1" customHeight="1">
      <c r="A2309" t="s">
        <v>1009</v>
      </c>
      <c r="B2309" t="s">
        <v>62</v>
      </c>
      <c r="C2309" t="s">
        <v>141</v>
      </c>
      <c r="D2309" t="s">
        <v>1242</v>
      </c>
      <c r="E2309" s="1">
        <v>45901</v>
      </c>
      <c r="F2309" s="1">
        <v>45901</v>
      </c>
      <c r="G2309" s="12">
        <v>280</v>
      </c>
      <c r="H2309" s="2">
        <v>0</v>
      </c>
      <c r="I2309" s="2">
        <v>0</v>
      </c>
      <c r="J2309" s="2">
        <v>0</v>
      </c>
      <c r="K2309" s="20">
        <v>280</v>
      </c>
      <c r="L2309" t="s">
        <v>794</v>
      </c>
      <c r="M2309">
        <f t="shared" si="36"/>
        <v>2025</v>
      </c>
    </row>
    <row r="2310" spans="1:13" ht="12.75" hidden="1" customHeight="1">
      <c r="A2310" t="s">
        <v>921</v>
      </c>
      <c r="B2310" t="s">
        <v>184</v>
      </c>
      <c r="C2310" t="s">
        <v>483</v>
      </c>
      <c r="D2310" t="s">
        <v>1242</v>
      </c>
      <c r="E2310" s="1">
        <v>45903</v>
      </c>
      <c r="F2310" s="1">
        <v>45903</v>
      </c>
      <c r="G2310" s="12">
        <v>7.05</v>
      </c>
      <c r="H2310" s="2">
        <v>0</v>
      </c>
      <c r="I2310" s="2">
        <v>0</v>
      </c>
      <c r="J2310" s="2">
        <v>0</v>
      </c>
      <c r="K2310" s="20">
        <v>7.05</v>
      </c>
      <c r="L2310" t="s">
        <v>794</v>
      </c>
      <c r="M2310">
        <f t="shared" si="36"/>
        <v>2025</v>
      </c>
    </row>
    <row r="2311" spans="1:13" ht="12.75" hidden="1" customHeight="1">
      <c r="A2311" t="s">
        <v>917</v>
      </c>
      <c r="B2311" t="s">
        <v>456</v>
      </c>
      <c r="C2311" t="s">
        <v>398</v>
      </c>
      <c r="D2311" t="s">
        <v>1242</v>
      </c>
      <c r="E2311" s="1">
        <v>45903</v>
      </c>
      <c r="F2311" s="1">
        <v>45903</v>
      </c>
      <c r="G2311" s="12">
        <v>3</v>
      </c>
      <c r="H2311" s="2">
        <v>0</v>
      </c>
      <c r="I2311" s="2">
        <v>0</v>
      </c>
      <c r="J2311" s="2">
        <v>0</v>
      </c>
      <c r="K2311" s="20">
        <v>3</v>
      </c>
      <c r="L2311" t="s">
        <v>794</v>
      </c>
      <c r="M2311">
        <f t="shared" si="36"/>
        <v>2025</v>
      </c>
    </row>
    <row r="2312" spans="1:13" ht="12.75" hidden="1" customHeight="1">
      <c r="A2312" t="s">
        <v>808</v>
      </c>
      <c r="B2312" t="s">
        <v>154</v>
      </c>
      <c r="C2312" t="s">
        <v>693</v>
      </c>
      <c r="D2312" t="s">
        <v>1242</v>
      </c>
      <c r="E2312" s="1">
        <v>45903</v>
      </c>
      <c r="F2312" s="1">
        <v>45903</v>
      </c>
      <c r="G2312" s="12">
        <v>550</v>
      </c>
      <c r="H2312" s="2">
        <v>0</v>
      </c>
      <c r="I2312" s="2">
        <v>0</v>
      </c>
      <c r="J2312" s="2">
        <v>0</v>
      </c>
      <c r="K2312" s="20">
        <v>550</v>
      </c>
      <c r="L2312" t="s">
        <v>794</v>
      </c>
      <c r="M2312">
        <f t="shared" si="36"/>
        <v>2025</v>
      </c>
    </row>
    <row r="2313" spans="1:13" ht="12.75" hidden="1" customHeight="1">
      <c r="A2313" t="s">
        <v>1101</v>
      </c>
      <c r="B2313" t="s">
        <v>584</v>
      </c>
      <c r="C2313" t="s">
        <v>646</v>
      </c>
      <c r="D2313" t="s">
        <v>1242</v>
      </c>
      <c r="E2313" s="1">
        <v>45903</v>
      </c>
      <c r="F2313" s="1">
        <v>45903</v>
      </c>
      <c r="G2313" s="12">
        <v>55.7</v>
      </c>
      <c r="H2313" s="2">
        <v>0</v>
      </c>
      <c r="I2313" s="2">
        <v>0</v>
      </c>
      <c r="J2313" s="2">
        <v>0</v>
      </c>
      <c r="K2313" s="20">
        <v>55.7</v>
      </c>
      <c r="L2313" t="s">
        <v>794</v>
      </c>
      <c r="M2313">
        <f t="shared" si="36"/>
        <v>2025</v>
      </c>
    </row>
    <row r="2314" spans="1:13" ht="12.75" hidden="1" customHeight="1">
      <c r="A2314" t="s">
        <v>1269</v>
      </c>
      <c r="B2314" t="s">
        <v>346</v>
      </c>
      <c r="C2314" t="s">
        <v>729</v>
      </c>
      <c r="D2314" t="s">
        <v>1242</v>
      </c>
      <c r="E2314" s="1">
        <v>45904</v>
      </c>
      <c r="F2314" s="1">
        <v>45904</v>
      </c>
      <c r="G2314" s="12">
        <v>800</v>
      </c>
      <c r="H2314" s="2">
        <v>0</v>
      </c>
      <c r="I2314" s="2">
        <v>0</v>
      </c>
      <c r="J2314" s="2">
        <v>0</v>
      </c>
      <c r="K2314" s="20">
        <v>800</v>
      </c>
      <c r="L2314" t="s">
        <v>794</v>
      </c>
      <c r="M2314">
        <f t="shared" si="36"/>
        <v>2025</v>
      </c>
    </row>
    <row r="2315" spans="1:13" ht="12.75" hidden="1" customHeight="1">
      <c r="A2315" t="s">
        <v>899</v>
      </c>
      <c r="B2315" t="s">
        <v>559</v>
      </c>
      <c r="C2315" t="s">
        <v>710</v>
      </c>
      <c r="D2315" t="s">
        <v>1242</v>
      </c>
      <c r="E2315" s="1">
        <v>45904</v>
      </c>
      <c r="F2315" s="1">
        <v>45904</v>
      </c>
      <c r="G2315" s="12">
        <v>20</v>
      </c>
      <c r="H2315" s="2">
        <v>0</v>
      </c>
      <c r="I2315" s="2">
        <v>0</v>
      </c>
      <c r="J2315" s="2">
        <v>0</v>
      </c>
      <c r="K2315" s="20">
        <v>20</v>
      </c>
      <c r="L2315" t="s">
        <v>794</v>
      </c>
      <c r="M2315">
        <f t="shared" si="36"/>
        <v>2025</v>
      </c>
    </row>
    <row r="2316" spans="1:13" ht="12.75" hidden="1" customHeight="1">
      <c r="A2316" t="s">
        <v>981</v>
      </c>
      <c r="B2316" t="s">
        <v>55</v>
      </c>
      <c r="C2316" t="s">
        <v>99</v>
      </c>
      <c r="D2316" t="s">
        <v>1242</v>
      </c>
      <c r="E2316" s="1">
        <v>45905</v>
      </c>
      <c r="F2316" s="1">
        <v>45905</v>
      </c>
      <c r="G2316" s="12">
        <v>700</v>
      </c>
      <c r="H2316" s="2">
        <v>0</v>
      </c>
      <c r="I2316" s="2">
        <v>0</v>
      </c>
      <c r="J2316" s="2">
        <v>0</v>
      </c>
      <c r="K2316" s="20">
        <v>700</v>
      </c>
      <c r="L2316" t="s">
        <v>794</v>
      </c>
      <c r="M2316">
        <f t="shared" si="36"/>
        <v>2025</v>
      </c>
    </row>
    <row r="2317" spans="1:13" ht="12.75" hidden="1" customHeight="1">
      <c r="A2317" t="s">
        <v>1009</v>
      </c>
      <c r="B2317" t="s">
        <v>62</v>
      </c>
      <c r="C2317" t="s">
        <v>137</v>
      </c>
      <c r="D2317" t="s">
        <v>1242</v>
      </c>
      <c r="E2317" s="1">
        <v>45905</v>
      </c>
      <c r="F2317" s="1">
        <v>45905</v>
      </c>
      <c r="G2317" s="12">
        <v>1619</v>
      </c>
      <c r="H2317" s="2">
        <v>0</v>
      </c>
      <c r="I2317" s="2">
        <v>0</v>
      </c>
      <c r="J2317" s="2">
        <v>0</v>
      </c>
      <c r="K2317" s="20">
        <v>1619</v>
      </c>
      <c r="L2317" t="s">
        <v>794</v>
      </c>
      <c r="M2317">
        <f t="shared" si="36"/>
        <v>2025</v>
      </c>
    </row>
    <row r="2318" spans="1:13" ht="12.75" hidden="1" customHeight="1">
      <c r="A2318" t="s">
        <v>811</v>
      </c>
      <c r="B2318" t="s">
        <v>39</v>
      </c>
      <c r="C2318" t="s">
        <v>141</v>
      </c>
      <c r="D2318" t="s">
        <v>1242</v>
      </c>
      <c r="E2318" s="1">
        <v>45908</v>
      </c>
      <c r="F2318" s="1">
        <v>45908</v>
      </c>
      <c r="G2318" s="12">
        <v>182</v>
      </c>
      <c r="H2318" s="2">
        <v>0</v>
      </c>
      <c r="I2318" s="2">
        <v>0</v>
      </c>
      <c r="J2318" s="2">
        <v>0</v>
      </c>
      <c r="K2318" s="20">
        <v>182</v>
      </c>
      <c r="L2318" t="s">
        <v>794</v>
      </c>
      <c r="M2318">
        <f t="shared" si="36"/>
        <v>2025</v>
      </c>
    </row>
    <row r="2319" spans="1:13" ht="12.75" hidden="1" customHeight="1">
      <c r="A2319" t="s">
        <v>1181</v>
      </c>
      <c r="B2319" t="s">
        <v>75</v>
      </c>
      <c r="C2319" t="s">
        <v>141</v>
      </c>
      <c r="D2319" t="s">
        <v>1242</v>
      </c>
      <c r="E2319" s="1">
        <v>45908</v>
      </c>
      <c r="F2319" s="1">
        <v>45908</v>
      </c>
      <c r="G2319" s="12">
        <v>176</v>
      </c>
      <c r="H2319" s="2">
        <v>0</v>
      </c>
      <c r="I2319" s="2">
        <v>0</v>
      </c>
      <c r="J2319" s="2">
        <v>0</v>
      </c>
      <c r="K2319" s="20">
        <v>176</v>
      </c>
      <c r="L2319" t="s">
        <v>794</v>
      </c>
      <c r="M2319">
        <f t="shared" si="36"/>
        <v>2025</v>
      </c>
    </row>
    <row r="2320" spans="1:13" ht="12.75" hidden="1" customHeight="1">
      <c r="A2320" t="s">
        <v>810</v>
      </c>
      <c r="B2320" t="s">
        <v>54</v>
      </c>
      <c r="C2320" t="s">
        <v>141</v>
      </c>
      <c r="D2320" t="s">
        <v>1242</v>
      </c>
      <c r="E2320" s="1">
        <v>45908</v>
      </c>
      <c r="F2320" s="1">
        <v>45908</v>
      </c>
      <c r="G2320" s="12">
        <v>40</v>
      </c>
      <c r="H2320" s="2">
        <v>0</v>
      </c>
      <c r="I2320" s="2">
        <v>0</v>
      </c>
      <c r="J2320" s="2">
        <v>0</v>
      </c>
      <c r="K2320" s="20">
        <v>40</v>
      </c>
      <c r="L2320" t="s">
        <v>794</v>
      </c>
      <c r="M2320">
        <f t="shared" si="36"/>
        <v>2025</v>
      </c>
    </row>
    <row r="2321" spans="1:13" ht="12.75" hidden="1" customHeight="1">
      <c r="A2321" t="s">
        <v>1009</v>
      </c>
      <c r="B2321" t="s">
        <v>62</v>
      </c>
      <c r="C2321" t="s">
        <v>141</v>
      </c>
      <c r="D2321" t="s">
        <v>1242</v>
      </c>
      <c r="E2321" s="1">
        <v>45908</v>
      </c>
      <c r="F2321" s="1">
        <v>45908</v>
      </c>
      <c r="G2321" s="12">
        <v>272</v>
      </c>
      <c r="H2321" s="2">
        <v>0</v>
      </c>
      <c r="I2321" s="2">
        <v>0</v>
      </c>
      <c r="J2321" s="2">
        <v>0</v>
      </c>
      <c r="K2321" s="20">
        <v>272</v>
      </c>
      <c r="L2321" t="s">
        <v>794</v>
      </c>
      <c r="M2321">
        <f t="shared" si="36"/>
        <v>2025</v>
      </c>
    </row>
    <row r="2322" spans="1:13" ht="12.75" hidden="1" customHeight="1">
      <c r="A2322" t="s">
        <v>818</v>
      </c>
      <c r="B2322" t="s">
        <v>30</v>
      </c>
      <c r="C2322" t="s">
        <v>141</v>
      </c>
      <c r="D2322" t="s">
        <v>1242</v>
      </c>
      <c r="E2322" s="1">
        <v>45908</v>
      </c>
      <c r="F2322" s="1">
        <v>45908</v>
      </c>
      <c r="G2322" s="12">
        <v>80</v>
      </c>
      <c r="H2322" s="2">
        <v>0</v>
      </c>
      <c r="I2322" s="2">
        <v>0</v>
      </c>
      <c r="J2322" s="2">
        <v>0</v>
      </c>
      <c r="K2322" s="20">
        <v>80</v>
      </c>
      <c r="L2322" t="s">
        <v>794</v>
      </c>
      <c r="M2322">
        <f t="shared" si="36"/>
        <v>2025</v>
      </c>
    </row>
    <row r="2323" spans="1:13" ht="12.75" hidden="1" customHeight="1">
      <c r="A2323" t="s">
        <v>921</v>
      </c>
      <c r="B2323" t="s">
        <v>184</v>
      </c>
      <c r="C2323" t="s">
        <v>483</v>
      </c>
      <c r="D2323" t="s">
        <v>1242</v>
      </c>
      <c r="E2323" s="1">
        <v>45909</v>
      </c>
      <c r="F2323" s="1">
        <v>45909</v>
      </c>
      <c r="G2323" s="12">
        <v>91.960000000000008</v>
      </c>
      <c r="H2323" s="2">
        <v>0</v>
      </c>
      <c r="I2323" s="2">
        <v>0</v>
      </c>
      <c r="J2323" s="2">
        <v>0</v>
      </c>
      <c r="K2323" s="20">
        <v>91.960000000000008</v>
      </c>
      <c r="L2323" t="s">
        <v>794</v>
      </c>
      <c r="M2323">
        <f t="shared" si="36"/>
        <v>2025</v>
      </c>
    </row>
    <row r="2324" spans="1:13" ht="12.75" hidden="1" customHeight="1">
      <c r="A2324" t="s">
        <v>907</v>
      </c>
      <c r="B2324" t="s">
        <v>291</v>
      </c>
      <c r="C2324" t="s">
        <v>681</v>
      </c>
      <c r="D2324" t="s">
        <v>1242</v>
      </c>
      <c r="E2324" s="1">
        <v>45909</v>
      </c>
      <c r="F2324" s="1">
        <v>45909</v>
      </c>
      <c r="G2324" s="12">
        <v>57.6</v>
      </c>
      <c r="H2324" s="2">
        <v>0</v>
      </c>
      <c r="I2324" s="2">
        <v>0</v>
      </c>
      <c r="J2324" s="2">
        <v>0</v>
      </c>
      <c r="K2324" s="20">
        <v>57.6</v>
      </c>
      <c r="L2324" t="s">
        <v>794</v>
      </c>
      <c r="M2324">
        <f t="shared" si="36"/>
        <v>2025</v>
      </c>
    </row>
    <row r="2325" spans="1:13" ht="12.75" hidden="1" customHeight="1">
      <c r="A2325" t="s">
        <v>907</v>
      </c>
      <c r="B2325" t="s">
        <v>291</v>
      </c>
      <c r="C2325" t="s">
        <v>749</v>
      </c>
      <c r="D2325" t="s">
        <v>1242</v>
      </c>
      <c r="E2325" s="1">
        <v>45909</v>
      </c>
      <c r="F2325" s="1">
        <v>45909</v>
      </c>
      <c r="G2325" s="12">
        <v>7.05</v>
      </c>
      <c r="H2325" s="2">
        <v>0</v>
      </c>
      <c r="I2325" s="2">
        <v>0</v>
      </c>
      <c r="J2325" s="2">
        <v>0</v>
      </c>
      <c r="K2325" s="20">
        <v>7.05</v>
      </c>
      <c r="L2325" t="s">
        <v>794</v>
      </c>
      <c r="M2325">
        <f t="shared" si="36"/>
        <v>2025</v>
      </c>
    </row>
    <row r="2326" spans="1:13" ht="12.75" hidden="1" customHeight="1">
      <c r="A2326" t="s">
        <v>1121</v>
      </c>
      <c r="B2326" t="s">
        <v>295</v>
      </c>
      <c r="C2326" t="s">
        <v>142</v>
      </c>
      <c r="D2326" t="s">
        <v>1242</v>
      </c>
      <c r="E2326" s="1">
        <v>45909</v>
      </c>
      <c r="F2326" s="1">
        <v>45909</v>
      </c>
      <c r="G2326" s="12">
        <v>35</v>
      </c>
      <c r="H2326" s="2">
        <v>0</v>
      </c>
      <c r="I2326" s="2">
        <v>0</v>
      </c>
      <c r="J2326" s="2">
        <v>0</v>
      </c>
      <c r="K2326" s="20">
        <v>35</v>
      </c>
      <c r="L2326" t="s">
        <v>794</v>
      </c>
      <c r="M2326">
        <f t="shared" si="36"/>
        <v>2025</v>
      </c>
    </row>
    <row r="2327" spans="1:13" ht="12.75" hidden="1" customHeight="1">
      <c r="A2327" t="s">
        <v>1270</v>
      </c>
      <c r="B2327" t="s">
        <v>651</v>
      </c>
      <c r="C2327" t="s">
        <v>398</v>
      </c>
      <c r="D2327" t="s">
        <v>1242</v>
      </c>
      <c r="E2327" s="1">
        <v>45909</v>
      </c>
      <c r="F2327" s="1">
        <v>45909</v>
      </c>
      <c r="G2327" s="12">
        <v>38</v>
      </c>
      <c r="H2327" s="2">
        <v>0</v>
      </c>
      <c r="I2327" s="2">
        <v>0</v>
      </c>
      <c r="J2327" s="2">
        <v>0</v>
      </c>
      <c r="K2327" s="20">
        <v>38</v>
      </c>
      <c r="L2327" t="s">
        <v>794</v>
      </c>
      <c r="M2327">
        <f t="shared" si="36"/>
        <v>2025</v>
      </c>
    </row>
    <row r="2328" spans="1:13" ht="12.75" hidden="1" customHeight="1">
      <c r="A2328" t="s">
        <v>818</v>
      </c>
      <c r="B2328" t="s">
        <v>30</v>
      </c>
      <c r="C2328" t="s">
        <v>141</v>
      </c>
      <c r="D2328" t="s">
        <v>1242</v>
      </c>
      <c r="E2328" s="1">
        <v>45909</v>
      </c>
      <c r="F2328" s="1">
        <v>45909</v>
      </c>
      <c r="G2328" s="12">
        <v>120</v>
      </c>
      <c r="H2328" s="2">
        <v>0</v>
      </c>
      <c r="I2328" s="2">
        <v>0</v>
      </c>
      <c r="J2328" s="2">
        <v>0</v>
      </c>
      <c r="K2328" s="20">
        <v>120</v>
      </c>
      <c r="L2328" t="s">
        <v>794</v>
      </c>
      <c r="M2328">
        <f t="shared" si="36"/>
        <v>2025</v>
      </c>
    </row>
    <row r="2329" spans="1:13" ht="12.75" hidden="1" customHeight="1">
      <c r="A2329" t="s">
        <v>1188</v>
      </c>
      <c r="B2329" t="s">
        <v>410</v>
      </c>
      <c r="C2329" t="s">
        <v>778</v>
      </c>
      <c r="D2329" t="s">
        <v>1242</v>
      </c>
      <c r="E2329" s="1">
        <v>45910</v>
      </c>
      <c r="F2329" s="1">
        <v>45910</v>
      </c>
      <c r="G2329" s="12">
        <v>21.8</v>
      </c>
      <c r="H2329" s="2">
        <v>0</v>
      </c>
      <c r="I2329" s="2">
        <v>0</v>
      </c>
      <c r="J2329" s="2">
        <v>0</v>
      </c>
      <c r="K2329" s="20">
        <v>21.8</v>
      </c>
      <c r="L2329" t="s">
        <v>794</v>
      </c>
      <c r="M2329">
        <f t="shared" si="36"/>
        <v>2025</v>
      </c>
    </row>
    <row r="2330" spans="1:13" ht="12.75" hidden="1" customHeight="1">
      <c r="A2330" t="s">
        <v>1271</v>
      </c>
      <c r="B2330" t="s">
        <v>687</v>
      </c>
      <c r="C2330" t="s">
        <v>759</v>
      </c>
      <c r="D2330" t="s">
        <v>1242</v>
      </c>
      <c r="E2330" s="1">
        <v>45910</v>
      </c>
      <c r="F2330" s="1">
        <v>45910</v>
      </c>
      <c r="G2330" s="12">
        <v>16</v>
      </c>
      <c r="H2330" s="2">
        <v>0</v>
      </c>
      <c r="I2330" s="2">
        <v>0</v>
      </c>
      <c r="J2330" s="2">
        <v>0</v>
      </c>
      <c r="K2330" s="20">
        <v>16</v>
      </c>
      <c r="L2330" t="s">
        <v>794</v>
      </c>
      <c r="M2330">
        <f t="shared" si="36"/>
        <v>2025</v>
      </c>
    </row>
    <row r="2331" spans="1:13" ht="12.75" hidden="1" customHeight="1">
      <c r="A2331" t="s">
        <v>1117</v>
      </c>
      <c r="B2331" t="s">
        <v>428</v>
      </c>
      <c r="C2331" t="s">
        <v>710</v>
      </c>
      <c r="D2331" t="s">
        <v>1242</v>
      </c>
      <c r="E2331" s="1">
        <v>45910</v>
      </c>
      <c r="F2331" s="1">
        <v>45910</v>
      </c>
      <c r="G2331" s="12">
        <v>24</v>
      </c>
      <c r="H2331" s="2">
        <v>0</v>
      </c>
      <c r="I2331" s="2">
        <v>0</v>
      </c>
      <c r="J2331" s="2">
        <v>0</v>
      </c>
      <c r="K2331" s="20">
        <v>24</v>
      </c>
      <c r="L2331" t="s">
        <v>794</v>
      </c>
      <c r="M2331">
        <f t="shared" si="36"/>
        <v>2025</v>
      </c>
    </row>
    <row r="2332" spans="1:13" ht="12.75" hidden="1" customHeight="1">
      <c r="A2332" t="s">
        <v>1272</v>
      </c>
      <c r="B2332" t="s">
        <v>132</v>
      </c>
      <c r="C2332" t="s">
        <v>140</v>
      </c>
      <c r="D2332" t="s">
        <v>1242</v>
      </c>
      <c r="E2332" s="1">
        <v>45910</v>
      </c>
      <c r="F2332" s="1">
        <v>45910</v>
      </c>
      <c r="G2332" s="12">
        <v>150</v>
      </c>
      <c r="H2332" s="2">
        <v>0</v>
      </c>
      <c r="I2332" s="2">
        <v>0</v>
      </c>
      <c r="J2332" s="2">
        <v>0</v>
      </c>
      <c r="K2332" s="20">
        <v>150</v>
      </c>
      <c r="L2332" t="s">
        <v>794</v>
      </c>
      <c r="M2332">
        <f t="shared" si="36"/>
        <v>2025</v>
      </c>
    </row>
    <row r="2333" spans="1:13" ht="12.75" hidden="1" customHeight="1">
      <c r="A2333" t="s">
        <v>1273</v>
      </c>
      <c r="B2333" t="s">
        <v>443</v>
      </c>
      <c r="C2333" t="s">
        <v>483</v>
      </c>
      <c r="D2333" t="s">
        <v>1242</v>
      </c>
      <c r="E2333" s="1">
        <v>45910</v>
      </c>
      <c r="F2333" s="1">
        <v>45910</v>
      </c>
      <c r="G2333" s="12">
        <v>79.960000000000008</v>
      </c>
      <c r="H2333" s="2">
        <v>0</v>
      </c>
      <c r="I2333" s="2">
        <v>0</v>
      </c>
      <c r="J2333" s="2">
        <v>0</v>
      </c>
      <c r="K2333" s="20">
        <v>79.960000000000008</v>
      </c>
      <c r="L2333" t="s">
        <v>794</v>
      </c>
      <c r="M2333">
        <f t="shared" si="36"/>
        <v>2025</v>
      </c>
    </row>
    <row r="2334" spans="1:13" ht="12.75" hidden="1" customHeight="1">
      <c r="A2334" t="s">
        <v>1274</v>
      </c>
      <c r="B2334" t="s">
        <v>380</v>
      </c>
      <c r="C2334" t="s">
        <v>483</v>
      </c>
      <c r="D2334" t="s">
        <v>1242</v>
      </c>
      <c r="E2334" s="1">
        <v>45910</v>
      </c>
      <c r="F2334" s="1">
        <v>45910</v>
      </c>
      <c r="G2334" s="12">
        <v>93.54</v>
      </c>
      <c r="H2334" s="2">
        <v>0</v>
      </c>
      <c r="I2334" s="2">
        <v>0</v>
      </c>
      <c r="J2334" s="2">
        <v>0</v>
      </c>
      <c r="K2334" s="20">
        <v>93.54</v>
      </c>
      <c r="L2334" t="s">
        <v>794</v>
      </c>
      <c r="M2334">
        <f t="shared" si="36"/>
        <v>2025</v>
      </c>
    </row>
    <row r="2335" spans="1:13" ht="12.75" hidden="1" customHeight="1">
      <c r="A2335" t="s">
        <v>1274</v>
      </c>
      <c r="B2335" t="s">
        <v>380</v>
      </c>
      <c r="C2335" t="s">
        <v>483</v>
      </c>
      <c r="D2335" t="s">
        <v>1242</v>
      </c>
      <c r="E2335" s="1">
        <v>45910</v>
      </c>
      <c r="F2335" s="1">
        <v>45910</v>
      </c>
      <c r="G2335" s="12">
        <v>0.24</v>
      </c>
      <c r="H2335" s="2">
        <v>0</v>
      </c>
      <c r="I2335" s="2">
        <v>0</v>
      </c>
      <c r="J2335" s="2">
        <v>0</v>
      </c>
      <c r="K2335" s="20">
        <v>0.24</v>
      </c>
      <c r="L2335" t="s">
        <v>794</v>
      </c>
      <c r="M2335">
        <f t="shared" si="36"/>
        <v>2025</v>
      </c>
    </row>
    <row r="2336" spans="1:13" ht="12.75" hidden="1" customHeight="1">
      <c r="A2336" t="s">
        <v>896</v>
      </c>
      <c r="B2336" t="s">
        <v>293</v>
      </c>
      <c r="C2336" t="s">
        <v>733</v>
      </c>
      <c r="D2336" t="s">
        <v>1233</v>
      </c>
      <c r="E2336" s="1">
        <v>45878</v>
      </c>
      <c r="F2336" s="1">
        <v>45910</v>
      </c>
      <c r="G2336" s="12">
        <v>49.93</v>
      </c>
      <c r="H2336" s="2">
        <v>0</v>
      </c>
      <c r="I2336" s="2">
        <v>0</v>
      </c>
      <c r="J2336" s="2">
        <v>0</v>
      </c>
      <c r="K2336" s="20">
        <v>49.93</v>
      </c>
      <c r="L2336" t="s">
        <v>794</v>
      </c>
      <c r="M2336">
        <f t="shared" si="36"/>
        <v>2025</v>
      </c>
    </row>
    <row r="2337" spans="1:13" ht="12.75" hidden="1" customHeight="1">
      <c r="A2337" t="s">
        <v>896</v>
      </c>
      <c r="B2337" t="s">
        <v>293</v>
      </c>
      <c r="C2337" t="s">
        <v>733</v>
      </c>
      <c r="D2337" t="s">
        <v>1242</v>
      </c>
      <c r="E2337" s="1">
        <v>45910</v>
      </c>
      <c r="F2337" s="1">
        <v>45910</v>
      </c>
      <c r="G2337" s="12">
        <v>40.83</v>
      </c>
      <c r="H2337" s="2">
        <v>0</v>
      </c>
      <c r="I2337" s="2">
        <v>0</v>
      </c>
      <c r="J2337" s="2">
        <v>0</v>
      </c>
      <c r="K2337" s="20">
        <v>40.83</v>
      </c>
      <c r="L2337" t="s">
        <v>794</v>
      </c>
      <c r="M2337">
        <f t="shared" si="36"/>
        <v>2025</v>
      </c>
    </row>
    <row r="2338" spans="1:13" ht="12.75" hidden="1" customHeight="1">
      <c r="A2338" t="s">
        <v>833</v>
      </c>
      <c r="B2338" t="s">
        <v>27</v>
      </c>
      <c r="C2338" t="s">
        <v>483</v>
      </c>
      <c r="D2338" t="s">
        <v>1242</v>
      </c>
      <c r="E2338" s="1">
        <v>45910</v>
      </c>
      <c r="F2338" s="1">
        <v>45910</v>
      </c>
      <c r="G2338" s="12">
        <v>55</v>
      </c>
      <c r="H2338" s="2">
        <v>0</v>
      </c>
      <c r="I2338" s="2">
        <v>0</v>
      </c>
      <c r="J2338" s="2">
        <v>0</v>
      </c>
      <c r="K2338" s="20">
        <v>55</v>
      </c>
      <c r="L2338" t="s">
        <v>794</v>
      </c>
      <c r="M2338">
        <f t="shared" si="36"/>
        <v>2025</v>
      </c>
    </row>
    <row r="2339" spans="1:13" ht="12.75" hidden="1" customHeight="1">
      <c r="A2339" t="s">
        <v>1112</v>
      </c>
      <c r="B2339" t="s">
        <v>68</v>
      </c>
      <c r="C2339" t="s">
        <v>141</v>
      </c>
      <c r="D2339" t="s">
        <v>1242</v>
      </c>
      <c r="E2339" s="1">
        <v>45910</v>
      </c>
      <c r="F2339" s="1">
        <v>45910</v>
      </c>
      <c r="G2339" s="12">
        <v>100</v>
      </c>
      <c r="H2339" s="2">
        <v>0</v>
      </c>
      <c r="I2339" s="2">
        <v>0</v>
      </c>
      <c r="J2339" s="2">
        <v>0</v>
      </c>
      <c r="K2339" s="20">
        <v>100</v>
      </c>
      <c r="L2339" t="s">
        <v>794</v>
      </c>
      <c r="M2339">
        <f t="shared" si="36"/>
        <v>2025</v>
      </c>
    </row>
    <row r="2340" spans="1:13" ht="12.75" hidden="1" customHeight="1">
      <c r="A2340" t="s">
        <v>819</v>
      </c>
      <c r="B2340" t="s">
        <v>38</v>
      </c>
      <c r="C2340" t="s">
        <v>141</v>
      </c>
      <c r="D2340" t="s">
        <v>1242</v>
      </c>
      <c r="E2340" s="1">
        <v>45910</v>
      </c>
      <c r="F2340" s="1">
        <v>45910</v>
      </c>
      <c r="G2340" s="12">
        <v>150</v>
      </c>
      <c r="H2340" s="2">
        <v>0</v>
      </c>
      <c r="I2340" s="2">
        <v>0</v>
      </c>
      <c r="J2340" s="2">
        <v>0</v>
      </c>
      <c r="K2340" s="20">
        <v>150</v>
      </c>
      <c r="L2340" t="s">
        <v>794</v>
      </c>
      <c r="M2340">
        <f t="shared" si="36"/>
        <v>2025</v>
      </c>
    </row>
    <row r="2341" spans="1:13" ht="12.75" hidden="1" customHeight="1">
      <c r="A2341" t="s">
        <v>1196</v>
      </c>
      <c r="B2341" t="s">
        <v>1197</v>
      </c>
      <c r="C2341" t="s">
        <v>141</v>
      </c>
      <c r="D2341" t="s">
        <v>1242</v>
      </c>
      <c r="E2341" s="1">
        <v>45910</v>
      </c>
      <c r="F2341" s="1">
        <v>45910</v>
      </c>
      <c r="G2341" s="12">
        <v>250</v>
      </c>
      <c r="H2341" s="2">
        <v>0</v>
      </c>
      <c r="I2341" s="2">
        <v>0</v>
      </c>
      <c r="J2341" s="2">
        <v>0</v>
      </c>
      <c r="K2341" s="20">
        <v>250</v>
      </c>
      <c r="L2341" t="s">
        <v>794</v>
      </c>
      <c r="M2341">
        <f t="shared" si="36"/>
        <v>2025</v>
      </c>
    </row>
    <row r="2342" spans="1:13" ht="12.75" hidden="1" customHeight="1">
      <c r="A2342" t="s">
        <v>1009</v>
      </c>
      <c r="B2342" t="s">
        <v>62</v>
      </c>
      <c r="C2342" t="s">
        <v>141</v>
      </c>
      <c r="D2342" t="s">
        <v>1242</v>
      </c>
      <c r="E2342" s="1">
        <v>45910</v>
      </c>
      <c r="F2342" s="1">
        <v>45910</v>
      </c>
      <c r="G2342" s="12">
        <v>640</v>
      </c>
      <c r="H2342" s="2">
        <v>0</v>
      </c>
      <c r="I2342" s="2">
        <v>0</v>
      </c>
      <c r="J2342" s="2">
        <v>0</v>
      </c>
      <c r="K2342" s="20">
        <v>640</v>
      </c>
      <c r="L2342" t="s">
        <v>794</v>
      </c>
      <c r="M2342">
        <f t="shared" si="36"/>
        <v>2025</v>
      </c>
    </row>
    <row r="2343" spans="1:13" ht="12.75" hidden="1" customHeight="1">
      <c r="A2343" t="s">
        <v>818</v>
      </c>
      <c r="B2343" t="s">
        <v>30</v>
      </c>
      <c r="C2343" t="s">
        <v>141</v>
      </c>
      <c r="D2343" t="s">
        <v>1242</v>
      </c>
      <c r="E2343" s="1">
        <v>45910</v>
      </c>
      <c r="F2343" s="1">
        <v>45910</v>
      </c>
      <c r="G2343" s="12">
        <v>720</v>
      </c>
      <c r="H2343" s="2">
        <v>0</v>
      </c>
      <c r="I2343" s="2">
        <v>0</v>
      </c>
      <c r="J2343" s="2">
        <v>0</v>
      </c>
      <c r="K2343" s="20">
        <v>720</v>
      </c>
      <c r="L2343" t="s">
        <v>794</v>
      </c>
      <c r="M2343">
        <f t="shared" si="36"/>
        <v>2025</v>
      </c>
    </row>
    <row r="2344" spans="1:13" ht="12.75" hidden="1" customHeight="1">
      <c r="A2344" t="s">
        <v>810</v>
      </c>
      <c r="B2344" t="s">
        <v>54</v>
      </c>
      <c r="C2344" t="s">
        <v>141</v>
      </c>
      <c r="D2344" t="s">
        <v>1242</v>
      </c>
      <c r="E2344" s="1">
        <v>45910</v>
      </c>
      <c r="F2344" s="1">
        <v>45910</v>
      </c>
      <c r="G2344" s="12">
        <v>320</v>
      </c>
      <c r="H2344" s="2">
        <v>0</v>
      </c>
      <c r="I2344" s="2">
        <v>0</v>
      </c>
      <c r="J2344" s="2">
        <v>0</v>
      </c>
      <c r="K2344" s="20">
        <v>320</v>
      </c>
      <c r="L2344" t="s">
        <v>794</v>
      </c>
      <c r="M2344">
        <f t="shared" si="36"/>
        <v>2025</v>
      </c>
    </row>
    <row r="2345" spans="1:13" ht="12.75" hidden="1" customHeight="1">
      <c r="A2345" t="s">
        <v>1181</v>
      </c>
      <c r="B2345" t="s">
        <v>75</v>
      </c>
      <c r="C2345" t="s">
        <v>141</v>
      </c>
      <c r="D2345" t="s">
        <v>1242</v>
      </c>
      <c r="E2345" s="1">
        <v>45910</v>
      </c>
      <c r="F2345" s="1">
        <v>45910</v>
      </c>
      <c r="G2345" s="12">
        <v>520</v>
      </c>
      <c r="H2345" s="2">
        <v>0</v>
      </c>
      <c r="I2345" s="2">
        <v>0</v>
      </c>
      <c r="J2345" s="2">
        <v>0</v>
      </c>
      <c r="K2345" s="20">
        <v>520</v>
      </c>
      <c r="L2345" t="s">
        <v>794</v>
      </c>
      <c r="M2345">
        <f t="shared" si="36"/>
        <v>2025</v>
      </c>
    </row>
    <row r="2346" spans="1:13" ht="12.75" hidden="1" customHeight="1">
      <c r="A2346" t="s">
        <v>811</v>
      </c>
      <c r="B2346" t="s">
        <v>39</v>
      </c>
      <c r="C2346" t="s">
        <v>141</v>
      </c>
      <c r="D2346" t="s">
        <v>1242</v>
      </c>
      <c r="E2346" s="1">
        <v>45910</v>
      </c>
      <c r="F2346" s="1">
        <v>45910</v>
      </c>
      <c r="G2346" s="12">
        <v>600</v>
      </c>
      <c r="H2346" s="2">
        <v>0</v>
      </c>
      <c r="I2346" s="2">
        <v>0</v>
      </c>
      <c r="J2346" s="2">
        <v>0</v>
      </c>
      <c r="K2346" s="20">
        <v>600</v>
      </c>
      <c r="L2346" t="s">
        <v>794</v>
      </c>
      <c r="M2346">
        <f t="shared" si="36"/>
        <v>2025</v>
      </c>
    </row>
    <row r="2347" spans="1:13" ht="12.75" hidden="1" customHeight="1">
      <c r="A2347" t="s">
        <v>836</v>
      </c>
      <c r="B2347" t="s">
        <v>37</v>
      </c>
      <c r="C2347" t="s">
        <v>141</v>
      </c>
      <c r="D2347" t="s">
        <v>1242</v>
      </c>
      <c r="E2347" s="1">
        <v>45910</v>
      </c>
      <c r="F2347" s="1">
        <v>45910</v>
      </c>
      <c r="G2347" s="12">
        <v>200</v>
      </c>
      <c r="H2347" s="2">
        <v>0</v>
      </c>
      <c r="I2347" s="2">
        <v>0</v>
      </c>
      <c r="J2347" s="2">
        <v>0</v>
      </c>
      <c r="K2347" s="20">
        <v>200</v>
      </c>
      <c r="L2347" t="s">
        <v>794</v>
      </c>
      <c r="M2347">
        <f t="shared" si="36"/>
        <v>2025</v>
      </c>
    </row>
    <row r="2348" spans="1:13" ht="12.75" hidden="1" customHeight="1">
      <c r="A2348" t="s">
        <v>1239</v>
      </c>
      <c r="B2348" t="s">
        <v>224</v>
      </c>
      <c r="C2348" t="s">
        <v>141</v>
      </c>
      <c r="D2348" t="s">
        <v>1242</v>
      </c>
      <c r="E2348" s="1">
        <v>45910</v>
      </c>
      <c r="F2348" s="1">
        <v>45910</v>
      </c>
      <c r="G2348" s="12">
        <v>70</v>
      </c>
      <c r="H2348" s="2">
        <v>0</v>
      </c>
      <c r="I2348" s="2">
        <v>0</v>
      </c>
      <c r="J2348" s="2">
        <v>0</v>
      </c>
      <c r="K2348" s="20">
        <v>70</v>
      </c>
      <c r="L2348" t="s">
        <v>794</v>
      </c>
      <c r="M2348">
        <f t="shared" si="36"/>
        <v>2025</v>
      </c>
    </row>
    <row r="2349" spans="1:13" ht="12.75" hidden="1" customHeight="1">
      <c r="A2349" t="s">
        <v>1240</v>
      </c>
      <c r="B2349" t="s">
        <v>263</v>
      </c>
      <c r="C2349" t="s">
        <v>141</v>
      </c>
      <c r="D2349" t="s">
        <v>1242</v>
      </c>
      <c r="E2349" s="1">
        <v>45911</v>
      </c>
      <c r="F2349" s="1">
        <v>45911</v>
      </c>
      <c r="G2349" s="12">
        <v>200</v>
      </c>
      <c r="H2349" s="2">
        <v>0</v>
      </c>
      <c r="I2349" s="2">
        <v>0</v>
      </c>
      <c r="J2349" s="2">
        <v>0</v>
      </c>
      <c r="K2349" s="20">
        <v>200</v>
      </c>
      <c r="L2349" t="s">
        <v>794</v>
      </c>
      <c r="M2349">
        <f t="shared" si="36"/>
        <v>2025</v>
      </c>
    </row>
    <row r="2350" spans="1:13" ht="12.75" hidden="1" customHeight="1">
      <c r="A2350" t="s">
        <v>1121</v>
      </c>
      <c r="B2350" t="s">
        <v>295</v>
      </c>
      <c r="C2350" t="s">
        <v>142</v>
      </c>
      <c r="D2350" t="s">
        <v>1242</v>
      </c>
      <c r="E2350" s="1">
        <v>45911</v>
      </c>
      <c r="F2350" s="1">
        <v>45911</v>
      </c>
      <c r="G2350" s="12">
        <v>35</v>
      </c>
      <c r="H2350" s="2">
        <v>0</v>
      </c>
      <c r="I2350" s="2">
        <v>0</v>
      </c>
      <c r="J2350" s="2">
        <v>0</v>
      </c>
      <c r="K2350" s="20">
        <v>35</v>
      </c>
      <c r="L2350" t="s">
        <v>794</v>
      </c>
      <c r="M2350">
        <f t="shared" si="36"/>
        <v>2025</v>
      </c>
    </row>
    <row r="2351" spans="1:13" ht="12.75" hidden="1" customHeight="1">
      <c r="A2351" t="s">
        <v>1275</v>
      </c>
      <c r="B2351" t="s">
        <v>698</v>
      </c>
      <c r="C2351" t="s">
        <v>729</v>
      </c>
      <c r="D2351" t="s">
        <v>1242</v>
      </c>
      <c r="E2351" s="1">
        <v>45911</v>
      </c>
      <c r="F2351" s="1">
        <v>45911</v>
      </c>
      <c r="G2351" s="12">
        <v>14</v>
      </c>
      <c r="H2351" s="2">
        <v>0</v>
      </c>
      <c r="I2351" s="2">
        <v>0</v>
      </c>
      <c r="J2351" s="2">
        <v>0</v>
      </c>
      <c r="K2351" s="20">
        <v>14</v>
      </c>
      <c r="L2351" t="s">
        <v>794</v>
      </c>
      <c r="M2351">
        <f t="shared" si="36"/>
        <v>2025</v>
      </c>
    </row>
    <row r="2352" spans="1:13" ht="12.75" hidden="1" customHeight="1">
      <c r="A2352" t="s">
        <v>924</v>
      </c>
      <c r="B2352" t="s">
        <v>87</v>
      </c>
      <c r="C2352" t="s">
        <v>141</v>
      </c>
      <c r="D2352" t="s">
        <v>1242</v>
      </c>
      <c r="E2352" s="1">
        <v>45910</v>
      </c>
      <c r="F2352" s="1">
        <v>45911</v>
      </c>
      <c r="G2352" s="12">
        <v>300</v>
      </c>
      <c r="H2352" s="2">
        <v>0</v>
      </c>
      <c r="I2352" s="2">
        <v>0</v>
      </c>
      <c r="J2352" s="2">
        <v>0</v>
      </c>
      <c r="K2352" s="20">
        <v>300</v>
      </c>
      <c r="L2352" t="s">
        <v>794</v>
      </c>
      <c r="M2352">
        <f t="shared" si="36"/>
        <v>2025</v>
      </c>
    </row>
    <row r="2353" spans="1:13" ht="12.75" hidden="1" customHeight="1">
      <c r="A2353" t="s">
        <v>921</v>
      </c>
      <c r="B2353" t="s">
        <v>184</v>
      </c>
      <c r="C2353" t="s">
        <v>483</v>
      </c>
      <c r="D2353" t="s">
        <v>1242</v>
      </c>
      <c r="E2353" s="1">
        <v>45911</v>
      </c>
      <c r="F2353" s="1">
        <v>45911</v>
      </c>
      <c r="G2353" s="12">
        <v>16.8</v>
      </c>
      <c r="H2353" s="2">
        <v>0</v>
      </c>
      <c r="I2353" s="2">
        <v>0</v>
      </c>
      <c r="J2353" s="2">
        <v>0</v>
      </c>
      <c r="K2353" s="20">
        <v>16.8</v>
      </c>
      <c r="L2353" t="s">
        <v>794</v>
      </c>
      <c r="M2353">
        <f t="shared" si="36"/>
        <v>2025</v>
      </c>
    </row>
    <row r="2354" spans="1:13" ht="12.75" hidden="1" customHeight="1">
      <c r="A2354" t="s">
        <v>936</v>
      </c>
      <c r="B2354" t="s">
        <v>655</v>
      </c>
      <c r="C2354" t="s">
        <v>483</v>
      </c>
      <c r="D2354" t="s">
        <v>1242</v>
      </c>
      <c r="E2354" s="1">
        <v>45911</v>
      </c>
      <c r="F2354" s="1">
        <v>45911</v>
      </c>
      <c r="G2354" s="12">
        <v>19.990000000000002</v>
      </c>
      <c r="H2354" s="2">
        <v>0</v>
      </c>
      <c r="I2354" s="2">
        <v>0</v>
      </c>
      <c r="J2354" s="2">
        <v>0</v>
      </c>
      <c r="K2354" s="20">
        <v>19.990000000000002</v>
      </c>
      <c r="L2354" t="s">
        <v>794</v>
      </c>
      <c r="M2354">
        <f t="shared" si="36"/>
        <v>2025</v>
      </c>
    </row>
    <row r="2355" spans="1:13" ht="12.75" hidden="1" customHeight="1">
      <c r="A2355" t="s">
        <v>906</v>
      </c>
      <c r="B2355" t="s">
        <v>289</v>
      </c>
      <c r="C2355" t="s">
        <v>681</v>
      </c>
      <c r="D2355" t="s">
        <v>1242</v>
      </c>
      <c r="E2355" s="1">
        <v>45911</v>
      </c>
      <c r="F2355" s="1">
        <v>45911</v>
      </c>
      <c r="G2355" s="12">
        <v>50</v>
      </c>
      <c r="H2355" s="2">
        <v>0</v>
      </c>
      <c r="I2355" s="2">
        <v>0</v>
      </c>
      <c r="J2355" s="2">
        <v>0</v>
      </c>
      <c r="K2355" s="20">
        <v>50</v>
      </c>
      <c r="L2355" t="s">
        <v>794</v>
      </c>
      <c r="M2355">
        <f t="shared" si="36"/>
        <v>2025</v>
      </c>
    </row>
    <row r="2356" spans="1:13" ht="12.75" hidden="1" customHeight="1">
      <c r="A2356" t="s">
        <v>921</v>
      </c>
      <c r="B2356" t="s">
        <v>184</v>
      </c>
      <c r="C2356" t="s">
        <v>483</v>
      </c>
      <c r="D2356" t="s">
        <v>1242</v>
      </c>
      <c r="E2356" s="1">
        <v>45911</v>
      </c>
      <c r="F2356" s="1">
        <v>45911</v>
      </c>
      <c r="G2356" s="12">
        <v>44.300000000000004</v>
      </c>
      <c r="H2356" s="2">
        <v>0</v>
      </c>
      <c r="I2356" s="2">
        <v>0</v>
      </c>
      <c r="J2356" s="2">
        <v>0</v>
      </c>
      <c r="K2356" s="20">
        <v>44.300000000000004</v>
      </c>
      <c r="L2356" t="s">
        <v>794</v>
      </c>
      <c r="M2356">
        <f t="shared" si="36"/>
        <v>2025</v>
      </c>
    </row>
    <row r="2357" spans="1:13" ht="12.75" hidden="1" customHeight="1">
      <c r="A2357" t="s">
        <v>1267</v>
      </c>
      <c r="B2357" t="s">
        <v>426</v>
      </c>
      <c r="C2357" t="s">
        <v>681</v>
      </c>
      <c r="D2357" t="s">
        <v>1242</v>
      </c>
      <c r="E2357" s="1">
        <v>45911</v>
      </c>
      <c r="F2357" s="1">
        <v>45911</v>
      </c>
      <c r="G2357" s="12">
        <v>79</v>
      </c>
      <c r="H2357" s="2">
        <v>0</v>
      </c>
      <c r="I2357" s="2">
        <v>0</v>
      </c>
      <c r="J2357" s="2">
        <v>0</v>
      </c>
      <c r="K2357" s="20">
        <v>79</v>
      </c>
      <c r="L2357" t="s">
        <v>794</v>
      </c>
      <c r="M2357">
        <f t="shared" si="36"/>
        <v>2025</v>
      </c>
    </row>
    <row r="2358" spans="1:13" ht="12.75" hidden="1" customHeight="1">
      <c r="A2358" t="s">
        <v>921</v>
      </c>
      <c r="B2358" t="s">
        <v>184</v>
      </c>
      <c r="C2358" t="s">
        <v>483</v>
      </c>
      <c r="D2358" t="s">
        <v>1242</v>
      </c>
      <c r="E2358" s="1">
        <v>45911</v>
      </c>
      <c r="F2358" s="1">
        <v>45911</v>
      </c>
      <c r="G2358" s="12">
        <v>5.7</v>
      </c>
      <c r="H2358" s="2">
        <v>0</v>
      </c>
      <c r="I2358" s="2">
        <v>0</v>
      </c>
      <c r="J2358" s="2">
        <v>0</v>
      </c>
      <c r="K2358" s="20">
        <v>5.7</v>
      </c>
      <c r="L2358" t="s">
        <v>794</v>
      </c>
      <c r="M2358">
        <f t="shared" si="36"/>
        <v>2025</v>
      </c>
    </row>
    <row r="2359" spans="1:13" ht="12.75" hidden="1" customHeight="1">
      <c r="A2359" t="s">
        <v>883</v>
      </c>
      <c r="B2359" t="s">
        <v>325</v>
      </c>
      <c r="C2359" t="s">
        <v>483</v>
      </c>
      <c r="D2359" t="s">
        <v>1242</v>
      </c>
      <c r="E2359" s="1">
        <v>45912</v>
      </c>
      <c r="F2359" s="1">
        <v>45912</v>
      </c>
      <c r="G2359" s="12">
        <v>65.98</v>
      </c>
      <c r="H2359" s="2">
        <v>0</v>
      </c>
      <c r="I2359" s="2">
        <v>0</v>
      </c>
      <c r="J2359" s="2">
        <v>0</v>
      </c>
      <c r="K2359" s="20">
        <v>65.98</v>
      </c>
      <c r="L2359" t="s">
        <v>794</v>
      </c>
      <c r="M2359">
        <f t="shared" si="36"/>
        <v>2025</v>
      </c>
    </row>
    <row r="2360" spans="1:13" ht="12.75" hidden="1" customHeight="1">
      <c r="A2360" t="s">
        <v>1117</v>
      </c>
      <c r="B2360" t="s">
        <v>428</v>
      </c>
      <c r="C2360" t="s">
        <v>710</v>
      </c>
      <c r="D2360" t="s">
        <v>1242</v>
      </c>
      <c r="E2360" s="1">
        <v>45912</v>
      </c>
      <c r="F2360" s="1">
        <v>45912</v>
      </c>
      <c r="G2360" s="12">
        <v>84</v>
      </c>
      <c r="H2360" s="2">
        <v>0</v>
      </c>
      <c r="I2360" s="2">
        <v>0</v>
      </c>
      <c r="J2360" s="2">
        <v>0</v>
      </c>
      <c r="K2360" s="20">
        <v>84</v>
      </c>
      <c r="L2360" t="s">
        <v>794</v>
      </c>
      <c r="M2360">
        <f t="shared" si="36"/>
        <v>2025</v>
      </c>
    </row>
    <row r="2361" spans="1:13" ht="12.75" hidden="1" customHeight="1">
      <c r="A2361" t="s">
        <v>810</v>
      </c>
      <c r="B2361" t="s">
        <v>54</v>
      </c>
      <c r="C2361" t="s">
        <v>141</v>
      </c>
      <c r="D2361" t="s">
        <v>1242</v>
      </c>
      <c r="E2361" s="1">
        <v>45912</v>
      </c>
      <c r="F2361" s="1">
        <v>45912</v>
      </c>
      <c r="G2361" s="12">
        <v>50</v>
      </c>
      <c r="H2361" s="2">
        <v>0</v>
      </c>
      <c r="I2361" s="2">
        <v>0</v>
      </c>
      <c r="J2361" s="2">
        <v>0</v>
      </c>
      <c r="K2361" s="20">
        <v>50</v>
      </c>
      <c r="L2361" t="s">
        <v>794</v>
      </c>
      <c r="M2361">
        <f t="shared" si="36"/>
        <v>2025</v>
      </c>
    </row>
    <row r="2362" spans="1:13" ht="12.75" hidden="1" customHeight="1">
      <c r="A2362" t="s">
        <v>907</v>
      </c>
      <c r="B2362" t="s">
        <v>291</v>
      </c>
      <c r="C2362" t="s">
        <v>681</v>
      </c>
      <c r="D2362" t="s">
        <v>1242</v>
      </c>
      <c r="E2362" s="1">
        <v>45912</v>
      </c>
      <c r="F2362" s="1">
        <v>45912</v>
      </c>
      <c r="G2362" s="12">
        <v>31.41</v>
      </c>
      <c r="H2362" s="2">
        <v>0</v>
      </c>
      <c r="I2362" s="2">
        <v>0</v>
      </c>
      <c r="J2362" s="2">
        <v>0</v>
      </c>
      <c r="K2362" s="20">
        <v>31.41</v>
      </c>
      <c r="L2362" t="s">
        <v>794</v>
      </c>
      <c r="M2362">
        <f t="shared" si="36"/>
        <v>2025</v>
      </c>
    </row>
    <row r="2363" spans="1:13" ht="12.75" hidden="1" customHeight="1">
      <c r="A2363" t="s">
        <v>907</v>
      </c>
      <c r="B2363" t="s">
        <v>291</v>
      </c>
      <c r="C2363" t="s">
        <v>681</v>
      </c>
      <c r="D2363" t="s">
        <v>1242</v>
      </c>
      <c r="E2363" s="1">
        <v>45912</v>
      </c>
      <c r="F2363" s="1">
        <v>45912</v>
      </c>
      <c r="G2363" s="12">
        <v>4.99</v>
      </c>
      <c r="H2363" s="2">
        <v>0</v>
      </c>
      <c r="I2363" s="2">
        <v>0</v>
      </c>
      <c r="J2363" s="2">
        <v>0</v>
      </c>
      <c r="K2363" s="20">
        <v>4.99</v>
      </c>
      <c r="L2363" t="s">
        <v>794</v>
      </c>
      <c r="M2363">
        <f t="shared" si="36"/>
        <v>2025</v>
      </c>
    </row>
    <row r="2364" spans="1:13" ht="12.75" hidden="1" customHeight="1">
      <c r="A2364" t="s">
        <v>1105</v>
      </c>
      <c r="B2364" t="s">
        <v>84</v>
      </c>
      <c r="C2364" t="s">
        <v>141</v>
      </c>
      <c r="D2364" t="s">
        <v>1242</v>
      </c>
      <c r="E2364" s="1">
        <v>45912</v>
      </c>
      <c r="F2364" s="1">
        <v>45912</v>
      </c>
      <c r="G2364" s="12">
        <v>200</v>
      </c>
      <c r="H2364" s="2">
        <v>0</v>
      </c>
      <c r="I2364" s="2">
        <v>0</v>
      </c>
      <c r="J2364" s="2">
        <v>0</v>
      </c>
      <c r="K2364" s="20">
        <v>200</v>
      </c>
      <c r="L2364" t="s">
        <v>794</v>
      </c>
      <c r="M2364">
        <f t="shared" si="36"/>
        <v>2025</v>
      </c>
    </row>
    <row r="2365" spans="1:13" ht="12.75" hidden="1" customHeight="1">
      <c r="A2365" t="s">
        <v>836</v>
      </c>
      <c r="B2365" t="s">
        <v>37</v>
      </c>
      <c r="C2365" t="s">
        <v>141</v>
      </c>
      <c r="D2365" t="s">
        <v>1242</v>
      </c>
      <c r="E2365" s="1">
        <v>45912</v>
      </c>
      <c r="F2365" s="1">
        <v>45912</v>
      </c>
      <c r="G2365" s="12">
        <v>200</v>
      </c>
      <c r="H2365" s="2">
        <v>0</v>
      </c>
      <c r="I2365" s="2">
        <v>0</v>
      </c>
      <c r="J2365" s="2">
        <v>0</v>
      </c>
      <c r="K2365" s="20">
        <v>200</v>
      </c>
      <c r="L2365" t="s">
        <v>794</v>
      </c>
      <c r="M2365">
        <f t="shared" si="36"/>
        <v>2025</v>
      </c>
    </row>
    <row r="2366" spans="1:13" ht="12.75" hidden="1" customHeight="1">
      <c r="A2366" t="s">
        <v>961</v>
      </c>
      <c r="B2366" t="s">
        <v>41</v>
      </c>
      <c r="C2366" t="s">
        <v>141</v>
      </c>
      <c r="D2366" t="s">
        <v>1242</v>
      </c>
      <c r="E2366" s="1">
        <v>45912</v>
      </c>
      <c r="F2366" s="1">
        <v>45912</v>
      </c>
      <c r="G2366" s="12">
        <v>200</v>
      </c>
      <c r="H2366" s="2">
        <v>0</v>
      </c>
      <c r="I2366" s="2">
        <v>0</v>
      </c>
      <c r="J2366" s="2">
        <v>0</v>
      </c>
      <c r="K2366" s="20">
        <v>200</v>
      </c>
      <c r="L2366" t="s">
        <v>794</v>
      </c>
      <c r="M2366">
        <f t="shared" si="36"/>
        <v>2025</v>
      </c>
    </row>
    <row r="2367" spans="1:13" ht="12.75" hidden="1" customHeight="1">
      <c r="A2367" t="s">
        <v>896</v>
      </c>
      <c r="B2367" t="s">
        <v>293</v>
      </c>
      <c r="C2367" t="s">
        <v>733</v>
      </c>
      <c r="D2367" t="s">
        <v>1242</v>
      </c>
      <c r="E2367" s="1">
        <v>45911</v>
      </c>
      <c r="F2367" s="1">
        <v>45912</v>
      </c>
      <c r="G2367" s="12">
        <v>36.800000000000004</v>
      </c>
      <c r="H2367" s="2">
        <v>0</v>
      </c>
      <c r="I2367" s="2">
        <v>0</v>
      </c>
      <c r="J2367" s="2">
        <v>0</v>
      </c>
      <c r="K2367" s="20">
        <v>36.800000000000004</v>
      </c>
      <c r="L2367" t="s">
        <v>794</v>
      </c>
      <c r="M2367">
        <f t="shared" si="36"/>
        <v>2025</v>
      </c>
    </row>
    <row r="2368" spans="1:13" ht="12.75" hidden="1" customHeight="1">
      <c r="A2368" t="s">
        <v>833</v>
      </c>
      <c r="B2368" t="s">
        <v>27</v>
      </c>
      <c r="C2368" t="s">
        <v>733</v>
      </c>
      <c r="D2368" t="s">
        <v>1242</v>
      </c>
      <c r="E2368" s="1">
        <v>45912</v>
      </c>
      <c r="F2368" s="1">
        <v>45912</v>
      </c>
      <c r="G2368" s="12">
        <v>91.960000000000008</v>
      </c>
      <c r="H2368" s="2">
        <v>0</v>
      </c>
      <c r="I2368" s="2">
        <v>0</v>
      </c>
      <c r="J2368" s="2">
        <v>0</v>
      </c>
      <c r="K2368" s="20">
        <v>91.960000000000008</v>
      </c>
      <c r="L2368" t="s">
        <v>794</v>
      </c>
      <c r="M2368">
        <f t="shared" si="36"/>
        <v>2025</v>
      </c>
    </row>
    <row r="2369" spans="1:13" ht="12.75" hidden="1" customHeight="1">
      <c r="A2369" t="s">
        <v>907</v>
      </c>
      <c r="B2369" t="s">
        <v>291</v>
      </c>
      <c r="C2369" t="s">
        <v>681</v>
      </c>
      <c r="D2369" t="s">
        <v>1242</v>
      </c>
      <c r="E2369" s="1">
        <v>45915</v>
      </c>
      <c r="F2369" s="1">
        <v>45915</v>
      </c>
      <c r="G2369" s="12">
        <v>14.59</v>
      </c>
      <c r="H2369" s="2">
        <v>0</v>
      </c>
      <c r="I2369" s="2">
        <v>0</v>
      </c>
      <c r="J2369" s="2">
        <v>0</v>
      </c>
      <c r="K2369" s="20">
        <v>14.59</v>
      </c>
      <c r="L2369" t="s">
        <v>794</v>
      </c>
      <c r="M2369">
        <f t="shared" si="36"/>
        <v>2025</v>
      </c>
    </row>
    <row r="2370" spans="1:13" ht="12.75" hidden="1" customHeight="1">
      <c r="A2370" t="s">
        <v>1009</v>
      </c>
      <c r="B2370" t="s">
        <v>62</v>
      </c>
      <c r="C2370" t="s">
        <v>141</v>
      </c>
      <c r="D2370" t="s">
        <v>1242</v>
      </c>
      <c r="E2370" s="1">
        <v>45916</v>
      </c>
      <c r="F2370" s="1">
        <v>45916</v>
      </c>
      <c r="G2370" s="12">
        <v>66</v>
      </c>
      <c r="H2370" s="2">
        <v>0</v>
      </c>
      <c r="I2370" s="2">
        <v>0</v>
      </c>
      <c r="J2370" s="2">
        <v>0</v>
      </c>
      <c r="K2370" s="20">
        <v>66</v>
      </c>
      <c r="L2370" t="s">
        <v>794</v>
      </c>
      <c r="M2370">
        <f t="shared" si="36"/>
        <v>2025</v>
      </c>
    </row>
    <row r="2371" spans="1:13" ht="12.75" hidden="1" customHeight="1">
      <c r="A2371" t="s">
        <v>812</v>
      </c>
      <c r="B2371" t="s">
        <v>31</v>
      </c>
      <c r="C2371" t="s">
        <v>141</v>
      </c>
      <c r="D2371" t="s">
        <v>1242</v>
      </c>
      <c r="E2371" s="1">
        <v>45916</v>
      </c>
      <c r="F2371" s="1">
        <v>45916</v>
      </c>
      <c r="G2371" s="12">
        <v>40</v>
      </c>
      <c r="H2371" s="2">
        <v>0</v>
      </c>
      <c r="I2371" s="2">
        <v>0</v>
      </c>
      <c r="J2371" s="2">
        <v>0</v>
      </c>
      <c r="K2371" s="20">
        <v>40</v>
      </c>
      <c r="L2371" t="s">
        <v>794</v>
      </c>
      <c r="M2371">
        <f t="shared" ref="M2371:M2434" si="37">YEAR(F2371)</f>
        <v>2025</v>
      </c>
    </row>
    <row r="2372" spans="1:13" ht="12.75" hidden="1" customHeight="1">
      <c r="A2372" t="s">
        <v>921</v>
      </c>
      <c r="B2372" t="s">
        <v>184</v>
      </c>
      <c r="C2372" t="s">
        <v>483</v>
      </c>
      <c r="D2372" t="s">
        <v>1242</v>
      </c>
      <c r="E2372" s="1">
        <v>45917</v>
      </c>
      <c r="F2372" s="1">
        <v>45917</v>
      </c>
      <c r="G2372" s="12">
        <v>52.89</v>
      </c>
      <c r="H2372" s="2">
        <v>0</v>
      </c>
      <c r="I2372" s="2">
        <v>0</v>
      </c>
      <c r="J2372" s="2">
        <v>0</v>
      </c>
      <c r="K2372" s="20">
        <v>52.89</v>
      </c>
      <c r="L2372" t="s">
        <v>794</v>
      </c>
      <c r="M2372">
        <f t="shared" si="37"/>
        <v>2025</v>
      </c>
    </row>
    <row r="2373" spans="1:13" ht="12.75" hidden="1" customHeight="1">
      <c r="A2373" t="s">
        <v>1272</v>
      </c>
      <c r="B2373" t="s">
        <v>132</v>
      </c>
      <c r="C2373" t="s">
        <v>139</v>
      </c>
      <c r="D2373" t="s">
        <v>1242</v>
      </c>
      <c r="E2373" s="1">
        <v>45917</v>
      </c>
      <c r="F2373" s="1">
        <v>45917</v>
      </c>
      <c r="G2373" s="12">
        <v>139.20000000000002</v>
      </c>
      <c r="H2373" s="2">
        <v>0</v>
      </c>
      <c r="I2373" s="2">
        <v>0</v>
      </c>
      <c r="J2373" s="2">
        <v>0</v>
      </c>
      <c r="K2373" s="20">
        <v>139.20000000000002</v>
      </c>
      <c r="L2373" t="s">
        <v>794</v>
      </c>
      <c r="M2373">
        <f t="shared" si="37"/>
        <v>2025</v>
      </c>
    </row>
    <row r="2374" spans="1:13" ht="12.75" hidden="1" customHeight="1">
      <c r="A2374" t="s">
        <v>1144</v>
      </c>
      <c r="B2374" t="s">
        <v>389</v>
      </c>
      <c r="C2374" t="s">
        <v>491</v>
      </c>
      <c r="D2374" t="s">
        <v>1242</v>
      </c>
      <c r="E2374" s="1">
        <v>45917</v>
      </c>
      <c r="F2374" s="1">
        <v>45917</v>
      </c>
      <c r="G2374" s="12">
        <v>25</v>
      </c>
      <c r="H2374" s="2">
        <v>0</v>
      </c>
      <c r="I2374" s="2">
        <v>0</v>
      </c>
      <c r="J2374" s="2">
        <v>0</v>
      </c>
      <c r="K2374" s="20">
        <v>25</v>
      </c>
      <c r="L2374" t="s">
        <v>794</v>
      </c>
      <c r="M2374">
        <f t="shared" si="37"/>
        <v>2025</v>
      </c>
    </row>
    <row r="2375" spans="1:13" ht="12.75" hidden="1" customHeight="1">
      <c r="A2375" t="s">
        <v>1121</v>
      </c>
      <c r="B2375" t="s">
        <v>295</v>
      </c>
      <c r="C2375" t="s">
        <v>142</v>
      </c>
      <c r="D2375" t="s">
        <v>1242</v>
      </c>
      <c r="E2375" s="1">
        <v>45917</v>
      </c>
      <c r="F2375" s="1">
        <v>45917</v>
      </c>
      <c r="G2375" s="12">
        <v>35</v>
      </c>
      <c r="H2375" s="2">
        <v>0</v>
      </c>
      <c r="I2375" s="2">
        <v>0</v>
      </c>
      <c r="J2375" s="2">
        <v>0</v>
      </c>
      <c r="K2375" s="20">
        <v>35</v>
      </c>
      <c r="L2375" t="s">
        <v>794</v>
      </c>
      <c r="M2375">
        <f t="shared" si="37"/>
        <v>2025</v>
      </c>
    </row>
    <row r="2376" spans="1:13" ht="12.75" hidden="1" customHeight="1">
      <c r="A2376" t="s">
        <v>812</v>
      </c>
      <c r="B2376" t="s">
        <v>31</v>
      </c>
      <c r="C2376" t="s">
        <v>141</v>
      </c>
      <c r="D2376" t="s">
        <v>1242</v>
      </c>
      <c r="E2376" s="1">
        <v>45917</v>
      </c>
      <c r="F2376" s="1">
        <v>45917</v>
      </c>
      <c r="G2376" s="12">
        <v>100</v>
      </c>
      <c r="H2376" s="2">
        <v>0</v>
      </c>
      <c r="I2376" s="2">
        <v>0</v>
      </c>
      <c r="J2376" s="2">
        <v>0</v>
      </c>
      <c r="K2376" s="20">
        <v>100</v>
      </c>
      <c r="L2376" t="s">
        <v>794</v>
      </c>
      <c r="M2376">
        <f t="shared" si="37"/>
        <v>2025</v>
      </c>
    </row>
    <row r="2377" spans="1:13" ht="12.75" hidden="1" customHeight="1">
      <c r="A2377" t="s">
        <v>1144</v>
      </c>
      <c r="B2377" t="s">
        <v>389</v>
      </c>
      <c r="C2377" t="s">
        <v>491</v>
      </c>
      <c r="D2377" t="s">
        <v>1242</v>
      </c>
      <c r="E2377" s="1">
        <v>45918</v>
      </c>
      <c r="F2377" s="1">
        <v>45918</v>
      </c>
      <c r="G2377" s="12">
        <v>25</v>
      </c>
      <c r="H2377" s="2">
        <v>0</v>
      </c>
      <c r="I2377" s="2">
        <v>0</v>
      </c>
      <c r="J2377" s="2">
        <v>0</v>
      </c>
      <c r="K2377" s="20">
        <v>25</v>
      </c>
      <c r="L2377" t="s">
        <v>794</v>
      </c>
      <c r="M2377">
        <f t="shared" si="37"/>
        <v>2025</v>
      </c>
    </row>
    <row r="2378" spans="1:13" ht="12.75" hidden="1" customHeight="1">
      <c r="A2378" t="s">
        <v>1276</v>
      </c>
      <c r="B2378" t="s">
        <v>610</v>
      </c>
      <c r="C2378" t="s">
        <v>141</v>
      </c>
      <c r="D2378" t="s">
        <v>1242</v>
      </c>
      <c r="E2378" s="1">
        <v>45918</v>
      </c>
      <c r="F2378" s="1">
        <v>45918</v>
      </c>
      <c r="G2378" s="12">
        <v>50</v>
      </c>
      <c r="H2378" s="2">
        <v>0</v>
      </c>
      <c r="I2378" s="2">
        <v>0</v>
      </c>
      <c r="J2378" s="2">
        <v>0</v>
      </c>
      <c r="K2378" s="20">
        <v>50</v>
      </c>
      <c r="L2378" t="s">
        <v>794</v>
      </c>
      <c r="M2378">
        <f t="shared" si="37"/>
        <v>2025</v>
      </c>
    </row>
    <row r="2379" spans="1:13" ht="12.75" hidden="1" customHeight="1">
      <c r="A2379" t="s">
        <v>921</v>
      </c>
      <c r="B2379" t="s">
        <v>184</v>
      </c>
      <c r="C2379" t="s">
        <v>483</v>
      </c>
      <c r="D2379" t="s">
        <v>1242</v>
      </c>
      <c r="E2379" s="1">
        <v>45919</v>
      </c>
      <c r="F2379" s="1">
        <v>45919</v>
      </c>
      <c r="G2379" s="12">
        <v>35.1</v>
      </c>
      <c r="H2379" s="2">
        <v>0</v>
      </c>
      <c r="I2379" s="2">
        <v>0</v>
      </c>
      <c r="J2379" s="2">
        <v>0</v>
      </c>
      <c r="K2379" s="20">
        <v>35.1</v>
      </c>
      <c r="L2379" t="s">
        <v>794</v>
      </c>
      <c r="M2379">
        <f t="shared" si="37"/>
        <v>2025</v>
      </c>
    </row>
    <row r="2380" spans="1:13" ht="12.75" hidden="1" customHeight="1">
      <c r="A2380" t="s">
        <v>921</v>
      </c>
      <c r="B2380" t="s">
        <v>184</v>
      </c>
      <c r="C2380" t="s">
        <v>483</v>
      </c>
      <c r="D2380" t="s">
        <v>1242</v>
      </c>
      <c r="E2380" s="1">
        <v>45922</v>
      </c>
      <c r="F2380" s="1">
        <v>45922</v>
      </c>
      <c r="G2380" s="12">
        <v>5.5</v>
      </c>
      <c r="H2380" s="2">
        <v>0</v>
      </c>
      <c r="I2380" s="2">
        <v>0</v>
      </c>
      <c r="J2380" s="2">
        <v>0</v>
      </c>
      <c r="K2380" s="20">
        <v>5.5</v>
      </c>
      <c r="L2380" t="s">
        <v>794</v>
      </c>
      <c r="M2380">
        <f t="shared" si="37"/>
        <v>2025</v>
      </c>
    </row>
    <row r="2381" spans="1:13" ht="12.75" hidden="1" customHeight="1">
      <c r="A2381" t="s">
        <v>921</v>
      </c>
      <c r="B2381" t="s">
        <v>184</v>
      </c>
      <c r="C2381" t="s">
        <v>483</v>
      </c>
      <c r="D2381" t="s">
        <v>1242</v>
      </c>
      <c r="E2381" s="1">
        <v>45922</v>
      </c>
      <c r="F2381" s="1">
        <v>45922</v>
      </c>
      <c r="G2381" s="12">
        <v>23.96</v>
      </c>
      <c r="H2381" s="2">
        <v>0</v>
      </c>
      <c r="I2381" s="2">
        <v>0</v>
      </c>
      <c r="J2381" s="2">
        <v>0</v>
      </c>
      <c r="K2381" s="20">
        <v>23.96</v>
      </c>
      <c r="L2381" t="s">
        <v>794</v>
      </c>
      <c r="M2381">
        <f t="shared" si="37"/>
        <v>2025</v>
      </c>
    </row>
    <row r="2382" spans="1:13" ht="12.75" hidden="1" customHeight="1">
      <c r="A2382" t="s">
        <v>921</v>
      </c>
      <c r="B2382" t="s">
        <v>184</v>
      </c>
      <c r="C2382" t="s">
        <v>483</v>
      </c>
      <c r="D2382" t="s">
        <v>1242</v>
      </c>
      <c r="E2382" s="1">
        <v>45922</v>
      </c>
      <c r="F2382" s="1">
        <v>45922</v>
      </c>
      <c r="G2382" s="12">
        <v>5.5</v>
      </c>
      <c r="H2382" s="2">
        <v>0</v>
      </c>
      <c r="I2382" s="2">
        <v>0</v>
      </c>
      <c r="J2382" s="2">
        <v>0</v>
      </c>
      <c r="K2382" s="20">
        <v>5.5</v>
      </c>
      <c r="L2382" t="s">
        <v>794</v>
      </c>
      <c r="M2382">
        <f t="shared" si="37"/>
        <v>2025</v>
      </c>
    </row>
    <row r="2383" spans="1:13" ht="12.75" hidden="1" customHeight="1">
      <c r="A2383" t="s">
        <v>907</v>
      </c>
      <c r="B2383" t="s">
        <v>291</v>
      </c>
      <c r="C2383" t="s">
        <v>483</v>
      </c>
      <c r="D2383" t="s">
        <v>1242</v>
      </c>
      <c r="E2383" s="1">
        <v>45922</v>
      </c>
      <c r="F2383" s="1">
        <v>45922</v>
      </c>
      <c r="G2383" s="12">
        <v>6.25</v>
      </c>
      <c r="H2383" s="2">
        <v>0</v>
      </c>
      <c r="I2383" s="2">
        <v>0</v>
      </c>
      <c r="J2383" s="2">
        <v>0</v>
      </c>
      <c r="K2383" s="20">
        <v>6.25</v>
      </c>
      <c r="L2383" t="s">
        <v>794</v>
      </c>
      <c r="M2383">
        <f t="shared" si="37"/>
        <v>2025</v>
      </c>
    </row>
    <row r="2384" spans="1:13" ht="12.75" hidden="1" customHeight="1">
      <c r="A2384" t="s">
        <v>1277</v>
      </c>
      <c r="B2384" t="s">
        <v>640</v>
      </c>
      <c r="C2384" t="s">
        <v>558</v>
      </c>
      <c r="D2384" t="s">
        <v>1242</v>
      </c>
      <c r="E2384" s="1">
        <v>45922</v>
      </c>
      <c r="F2384" s="1">
        <v>45922</v>
      </c>
      <c r="G2384" s="12">
        <v>43</v>
      </c>
      <c r="H2384" s="2">
        <v>0</v>
      </c>
      <c r="I2384" s="2">
        <v>0</v>
      </c>
      <c r="J2384" s="2">
        <v>0</v>
      </c>
      <c r="K2384" s="20">
        <v>43</v>
      </c>
      <c r="L2384" t="s">
        <v>794</v>
      </c>
      <c r="M2384">
        <f t="shared" si="37"/>
        <v>2025</v>
      </c>
    </row>
    <row r="2385" spans="1:13" ht="12.75" hidden="1" customHeight="1">
      <c r="A2385" t="s">
        <v>818</v>
      </c>
      <c r="B2385" t="s">
        <v>30</v>
      </c>
      <c r="C2385" t="s">
        <v>141</v>
      </c>
      <c r="D2385" t="s">
        <v>1242</v>
      </c>
      <c r="E2385" s="1">
        <v>45922</v>
      </c>
      <c r="F2385" s="1">
        <v>45922</v>
      </c>
      <c r="G2385" s="12">
        <v>60</v>
      </c>
      <c r="H2385" s="2">
        <v>0</v>
      </c>
      <c r="I2385" s="2">
        <v>0</v>
      </c>
      <c r="J2385" s="2">
        <v>0</v>
      </c>
      <c r="K2385" s="20">
        <v>60</v>
      </c>
      <c r="L2385" t="s">
        <v>794</v>
      </c>
      <c r="M2385">
        <f t="shared" si="37"/>
        <v>2025</v>
      </c>
    </row>
    <row r="2386" spans="1:13" ht="12.75" hidden="1" customHeight="1">
      <c r="A2386" t="s">
        <v>1181</v>
      </c>
      <c r="B2386" t="s">
        <v>75</v>
      </c>
      <c r="C2386" t="s">
        <v>141</v>
      </c>
      <c r="D2386" t="s">
        <v>1242</v>
      </c>
      <c r="E2386" s="1">
        <v>45922</v>
      </c>
      <c r="F2386" s="1">
        <v>45922</v>
      </c>
      <c r="G2386" s="12">
        <v>35.94</v>
      </c>
      <c r="H2386" s="2">
        <v>0</v>
      </c>
      <c r="I2386" s="2">
        <v>0</v>
      </c>
      <c r="J2386" s="2">
        <v>0</v>
      </c>
      <c r="K2386" s="20">
        <v>35.94</v>
      </c>
      <c r="L2386" t="s">
        <v>794</v>
      </c>
      <c r="M2386">
        <f t="shared" si="37"/>
        <v>2025</v>
      </c>
    </row>
    <row r="2387" spans="1:13" ht="12.75" hidden="1" customHeight="1">
      <c r="A2387" t="s">
        <v>921</v>
      </c>
      <c r="B2387" t="s">
        <v>184</v>
      </c>
      <c r="C2387" t="s">
        <v>483</v>
      </c>
      <c r="D2387" t="s">
        <v>1242</v>
      </c>
      <c r="E2387" s="1">
        <v>45923</v>
      </c>
      <c r="F2387" s="1">
        <v>45923</v>
      </c>
      <c r="G2387" s="12">
        <v>20</v>
      </c>
      <c r="H2387" s="2">
        <v>0</v>
      </c>
      <c r="I2387" s="2">
        <v>0</v>
      </c>
      <c r="J2387" s="2">
        <v>0</v>
      </c>
      <c r="K2387" s="20">
        <v>20</v>
      </c>
      <c r="L2387" t="s">
        <v>794</v>
      </c>
      <c r="M2387">
        <f t="shared" si="37"/>
        <v>2025</v>
      </c>
    </row>
    <row r="2388" spans="1:13" ht="12.75" hidden="1" customHeight="1">
      <c r="A2388" t="s">
        <v>1278</v>
      </c>
      <c r="B2388" t="s">
        <v>190</v>
      </c>
      <c r="C2388" t="s">
        <v>729</v>
      </c>
      <c r="D2388" t="s">
        <v>1242</v>
      </c>
      <c r="E2388" s="1">
        <v>45923</v>
      </c>
      <c r="F2388" s="1">
        <v>45924</v>
      </c>
      <c r="G2388" s="12">
        <v>700</v>
      </c>
      <c r="H2388" s="2">
        <v>0</v>
      </c>
      <c r="I2388" s="2">
        <v>0</v>
      </c>
      <c r="J2388" s="2">
        <v>0</v>
      </c>
      <c r="K2388" s="20">
        <v>700</v>
      </c>
      <c r="L2388" t="s">
        <v>1114</v>
      </c>
      <c r="M2388">
        <f t="shared" si="37"/>
        <v>2025</v>
      </c>
    </row>
    <row r="2389" spans="1:13" ht="12.75" hidden="1" customHeight="1">
      <c r="A2389" t="s">
        <v>1177</v>
      </c>
      <c r="B2389" t="s">
        <v>639</v>
      </c>
      <c r="C2389" t="s">
        <v>773</v>
      </c>
      <c r="D2389" t="s">
        <v>1242</v>
      </c>
      <c r="E2389" s="1">
        <v>45925</v>
      </c>
      <c r="F2389" s="1">
        <v>45925</v>
      </c>
      <c r="G2389" s="12">
        <v>8.61</v>
      </c>
      <c r="H2389" s="2">
        <v>0</v>
      </c>
      <c r="I2389" s="2">
        <v>0</v>
      </c>
      <c r="J2389" s="2">
        <v>0</v>
      </c>
      <c r="K2389" s="20">
        <v>8.61</v>
      </c>
      <c r="L2389" t="s">
        <v>794</v>
      </c>
      <c r="M2389">
        <f t="shared" si="37"/>
        <v>2025</v>
      </c>
    </row>
    <row r="2390" spans="1:13" ht="12.75" hidden="1" customHeight="1">
      <c r="A2390" t="s">
        <v>1279</v>
      </c>
      <c r="B2390" t="s">
        <v>586</v>
      </c>
      <c r="C2390" t="s">
        <v>681</v>
      </c>
      <c r="D2390" t="s">
        <v>1242</v>
      </c>
      <c r="E2390" s="1">
        <v>45925</v>
      </c>
      <c r="F2390" s="1">
        <v>45925</v>
      </c>
      <c r="G2390" s="12">
        <v>63.56</v>
      </c>
      <c r="H2390" s="2">
        <v>0</v>
      </c>
      <c r="I2390" s="2">
        <v>0</v>
      </c>
      <c r="J2390" s="2">
        <v>0</v>
      </c>
      <c r="K2390" s="20">
        <v>63.56</v>
      </c>
      <c r="L2390" t="s">
        <v>794</v>
      </c>
      <c r="M2390">
        <f t="shared" si="37"/>
        <v>2025</v>
      </c>
    </row>
    <row r="2391" spans="1:13" ht="12.75" hidden="1" customHeight="1">
      <c r="A2391" t="s">
        <v>1280</v>
      </c>
      <c r="B2391" t="s">
        <v>607</v>
      </c>
      <c r="C2391" t="s">
        <v>141</v>
      </c>
      <c r="D2391" t="s">
        <v>1242</v>
      </c>
      <c r="E2391" s="1">
        <v>45925</v>
      </c>
      <c r="F2391" s="1">
        <v>45925</v>
      </c>
      <c r="G2391" s="12">
        <v>50</v>
      </c>
      <c r="H2391" s="2">
        <v>0</v>
      </c>
      <c r="I2391" s="2">
        <v>0</v>
      </c>
      <c r="J2391" s="2">
        <v>0</v>
      </c>
      <c r="K2391" s="20">
        <v>50</v>
      </c>
      <c r="L2391" t="s">
        <v>794</v>
      </c>
      <c r="M2391">
        <f t="shared" si="37"/>
        <v>2025</v>
      </c>
    </row>
    <row r="2392" spans="1:13" ht="12.75" hidden="1" customHeight="1">
      <c r="A2392" t="s">
        <v>896</v>
      </c>
      <c r="B2392" t="s">
        <v>293</v>
      </c>
      <c r="C2392" t="s">
        <v>733</v>
      </c>
      <c r="D2392" t="s">
        <v>1242</v>
      </c>
      <c r="E2392" s="1">
        <v>45925</v>
      </c>
      <c r="F2392" s="1">
        <v>45925</v>
      </c>
      <c r="G2392" s="12">
        <v>95.79</v>
      </c>
      <c r="H2392" s="2">
        <v>0</v>
      </c>
      <c r="I2392" s="2">
        <v>0</v>
      </c>
      <c r="J2392" s="2">
        <v>0</v>
      </c>
      <c r="K2392" s="20">
        <v>95.79</v>
      </c>
      <c r="L2392" t="s">
        <v>794</v>
      </c>
      <c r="M2392">
        <f t="shared" si="37"/>
        <v>2025</v>
      </c>
    </row>
    <row r="2393" spans="1:13" ht="12.75" hidden="1" customHeight="1">
      <c r="A2393" t="s">
        <v>1188</v>
      </c>
      <c r="B2393" t="s">
        <v>410</v>
      </c>
      <c r="C2393" t="s">
        <v>483</v>
      </c>
      <c r="D2393" t="s">
        <v>1242</v>
      </c>
      <c r="E2393" s="1">
        <v>45926</v>
      </c>
      <c r="F2393" s="1">
        <v>45926</v>
      </c>
      <c r="G2393" s="12">
        <v>28</v>
      </c>
      <c r="H2393" s="2">
        <v>0</v>
      </c>
      <c r="I2393" s="2">
        <v>0</v>
      </c>
      <c r="J2393" s="2">
        <v>0</v>
      </c>
      <c r="K2393" s="20">
        <v>28</v>
      </c>
      <c r="L2393" t="s">
        <v>794</v>
      </c>
      <c r="M2393">
        <f t="shared" si="37"/>
        <v>2025</v>
      </c>
    </row>
    <row r="2394" spans="1:13" ht="12.75" hidden="1" customHeight="1">
      <c r="A2394" t="s">
        <v>1108</v>
      </c>
      <c r="B2394" t="s">
        <v>328</v>
      </c>
      <c r="C2394" t="s">
        <v>483</v>
      </c>
      <c r="D2394" t="s">
        <v>1242</v>
      </c>
      <c r="E2394" s="1">
        <v>45926</v>
      </c>
      <c r="F2394" s="1">
        <v>45926</v>
      </c>
      <c r="G2394" s="12">
        <v>4.49</v>
      </c>
      <c r="H2394" s="2">
        <v>0</v>
      </c>
      <c r="I2394" s="2">
        <v>0</v>
      </c>
      <c r="J2394" s="2">
        <v>0</v>
      </c>
      <c r="K2394" s="20">
        <v>4.49</v>
      </c>
      <c r="L2394" t="s">
        <v>794</v>
      </c>
      <c r="M2394">
        <f t="shared" si="37"/>
        <v>2025</v>
      </c>
    </row>
    <row r="2395" spans="1:13" ht="12.75" hidden="1" customHeight="1">
      <c r="A2395" t="s">
        <v>1121</v>
      </c>
      <c r="B2395" t="s">
        <v>295</v>
      </c>
      <c r="C2395" t="s">
        <v>142</v>
      </c>
      <c r="D2395" t="s">
        <v>1242</v>
      </c>
      <c r="E2395" s="1">
        <v>45926</v>
      </c>
      <c r="F2395" s="1">
        <v>45926</v>
      </c>
      <c r="G2395" s="12">
        <v>35</v>
      </c>
      <c r="H2395" s="2">
        <v>0</v>
      </c>
      <c r="I2395" s="2">
        <v>0</v>
      </c>
      <c r="J2395" s="2">
        <v>0</v>
      </c>
      <c r="K2395" s="20">
        <v>35</v>
      </c>
      <c r="L2395" t="s">
        <v>794</v>
      </c>
      <c r="M2395">
        <f t="shared" si="37"/>
        <v>2025</v>
      </c>
    </row>
    <row r="2396" spans="1:13" ht="12.75" hidden="1" customHeight="1">
      <c r="A2396" t="s">
        <v>1144</v>
      </c>
      <c r="B2396" t="s">
        <v>389</v>
      </c>
      <c r="C2396" t="s">
        <v>491</v>
      </c>
      <c r="D2396" t="s">
        <v>1242</v>
      </c>
      <c r="E2396" s="1">
        <v>45926</v>
      </c>
      <c r="F2396" s="1">
        <v>45926</v>
      </c>
      <c r="G2396" s="12">
        <v>27</v>
      </c>
      <c r="H2396" s="2">
        <v>0</v>
      </c>
      <c r="I2396" s="2">
        <v>0</v>
      </c>
      <c r="J2396" s="2">
        <v>0</v>
      </c>
      <c r="K2396" s="20">
        <v>27</v>
      </c>
      <c r="L2396" t="s">
        <v>794</v>
      </c>
      <c r="M2396">
        <f t="shared" si="37"/>
        <v>2025</v>
      </c>
    </row>
    <row r="2397" spans="1:13" ht="12.75" hidden="1" customHeight="1">
      <c r="A2397" t="s">
        <v>906</v>
      </c>
      <c r="B2397" t="s">
        <v>289</v>
      </c>
      <c r="C2397" t="s">
        <v>681</v>
      </c>
      <c r="D2397" t="s">
        <v>1242</v>
      </c>
      <c r="E2397" s="1">
        <v>45926</v>
      </c>
      <c r="F2397" s="1">
        <v>45926</v>
      </c>
      <c r="G2397" s="12">
        <v>25</v>
      </c>
      <c r="H2397" s="2">
        <v>0</v>
      </c>
      <c r="I2397" s="2">
        <v>0</v>
      </c>
      <c r="J2397" s="2">
        <v>0</v>
      </c>
      <c r="K2397" s="20">
        <v>25</v>
      </c>
      <c r="L2397" t="s">
        <v>794</v>
      </c>
      <c r="M2397">
        <f t="shared" si="37"/>
        <v>2025</v>
      </c>
    </row>
    <row r="2398" spans="1:13" ht="12.75" hidden="1" customHeight="1">
      <c r="A2398" t="s">
        <v>826</v>
      </c>
      <c r="B2398" t="s">
        <v>21</v>
      </c>
      <c r="C2398" t="s">
        <v>141</v>
      </c>
      <c r="D2398" t="s">
        <v>1242</v>
      </c>
      <c r="E2398" s="1">
        <v>45925</v>
      </c>
      <c r="F2398" s="1">
        <v>45926</v>
      </c>
      <c r="G2398" s="12">
        <v>250</v>
      </c>
      <c r="H2398" s="2">
        <v>0</v>
      </c>
      <c r="I2398" s="2">
        <v>0</v>
      </c>
      <c r="J2398" s="2">
        <v>0</v>
      </c>
      <c r="K2398" s="20">
        <v>250</v>
      </c>
      <c r="L2398" t="s">
        <v>794</v>
      </c>
      <c r="M2398">
        <f t="shared" si="37"/>
        <v>2025</v>
      </c>
    </row>
    <row r="2399" spans="1:13" ht="12.75" hidden="1" customHeight="1">
      <c r="A2399" t="s">
        <v>1281</v>
      </c>
      <c r="B2399" t="s">
        <v>670</v>
      </c>
      <c r="C2399" t="s">
        <v>491</v>
      </c>
      <c r="D2399" t="s">
        <v>1242</v>
      </c>
      <c r="E2399" s="1">
        <v>45929</v>
      </c>
      <c r="F2399" s="1">
        <v>45929</v>
      </c>
      <c r="G2399" s="12">
        <v>25</v>
      </c>
      <c r="H2399" s="2">
        <v>0</v>
      </c>
      <c r="I2399" s="2">
        <v>0</v>
      </c>
      <c r="J2399" s="2">
        <v>0</v>
      </c>
      <c r="K2399" s="20">
        <v>25</v>
      </c>
      <c r="L2399" t="s">
        <v>794</v>
      </c>
      <c r="M2399">
        <f t="shared" si="37"/>
        <v>2025</v>
      </c>
    </row>
    <row r="2400" spans="1:13" ht="12.75" hidden="1" customHeight="1">
      <c r="A2400" t="s">
        <v>818</v>
      </c>
      <c r="B2400" t="s">
        <v>30</v>
      </c>
      <c r="C2400" t="s">
        <v>141</v>
      </c>
      <c r="D2400" t="s">
        <v>1242</v>
      </c>
      <c r="E2400" s="1">
        <v>45929</v>
      </c>
      <c r="F2400" s="1">
        <v>45929</v>
      </c>
      <c r="G2400" s="12">
        <v>40</v>
      </c>
      <c r="H2400" s="2">
        <v>0</v>
      </c>
      <c r="I2400" s="2">
        <v>0</v>
      </c>
      <c r="J2400" s="2">
        <v>0</v>
      </c>
      <c r="K2400" s="20">
        <v>40</v>
      </c>
      <c r="L2400" t="s">
        <v>794</v>
      </c>
      <c r="M2400">
        <f t="shared" si="37"/>
        <v>2025</v>
      </c>
    </row>
    <row r="2401" spans="1:13" ht="12.75" hidden="1" customHeight="1">
      <c r="A2401" t="s">
        <v>907</v>
      </c>
      <c r="B2401" t="s">
        <v>291</v>
      </c>
      <c r="C2401" t="s">
        <v>749</v>
      </c>
      <c r="D2401" t="s">
        <v>1242</v>
      </c>
      <c r="E2401" s="1">
        <v>45930</v>
      </c>
      <c r="F2401" s="1">
        <v>45930</v>
      </c>
      <c r="G2401" s="12">
        <v>36.53</v>
      </c>
      <c r="H2401" s="2">
        <v>0</v>
      </c>
      <c r="I2401" s="2">
        <v>0</v>
      </c>
      <c r="J2401" s="2">
        <v>0</v>
      </c>
      <c r="K2401" s="20">
        <v>36.53</v>
      </c>
      <c r="L2401" t="s">
        <v>794</v>
      </c>
      <c r="M2401">
        <f t="shared" si="37"/>
        <v>2025</v>
      </c>
    </row>
    <row r="2402" spans="1:13" ht="12.75" hidden="1" customHeight="1">
      <c r="A2402" t="s">
        <v>1282</v>
      </c>
      <c r="B2402" t="s">
        <v>604</v>
      </c>
      <c r="C2402" t="s">
        <v>141</v>
      </c>
      <c r="D2402" t="s">
        <v>1242</v>
      </c>
      <c r="E2402" s="1">
        <v>45930</v>
      </c>
      <c r="F2402" s="1">
        <v>45930</v>
      </c>
      <c r="G2402" s="12">
        <v>50</v>
      </c>
      <c r="H2402" s="2">
        <v>0</v>
      </c>
      <c r="I2402" s="2">
        <v>0</v>
      </c>
      <c r="J2402" s="2">
        <v>0</v>
      </c>
      <c r="K2402" s="20">
        <v>50</v>
      </c>
      <c r="L2402" t="s">
        <v>794</v>
      </c>
      <c r="M2402">
        <f t="shared" si="37"/>
        <v>2025</v>
      </c>
    </row>
    <row r="2403" spans="1:13" ht="12.75" hidden="1" customHeight="1">
      <c r="A2403" t="s">
        <v>1239</v>
      </c>
      <c r="B2403" t="s">
        <v>224</v>
      </c>
      <c r="C2403" t="s">
        <v>139</v>
      </c>
      <c r="D2403" t="s">
        <v>1242</v>
      </c>
      <c r="E2403" s="1">
        <v>45901</v>
      </c>
      <c r="F2403" s="1">
        <v>45901</v>
      </c>
      <c r="G2403" s="12">
        <v>278.40000000000003</v>
      </c>
      <c r="H2403" s="2">
        <v>0</v>
      </c>
      <c r="I2403" s="2">
        <v>0</v>
      </c>
      <c r="J2403" s="2">
        <v>0</v>
      </c>
      <c r="K2403" s="20">
        <v>278.40000000000003</v>
      </c>
      <c r="L2403" t="s">
        <v>794</v>
      </c>
      <c r="M2403">
        <f t="shared" si="37"/>
        <v>2025</v>
      </c>
    </row>
    <row r="2404" spans="1:13" ht="12.75" hidden="1" customHeight="1">
      <c r="A2404" t="s">
        <v>825</v>
      </c>
      <c r="B2404" t="s">
        <v>46</v>
      </c>
      <c r="C2404" t="s">
        <v>139</v>
      </c>
      <c r="D2404" t="s">
        <v>1242</v>
      </c>
      <c r="E2404" s="1">
        <v>45901</v>
      </c>
      <c r="F2404" s="1">
        <v>45901</v>
      </c>
      <c r="G2404" s="12">
        <v>301.60000000000002</v>
      </c>
      <c r="H2404" s="2">
        <v>0</v>
      </c>
      <c r="I2404" s="2">
        <v>0</v>
      </c>
      <c r="J2404" s="2">
        <v>0</v>
      </c>
      <c r="K2404" s="20">
        <v>301.60000000000002</v>
      </c>
      <c r="L2404" t="s">
        <v>794</v>
      </c>
      <c r="M2404">
        <f t="shared" si="37"/>
        <v>2025</v>
      </c>
    </row>
    <row r="2405" spans="1:13" ht="12.75" hidden="1" customHeight="1">
      <c r="A2405" t="s">
        <v>811</v>
      </c>
      <c r="B2405" t="s">
        <v>39</v>
      </c>
      <c r="C2405" t="s">
        <v>139</v>
      </c>
      <c r="D2405" t="s">
        <v>1242</v>
      </c>
      <c r="E2405" s="1">
        <v>45901</v>
      </c>
      <c r="F2405" s="1">
        <v>45901</v>
      </c>
      <c r="G2405" s="12">
        <v>492.2</v>
      </c>
      <c r="H2405" s="2">
        <v>0</v>
      </c>
      <c r="I2405" s="2">
        <v>0</v>
      </c>
      <c r="J2405" s="2">
        <v>0</v>
      </c>
      <c r="K2405" s="20">
        <v>492.2</v>
      </c>
      <c r="L2405" t="s">
        <v>794</v>
      </c>
      <c r="M2405">
        <f t="shared" si="37"/>
        <v>2025</v>
      </c>
    </row>
    <row r="2406" spans="1:13" ht="12.75" hidden="1" customHeight="1">
      <c r="A2406" t="s">
        <v>1141</v>
      </c>
      <c r="B2406" t="s">
        <v>69</v>
      </c>
      <c r="C2406" t="s">
        <v>139</v>
      </c>
      <c r="D2406" t="s">
        <v>1242</v>
      </c>
      <c r="E2406" s="1">
        <v>45901</v>
      </c>
      <c r="F2406" s="1">
        <v>45901</v>
      </c>
      <c r="G2406" s="12">
        <v>255.20000000000002</v>
      </c>
      <c r="H2406" s="2">
        <v>0</v>
      </c>
      <c r="I2406" s="2">
        <v>0</v>
      </c>
      <c r="J2406" s="2">
        <v>0</v>
      </c>
      <c r="K2406" s="20">
        <v>255.20000000000002</v>
      </c>
      <c r="L2406" t="s">
        <v>794</v>
      </c>
      <c r="M2406">
        <f t="shared" si="37"/>
        <v>2025</v>
      </c>
    </row>
    <row r="2407" spans="1:13" ht="12.75" hidden="1" customHeight="1">
      <c r="A2407" t="s">
        <v>826</v>
      </c>
      <c r="B2407" t="s">
        <v>21</v>
      </c>
      <c r="C2407" t="s">
        <v>139</v>
      </c>
      <c r="D2407" t="s">
        <v>1242</v>
      </c>
      <c r="E2407" s="1">
        <v>45901</v>
      </c>
      <c r="F2407" s="1">
        <v>45901</v>
      </c>
      <c r="G2407" s="12">
        <v>448.8</v>
      </c>
      <c r="H2407" s="2">
        <v>0</v>
      </c>
      <c r="I2407" s="2">
        <v>0</v>
      </c>
      <c r="J2407" s="2">
        <v>0</v>
      </c>
      <c r="K2407" s="20">
        <v>448.8</v>
      </c>
      <c r="L2407" t="s">
        <v>794</v>
      </c>
      <c r="M2407">
        <f t="shared" si="37"/>
        <v>2025</v>
      </c>
    </row>
    <row r="2408" spans="1:13" ht="12.75" hidden="1" customHeight="1">
      <c r="A2408" t="s">
        <v>1004</v>
      </c>
      <c r="B2408" t="s">
        <v>57</v>
      </c>
      <c r="C2408" t="s">
        <v>139</v>
      </c>
      <c r="D2408" t="s">
        <v>1242</v>
      </c>
      <c r="E2408" s="1">
        <v>45901</v>
      </c>
      <c r="F2408" s="1">
        <v>45901</v>
      </c>
      <c r="G2408" s="12">
        <v>278.40000000000003</v>
      </c>
      <c r="H2408" s="2">
        <v>0</v>
      </c>
      <c r="I2408" s="2">
        <v>0</v>
      </c>
      <c r="J2408" s="2">
        <v>0</v>
      </c>
      <c r="K2408" s="20">
        <v>278.40000000000003</v>
      </c>
      <c r="L2408" t="s">
        <v>794</v>
      </c>
      <c r="M2408">
        <f t="shared" si="37"/>
        <v>2025</v>
      </c>
    </row>
    <row r="2409" spans="1:13" ht="12.75" hidden="1" customHeight="1">
      <c r="A2409" t="s">
        <v>819</v>
      </c>
      <c r="B2409" t="s">
        <v>38</v>
      </c>
      <c r="C2409" t="s">
        <v>139</v>
      </c>
      <c r="D2409" t="s">
        <v>1242</v>
      </c>
      <c r="E2409" s="1">
        <v>45901</v>
      </c>
      <c r="F2409" s="1">
        <v>45901</v>
      </c>
      <c r="G2409" s="12">
        <v>530.4</v>
      </c>
      <c r="H2409" s="2">
        <v>0</v>
      </c>
      <c r="I2409" s="2">
        <v>0</v>
      </c>
      <c r="J2409" s="2">
        <v>0</v>
      </c>
      <c r="K2409" s="20">
        <v>530.4</v>
      </c>
      <c r="L2409" t="s">
        <v>794</v>
      </c>
      <c r="M2409">
        <f t="shared" si="37"/>
        <v>2025</v>
      </c>
    </row>
    <row r="2410" spans="1:13" ht="12.75" hidden="1" customHeight="1">
      <c r="A2410" t="s">
        <v>1134</v>
      </c>
      <c r="B2410" t="s">
        <v>33</v>
      </c>
      <c r="C2410" t="s">
        <v>139</v>
      </c>
      <c r="D2410" t="s">
        <v>1242</v>
      </c>
      <c r="E2410" s="1">
        <v>45901</v>
      </c>
      <c r="F2410" s="1">
        <v>45901</v>
      </c>
      <c r="G2410" s="12">
        <v>265.2</v>
      </c>
      <c r="H2410" s="2">
        <v>0</v>
      </c>
      <c r="I2410" s="2">
        <v>0</v>
      </c>
      <c r="J2410" s="2">
        <v>0</v>
      </c>
      <c r="K2410" s="20">
        <v>265.2</v>
      </c>
      <c r="L2410" t="s">
        <v>794</v>
      </c>
      <c r="M2410">
        <f t="shared" si="37"/>
        <v>2025</v>
      </c>
    </row>
    <row r="2411" spans="1:13" ht="12.75" hidden="1" customHeight="1">
      <c r="A2411" t="s">
        <v>1112</v>
      </c>
      <c r="B2411" t="s">
        <v>68</v>
      </c>
      <c r="C2411" t="s">
        <v>139</v>
      </c>
      <c r="D2411" t="s">
        <v>1242</v>
      </c>
      <c r="E2411" s="1">
        <v>45901</v>
      </c>
      <c r="F2411" s="1">
        <v>45901</v>
      </c>
      <c r="G2411" s="12">
        <v>278.40000000000003</v>
      </c>
      <c r="H2411" s="2">
        <v>0</v>
      </c>
      <c r="I2411" s="2">
        <v>0</v>
      </c>
      <c r="J2411" s="2">
        <v>0</v>
      </c>
      <c r="K2411" s="20">
        <v>278.40000000000003</v>
      </c>
      <c r="L2411" t="s">
        <v>794</v>
      </c>
      <c r="M2411">
        <f t="shared" si="37"/>
        <v>2025</v>
      </c>
    </row>
    <row r="2412" spans="1:13" ht="12.75" hidden="1" customHeight="1">
      <c r="A2412" t="s">
        <v>1181</v>
      </c>
      <c r="B2412" t="s">
        <v>75</v>
      </c>
      <c r="C2412" t="s">
        <v>139</v>
      </c>
      <c r="D2412" t="s">
        <v>1242</v>
      </c>
      <c r="E2412" s="1">
        <v>45901</v>
      </c>
      <c r="F2412" s="1">
        <v>45901</v>
      </c>
      <c r="G2412" s="12">
        <v>282.90000000000003</v>
      </c>
      <c r="H2412" s="2">
        <v>0</v>
      </c>
      <c r="I2412" s="2">
        <v>0</v>
      </c>
      <c r="J2412" s="2">
        <v>0</v>
      </c>
      <c r="K2412" s="20">
        <v>282.90000000000003</v>
      </c>
      <c r="L2412" t="s">
        <v>794</v>
      </c>
      <c r="M2412">
        <f t="shared" si="37"/>
        <v>2025</v>
      </c>
    </row>
    <row r="2413" spans="1:13" ht="12.75" hidden="1" customHeight="1">
      <c r="A2413" t="s">
        <v>812</v>
      </c>
      <c r="B2413" t="s">
        <v>31</v>
      </c>
      <c r="C2413" t="s">
        <v>139</v>
      </c>
      <c r="D2413" t="s">
        <v>1242</v>
      </c>
      <c r="E2413" s="1">
        <v>45901</v>
      </c>
      <c r="F2413" s="1">
        <v>45901</v>
      </c>
      <c r="G2413" s="12">
        <v>367.2</v>
      </c>
      <c r="H2413" s="2">
        <v>0</v>
      </c>
      <c r="I2413" s="2">
        <v>0</v>
      </c>
      <c r="J2413" s="2">
        <v>0</v>
      </c>
      <c r="K2413" s="20">
        <v>367.2</v>
      </c>
      <c r="L2413" t="s">
        <v>794</v>
      </c>
      <c r="M2413">
        <f t="shared" si="37"/>
        <v>2025</v>
      </c>
    </row>
    <row r="2414" spans="1:13" ht="12.75" hidden="1" customHeight="1">
      <c r="A2414" t="s">
        <v>1105</v>
      </c>
      <c r="B2414" t="s">
        <v>84</v>
      </c>
      <c r="C2414" t="s">
        <v>139</v>
      </c>
      <c r="D2414" t="s">
        <v>1242</v>
      </c>
      <c r="E2414" s="1">
        <v>45901</v>
      </c>
      <c r="F2414" s="1">
        <v>45901</v>
      </c>
      <c r="G2414" s="12">
        <v>391.6</v>
      </c>
      <c r="H2414" s="2">
        <v>0</v>
      </c>
      <c r="I2414" s="2">
        <v>0</v>
      </c>
      <c r="J2414" s="2">
        <v>0</v>
      </c>
      <c r="K2414" s="20">
        <v>391.6</v>
      </c>
      <c r="L2414" t="s">
        <v>794</v>
      </c>
      <c r="M2414">
        <f t="shared" si="37"/>
        <v>2025</v>
      </c>
    </row>
    <row r="2415" spans="1:13" ht="12.75" hidden="1" customHeight="1">
      <c r="A2415" t="s">
        <v>1180</v>
      </c>
      <c r="B2415" t="s">
        <v>179</v>
      </c>
      <c r="C2415" t="s">
        <v>139</v>
      </c>
      <c r="D2415" t="s">
        <v>1242</v>
      </c>
      <c r="E2415" s="1">
        <v>45901</v>
      </c>
      <c r="F2415" s="1">
        <v>45901</v>
      </c>
      <c r="G2415" s="12">
        <v>428.40000000000003</v>
      </c>
      <c r="H2415" s="2">
        <v>0</v>
      </c>
      <c r="I2415" s="2">
        <v>0</v>
      </c>
      <c r="J2415" s="2">
        <v>0</v>
      </c>
      <c r="K2415" s="20">
        <v>428.40000000000003</v>
      </c>
      <c r="L2415" t="s">
        <v>794</v>
      </c>
      <c r="M2415">
        <f t="shared" si="37"/>
        <v>2025</v>
      </c>
    </row>
    <row r="2416" spans="1:13" ht="12.75" hidden="1" customHeight="1">
      <c r="A2416" t="s">
        <v>1173</v>
      </c>
      <c r="B2416" t="s">
        <v>45</v>
      </c>
      <c r="C2416" t="s">
        <v>139</v>
      </c>
      <c r="D2416" t="s">
        <v>1242</v>
      </c>
      <c r="E2416" s="1">
        <v>45901</v>
      </c>
      <c r="F2416" s="1">
        <v>45901</v>
      </c>
      <c r="G2416" s="12">
        <v>382.2</v>
      </c>
      <c r="H2416" s="2">
        <v>0</v>
      </c>
      <c r="I2416" s="2">
        <v>0</v>
      </c>
      <c r="J2416" s="2">
        <v>0</v>
      </c>
      <c r="K2416" s="20">
        <v>382.2</v>
      </c>
      <c r="L2416" t="s">
        <v>794</v>
      </c>
      <c r="M2416">
        <f t="shared" si="37"/>
        <v>2025</v>
      </c>
    </row>
    <row r="2417" spans="1:13" ht="12.75" hidden="1" customHeight="1">
      <c r="A2417" t="s">
        <v>814</v>
      </c>
      <c r="B2417" t="s">
        <v>56</v>
      </c>
      <c r="C2417" t="s">
        <v>139</v>
      </c>
      <c r="D2417" t="s">
        <v>1242</v>
      </c>
      <c r="E2417" s="1">
        <v>45901</v>
      </c>
      <c r="F2417" s="1">
        <v>45901</v>
      </c>
      <c r="G2417" s="12">
        <v>492.8</v>
      </c>
      <c r="H2417" s="2">
        <v>0</v>
      </c>
      <c r="I2417" s="2">
        <v>0</v>
      </c>
      <c r="J2417" s="2">
        <v>0</v>
      </c>
      <c r="K2417" s="20">
        <v>492.8</v>
      </c>
      <c r="L2417" t="s">
        <v>794</v>
      </c>
      <c r="M2417">
        <f t="shared" si="37"/>
        <v>2025</v>
      </c>
    </row>
    <row r="2418" spans="1:13" ht="12.75" hidden="1" customHeight="1">
      <c r="A2418" t="s">
        <v>961</v>
      </c>
      <c r="B2418" t="s">
        <v>41</v>
      </c>
      <c r="C2418" t="s">
        <v>139</v>
      </c>
      <c r="D2418" t="s">
        <v>1242</v>
      </c>
      <c r="E2418" s="1">
        <v>45901</v>
      </c>
      <c r="F2418" s="1">
        <v>45901</v>
      </c>
      <c r="G2418" s="12">
        <v>418.6</v>
      </c>
      <c r="H2418" s="2">
        <v>0</v>
      </c>
      <c r="I2418" s="2">
        <v>0</v>
      </c>
      <c r="J2418" s="2">
        <v>0</v>
      </c>
      <c r="K2418" s="20">
        <v>418.6</v>
      </c>
      <c r="L2418" t="s">
        <v>794</v>
      </c>
      <c r="M2418">
        <f t="shared" si="37"/>
        <v>2025</v>
      </c>
    </row>
    <row r="2419" spans="1:13" ht="12.75" hidden="1" customHeight="1">
      <c r="A2419" t="s">
        <v>1167</v>
      </c>
      <c r="B2419" t="s">
        <v>47</v>
      </c>
      <c r="C2419" t="s">
        <v>139</v>
      </c>
      <c r="D2419" t="s">
        <v>1242</v>
      </c>
      <c r="E2419" s="1">
        <v>45901</v>
      </c>
      <c r="F2419" s="1">
        <v>45901</v>
      </c>
      <c r="G2419" s="12">
        <v>236.6</v>
      </c>
      <c r="H2419" s="2">
        <v>0</v>
      </c>
      <c r="I2419" s="2">
        <v>0</v>
      </c>
      <c r="J2419" s="2">
        <v>0</v>
      </c>
      <c r="K2419" s="20">
        <v>236.6</v>
      </c>
      <c r="L2419" t="s">
        <v>794</v>
      </c>
      <c r="M2419">
        <f t="shared" si="37"/>
        <v>2025</v>
      </c>
    </row>
    <row r="2420" spans="1:13" ht="12.75" hidden="1" customHeight="1">
      <c r="A2420" t="s">
        <v>836</v>
      </c>
      <c r="B2420" t="s">
        <v>37</v>
      </c>
      <c r="C2420" t="s">
        <v>139</v>
      </c>
      <c r="D2420" t="s">
        <v>1242</v>
      </c>
      <c r="E2420" s="1">
        <v>45901</v>
      </c>
      <c r="F2420" s="1">
        <v>45901</v>
      </c>
      <c r="G2420" s="12">
        <v>543.4</v>
      </c>
      <c r="H2420" s="2">
        <v>0</v>
      </c>
      <c r="I2420" s="2">
        <v>0</v>
      </c>
      <c r="J2420" s="2">
        <v>0</v>
      </c>
      <c r="K2420" s="20">
        <v>543.4</v>
      </c>
      <c r="L2420" t="s">
        <v>794</v>
      </c>
      <c r="M2420">
        <f t="shared" si="37"/>
        <v>2025</v>
      </c>
    </row>
    <row r="2421" spans="1:13" ht="12.75" hidden="1" customHeight="1">
      <c r="A2421" t="s">
        <v>1240</v>
      </c>
      <c r="B2421" t="s">
        <v>263</v>
      </c>
      <c r="C2421" t="s">
        <v>139</v>
      </c>
      <c r="D2421" t="s">
        <v>1242</v>
      </c>
      <c r="E2421" s="1">
        <v>45901</v>
      </c>
      <c r="F2421" s="1">
        <v>45901</v>
      </c>
      <c r="G2421" s="12">
        <v>266.8</v>
      </c>
      <c r="H2421" s="2">
        <v>0</v>
      </c>
      <c r="I2421" s="2">
        <v>0</v>
      </c>
      <c r="J2421" s="2">
        <v>0</v>
      </c>
      <c r="K2421" s="20">
        <v>266.8</v>
      </c>
      <c r="L2421" t="s">
        <v>794</v>
      </c>
      <c r="M2421">
        <f t="shared" si="37"/>
        <v>2025</v>
      </c>
    </row>
    <row r="2422" spans="1:13" ht="12.75" hidden="1" customHeight="1">
      <c r="A2422" t="s">
        <v>810</v>
      </c>
      <c r="B2422" t="s">
        <v>54</v>
      </c>
      <c r="C2422" t="s">
        <v>139</v>
      </c>
      <c r="D2422" t="s">
        <v>1242</v>
      </c>
      <c r="E2422" s="1">
        <v>45901</v>
      </c>
      <c r="F2422" s="1">
        <v>45901</v>
      </c>
      <c r="G2422" s="12">
        <v>425.6</v>
      </c>
      <c r="H2422" s="2">
        <v>0</v>
      </c>
      <c r="I2422" s="2">
        <v>0</v>
      </c>
      <c r="J2422" s="2">
        <v>0</v>
      </c>
      <c r="K2422" s="20">
        <v>425.6</v>
      </c>
      <c r="L2422" t="s">
        <v>794</v>
      </c>
      <c r="M2422">
        <f t="shared" si="37"/>
        <v>2025</v>
      </c>
    </row>
    <row r="2423" spans="1:13" ht="12.75" hidden="1" customHeight="1">
      <c r="A2423" t="s">
        <v>1196</v>
      </c>
      <c r="B2423" t="s">
        <v>1197</v>
      </c>
      <c r="C2423" t="s">
        <v>139</v>
      </c>
      <c r="D2423" t="s">
        <v>1242</v>
      </c>
      <c r="E2423" s="1">
        <v>45901</v>
      </c>
      <c r="F2423" s="1">
        <v>45901</v>
      </c>
      <c r="G2423" s="12">
        <v>373.8</v>
      </c>
      <c r="H2423" s="2">
        <v>0</v>
      </c>
      <c r="I2423" s="2">
        <v>0</v>
      </c>
      <c r="J2423" s="2">
        <v>0</v>
      </c>
      <c r="K2423" s="20">
        <v>373.8</v>
      </c>
      <c r="L2423" t="s">
        <v>794</v>
      </c>
      <c r="M2423">
        <f t="shared" si="37"/>
        <v>2025</v>
      </c>
    </row>
    <row r="2424" spans="1:13" ht="12.75" hidden="1" customHeight="1">
      <c r="A2424" t="s">
        <v>833</v>
      </c>
      <c r="B2424" t="s">
        <v>27</v>
      </c>
      <c r="C2424" t="s">
        <v>139</v>
      </c>
      <c r="D2424" t="s">
        <v>1242</v>
      </c>
      <c r="E2424" s="1">
        <v>45901</v>
      </c>
      <c r="F2424" s="1">
        <v>45901</v>
      </c>
      <c r="G2424" s="12">
        <v>469.2</v>
      </c>
      <c r="H2424" s="2">
        <v>0</v>
      </c>
      <c r="I2424" s="2">
        <v>0</v>
      </c>
      <c r="J2424" s="2">
        <v>0</v>
      </c>
      <c r="K2424" s="20">
        <v>469.2</v>
      </c>
      <c r="L2424" t="s">
        <v>794</v>
      </c>
      <c r="M2424">
        <f t="shared" si="37"/>
        <v>2025</v>
      </c>
    </row>
    <row r="2425" spans="1:13" ht="12.75" hidden="1" customHeight="1">
      <c r="A2425" t="s">
        <v>818</v>
      </c>
      <c r="B2425" t="s">
        <v>30</v>
      </c>
      <c r="C2425" t="s">
        <v>139</v>
      </c>
      <c r="D2425" t="s">
        <v>1242</v>
      </c>
      <c r="E2425" s="1">
        <v>45901</v>
      </c>
      <c r="F2425" s="1">
        <v>45901</v>
      </c>
      <c r="G2425" s="12">
        <v>260.39999999999998</v>
      </c>
      <c r="H2425" s="2">
        <v>0</v>
      </c>
      <c r="I2425" s="2">
        <v>0</v>
      </c>
      <c r="J2425" s="2">
        <v>0</v>
      </c>
      <c r="K2425" s="20">
        <v>260.39999999999998</v>
      </c>
      <c r="L2425" t="s">
        <v>794</v>
      </c>
      <c r="M2425">
        <f t="shared" si="37"/>
        <v>2025</v>
      </c>
    </row>
    <row r="2426" spans="1:13" ht="12.75" hidden="1" customHeight="1">
      <c r="A2426" t="s">
        <v>1125</v>
      </c>
      <c r="B2426" t="s">
        <v>150</v>
      </c>
      <c r="C2426" t="s">
        <v>139</v>
      </c>
      <c r="D2426" t="s">
        <v>1242</v>
      </c>
      <c r="E2426" s="1">
        <v>45901</v>
      </c>
      <c r="F2426" s="1">
        <v>45901</v>
      </c>
      <c r="G2426" s="12">
        <v>271.39999999999998</v>
      </c>
      <c r="H2426" s="2">
        <v>0</v>
      </c>
      <c r="I2426" s="2">
        <v>0</v>
      </c>
      <c r="J2426" s="2">
        <v>0</v>
      </c>
      <c r="K2426" s="20">
        <v>271.39999999999998</v>
      </c>
      <c r="L2426" t="s">
        <v>794</v>
      </c>
      <c r="M2426">
        <f t="shared" si="37"/>
        <v>2025</v>
      </c>
    </row>
    <row r="2427" spans="1:13" ht="12.75" hidden="1" customHeight="1">
      <c r="A2427" t="s">
        <v>1009</v>
      </c>
      <c r="B2427" t="s">
        <v>62</v>
      </c>
      <c r="C2427" t="s">
        <v>139</v>
      </c>
      <c r="D2427" t="s">
        <v>1242</v>
      </c>
      <c r="E2427" s="1">
        <v>45901</v>
      </c>
      <c r="F2427" s="1">
        <v>45901</v>
      </c>
      <c r="G2427" s="12">
        <v>380.8</v>
      </c>
      <c r="H2427" s="2">
        <v>0</v>
      </c>
      <c r="I2427" s="2">
        <v>0</v>
      </c>
      <c r="J2427" s="2">
        <v>0</v>
      </c>
      <c r="K2427" s="20">
        <v>380.8</v>
      </c>
      <c r="L2427" t="s">
        <v>794</v>
      </c>
      <c r="M2427">
        <f t="shared" si="37"/>
        <v>2025</v>
      </c>
    </row>
    <row r="2428" spans="1:13" ht="12.75" hidden="1" customHeight="1">
      <c r="A2428" t="s">
        <v>799</v>
      </c>
      <c r="B2428" t="s">
        <v>24</v>
      </c>
      <c r="C2428" t="s">
        <v>138</v>
      </c>
      <c r="D2428" t="s">
        <v>1242</v>
      </c>
      <c r="E2428" s="1">
        <v>45901</v>
      </c>
      <c r="F2428" s="1">
        <v>45902</v>
      </c>
      <c r="G2428" s="12">
        <v>5874.66</v>
      </c>
      <c r="H2428" s="2">
        <v>0</v>
      </c>
      <c r="I2428" s="2">
        <v>0</v>
      </c>
      <c r="J2428" s="2">
        <v>0</v>
      </c>
      <c r="K2428" s="20">
        <v>5874.66</v>
      </c>
      <c r="L2428" t="s">
        <v>794</v>
      </c>
      <c r="M2428">
        <f t="shared" si="37"/>
        <v>2025</v>
      </c>
    </row>
    <row r="2429" spans="1:13" ht="12.75" hidden="1" customHeight="1">
      <c r="A2429" t="s">
        <v>892</v>
      </c>
      <c r="B2429" t="s">
        <v>110</v>
      </c>
      <c r="C2429" t="s">
        <v>733</v>
      </c>
      <c r="D2429" t="s">
        <v>1242</v>
      </c>
      <c r="E2429" s="1">
        <v>45901</v>
      </c>
      <c r="F2429" s="1">
        <v>45902</v>
      </c>
      <c r="G2429" s="12">
        <v>180</v>
      </c>
      <c r="H2429" s="2">
        <v>0</v>
      </c>
      <c r="I2429" s="2">
        <v>0</v>
      </c>
      <c r="J2429" s="2">
        <v>0</v>
      </c>
      <c r="K2429" s="20">
        <v>180</v>
      </c>
      <c r="L2429" t="s">
        <v>794</v>
      </c>
      <c r="M2429">
        <f t="shared" si="37"/>
        <v>2025</v>
      </c>
    </row>
    <row r="2430" spans="1:13" ht="12.75" hidden="1" customHeight="1">
      <c r="A2430" t="s">
        <v>819</v>
      </c>
      <c r="B2430" t="s">
        <v>38</v>
      </c>
      <c r="C2430" t="s">
        <v>138</v>
      </c>
      <c r="D2430" t="s">
        <v>1242</v>
      </c>
      <c r="E2430" s="1">
        <v>45901</v>
      </c>
      <c r="F2430" s="1">
        <v>45902</v>
      </c>
      <c r="G2430" s="12">
        <v>255.42000000000002</v>
      </c>
      <c r="H2430" s="2">
        <v>0</v>
      </c>
      <c r="I2430" s="2">
        <v>0</v>
      </c>
      <c r="J2430" s="2">
        <v>0</v>
      </c>
      <c r="K2430" s="20">
        <v>255.42000000000002</v>
      </c>
      <c r="L2430" t="s">
        <v>794</v>
      </c>
      <c r="M2430">
        <f t="shared" si="37"/>
        <v>2025</v>
      </c>
    </row>
    <row r="2431" spans="1:13" ht="12.75" hidden="1" customHeight="1">
      <c r="A2431" t="s">
        <v>841</v>
      </c>
      <c r="B2431" t="s">
        <v>164</v>
      </c>
      <c r="C2431" t="s">
        <v>722</v>
      </c>
      <c r="D2431" t="s">
        <v>1233</v>
      </c>
      <c r="E2431" s="1">
        <v>45899</v>
      </c>
      <c r="F2431" s="1">
        <v>45902</v>
      </c>
      <c r="G2431" s="12">
        <v>380.03000000000003</v>
      </c>
      <c r="H2431" s="2">
        <v>0</v>
      </c>
      <c r="I2431" s="2">
        <v>0</v>
      </c>
      <c r="J2431" s="2">
        <v>0</v>
      </c>
      <c r="K2431" s="20">
        <v>380.03000000000003</v>
      </c>
      <c r="L2431" t="s">
        <v>794</v>
      </c>
      <c r="M2431">
        <f t="shared" si="37"/>
        <v>2025</v>
      </c>
    </row>
    <row r="2432" spans="1:13" ht="12.75" hidden="1" customHeight="1">
      <c r="A2432" t="s">
        <v>801</v>
      </c>
      <c r="B2432" t="s">
        <v>13</v>
      </c>
      <c r="C2432" t="s">
        <v>740</v>
      </c>
      <c r="D2432" t="s">
        <v>1242</v>
      </c>
      <c r="E2432" s="1">
        <v>45902</v>
      </c>
      <c r="F2432" s="1">
        <v>45902</v>
      </c>
      <c r="G2432" s="12">
        <v>160.20000000000002</v>
      </c>
      <c r="H2432" s="2">
        <v>0</v>
      </c>
      <c r="I2432" s="2">
        <v>0</v>
      </c>
      <c r="J2432" s="2">
        <v>0</v>
      </c>
      <c r="K2432" s="20">
        <v>160.20000000000002</v>
      </c>
      <c r="L2432" t="s">
        <v>794</v>
      </c>
      <c r="M2432">
        <f t="shared" si="37"/>
        <v>2025</v>
      </c>
    </row>
    <row r="2433" spans="1:13" ht="12.75" hidden="1" customHeight="1">
      <c r="A2433" t="s">
        <v>801</v>
      </c>
      <c r="B2433" t="s">
        <v>13</v>
      </c>
      <c r="C2433" t="s">
        <v>740</v>
      </c>
      <c r="D2433" t="s">
        <v>1242</v>
      </c>
      <c r="E2433" s="1">
        <v>45902</v>
      </c>
      <c r="F2433" s="1">
        <v>45902</v>
      </c>
      <c r="G2433" s="12">
        <v>227.11</v>
      </c>
      <c r="H2433" s="2">
        <v>0</v>
      </c>
      <c r="I2433" s="2">
        <v>0</v>
      </c>
      <c r="J2433" s="2">
        <v>0</v>
      </c>
      <c r="K2433" s="20">
        <v>227.11</v>
      </c>
      <c r="L2433" t="s">
        <v>794</v>
      </c>
      <c r="M2433">
        <f t="shared" si="37"/>
        <v>2025</v>
      </c>
    </row>
    <row r="2434" spans="1:13" ht="12.75" hidden="1" customHeight="1">
      <c r="A2434" t="s">
        <v>801</v>
      </c>
      <c r="B2434" t="s">
        <v>13</v>
      </c>
      <c r="C2434" t="s">
        <v>726</v>
      </c>
      <c r="D2434" t="s">
        <v>1242</v>
      </c>
      <c r="E2434" s="1">
        <v>45902</v>
      </c>
      <c r="F2434" s="1">
        <v>45902</v>
      </c>
      <c r="G2434" s="12">
        <v>32.72</v>
      </c>
      <c r="H2434" s="2">
        <v>0</v>
      </c>
      <c r="I2434" s="2">
        <v>0</v>
      </c>
      <c r="J2434" s="2">
        <v>0</v>
      </c>
      <c r="K2434" s="20">
        <v>32.72</v>
      </c>
      <c r="L2434" t="s">
        <v>794</v>
      </c>
      <c r="M2434">
        <f t="shared" si="37"/>
        <v>2025</v>
      </c>
    </row>
    <row r="2435" spans="1:13" ht="12.75" hidden="1" customHeight="1">
      <c r="A2435" t="s">
        <v>801</v>
      </c>
      <c r="B2435" t="s">
        <v>13</v>
      </c>
      <c r="C2435" t="s">
        <v>740</v>
      </c>
      <c r="D2435" t="s">
        <v>1242</v>
      </c>
      <c r="E2435" s="1">
        <v>45902</v>
      </c>
      <c r="F2435" s="1">
        <v>45902</v>
      </c>
      <c r="G2435" s="12">
        <v>203.36</v>
      </c>
      <c r="H2435" s="2">
        <v>0</v>
      </c>
      <c r="I2435" s="2">
        <v>0</v>
      </c>
      <c r="J2435" s="2">
        <v>0</v>
      </c>
      <c r="K2435" s="20">
        <v>203.36</v>
      </c>
      <c r="L2435" t="s">
        <v>794</v>
      </c>
      <c r="M2435">
        <f t="shared" ref="M2435:M2498" si="38">YEAR(F2435)</f>
        <v>2025</v>
      </c>
    </row>
    <row r="2436" spans="1:13" ht="12.75" hidden="1" customHeight="1">
      <c r="A2436" t="s">
        <v>823</v>
      </c>
      <c r="B2436" t="s">
        <v>245</v>
      </c>
      <c r="C2436" t="s">
        <v>736</v>
      </c>
      <c r="D2436" t="s">
        <v>1242</v>
      </c>
      <c r="E2436" s="1">
        <v>45901</v>
      </c>
      <c r="F2436" s="1">
        <v>45902</v>
      </c>
      <c r="G2436" s="12">
        <v>252.28</v>
      </c>
      <c r="H2436" s="2">
        <v>0</v>
      </c>
      <c r="I2436" s="2">
        <v>0</v>
      </c>
      <c r="J2436" s="2">
        <v>0</v>
      </c>
      <c r="K2436" s="20">
        <v>252.28</v>
      </c>
      <c r="L2436" t="s">
        <v>794</v>
      </c>
      <c r="M2436">
        <f t="shared" si="38"/>
        <v>2025</v>
      </c>
    </row>
    <row r="2437" spans="1:13" ht="12.75" hidden="1" customHeight="1">
      <c r="A2437" t="s">
        <v>1104</v>
      </c>
      <c r="B2437" t="s">
        <v>53</v>
      </c>
      <c r="C2437" t="s">
        <v>139</v>
      </c>
      <c r="D2437" t="s">
        <v>1242</v>
      </c>
      <c r="E2437" s="1">
        <v>45901</v>
      </c>
      <c r="F2437" s="1">
        <v>45903</v>
      </c>
      <c r="G2437" s="12">
        <v>629.20000000000005</v>
      </c>
      <c r="H2437" s="2">
        <v>0</v>
      </c>
      <c r="I2437" s="2">
        <v>0</v>
      </c>
      <c r="J2437" s="2">
        <v>0</v>
      </c>
      <c r="K2437" s="20">
        <v>629.20000000000005</v>
      </c>
      <c r="L2437" t="s">
        <v>794</v>
      </c>
      <c r="M2437">
        <f t="shared" si="38"/>
        <v>2025</v>
      </c>
    </row>
    <row r="2438" spans="1:13" ht="12.75" hidden="1" customHeight="1">
      <c r="A2438" t="s">
        <v>1283</v>
      </c>
      <c r="B2438" t="s">
        <v>534</v>
      </c>
      <c r="C2438" t="s">
        <v>452</v>
      </c>
      <c r="D2438" t="s">
        <v>1242</v>
      </c>
      <c r="E2438" s="1">
        <v>45904</v>
      </c>
      <c r="F2438" s="1">
        <v>45904</v>
      </c>
      <c r="G2438" s="12">
        <v>99</v>
      </c>
      <c r="H2438" s="2">
        <v>0</v>
      </c>
      <c r="I2438" s="2">
        <v>0</v>
      </c>
      <c r="J2438" s="2">
        <v>0</v>
      </c>
      <c r="K2438" s="20">
        <v>99</v>
      </c>
      <c r="L2438" t="s">
        <v>794</v>
      </c>
      <c r="M2438">
        <f t="shared" si="38"/>
        <v>2025</v>
      </c>
    </row>
    <row r="2439" spans="1:13" ht="12.75" hidden="1" customHeight="1">
      <c r="A2439" t="s">
        <v>792</v>
      </c>
      <c r="B2439" t="s">
        <v>35</v>
      </c>
      <c r="C2439" t="s">
        <v>206</v>
      </c>
      <c r="D2439" t="s">
        <v>1242</v>
      </c>
      <c r="E2439" s="1">
        <v>45903</v>
      </c>
      <c r="F2439" s="1">
        <v>45904</v>
      </c>
      <c r="G2439" s="12">
        <v>875.7</v>
      </c>
      <c r="H2439" s="2">
        <v>0</v>
      </c>
      <c r="I2439" s="2">
        <v>0</v>
      </c>
      <c r="J2439" s="2">
        <v>0</v>
      </c>
      <c r="K2439" s="20">
        <v>875.7</v>
      </c>
      <c r="L2439" t="s">
        <v>794</v>
      </c>
      <c r="M2439">
        <f t="shared" si="38"/>
        <v>2025</v>
      </c>
    </row>
    <row r="2440" spans="1:13" ht="12.75" hidden="1" customHeight="1">
      <c r="A2440" t="s">
        <v>797</v>
      </c>
      <c r="B2440" t="s">
        <v>25</v>
      </c>
      <c r="C2440" t="s">
        <v>206</v>
      </c>
      <c r="D2440" t="s">
        <v>1242</v>
      </c>
      <c r="E2440" s="1">
        <v>45903</v>
      </c>
      <c r="F2440" s="1">
        <v>45904</v>
      </c>
      <c r="G2440" s="12">
        <v>2124.3000000000002</v>
      </c>
      <c r="H2440" s="2">
        <v>0</v>
      </c>
      <c r="I2440" s="2">
        <v>0</v>
      </c>
      <c r="J2440" s="2">
        <v>0</v>
      </c>
      <c r="K2440" s="20">
        <v>2124.3000000000002</v>
      </c>
      <c r="L2440" t="s">
        <v>794</v>
      </c>
      <c r="M2440">
        <f t="shared" si="38"/>
        <v>2025</v>
      </c>
    </row>
    <row r="2441" spans="1:13" ht="12.75" hidden="1" customHeight="1">
      <c r="A2441" t="s">
        <v>801</v>
      </c>
      <c r="B2441" t="s">
        <v>13</v>
      </c>
      <c r="C2441" t="s">
        <v>739</v>
      </c>
      <c r="D2441" t="s">
        <v>1242</v>
      </c>
      <c r="E2441" s="1">
        <v>45902</v>
      </c>
      <c r="F2441" s="1">
        <v>45904</v>
      </c>
      <c r="G2441" s="12">
        <v>510.3</v>
      </c>
      <c r="H2441" s="2">
        <v>0</v>
      </c>
      <c r="I2441" s="2">
        <v>0</v>
      </c>
      <c r="J2441" s="2">
        <v>0</v>
      </c>
      <c r="K2441" s="20">
        <v>510.3</v>
      </c>
      <c r="L2441" t="s">
        <v>794</v>
      </c>
      <c r="M2441">
        <f t="shared" si="38"/>
        <v>2025</v>
      </c>
    </row>
    <row r="2442" spans="1:13" ht="12.75" hidden="1" customHeight="1">
      <c r="A2442" t="s">
        <v>801</v>
      </c>
      <c r="B2442" t="s">
        <v>13</v>
      </c>
      <c r="C2442" t="s">
        <v>739</v>
      </c>
      <c r="D2442" t="s">
        <v>1242</v>
      </c>
      <c r="E2442" s="1">
        <v>45902</v>
      </c>
      <c r="F2442" s="1">
        <v>45904</v>
      </c>
      <c r="G2442" s="12">
        <v>33.74</v>
      </c>
      <c r="H2442" s="2">
        <v>0</v>
      </c>
      <c r="I2442" s="2">
        <v>0</v>
      </c>
      <c r="J2442" s="2">
        <v>0</v>
      </c>
      <c r="K2442" s="20">
        <v>33.74</v>
      </c>
      <c r="L2442" t="s">
        <v>794</v>
      </c>
      <c r="M2442">
        <f t="shared" si="38"/>
        <v>2025</v>
      </c>
    </row>
    <row r="2443" spans="1:13" ht="12.75" hidden="1" customHeight="1">
      <c r="A2443" t="s">
        <v>801</v>
      </c>
      <c r="B2443" t="s">
        <v>13</v>
      </c>
      <c r="C2443" t="s">
        <v>739</v>
      </c>
      <c r="D2443" t="s">
        <v>1242</v>
      </c>
      <c r="E2443" s="1">
        <v>45902</v>
      </c>
      <c r="F2443" s="1">
        <v>45904</v>
      </c>
      <c r="G2443" s="12">
        <v>480.13</v>
      </c>
      <c r="H2443" s="2">
        <v>0</v>
      </c>
      <c r="I2443" s="2">
        <v>0</v>
      </c>
      <c r="J2443" s="2">
        <v>0</v>
      </c>
      <c r="K2443" s="20">
        <v>480.13</v>
      </c>
      <c r="L2443" t="s">
        <v>794</v>
      </c>
      <c r="M2443">
        <f t="shared" si="38"/>
        <v>2025</v>
      </c>
    </row>
    <row r="2444" spans="1:13" ht="12.75" hidden="1" customHeight="1">
      <c r="A2444" t="s">
        <v>801</v>
      </c>
      <c r="B2444" t="s">
        <v>13</v>
      </c>
      <c r="C2444" t="s">
        <v>726</v>
      </c>
      <c r="D2444" t="s">
        <v>1242</v>
      </c>
      <c r="E2444" s="1">
        <v>45903</v>
      </c>
      <c r="F2444" s="1">
        <v>45904</v>
      </c>
      <c r="G2444" s="12">
        <v>2.04</v>
      </c>
      <c r="H2444" s="2">
        <v>0</v>
      </c>
      <c r="I2444" s="2">
        <v>0</v>
      </c>
      <c r="J2444" s="2">
        <v>0</v>
      </c>
      <c r="K2444" s="20">
        <v>2.04</v>
      </c>
      <c r="L2444" t="s">
        <v>794</v>
      </c>
      <c r="M2444">
        <f t="shared" si="38"/>
        <v>2025</v>
      </c>
    </row>
    <row r="2445" spans="1:13" ht="12.75" hidden="1" customHeight="1">
      <c r="A2445" t="s">
        <v>801</v>
      </c>
      <c r="B2445" t="s">
        <v>13</v>
      </c>
      <c r="C2445" t="s">
        <v>717</v>
      </c>
      <c r="D2445" t="s">
        <v>1242</v>
      </c>
      <c r="E2445" s="1">
        <v>45903</v>
      </c>
      <c r="F2445" s="1">
        <v>45904</v>
      </c>
      <c r="G2445" s="12">
        <v>4305.21</v>
      </c>
      <c r="H2445" s="2">
        <v>0</v>
      </c>
      <c r="I2445" s="2">
        <v>0</v>
      </c>
      <c r="J2445" s="2">
        <v>0</v>
      </c>
      <c r="K2445" s="20">
        <v>4305.21</v>
      </c>
      <c r="L2445" t="s">
        <v>794</v>
      </c>
      <c r="M2445">
        <f t="shared" si="38"/>
        <v>2025</v>
      </c>
    </row>
    <row r="2446" spans="1:13" ht="12.75" hidden="1" customHeight="1">
      <c r="A2446" t="s">
        <v>1181</v>
      </c>
      <c r="B2446" t="s">
        <v>75</v>
      </c>
      <c r="C2446" t="s">
        <v>141</v>
      </c>
      <c r="D2446" t="s">
        <v>1242</v>
      </c>
      <c r="E2446" s="1">
        <v>45902</v>
      </c>
      <c r="F2446" s="1">
        <v>45904</v>
      </c>
      <c r="G2446" s="12">
        <v>96</v>
      </c>
      <c r="H2446" s="2">
        <v>0</v>
      </c>
      <c r="I2446" s="2">
        <v>0</v>
      </c>
      <c r="J2446" s="2">
        <v>0</v>
      </c>
      <c r="K2446" s="20">
        <v>96</v>
      </c>
      <c r="L2446" t="s">
        <v>794</v>
      </c>
      <c r="M2446">
        <f t="shared" si="38"/>
        <v>2025</v>
      </c>
    </row>
    <row r="2447" spans="1:13" ht="12.75" hidden="1" customHeight="1">
      <c r="A2447" t="s">
        <v>801</v>
      </c>
      <c r="B2447" t="s">
        <v>13</v>
      </c>
      <c r="C2447" t="s">
        <v>726</v>
      </c>
      <c r="D2447" t="s">
        <v>1242</v>
      </c>
      <c r="E2447" s="1">
        <v>45903</v>
      </c>
      <c r="F2447" s="1">
        <v>45904</v>
      </c>
      <c r="G2447" s="12">
        <v>16.32</v>
      </c>
      <c r="H2447" s="2">
        <v>0</v>
      </c>
      <c r="I2447" s="2">
        <v>0</v>
      </c>
      <c r="J2447" s="2">
        <v>0</v>
      </c>
      <c r="K2447" s="20">
        <v>16.32</v>
      </c>
      <c r="L2447" t="s">
        <v>794</v>
      </c>
      <c r="M2447">
        <f t="shared" si="38"/>
        <v>2025</v>
      </c>
    </row>
    <row r="2448" spans="1:13" ht="12.75" hidden="1" customHeight="1">
      <c r="A2448" t="s">
        <v>801</v>
      </c>
      <c r="B2448" t="s">
        <v>13</v>
      </c>
      <c r="C2448" t="s">
        <v>726</v>
      </c>
      <c r="D2448" t="s">
        <v>1242</v>
      </c>
      <c r="E2448" s="1">
        <v>45901</v>
      </c>
      <c r="F2448" s="1">
        <v>45904</v>
      </c>
      <c r="G2448" s="12">
        <v>61.09</v>
      </c>
      <c r="H2448" s="2">
        <v>0</v>
      </c>
      <c r="I2448" s="2">
        <v>0</v>
      </c>
      <c r="J2448" s="2">
        <v>0</v>
      </c>
      <c r="K2448" s="20">
        <v>61.09</v>
      </c>
      <c r="L2448" t="s">
        <v>794</v>
      </c>
      <c r="M2448">
        <f t="shared" si="38"/>
        <v>2025</v>
      </c>
    </row>
    <row r="2449" spans="1:13" ht="12.75" hidden="1" customHeight="1">
      <c r="A2449" t="s">
        <v>801</v>
      </c>
      <c r="B2449" t="s">
        <v>13</v>
      </c>
      <c r="C2449" t="s">
        <v>726</v>
      </c>
      <c r="D2449" t="s">
        <v>1242</v>
      </c>
      <c r="E2449" s="1">
        <v>45901</v>
      </c>
      <c r="F2449" s="1">
        <v>45904</v>
      </c>
      <c r="G2449" s="12">
        <v>12.24</v>
      </c>
      <c r="H2449" s="2">
        <v>0</v>
      </c>
      <c r="I2449" s="2">
        <v>0</v>
      </c>
      <c r="J2449" s="2">
        <v>0</v>
      </c>
      <c r="K2449" s="20">
        <v>12.24</v>
      </c>
      <c r="L2449" t="s">
        <v>794</v>
      </c>
      <c r="M2449">
        <f t="shared" si="38"/>
        <v>2025</v>
      </c>
    </row>
    <row r="2450" spans="1:13" ht="12.75" hidden="1" customHeight="1">
      <c r="A2450" t="s">
        <v>811</v>
      </c>
      <c r="B2450" t="s">
        <v>39</v>
      </c>
      <c r="C2450" t="s">
        <v>141</v>
      </c>
      <c r="D2450" t="s">
        <v>1242</v>
      </c>
      <c r="E2450" s="1">
        <v>45901</v>
      </c>
      <c r="F2450" s="1">
        <v>45904</v>
      </c>
      <c r="G2450" s="12">
        <v>36</v>
      </c>
      <c r="H2450" s="2">
        <v>0</v>
      </c>
      <c r="I2450" s="2">
        <v>0</v>
      </c>
      <c r="J2450" s="2">
        <v>0</v>
      </c>
      <c r="K2450" s="20">
        <v>36</v>
      </c>
      <c r="L2450" t="s">
        <v>794</v>
      </c>
      <c r="M2450">
        <f t="shared" si="38"/>
        <v>2025</v>
      </c>
    </row>
    <row r="2451" spans="1:13" ht="12.75" hidden="1" customHeight="1">
      <c r="A2451" t="s">
        <v>837</v>
      </c>
      <c r="B2451" t="s">
        <v>58</v>
      </c>
      <c r="C2451" t="s">
        <v>206</v>
      </c>
      <c r="D2451" t="s">
        <v>1242</v>
      </c>
      <c r="E2451" s="1">
        <v>45905</v>
      </c>
      <c r="F2451" s="1">
        <v>45905</v>
      </c>
      <c r="G2451" s="12">
        <v>1877.16</v>
      </c>
      <c r="H2451" s="2">
        <v>0</v>
      </c>
      <c r="I2451" s="2">
        <v>0</v>
      </c>
      <c r="J2451" s="2">
        <v>0</v>
      </c>
      <c r="K2451" s="20">
        <v>1877.16</v>
      </c>
      <c r="L2451" t="s">
        <v>794</v>
      </c>
      <c r="M2451">
        <f t="shared" si="38"/>
        <v>2025</v>
      </c>
    </row>
    <row r="2452" spans="1:13" ht="12.75" hidden="1" customHeight="1">
      <c r="A2452" t="s">
        <v>825</v>
      </c>
      <c r="B2452" t="s">
        <v>46</v>
      </c>
      <c r="C2452" t="s">
        <v>137</v>
      </c>
      <c r="D2452" t="s">
        <v>1242</v>
      </c>
      <c r="E2452" s="1">
        <v>45905</v>
      </c>
      <c r="F2452" s="1">
        <v>45905</v>
      </c>
      <c r="G2452" s="12">
        <v>1121</v>
      </c>
      <c r="H2452" s="2">
        <v>0</v>
      </c>
      <c r="I2452" s="2">
        <v>0</v>
      </c>
      <c r="J2452" s="2">
        <v>0</v>
      </c>
      <c r="K2452" s="20">
        <v>1121</v>
      </c>
      <c r="L2452" t="s">
        <v>794</v>
      </c>
      <c r="M2452">
        <f t="shared" si="38"/>
        <v>2025</v>
      </c>
    </row>
    <row r="2453" spans="1:13" ht="12.75" hidden="1" customHeight="1">
      <c r="A2453" t="s">
        <v>1181</v>
      </c>
      <c r="B2453" t="s">
        <v>75</v>
      </c>
      <c r="C2453" t="s">
        <v>137</v>
      </c>
      <c r="D2453" t="s">
        <v>1242</v>
      </c>
      <c r="E2453" s="1">
        <v>45905</v>
      </c>
      <c r="F2453" s="1">
        <v>45905</v>
      </c>
      <c r="G2453" s="12">
        <v>1561</v>
      </c>
      <c r="H2453" s="2">
        <v>0</v>
      </c>
      <c r="I2453" s="2">
        <v>0</v>
      </c>
      <c r="J2453" s="2">
        <v>0</v>
      </c>
      <c r="K2453" s="20">
        <v>1561</v>
      </c>
      <c r="L2453" t="s">
        <v>794</v>
      </c>
      <c r="M2453">
        <f t="shared" si="38"/>
        <v>2025</v>
      </c>
    </row>
    <row r="2454" spans="1:13" ht="12.75" hidden="1" customHeight="1">
      <c r="A2454" t="s">
        <v>812</v>
      </c>
      <c r="B2454" t="s">
        <v>31</v>
      </c>
      <c r="C2454" t="s">
        <v>137</v>
      </c>
      <c r="D2454" t="s">
        <v>1242</v>
      </c>
      <c r="E2454" s="1">
        <v>45905</v>
      </c>
      <c r="F2454" s="1">
        <v>45905</v>
      </c>
      <c r="G2454" s="12">
        <v>1478</v>
      </c>
      <c r="H2454" s="2">
        <v>0</v>
      </c>
      <c r="I2454" s="2">
        <v>0</v>
      </c>
      <c r="J2454" s="2">
        <v>0</v>
      </c>
      <c r="K2454" s="20">
        <v>1478</v>
      </c>
      <c r="L2454" t="s">
        <v>794</v>
      </c>
      <c r="M2454">
        <f t="shared" si="38"/>
        <v>2025</v>
      </c>
    </row>
    <row r="2455" spans="1:13" ht="12.75" hidden="1" customHeight="1">
      <c r="A2455" t="s">
        <v>1105</v>
      </c>
      <c r="B2455" t="s">
        <v>84</v>
      </c>
      <c r="C2455" t="s">
        <v>137</v>
      </c>
      <c r="D2455" t="s">
        <v>1242</v>
      </c>
      <c r="E2455" s="1">
        <v>45905</v>
      </c>
      <c r="F2455" s="1">
        <v>45905</v>
      </c>
      <c r="G2455" s="12">
        <v>1511</v>
      </c>
      <c r="H2455" s="2">
        <v>0</v>
      </c>
      <c r="I2455" s="2">
        <v>0</v>
      </c>
      <c r="J2455" s="2">
        <v>0</v>
      </c>
      <c r="K2455" s="20">
        <v>1511</v>
      </c>
      <c r="L2455" t="s">
        <v>794</v>
      </c>
      <c r="M2455">
        <f t="shared" si="38"/>
        <v>2025</v>
      </c>
    </row>
    <row r="2456" spans="1:13" ht="12.75" hidden="1" customHeight="1">
      <c r="A2456" t="s">
        <v>1141</v>
      </c>
      <c r="B2456" t="s">
        <v>69</v>
      </c>
      <c r="C2456" t="s">
        <v>137</v>
      </c>
      <c r="D2456" t="s">
        <v>1242</v>
      </c>
      <c r="E2456" s="1">
        <v>45905</v>
      </c>
      <c r="F2456" s="1">
        <v>45905</v>
      </c>
      <c r="G2456" s="12">
        <v>1574</v>
      </c>
      <c r="H2456" s="2">
        <v>0</v>
      </c>
      <c r="I2456" s="2">
        <v>0</v>
      </c>
      <c r="J2456" s="2">
        <v>0</v>
      </c>
      <c r="K2456" s="20">
        <v>1574</v>
      </c>
      <c r="L2456" t="s">
        <v>794</v>
      </c>
      <c r="M2456">
        <f t="shared" si="38"/>
        <v>2025</v>
      </c>
    </row>
    <row r="2457" spans="1:13" ht="12.75" hidden="1" customHeight="1">
      <c r="A2457" t="s">
        <v>1239</v>
      </c>
      <c r="B2457" t="s">
        <v>224</v>
      </c>
      <c r="C2457" t="s">
        <v>137</v>
      </c>
      <c r="D2457" t="s">
        <v>1242</v>
      </c>
      <c r="E2457" s="1">
        <v>45905</v>
      </c>
      <c r="F2457" s="1">
        <v>45905</v>
      </c>
      <c r="G2457" s="12">
        <v>586</v>
      </c>
      <c r="H2457" s="2">
        <v>0</v>
      </c>
      <c r="I2457" s="2">
        <v>0</v>
      </c>
      <c r="J2457" s="2">
        <v>0</v>
      </c>
      <c r="K2457" s="20">
        <v>586</v>
      </c>
      <c r="L2457" t="s">
        <v>794</v>
      </c>
      <c r="M2457">
        <f t="shared" si="38"/>
        <v>2025</v>
      </c>
    </row>
    <row r="2458" spans="1:13" ht="12.75" hidden="1" customHeight="1">
      <c r="A2458" t="s">
        <v>833</v>
      </c>
      <c r="B2458" t="s">
        <v>27</v>
      </c>
      <c r="C2458" t="s">
        <v>137</v>
      </c>
      <c r="D2458" t="s">
        <v>1242</v>
      </c>
      <c r="E2458" s="1">
        <v>45905</v>
      </c>
      <c r="F2458" s="1">
        <v>45905</v>
      </c>
      <c r="G2458" s="12">
        <v>1896</v>
      </c>
      <c r="H2458" s="2">
        <v>0</v>
      </c>
      <c r="I2458" s="2">
        <v>0</v>
      </c>
      <c r="J2458" s="2">
        <v>0</v>
      </c>
      <c r="K2458" s="20">
        <v>1896</v>
      </c>
      <c r="L2458" t="s">
        <v>794</v>
      </c>
      <c r="M2458">
        <f t="shared" si="38"/>
        <v>2025</v>
      </c>
    </row>
    <row r="2459" spans="1:13" ht="12.75" hidden="1" customHeight="1">
      <c r="A2459" t="s">
        <v>797</v>
      </c>
      <c r="B2459" t="s">
        <v>25</v>
      </c>
      <c r="C2459" t="s">
        <v>206</v>
      </c>
      <c r="D2459" t="s">
        <v>1242</v>
      </c>
      <c r="E2459" s="1">
        <v>45905</v>
      </c>
      <c r="F2459" s="1">
        <v>45908</v>
      </c>
      <c r="G2459" s="12">
        <v>1557.82</v>
      </c>
      <c r="H2459" s="2">
        <v>0</v>
      </c>
      <c r="I2459" s="2">
        <v>0</v>
      </c>
      <c r="J2459" s="2">
        <v>0</v>
      </c>
      <c r="K2459" s="20">
        <v>1557.82</v>
      </c>
      <c r="L2459" t="s">
        <v>794</v>
      </c>
      <c r="M2459">
        <f t="shared" si="38"/>
        <v>2025</v>
      </c>
    </row>
    <row r="2460" spans="1:13" ht="12.75" hidden="1" customHeight="1">
      <c r="A2460" t="s">
        <v>792</v>
      </c>
      <c r="B2460" t="s">
        <v>35</v>
      </c>
      <c r="C2460" t="s">
        <v>206</v>
      </c>
      <c r="D2460" t="s">
        <v>1242</v>
      </c>
      <c r="E2460" s="1">
        <v>45905</v>
      </c>
      <c r="F2460" s="1">
        <v>45908</v>
      </c>
      <c r="G2460" s="12">
        <v>642.18000000000006</v>
      </c>
      <c r="H2460" s="2">
        <v>0</v>
      </c>
      <c r="I2460" s="2">
        <v>0</v>
      </c>
      <c r="J2460" s="2">
        <v>0</v>
      </c>
      <c r="K2460" s="20">
        <v>642.18000000000006</v>
      </c>
      <c r="L2460" t="s">
        <v>794</v>
      </c>
      <c r="M2460">
        <f t="shared" si="38"/>
        <v>2025</v>
      </c>
    </row>
    <row r="2461" spans="1:13" ht="12.75" hidden="1" customHeight="1">
      <c r="A2461" t="s">
        <v>792</v>
      </c>
      <c r="B2461" t="s">
        <v>35</v>
      </c>
      <c r="C2461" t="s">
        <v>206</v>
      </c>
      <c r="D2461" t="s">
        <v>1242</v>
      </c>
      <c r="E2461" s="1">
        <v>45905</v>
      </c>
      <c r="F2461" s="1">
        <v>45908</v>
      </c>
      <c r="G2461" s="12">
        <v>875.7</v>
      </c>
      <c r="H2461" s="2">
        <v>0</v>
      </c>
      <c r="I2461" s="2">
        <v>0</v>
      </c>
      <c r="J2461" s="2">
        <v>0</v>
      </c>
      <c r="K2461" s="20">
        <v>875.7</v>
      </c>
      <c r="L2461" t="s">
        <v>794</v>
      </c>
      <c r="M2461">
        <f t="shared" si="38"/>
        <v>2025</v>
      </c>
    </row>
    <row r="2462" spans="1:13" ht="12.75" hidden="1" customHeight="1">
      <c r="A2462" t="s">
        <v>1125</v>
      </c>
      <c r="B2462" t="s">
        <v>150</v>
      </c>
      <c r="C2462" t="s">
        <v>137</v>
      </c>
      <c r="D2462" t="s">
        <v>1242</v>
      </c>
      <c r="E2462" s="1">
        <v>45905</v>
      </c>
      <c r="F2462" s="1">
        <v>45908</v>
      </c>
      <c r="G2462" s="12">
        <v>900</v>
      </c>
      <c r="H2462" s="2">
        <v>0</v>
      </c>
      <c r="I2462" s="2">
        <v>0</v>
      </c>
      <c r="J2462" s="2">
        <v>0</v>
      </c>
      <c r="K2462" s="20">
        <v>900</v>
      </c>
      <c r="L2462" t="s">
        <v>794</v>
      </c>
      <c r="M2462">
        <f t="shared" si="38"/>
        <v>2025</v>
      </c>
    </row>
    <row r="2463" spans="1:13" ht="12.75" hidden="1" customHeight="1">
      <c r="A2463" t="s">
        <v>819</v>
      </c>
      <c r="B2463" t="s">
        <v>38</v>
      </c>
      <c r="C2463" t="s">
        <v>137</v>
      </c>
      <c r="D2463" t="s">
        <v>1242</v>
      </c>
      <c r="E2463" s="1">
        <v>45905</v>
      </c>
      <c r="F2463" s="1">
        <v>45908</v>
      </c>
      <c r="G2463" s="12">
        <v>1656</v>
      </c>
      <c r="H2463" s="2">
        <v>0</v>
      </c>
      <c r="I2463" s="2">
        <v>0</v>
      </c>
      <c r="J2463" s="2">
        <v>0</v>
      </c>
      <c r="K2463" s="20">
        <v>1656</v>
      </c>
      <c r="L2463" t="s">
        <v>794</v>
      </c>
      <c r="M2463">
        <f t="shared" si="38"/>
        <v>2025</v>
      </c>
    </row>
    <row r="2464" spans="1:13" ht="12.75" hidden="1" customHeight="1">
      <c r="A2464" t="s">
        <v>1240</v>
      </c>
      <c r="B2464" t="s">
        <v>263</v>
      </c>
      <c r="C2464" t="s">
        <v>137</v>
      </c>
      <c r="D2464" t="s">
        <v>1242</v>
      </c>
      <c r="E2464" s="1">
        <v>45905</v>
      </c>
      <c r="F2464" s="1">
        <v>45908</v>
      </c>
      <c r="G2464" s="12">
        <v>680</v>
      </c>
      <c r="H2464" s="2">
        <v>0</v>
      </c>
      <c r="I2464" s="2">
        <v>0</v>
      </c>
      <c r="J2464" s="2">
        <v>0</v>
      </c>
      <c r="K2464" s="20">
        <v>680</v>
      </c>
      <c r="L2464" t="s">
        <v>794</v>
      </c>
      <c r="M2464">
        <f t="shared" si="38"/>
        <v>2025</v>
      </c>
    </row>
    <row r="2465" spans="1:13" ht="12.75" hidden="1" customHeight="1">
      <c r="A2465" t="s">
        <v>1112</v>
      </c>
      <c r="B2465" t="s">
        <v>68</v>
      </c>
      <c r="C2465" t="s">
        <v>137</v>
      </c>
      <c r="D2465" t="s">
        <v>1242</v>
      </c>
      <c r="E2465" s="1">
        <v>45905</v>
      </c>
      <c r="F2465" s="1">
        <v>45908</v>
      </c>
      <c r="G2465" s="12">
        <v>900</v>
      </c>
      <c r="H2465" s="2">
        <v>0</v>
      </c>
      <c r="I2465" s="2">
        <v>0</v>
      </c>
      <c r="J2465" s="2">
        <v>0</v>
      </c>
      <c r="K2465" s="20">
        <v>900</v>
      </c>
      <c r="L2465" t="s">
        <v>794</v>
      </c>
      <c r="M2465">
        <f t="shared" si="38"/>
        <v>2025</v>
      </c>
    </row>
    <row r="2466" spans="1:13" ht="12.75" hidden="1" customHeight="1">
      <c r="A2466" t="s">
        <v>1223</v>
      </c>
      <c r="B2466" t="s">
        <v>1224</v>
      </c>
      <c r="C2466" t="s">
        <v>725</v>
      </c>
      <c r="D2466" t="s">
        <v>1242</v>
      </c>
      <c r="E2466" s="1">
        <v>45905</v>
      </c>
      <c r="F2466" s="1">
        <v>45908</v>
      </c>
      <c r="G2466" s="12">
        <v>4558.8</v>
      </c>
      <c r="H2466" s="2">
        <v>0</v>
      </c>
      <c r="I2466" s="2">
        <v>0</v>
      </c>
      <c r="J2466" s="2">
        <v>0</v>
      </c>
      <c r="K2466" s="20">
        <v>4558.8</v>
      </c>
      <c r="L2466" t="s">
        <v>794</v>
      </c>
      <c r="M2466">
        <f t="shared" si="38"/>
        <v>2025</v>
      </c>
    </row>
    <row r="2467" spans="1:13" ht="12.75" hidden="1" customHeight="1">
      <c r="A2467" t="s">
        <v>833</v>
      </c>
      <c r="B2467" t="s">
        <v>27</v>
      </c>
      <c r="C2467" t="s">
        <v>137</v>
      </c>
      <c r="D2467" t="s">
        <v>1242</v>
      </c>
      <c r="E2467" s="1">
        <v>45905</v>
      </c>
      <c r="F2467" s="1">
        <v>45908</v>
      </c>
      <c r="G2467" s="12">
        <v>1000</v>
      </c>
      <c r="H2467" s="2">
        <v>0</v>
      </c>
      <c r="I2467" s="2">
        <v>0</v>
      </c>
      <c r="J2467" s="2">
        <v>0</v>
      </c>
      <c r="K2467" s="20">
        <v>1000</v>
      </c>
      <c r="L2467" t="s">
        <v>794</v>
      </c>
      <c r="M2467">
        <f t="shared" si="38"/>
        <v>2025</v>
      </c>
    </row>
    <row r="2468" spans="1:13" ht="12.75" hidden="1" customHeight="1">
      <c r="A2468" t="s">
        <v>1239</v>
      </c>
      <c r="B2468" t="s">
        <v>224</v>
      </c>
      <c r="C2468" t="s">
        <v>137</v>
      </c>
      <c r="D2468" t="s">
        <v>1242</v>
      </c>
      <c r="E2468" s="1">
        <v>45905</v>
      </c>
      <c r="F2468" s="1">
        <v>45908</v>
      </c>
      <c r="G2468" s="12">
        <v>411.33</v>
      </c>
      <c r="H2468" s="2">
        <v>0</v>
      </c>
      <c r="I2468" s="2">
        <v>0</v>
      </c>
      <c r="J2468" s="2">
        <v>0</v>
      </c>
      <c r="K2468" s="20">
        <v>411.33</v>
      </c>
      <c r="L2468" t="s">
        <v>794</v>
      </c>
      <c r="M2468">
        <f t="shared" si="38"/>
        <v>2025</v>
      </c>
    </row>
    <row r="2469" spans="1:13" ht="12.75" hidden="1" customHeight="1">
      <c r="A2469" t="s">
        <v>1196</v>
      </c>
      <c r="B2469" t="s">
        <v>1197</v>
      </c>
      <c r="C2469" t="s">
        <v>137</v>
      </c>
      <c r="D2469" t="s">
        <v>1242</v>
      </c>
      <c r="E2469" s="1">
        <v>45905</v>
      </c>
      <c r="F2469" s="1">
        <v>45908</v>
      </c>
      <c r="G2469" s="12">
        <v>178</v>
      </c>
      <c r="H2469" s="2">
        <v>0</v>
      </c>
      <c r="I2469" s="2">
        <v>0</v>
      </c>
      <c r="J2469" s="2">
        <v>0</v>
      </c>
      <c r="K2469" s="20">
        <v>178</v>
      </c>
      <c r="L2469" t="s">
        <v>794</v>
      </c>
      <c r="M2469">
        <f t="shared" si="38"/>
        <v>2025</v>
      </c>
    </row>
    <row r="2470" spans="1:13" ht="12.75" hidden="1" customHeight="1">
      <c r="A2470" t="s">
        <v>1240</v>
      </c>
      <c r="B2470" t="s">
        <v>263</v>
      </c>
      <c r="C2470" t="s">
        <v>137</v>
      </c>
      <c r="D2470" t="s">
        <v>1242</v>
      </c>
      <c r="E2470" s="1">
        <v>45905</v>
      </c>
      <c r="F2470" s="1">
        <v>45908</v>
      </c>
      <c r="G2470" s="12">
        <v>293.8</v>
      </c>
      <c r="H2470" s="2">
        <v>0</v>
      </c>
      <c r="I2470" s="2">
        <v>0</v>
      </c>
      <c r="J2470" s="2">
        <v>0</v>
      </c>
      <c r="K2470" s="20">
        <v>293.8</v>
      </c>
      <c r="L2470" t="s">
        <v>794</v>
      </c>
      <c r="M2470">
        <f t="shared" si="38"/>
        <v>2025</v>
      </c>
    </row>
    <row r="2471" spans="1:13" ht="12.75" hidden="1" customHeight="1">
      <c r="A2471" t="s">
        <v>924</v>
      </c>
      <c r="B2471" t="s">
        <v>87</v>
      </c>
      <c r="C2471" t="s">
        <v>137</v>
      </c>
      <c r="D2471" t="s">
        <v>1242</v>
      </c>
      <c r="E2471" s="1">
        <v>45905</v>
      </c>
      <c r="F2471" s="1">
        <v>45908</v>
      </c>
      <c r="G2471" s="12">
        <v>900</v>
      </c>
      <c r="H2471" s="2">
        <v>0</v>
      </c>
      <c r="I2471" s="2">
        <v>0</v>
      </c>
      <c r="J2471" s="2">
        <v>0</v>
      </c>
      <c r="K2471" s="20">
        <v>900</v>
      </c>
      <c r="L2471" t="s">
        <v>794</v>
      </c>
      <c r="M2471">
        <f t="shared" si="38"/>
        <v>2025</v>
      </c>
    </row>
    <row r="2472" spans="1:13" ht="12.75" hidden="1" customHeight="1">
      <c r="A2472" t="s">
        <v>981</v>
      </c>
      <c r="B2472" t="s">
        <v>55</v>
      </c>
      <c r="C2472" t="s">
        <v>99</v>
      </c>
      <c r="D2472" t="s">
        <v>1242</v>
      </c>
      <c r="E2472" s="1">
        <v>45905</v>
      </c>
      <c r="F2472" s="1">
        <v>45908</v>
      </c>
      <c r="G2472" s="12">
        <v>320</v>
      </c>
      <c r="H2472" s="2">
        <v>0</v>
      </c>
      <c r="I2472" s="2">
        <v>0</v>
      </c>
      <c r="J2472" s="2">
        <v>0</v>
      </c>
      <c r="K2472" s="20">
        <v>320</v>
      </c>
      <c r="L2472" t="s">
        <v>794</v>
      </c>
      <c r="M2472">
        <f t="shared" si="38"/>
        <v>2025</v>
      </c>
    </row>
    <row r="2473" spans="1:13" ht="12.75" hidden="1" customHeight="1">
      <c r="A2473" t="s">
        <v>801</v>
      </c>
      <c r="B2473" t="s">
        <v>13</v>
      </c>
      <c r="C2473" t="s">
        <v>726</v>
      </c>
      <c r="D2473" t="s">
        <v>1242</v>
      </c>
      <c r="E2473" s="1">
        <v>45905</v>
      </c>
      <c r="F2473" s="1">
        <v>45908</v>
      </c>
      <c r="G2473" s="12">
        <v>2.04</v>
      </c>
      <c r="H2473" s="2">
        <v>0</v>
      </c>
      <c r="I2473" s="2">
        <v>0</v>
      </c>
      <c r="J2473" s="2">
        <v>0</v>
      </c>
      <c r="K2473" s="20">
        <v>2.04</v>
      </c>
      <c r="L2473" t="s">
        <v>794</v>
      </c>
      <c r="M2473">
        <f t="shared" si="38"/>
        <v>2025</v>
      </c>
    </row>
    <row r="2474" spans="1:13" ht="12.75" hidden="1" customHeight="1">
      <c r="A2474" t="s">
        <v>801</v>
      </c>
      <c r="B2474" t="s">
        <v>13</v>
      </c>
      <c r="C2474" t="s">
        <v>726</v>
      </c>
      <c r="D2474" t="s">
        <v>1242</v>
      </c>
      <c r="E2474" s="1">
        <v>45905</v>
      </c>
      <c r="F2474" s="1">
        <v>45908</v>
      </c>
      <c r="G2474" s="12">
        <v>2.04</v>
      </c>
      <c r="H2474" s="2">
        <v>0</v>
      </c>
      <c r="I2474" s="2">
        <v>0</v>
      </c>
      <c r="J2474" s="2">
        <v>0</v>
      </c>
      <c r="K2474" s="20">
        <v>2.04</v>
      </c>
      <c r="L2474" t="s">
        <v>794</v>
      </c>
      <c r="M2474">
        <f t="shared" si="38"/>
        <v>2025</v>
      </c>
    </row>
    <row r="2475" spans="1:13" ht="12.75" hidden="1" customHeight="1">
      <c r="A2475" t="s">
        <v>801</v>
      </c>
      <c r="B2475" t="s">
        <v>13</v>
      </c>
      <c r="C2475" t="s">
        <v>726</v>
      </c>
      <c r="D2475" t="s">
        <v>1242</v>
      </c>
      <c r="E2475" s="1">
        <v>45905</v>
      </c>
      <c r="F2475" s="1">
        <v>45908</v>
      </c>
      <c r="G2475" s="12">
        <v>135.52000000000001</v>
      </c>
      <c r="H2475" s="2">
        <v>0</v>
      </c>
      <c r="I2475" s="2">
        <v>0</v>
      </c>
      <c r="J2475" s="2">
        <v>0</v>
      </c>
      <c r="K2475" s="20">
        <v>135.52000000000001</v>
      </c>
      <c r="L2475" t="s">
        <v>794</v>
      </c>
      <c r="M2475">
        <f t="shared" si="38"/>
        <v>2025</v>
      </c>
    </row>
    <row r="2476" spans="1:13" ht="12.75" hidden="1" customHeight="1">
      <c r="A2476" t="s">
        <v>1284</v>
      </c>
      <c r="B2476" t="s">
        <v>540</v>
      </c>
      <c r="C2476" t="s">
        <v>438</v>
      </c>
      <c r="D2476" t="s">
        <v>1242</v>
      </c>
      <c r="E2476" s="1">
        <v>45906</v>
      </c>
      <c r="F2476" s="1">
        <v>45909</v>
      </c>
      <c r="G2476" s="12">
        <v>99</v>
      </c>
      <c r="H2476" s="2">
        <v>0</v>
      </c>
      <c r="I2476" s="2">
        <v>0</v>
      </c>
      <c r="J2476" s="2">
        <v>0</v>
      </c>
      <c r="K2476" s="20">
        <v>99</v>
      </c>
      <c r="L2476" t="s">
        <v>794</v>
      </c>
      <c r="M2476">
        <f t="shared" si="38"/>
        <v>2025</v>
      </c>
    </row>
    <row r="2477" spans="1:13" ht="12.75" hidden="1" customHeight="1">
      <c r="A2477" t="s">
        <v>1285</v>
      </c>
      <c r="B2477" t="s">
        <v>630</v>
      </c>
      <c r="C2477" t="s">
        <v>452</v>
      </c>
      <c r="D2477" t="s">
        <v>1242</v>
      </c>
      <c r="E2477" s="1">
        <v>45909</v>
      </c>
      <c r="F2477" s="1">
        <v>45909</v>
      </c>
      <c r="G2477" s="12">
        <v>49</v>
      </c>
      <c r="H2477" s="2">
        <v>0</v>
      </c>
      <c r="I2477" s="2">
        <v>0</v>
      </c>
      <c r="J2477" s="2">
        <v>0</v>
      </c>
      <c r="K2477" s="20">
        <v>49</v>
      </c>
      <c r="L2477" t="s">
        <v>794</v>
      </c>
      <c r="M2477">
        <f t="shared" si="38"/>
        <v>2025</v>
      </c>
    </row>
    <row r="2478" spans="1:13" ht="12.75" hidden="1" customHeight="1">
      <c r="A2478" t="s">
        <v>1286</v>
      </c>
      <c r="B2478" t="s">
        <v>318</v>
      </c>
      <c r="C2478" t="s">
        <v>438</v>
      </c>
      <c r="D2478" t="s">
        <v>1233</v>
      </c>
      <c r="E2478" s="1">
        <v>45896</v>
      </c>
      <c r="F2478" s="1">
        <v>45909</v>
      </c>
      <c r="G2478" s="12">
        <v>1065</v>
      </c>
      <c r="H2478" s="2">
        <v>0</v>
      </c>
      <c r="I2478" s="2">
        <v>0</v>
      </c>
      <c r="J2478" s="2">
        <v>0</v>
      </c>
      <c r="K2478" s="20">
        <v>1065</v>
      </c>
      <c r="L2478" t="s">
        <v>794</v>
      </c>
      <c r="M2478">
        <f t="shared" si="38"/>
        <v>2025</v>
      </c>
    </row>
    <row r="2479" spans="1:13" ht="12.75" hidden="1" customHeight="1">
      <c r="A2479" t="s">
        <v>914</v>
      </c>
      <c r="B2479" t="s">
        <v>28</v>
      </c>
      <c r="C2479" t="s">
        <v>732</v>
      </c>
      <c r="D2479" t="s">
        <v>1233</v>
      </c>
      <c r="E2479" s="1">
        <v>45898</v>
      </c>
      <c r="F2479" s="1">
        <v>45909</v>
      </c>
      <c r="G2479" s="12">
        <v>996.75</v>
      </c>
      <c r="H2479" s="2">
        <v>0</v>
      </c>
      <c r="I2479" s="2">
        <v>0</v>
      </c>
      <c r="J2479" s="2">
        <v>0</v>
      </c>
      <c r="K2479" s="20">
        <v>996.75</v>
      </c>
      <c r="L2479" t="s">
        <v>794</v>
      </c>
      <c r="M2479">
        <f t="shared" si="38"/>
        <v>2025</v>
      </c>
    </row>
    <row r="2480" spans="1:13" ht="12.75" hidden="1" customHeight="1">
      <c r="A2480" t="s">
        <v>924</v>
      </c>
      <c r="B2480" t="s">
        <v>87</v>
      </c>
      <c r="C2480" t="s">
        <v>139</v>
      </c>
      <c r="D2480" t="s">
        <v>1242</v>
      </c>
      <c r="E2480" s="1">
        <v>45901</v>
      </c>
      <c r="F2480" s="1">
        <v>45909</v>
      </c>
      <c r="G2480" s="12">
        <v>489.40000000000003</v>
      </c>
      <c r="H2480" s="2">
        <v>0</v>
      </c>
      <c r="I2480" s="2">
        <v>0</v>
      </c>
      <c r="J2480" s="2">
        <v>0</v>
      </c>
      <c r="K2480" s="20">
        <v>489.6</v>
      </c>
      <c r="L2480" t="s">
        <v>794</v>
      </c>
      <c r="M2480">
        <f t="shared" si="38"/>
        <v>2025</v>
      </c>
    </row>
    <row r="2481" spans="1:13" ht="12.75" hidden="1" customHeight="1">
      <c r="A2481" t="s">
        <v>792</v>
      </c>
      <c r="B2481" t="s">
        <v>35</v>
      </c>
      <c r="C2481" t="s">
        <v>206</v>
      </c>
      <c r="D2481" t="s">
        <v>1233</v>
      </c>
      <c r="E2481" s="1">
        <v>45890</v>
      </c>
      <c r="F2481" s="1">
        <v>45890</v>
      </c>
      <c r="G2481" s="12">
        <v>1026.9000000000001</v>
      </c>
      <c r="H2481" s="2">
        <v>0</v>
      </c>
      <c r="I2481" s="2">
        <v>0</v>
      </c>
      <c r="J2481" s="2">
        <v>0</v>
      </c>
      <c r="K2481" s="20">
        <v>1026.9000000000001</v>
      </c>
      <c r="L2481" t="s">
        <v>794</v>
      </c>
      <c r="M2481">
        <f t="shared" si="38"/>
        <v>2025</v>
      </c>
    </row>
    <row r="2482" spans="1:13" ht="12.75" hidden="1" customHeight="1">
      <c r="A2482" t="s">
        <v>914</v>
      </c>
      <c r="B2482" t="s">
        <v>28</v>
      </c>
      <c r="C2482" t="s">
        <v>724</v>
      </c>
      <c r="D2482" t="s">
        <v>1233</v>
      </c>
      <c r="E2482" s="1">
        <v>45889</v>
      </c>
      <c r="F2482" s="1">
        <v>45889</v>
      </c>
      <c r="G2482" s="12">
        <v>3481.32</v>
      </c>
      <c r="H2482" s="2">
        <v>0</v>
      </c>
      <c r="I2482" s="2">
        <v>0</v>
      </c>
      <c r="J2482" s="2">
        <v>0</v>
      </c>
      <c r="K2482" s="20">
        <v>3481.82</v>
      </c>
      <c r="L2482" t="s">
        <v>794</v>
      </c>
      <c r="M2482">
        <f t="shared" si="38"/>
        <v>2025</v>
      </c>
    </row>
    <row r="2483" spans="1:13" ht="12.75" hidden="1" customHeight="1">
      <c r="A2483" t="s">
        <v>914</v>
      </c>
      <c r="B2483" t="s">
        <v>28</v>
      </c>
      <c r="C2483" t="s">
        <v>732</v>
      </c>
      <c r="D2483" t="s">
        <v>1233</v>
      </c>
      <c r="E2483" s="1">
        <v>45890</v>
      </c>
      <c r="F2483" s="1">
        <v>45909</v>
      </c>
      <c r="G2483" s="12">
        <v>94.16</v>
      </c>
      <c r="H2483" s="2">
        <v>0</v>
      </c>
      <c r="I2483" s="2">
        <v>0</v>
      </c>
      <c r="J2483" s="2">
        <v>0</v>
      </c>
      <c r="K2483" s="20">
        <v>94.19</v>
      </c>
      <c r="L2483" t="s">
        <v>794</v>
      </c>
      <c r="M2483">
        <f t="shared" si="38"/>
        <v>2025</v>
      </c>
    </row>
    <row r="2484" spans="1:13" ht="12.75" hidden="1" customHeight="1">
      <c r="A2484" t="s">
        <v>833</v>
      </c>
      <c r="B2484" t="s">
        <v>27</v>
      </c>
      <c r="C2484" t="s">
        <v>141</v>
      </c>
      <c r="D2484" t="s">
        <v>1242</v>
      </c>
      <c r="E2484" s="1">
        <v>45910</v>
      </c>
      <c r="F2484" s="1">
        <v>45910</v>
      </c>
      <c r="G2484" s="12">
        <v>500</v>
      </c>
      <c r="H2484" s="2">
        <v>0</v>
      </c>
      <c r="I2484" s="2">
        <v>0</v>
      </c>
      <c r="J2484" s="2">
        <v>0</v>
      </c>
      <c r="K2484" s="20">
        <v>500</v>
      </c>
      <c r="L2484" t="s">
        <v>794</v>
      </c>
      <c r="M2484">
        <f t="shared" si="38"/>
        <v>2025</v>
      </c>
    </row>
    <row r="2485" spans="1:13" ht="12.75" hidden="1" customHeight="1">
      <c r="A2485" t="s">
        <v>1176</v>
      </c>
      <c r="B2485" t="s">
        <v>106</v>
      </c>
      <c r="C2485" t="s">
        <v>200</v>
      </c>
      <c r="D2485" t="s">
        <v>1242</v>
      </c>
      <c r="E2485" s="1">
        <v>45910</v>
      </c>
      <c r="F2485" s="1">
        <v>45910</v>
      </c>
      <c r="G2485" s="12">
        <v>960</v>
      </c>
      <c r="H2485" s="2">
        <v>0</v>
      </c>
      <c r="I2485" s="2">
        <v>0</v>
      </c>
      <c r="J2485" s="2">
        <v>0</v>
      </c>
      <c r="K2485" s="20">
        <v>960</v>
      </c>
      <c r="L2485" t="s">
        <v>794</v>
      </c>
      <c r="M2485">
        <f t="shared" si="38"/>
        <v>2025</v>
      </c>
    </row>
    <row r="2486" spans="1:13" ht="12.75" hidden="1" customHeight="1">
      <c r="A2486" t="s">
        <v>1173</v>
      </c>
      <c r="B2486" t="s">
        <v>45</v>
      </c>
      <c r="C2486" t="s">
        <v>137</v>
      </c>
      <c r="D2486" t="s">
        <v>1242</v>
      </c>
      <c r="E2486" s="1">
        <v>45905</v>
      </c>
      <c r="F2486" s="1">
        <v>45910</v>
      </c>
      <c r="G2486" s="12">
        <v>1821.63</v>
      </c>
      <c r="H2486" s="2">
        <v>0</v>
      </c>
      <c r="I2486" s="2">
        <v>0</v>
      </c>
      <c r="J2486" s="2">
        <v>0</v>
      </c>
      <c r="K2486" s="20">
        <v>1821.63</v>
      </c>
      <c r="L2486" t="s">
        <v>794</v>
      </c>
      <c r="M2486">
        <f t="shared" si="38"/>
        <v>2025</v>
      </c>
    </row>
    <row r="2487" spans="1:13" ht="12.75" hidden="1" customHeight="1">
      <c r="A2487" t="s">
        <v>836</v>
      </c>
      <c r="B2487" t="s">
        <v>37</v>
      </c>
      <c r="C2487" t="s">
        <v>137</v>
      </c>
      <c r="D2487" t="s">
        <v>1242</v>
      </c>
      <c r="E2487" s="1">
        <v>45905</v>
      </c>
      <c r="F2487" s="1">
        <v>45910</v>
      </c>
      <c r="G2487" s="12">
        <v>1606</v>
      </c>
      <c r="H2487" s="2">
        <v>0</v>
      </c>
      <c r="I2487" s="2">
        <v>0</v>
      </c>
      <c r="J2487" s="2">
        <v>0</v>
      </c>
      <c r="K2487" s="20">
        <v>1606</v>
      </c>
      <c r="L2487" t="s">
        <v>794</v>
      </c>
      <c r="M2487">
        <f t="shared" si="38"/>
        <v>2025</v>
      </c>
    </row>
    <row r="2488" spans="1:13" ht="12.75" hidden="1" customHeight="1">
      <c r="A2488" t="s">
        <v>811</v>
      </c>
      <c r="B2488" t="s">
        <v>39</v>
      </c>
      <c r="C2488" t="s">
        <v>137</v>
      </c>
      <c r="D2488" t="s">
        <v>1242</v>
      </c>
      <c r="E2488" s="1">
        <v>45905</v>
      </c>
      <c r="F2488" s="1">
        <v>45910</v>
      </c>
      <c r="G2488" s="12">
        <v>1523</v>
      </c>
      <c r="H2488" s="2">
        <v>0</v>
      </c>
      <c r="I2488" s="2">
        <v>0</v>
      </c>
      <c r="J2488" s="2">
        <v>0</v>
      </c>
      <c r="K2488" s="20">
        <v>1523</v>
      </c>
      <c r="L2488" t="s">
        <v>794</v>
      </c>
      <c r="M2488">
        <f t="shared" si="38"/>
        <v>2025</v>
      </c>
    </row>
    <row r="2489" spans="1:13" ht="12.75" hidden="1" customHeight="1">
      <c r="A2489" t="s">
        <v>826</v>
      </c>
      <c r="B2489" t="s">
        <v>21</v>
      </c>
      <c r="C2489" t="s">
        <v>137</v>
      </c>
      <c r="D2489" t="s">
        <v>1242</v>
      </c>
      <c r="E2489" s="1">
        <v>45905</v>
      </c>
      <c r="F2489" s="1">
        <v>45910</v>
      </c>
      <c r="G2489" s="12">
        <v>2353</v>
      </c>
      <c r="H2489" s="2">
        <v>0</v>
      </c>
      <c r="I2489" s="2">
        <v>0</v>
      </c>
      <c r="J2489" s="2">
        <v>0</v>
      </c>
      <c r="K2489" s="20">
        <v>2353</v>
      </c>
      <c r="L2489" t="s">
        <v>794</v>
      </c>
      <c r="M2489">
        <f t="shared" si="38"/>
        <v>2025</v>
      </c>
    </row>
    <row r="2490" spans="1:13" ht="12.75" hidden="1" customHeight="1">
      <c r="A2490" t="s">
        <v>1134</v>
      </c>
      <c r="B2490" t="s">
        <v>33</v>
      </c>
      <c r="C2490" t="s">
        <v>137</v>
      </c>
      <c r="D2490" t="s">
        <v>1242</v>
      </c>
      <c r="E2490" s="1">
        <v>45905</v>
      </c>
      <c r="F2490" s="1">
        <v>45910</v>
      </c>
      <c r="G2490" s="12">
        <v>1571</v>
      </c>
      <c r="H2490" s="2">
        <v>0</v>
      </c>
      <c r="I2490" s="2">
        <v>0</v>
      </c>
      <c r="J2490" s="2">
        <v>0</v>
      </c>
      <c r="K2490" s="20">
        <v>1571</v>
      </c>
      <c r="L2490" t="s">
        <v>794</v>
      </c>
      <c r="M2490">
        <f t="shared" si="38"/>
        <v>2025</v>
      </c>
    </row>
    <row r="2491" spans="1:13" ht="12.75" hidden="1" customHeight="1">
      <c r="A2491" t="s">
        <v>1104</v>
      </c>
      <c r="B2491" t="s">
        <v>53</v>
      </c>
      <c r="C2491" t="s">
        <v>137</v>
      </c>
      <c r="D2491" t="s">
        <v>1242</v>
      </c>
      <c r="E2491" s="1">
        <v>45905</v>
      </c>
      <c r="F2491" s="1">
        <v>45910</v>
      </c>
      <c r="G2491" s="12">
        <v>1672</v>
      </c>
      <c r="H2491" s="2">
        <v>0</v>
      </c>
      <c r="I2491" s="2">
        <v>0</v>
      </c>
      <c r="J2491" s="2">
        <v>0</v>
      </c>
      <c r="K2491" s="20">
        <v>1672</v>
      </c>
      <c r="L2491" t="s">
        <v>794</v>
      </c>
      <c r="M2491">
        <f t="shared" si="38"/>
        <v>2025</v>
      </c>
    </row>
    <row r="2492" spans="1:13" ht="12.75" hidden="1" customHeight="1">
      <c r="A2492" t="s">
        <v>1180</v>
      </c>
      <c r="B2492" t="s">
        <v>179</v>
      </c>
      <c r="C2492" t="s">
        <v>137</v>
      </c>
      <c r="D2492" t="s">
        <v>1242</v>
      </c>
      <c r="E2492" s="1">
        <v>45905</v>
      </c>
      <c r="F2492" s="1">
        <v>45910</v>
      </c>
      <c r="G2492" s="12">
        <v>1571</v>
      </c>
      <c r="H2492" s="2">
        <v>0</v>
      </c>
      <c r="I2492" s="2">
        <v>0</v>
      </c>
      <c r="J2492" s="2">
        <v>0</v>
      </c>
      <c r="K2492" s="20">
        <v>1571</v>
      </c>
      <c r="L2492" t="s">
        <v>794</v>
      </c>
      <c r="M2492">
        <f t="shared" si="38"/>
        <v>2025</v>
      </c>
    </row>
    <row r="2493" spans="1:13" ht="12.75" hidden="1" customHeight="1">
      <c r="A2493" t="s">
        <v>814</v>
      </c>
      <c r="B2493" t="s">
        <v>56</v>
      </c>
      <c r="C2493" t="s">
        <v>137</v>
      </c>
      <c r="D2493" t="s">
        <v>1242</v>
      </c>
      <c r="E2493" s="1">
        <v>45905</v>
      </c>
      <c r="F2493" s="1">
        <v>45910</v>
      </c>
      <c r="G2493" s="12">
        <v>1764</v>
      </c>
      <c r="H2493" s="2">
        <v>0</v>
      </c>
      <c r="I2493" s="2">
        <v>0</v>
      </c>
      <c r="J2493" s="2">
        <v>0</v>
      </c>
      <c r="K2493" s="20">
        <v>1764</v>
      </c>
      <c r="L2493" t="s">
        <v>794</v>
      </c>
      <c r="M2493">
        <f t="shared" si="38"/>
        <v>2025</v>
      </c>
    </row>
    <row r="2494" spans="1:13" ht="12.75" hidden="1" customHeight="1">
      <c r="A2494" t="s">
        <v>961</v>
      </c>
      <c r="B2494" t="s">
        <v>41</v>
      </c>
      <c r="C2494" t="s">
        <v>137</v>
      </c>
      <c r="D2494" t="s">
        <v>1242</v>
      </c>
      <c r="E2494" s="1">
        <v>45905</v>
      </c>
      <c r="F2494" s="1">
        <v>45910</v>
      </c>
      <c r="G2494" s="12">
        <v>1635</v>
      </c>
      <c r="H2494" s="2">
        <v>0</v>
      </c>
      <c r="I2494" s="2">
        <v>0</v>
      </c>
      <c r="J2494" s="2">
        <v>0</v>
      </c>
      <c r="K2494" s="20">
        <v>1635</v>
      </c>
      <c r="L2494" t="s">
        <v>794</v>
      </c>
      <c r="M2494">
        <f t="shared" si="38"/>
        <v>2025</v>
      </c>
    </row>
    <row r="2495" spans="1:13" ht="12.75" hidden="1" customHeight="1">
      <c r="A2495" t="s">
        <v>1167</v>
      </c>
      <c r="B2495" t="s">
        <v>47</v>
      </c>
      <c r="C2495" t="s">
        <v>137</v>
      </c>
      <c r="D2495" t="s">
        <v>1242</v>
      </c>
      <c r="E2495" s="1">
        <v>45905</v>
      </c>
      <c r="F2495" s="1">
        <v>45910</v>
      </c>
      <c r="G2495" s="12">
        <v>1884</v>
      </c>
      <c r="H2495" s="2">
        <v>0</v>
      </c>
      <c r="I2495" s="2">
        <v>0</v>
      </c>
      <c r="J2495" s="2">
        <v>0</v>
      </c>
      <c r="K2495" s="20">
        <v>1884</v>
      </c>
      <c r="L2495" t="s">
        <v>794</v>
      </c>
      <c r="M2495">
        <f t="shared" si="38"/>
        <v>2025</v>
      </c>
    </row>
    <row r="2496" spans="1:13" ht="12.75" hidden="1" customHeight="1">
      <c r="A2496" t="s">
        <v>1004</v>
      </c>
      <c r="B2496" t="s">
        <v>57</v>
      </c>
      <c r="C2496" t="s">
        <v>137</v>
      </c>
      <c r="D2496" t="s">
        <v>1242</v>
      </c>
      <c r="E2496" s="1">
        <v>45905</v>
      </c>
      <c r="F2496" s="1">
        <v>45910</v>
      </c>
      <c r="G2496" s="12">
        <v>1642</v>
      </c>
      <c r="H2496" s="2">
        <v>0</v>
      </c>
      <c r="I2496" s="2">
        <v>0</v>
      </c>
      <c r="J2496" s="2">
        <v>0</v>
      </c>
      <c r="K2496" s="20">
        <v>1642</v>
      </c>
      <c r="L2496" t="s">
        <v>794</v>
      </c>
      <c r="M2496">
        <f t="shared" si="38"/>
        <v>2025</v>
      </c>
    </row>
    <row r="2497" spans="1:13" ht="12.75" hidden="1" customHeight="1">
      <c r="A2497" t="s">
        <v>810</v>
      </c>
      <c r="B2497" t="s">
        <v>54</v>
      </c>
      <c r="C2497" t="s">
        <v>137</v>
      </c>
      <c r="D2497" t="s">
        <v>1242</v>
      </c>
      <c r="E2497" s="1">
        <v>45905</v>
      </c>
      <c r="F2497" s="1">
        <v>45910</v>
      </c>
      <c r="G2497" s="12">
        <v>1481</v>
      </c>
      <c r="H2497" s="2">
        <v>0</v>
      </c>
      <c r="I2497" s="2">
        <v>0</v>
      </c>
      <c r="J2497" s="2">
        <v>0</v>
      </c>
      <c r="K2497" s="20">
        <v>1481</v>
      </c>
      <c r="L2497" t="s">
        <v>794</v>
      </c>
      <c r="M2497">
        <f t="shared" si="38"/>
        <v>2025</v>
      </c>
    </row>
    <row r="2498" spans="1:13" ht="12.75" hidden="1" customHeight="1">
      <c r="A2498" t="s">
        <v>1196</v>
      </c>
      <c r="B2498" t="s">
        <v>1197</v>
      </c>
      <c r="C2498" t="s">
        <v>137</v>
      </c>
      <c r="D2498" t="s">
        <v>1242</v>
      </c>
      <c r="E2498" s="1">
        <v>45905</v>
      </c>
      <c r="F2498" s="1">
        <v>45910</v>
      </c>
      <c r="G2498" s="12">
        <v>1607</v>
      </c>
      <c r="H2498" s="2">
        <v>0</v>
      </c>
      <c r="I2498" s="2">
        <v>0</v>
      </c>
      <c r="J2498" s="2">
        <v>0</v>
      </c>
      <c r="K2498" s="20">
        <v>1607</v>
      </c>
      <c r="L2498" t="s">
        <v>794</v>
      </c>
      <c r="M2498">
        <f t="shared" si="38"/>
        <v>2025</v>
      </c>
    </row>
    <row r="2499" spans="1:13" ht="12.75" hidden="1" customHeight="1">
      <c r="A2499" t="s">
        <v>818</v>
      </c>
      <c r="B2499" t="s">
        <v>30</v>
      </c>
      <c r="C2499" t="s">
        <v>137</v>
      </c>
      <c r="D2499" t="s">
        <v>1242</v>
      </c>
      <c r="E2499" s="1">
        <v>45905</v>
      </c>
      <c r="F2499" s="1">
        <v>45910</v>
      </c>
      <c r="G2499" s="12">
        <v>1296</v>
      </c>
      <c r="H2499" s="2">
        <v>0</v>
      </c>
      <c r="I2499" s="2">
        <v>0</v>
      </c>
      <c r="J2499" s="2">
        <v>0</v>
      </c>
      <c r="K2499" s="20">
        <v>1296</v>
      </c>
      <c r="L2499" t="s">
        <v>794</v>
      </c>
      <c r="M2499">
        <f t="shared" ref="M2499:M2562" si="39">YEAR(F2499)</f>
        <v>2025</v>
      </c>
    </row>
    <row r="2500" spans="1:13" ht="12.75" hidden="1" customHeight="1">
      <c r="A2500" t="s">
        <v>961</v>
      </c>
      <c r="B2500" t="s">
        <v>41</v>
      </c>
      <c r="C2500" t="s">
        <v>200</v>
      </c>
      <c r="D2500" t="s">
        <v>1233</v>
      </c>
      <c r="E2500" s="1">
        <v>45881</v>
      </c>
      <c r="F2500" s="1">
        <v>45881</v>
      </c>
      <c r="G2500" s="12">
        <v>1120</v>
      </c>
      <c r="H2500" s="2">
        <v>0</v>
      </c>
      <c r="I2500" s="2">
        <v>0</v>
      </c>
      <c r="J2500" s="2">
        <v>0</v>
      </c>
      <c r="K2500" s="20">
        <v>1120</v>
      </c>
      <c r="L2500" t="s">
        <v>794</v>
      </c>
      <c r="M2500">
        <f t="shared" si="39"/>
        <v>2025</v>
      </c>
    </row>
    <row r="2501" spans="1:13" ht="12.75" hidden="1" customHeight="1">
      <c r="A2501" t="s">
        <v>961</v>
      </c>
      <c r="B2501" t="s">
        <v>41</v>
      </c>
      <c r="C2501" t="s">
        <v>200</v>
      </c>
      <c r="D2501" t="s">
        <v>1242</v>
      </c>
      <c r="E2501" s="1">
        <v>45910</v>
      </c>
      <c r="F2501" s="1">
        <v>45910</v>
      </c>
      <c r="G2501" s="12">
        <v>960</v>
      </c>
      <c r="H2501" s="2">
        <v>0</v>
      </c>
      <c r="I2501" s="2">
        <v>0</v>
      </c>
      <c r="J2501" s="2">
        <v>0</v>
      </c>
      <c r="K2501" s="20">
        <v>960</v>
      </c>
      <c r="L2501" t="s">
        <v>794</v>
      </c>
      <c r="M2501">
        <f t="shared" si="39"/>
        <v>2025</v>
      </c>
    </row>
    <row r="2502" spans="1:13" ht="12.75" hidden="1" customHeight="1">
      <c r="A2502" t="s">
        <v>1206</v>
      </c>
      <c r="B2502" t="s">
        <v>153</v>
      </c>
      <c r="C2502" t="s">
        <v>200</v>
      </c>
      <c r="D2502" t="s">
        <v>1233</v>
      </c>
      <c r="E2502" s="1">
        <v>45881</v>
      </c>
      <c r="F2502" s="1">
        <v>45883</v>
      </c>
      <c r="G2502" s="12">
        <v>1760</v>
      </c>
      <c r="H2502" s="2">
        <v>0</v>
      </c>
      <c r="I2502" s="2">
        <v>0</v>
      </c>
      <c r="J2502" s="2">
        <v>0</v>
      </c>
      <c r="K2502" s="20">
        <v>1760</v>
      </c>
      <c r="L2502" t="s">
        <v>794</v>
      </c>
      <c r="M2502">
        <f t="shared" si="39"/>
        <v>2025</v>
      </c>
    </row>
    <row r="2503" spans="1:13" ht="12.75" hidden="1" customHeight="1">
      <c r="A2503" t="s">
        <v>1287</v>
      </c>
      <c r="B2503" t="s">
        <v>83</v>
      </c>
      <c r="C2503" t="s">
        <v>200</v>
      </c>
      <c r="D2503" t="s">
        <v>1233</v>
      </c>
      <c r="E2503" s="1">
        <v>45881</v>
      </c>
      <c r="F2503" s="1">
        <v>45883</v>
      </c>
      <c r="G2503" s="12">
        <v>560</v>
      </c>
      <c r="H2503" s="2">
        <v>0</v>
      </c>
      <c r="I2503" s="2">
        <v>0</v>
      </c>
      <c r="J2503" s="2">
        <v>0</v>
      </c>
      <c r="K2503" s="20">
        <v>560</v>
      </c>
      <c r="L2503" t="s">
        <v>794</v>
      </c>
      <c r="M2503">
        <f t="shared" si="39"/>
        <v>2025</v>
      </c>
    </row>
    <row r="2504" spans="1:13" ht="12.75" hidden="1" customHeight="1">
      <c r="A2504" t="s">
        <v>1287</v>
      </c>
      <c r="B2504" t="s">
        <v>83</v>
      </c>
      <c r="C2504" t="s">
        <v>200</v>
      </c>
      <c r="D2504" t="s">
        <v>1242</v>
      </c>
      <c r="E2504" s="1">
        <v>45910</v>
      </c>
      <c r="F2504" s="1">
        <v>45910</v>
      </c>
      <c r="G2504" s="12">
        <v>1040</v>
      </c>
      <c r="H2504" s="2">
        <v>0</v>
      </c>
      <c r="I2504" s="2">
        <v>0</v>
      </c>
      <c r="J2504" s="2">
        <v>0</v>
      </c>
      <c r="K2504" s="20">
        <v>1040</v>
      </c>
      <c r="L2504" t="s">
        <v>794</v>
      </c>
      <c r="M2504">
        <f t="shared" si="39"/>
        <v>2025</v>
      </c>
    </row>
    <row r="2505" spans="1:13" ht="12.75" hidden="1" customHeight="1">
      <c r="A2505" t="s">
        <v>1215</v>
      </c>
      <c r="B2505" t="s">
        <v>172</v>
      </c>
      <c r="C2505" t="s">
        <v>200</v>
      </c>
      <c r="D2505" t="s">
        <v>1242</v>
      </c>
      <c r="E2505" s="1">
        <v>45910</v>
      </c>
      <c r="F2505" s="1">
        <v>45910</v>
      </c>
      <c r="G2505" s="12">
        <v>240</v>
      </c>
      <c r="H2505" s="2">
        <v>0</v>
      </c>
      <c r="I2505" s="2">
        <v>0</v>
      </c>
      <c r="J2505" s="2">
        <v>0</v>
      </c>
      <c r="K2505" s="20">
        <v>240</v>
      </c>
      <c r="L2505" t="s">
        <v>794</v>
      </c>
      <c r="M2505">
        <f t="shared" si="39"/>
        <v>2025</v>
      </c>
    </row>
    <row r="2506" spans="1:13" ht="12.75" hidden="1" customHeight="1">
      <c r="A2506" t="s">
        <v>1215</v>
      </c>
      <c r="B2506" t="s">
        <v>172</v>
      </c>
      <c r="C2506" t="s">
        <v>201</v>
      </c>
      <c r="D2506" t="s">
        <v>1242</v>
      </c>
      <c r="E2506" s="1">
        <v>45910</v>
      </c>
      <c r="F2506" s="1">
        <v>45910</v>
      </c>
      <c r="G2506" s="12">
        <v>1280</v>
      </c>
      <c r="H2506" s="2">
        <v>0</v>
      </c>
      <c r="I2506" s="2">
        <v>0</v>
      </c>
      <c r="J2506" s="2">
        <v>0</v>
      </c>
      <c r="K2506" s="20">
        <v>1280</v>
      </c>
      <c r="L2506" t="s">
        <v>794</v>
      </c>
      <c r="M2506">
        <f t="shared" si="39"/>
        <v>2025</v>
      </c>
    </row>
    <row r="2507" spans="1:13" ht="12.75" hidden="1" customHeight="1">
      <c r="A2507" t="s">
        <v>854</v>
      </c>
      <c r="B2507" t="s">
        <v>79</v>
      </c>
      <c r="C2507" t="s">
        <v>201</v>
      </c>
      <c r="D2507" t="s">
        <v>1242</v>
      </c>
      <c r="E2507" s="1">
        <v>45910</v>
      </c>
      <c r="F2507" s="1">
        <v>45910</v>
      </c>
      <c r="G2507" s="12">
        <v>2000</v>
      </c>
      <c r="H2507" s="2">
        <v>0</v>
      </c>
      <c r="I2507" s="2">
        <v>0</v>
      </c>
      <c r="J2507" s="2">
        <v>0</v>
      </c>
      <c r="K2507" s="20">
        <v>2000</v>
      </c>
      <c r="L2507" t="s">
        <v>794</v>
      </c>
      <c r="M2507">
        <f t="shared" si="39"/>
        <v>2025</v>
      </c>
    </row>
    <row r="2508" spans="1:13" ht="12.75" hidden="1" customHeight="1">
      <c r="A2508" t="s">
        <v>878</v>
      </c>
      <c r="B2508" t="s">
        <v>32</v>
      </c>
      <c r="C2508" t="s">
        <v>200</v>
      </c>
      <c r="D2508" t="s">
        <v>1233</v>
      </c>
      <c r="E2508" s="1">
        <v>45881</v>
      </c>
      <c r="F2508" s="1">
        <v>45881</v>
      </c>
      <c r="G2508" s="12">
        <v>80</v>
      </c>
      <c r="H2508" s="2">
        <v>0</v>
      </c>
      <c r="I2508" s="2">
        <v>0</v>
      </c>
      <c r="J2508" s="2">
        <v>0</v>
      </c>
      <c r="K2508" s="20">
        <v>80</v>
      </c>
      <c r="L2508" t="s">
        <v>794</v>
      </c>
      <c r="M2508">
        <f t="shared" si="39"/>
        <v>2025</v>
      </c>
    </row>
    <row r="2509" spans="1:13" ht="12.75" hidden="1" customHeight="1">
      <c r="A2509" t="s">
        <v>878</v>
      </c>
      <c r="B2509" t="s">
        <v>32</v>
      </c>
      <c r="C2509" t="s">
        <v>200</v>
      </c>
      <c r="D2509" t="s">
        <v>1233</v>
      </c>
      <c r="E2509" s="1">
        <v>45881</v>
      </c>
      <c r="F2509" s="1">
        <v>45881</v>
      </c>
      <c r="G2509" s="12">
        <v>2480</v>
      </c>
      <c r="H2509" s="2">
        <v>0</v>
      </c>
      <c r="I2509" s="2">
        <v>0</v>
      </c>
      <c r="J2509" s="2">
        <v>0</v>
      </c>
      <c r="K2509" s="20">
        <v>2480</v>
      </c>
      <c r="L2509" t="s">
        <v>794</v>
      </c>
      <c r="M2509">
        <f t="shared" si="39"/>
        <v>2025</v>
      </c>
    </row>
    <row r="2510" spans="1:13" ht="12.75" hidden="1" customHeight="1">
      <c r="A2510" t="s">
        <v>878</v>
      </c>
      <c r="B2510" t="s">
        <v>32</v>
      </c>
      <c r="C2510" t="s">
        <v>721</v>
      </c>
      <c r="D2510" t="s">
        <v>1233</v>
      </c>
      <c r="E2510" s="1">
        <v>45880</v>
      </c>
      <c r="F2510" s="1">
        <v>45880</v>
      </c>
      <c r="G2510" s="12">
        <v>1240</v>
      </c>
      <c r="H2510" s="2">
        <v>0</v>
      </c>
      <c r="I2510" s="2">
        <v>0</v>
      </c>
      <c r="J2510" s="2">
        <v>0</v>
      </c>
      <c r="K2510" s="20">
        <v>1240</v>
      </c>
      <c r="L2510" t="s">
        <v>794</v>
      </c>
      <c r="M2510">
        <f t="shared" si="39"/>
        <v>2025</v>
      </c>
    </row>
    <row r="2511" spans="1:13" ht="12.75" hidden="1" customHeight="1">
      <c r="A2511" t="s">
        <v>878</v>
      </c>
      <c r="B2511" t="s">
        <v>32</v>
      </c>
      <c r="C2511" t="s">
        <v>721</v>
      </c>
      <c r="D2511" t="s">
        <v>1242</v>
      </c>
      <c r="E2511" s="1">
        <v>45910</v>
      </c>
      <c r="F2511" s="1">
        <v>45910</v>
      </c>
      <c r="G2511" s="12">
        <v>1150</v>
      </c>
      <c r="H2511" s="2">
        <v>0</v>
      </c>
      <c r="I2511" s="2">
        <v>0</v>
      </c>
      <c r="J2511" s="2">
        <v>0</v>
      </c>
      <c r="K2511" s="20">
        <v>1150</v>
      </c>
      <c r="L2511" t="s">
        <v>794</v>
      </c>
      <c r="M2511">
        <f t="shared" si="39"/>
        <v>2025</v>
      </c>
    </row>
    <row r="2512" spans="1:13" ht="12.75" hidden="1" customHeight="1">
      <c r="A2512" t="s">
        <v>878</v>
      </c>
      <c r="B2512" t="s">
        <v>32</v>
      </c>
      <c r="C2512" t="s">
        <v>200</v>
      </c>
      <c r="D2512" t="s">
        <v>1242</v>
      </c>
      <c r="E2512" s="1">
        <v>45910</v>
      </c>
      <c r="F2512" s="1">
        <v>45910</v>
      </c>
      <c r="G2512" s="12">
        <v>2300</v>
      </c>
      <c r="H2512" s="2">
        <v>0</v>
      </c>
      <c r="I2512" s="2">
        <v>0</v>
      </c>
      <c r="J2512" s="2">
        <v>0</v>
      </c>
      <c r="K2512" s="20">
        <v>2300</v>
      </c>
      <c r="L2512" t="s">
        <v>794</v>
      </c>
      <c r="M2512">
        <f t="shared" si="39"/>
        <v>2025</v>
      </c>
    </row>
    <row r="2513" spans="1:13" ht="12.75" hidden="1" customHeight="1">
      <c r="A2513" t="s">
        <v>1045</v>
      </c>
      <c r="B2513" t="s">
        <v>71</v>
      </c>
      <c r="C2513" t="s">
        <v>201</v>
      </c>
      <c r="D2513" t="s">
        <v>1233</v>
      </c>
      <c r="E2513" s="1">
        <v>45881</v>
      </c>
      <c r="F2513" s="1">
        <v>45881</v>
      </c>
      <c r="G2513" s="12">
        <v>1760</v>
      </c>
      <c r="H2513" s="2">
        <v>0</v>
      </c>
      <c r="I2513" s="2">
        <v>0</v>
      </c>
      <c r="J2513" s="2">
        <v>0</v>
      </c>
      <c r="K2513" s="20">
        <v>1760</v>
      </c>
      <c r="L2513" t="s">
        <v>794</v>
      </c>
      <c r="M2513">
        <f t="shared" si="39"/>
        <v>2025</v>
      </c>
    </row>
    <row r="2514" spans="1:13" ht="12.75" hidden="1" customHeight="1">
      <c r="A2514" t="s">
        <v>1045</v>
      </c>
      <c r="B2514" t="s">
        <v>71</v>
      </c>
      <c r="C2514" t="s">
        <v>201</v>
      </c>
      <c r="D2514" t="s">
        <v>1242</v>
      </c>
      <c r="E2514" s="1">
        <v>45910</v>
      </c>
      <c r="F2514" s="1">
        <v>45910</v>
      </c>
      <c r="G2514" s="12">
        <v>1280</v>
      </c>
      <c r="H2514" s="2">
        <v>0</v>
      </c>
      <c r="I2514" s="2">
        <v>0</v>
      </c>
      <c r="J2514" s="2">
        <v>0</v>
      </c>
      <c r="K2514" s="20">
        <v>1280</v>
      </c>
      <c r="L2514" t="s">
        <v>794</v>
      </c>
      <c r="M2514">
        <f t="shared" si="39"/>
        <v>2025</v>
      </c>
    </row>
    <row r="2515" spans="1:13" ht="12.75" hidden="1" customHeight="1">
      <c r="A2515" t="s">
        <v>1011</v>
      </c>
      <c r="B2515" t="s">
        <v>77</v>
      </c>
      <c r="C2515" t="s">
        <v>201</v>
      </c>
      <c r="D2515" t="s">
        <v>1242</v>
      </c>
      <c r="E2515" s="1">
        <v>45910</v>
      </c>
      <c r="F2515" s="1">
        <v>45910</v>
      </c>
      <c r="G2515" s="12">
        <v>4360</v>
      </c>
      <c r="H2515" s="2">
        <v>0</v>
      </c>
      <c r="I2515" s="2">
        <v>0</v>
      </c>
      <c r="J2515" s="2">
        <v>0</v>
      </c>
      <c r="K2515" s="20">
        <v>4360</v>
      </c>
      <c r="L2515" t="s">
        <v>794</v>
      </c>
      <c r="M2515">
        <f t="shared" si="39"/>
        <v>2025</v>
      </c>
    </row>
    <row r="2516" spans="1:13" ht="12.75" hidden="1" customHeight="1">
      <c r="A2516" t="s">
        <v>882</v>
      </c>
      <c r="B2516" t="s">
        <v>34</v>
      </c>
      <c r="C2516" t="s">
        <v>200</v>
      </c>
      <c r="D2516" t="s">
        <v>1233</v>
      </c>
      <c r="E2516" s="1">
        <v>45881</v>
      </c>
      <c r="F2516" s="1">
        <v>45881</v>
      </c>
      <c r="G2516" s="12">
        <v>3800</v>
      </c>
      <c r="H2516" s="2">
        <v>0</v>
      </c>
      <c r="I2516" s="2">
        <v>0</v>
      </c>
      <c r="J2516" s="2">
        <v>0</v>
      </c>
      <c r="K2516" s="20">
        <v>3800</v>
      </c>
      <c r="L2516" t="s">
        <v>794</v>
      </c>
      <c r="M2516">
        <f t="shared" si="39"/>
        <v>2025</v>
      </c>
    </row>
    <row r="2517" spans="1:13" ht="12.75" hidden="1" customHeight="1">
      <c r="A2517" t="s">
        <v>882</v>
      </c>
      <c r="B2517" t="s">
        <v>34</v>
      </c>
      <c r="C2517" t="s">
        <v>200</v>
      </c>
      <c r="D2517" t="s">
        <v>1242</v>
      </c>
      <c r="E2517" s="1">
        <v>45910</v>
      </c>
      <c r="F2517" s="1">
        <v>45910</v>
      </c>
      <c r="G2517" s="12">
        <v>3520</v>
      </c>
      <c r="H2517" s="2">
        <v>0</v>
      </c>
      <c r="I2517" s="2">
        <v>0</v>
      </c>
      <c r="J2517" s="2">
        <v>0</v>
      </c>
      <c r="K2517" s="20">
        <v>3520</v>
      </c>
      <c r="L2517" t="s">
        <v>794</v>
      </c>
      <c r="M2517">
        <f t="shared" si="39"/>
        <v>2025</v>
      </c>
    </row>
    <row r="2518" spans="1:13" ht="12.75" hidden="1" customHeight="1">
      <c r="A2518" t="s">
        <v>1170</v>
      </c>
      <c r="B2518" t="s">
        <v>117</v>
      </c>
      <c r="C2518" t="s">
        <v>200</v>
      </c>
      <c r="D2518" t="s">
        <v>1233</v>
      </c>
      <c r="E2518" s="1">
        <v>45881</v>
      </c>
      <c r="F2518" s="1">
        <v>45881</v>
      </c>
      <c r="G2518" s="12">
        <v>1680</v>
      </c>
      <c r="H2518" s="2">
        <v>0</v>
      </c>
      <c r="I2518" s="2">
        <v>0</v>
      </c>
      <c r="J2518" s="2">
        <v>0</v>
      </c>
      <c r="K2518" s="20">
        <v>1680</v>
      </c>
      <c r="L2518" t="s">
        <v>794</v>
      </c>
      <c r="M2518">
        <f t="shared" si="39"/>
        <v>2025</v>
      </c>
    </row>
    <row r="2519" spans="1:13" ht="12.75" hidden="1" customHeight="1">
      <c r="A2519" t="s">
        <v>1170</v>
      </c>
      <c r="B2519" t="s">
        <v>117</v>
      </c>
      <c r="C2519" t="s">
        <v>200</v>
      </c>
      <c r="D2519" t="s">
        <v>1242</v>
      </c>
      <c r="E2519" s="1">
        <v>45910</v>
      </c>
      <c r="F2519" s="1">
        <v>45910</v>
      </c>
      <c r="G2519" s="12">
        <v>2080</v>
      </c>
      <c r="H2519" s="2">
        <v>0</v>
      </c>
      <c r="I2519" s="2">
        <v>0</v>
      </c>
      <c r="J2519" s="2">
        <v>0</v>
      </c>
      <c r="K2519" s="20">
        <v>2080</v>
      </c>
      <c r="L2519" t="s">
        <v>794</v>
      </c>
      <c r="M2519">
        <f t="shared" si="39"/>
        <v>2025</v>
      </c>
    </row>
    <row r="2520" spans="1:13" ht="12.75" hidden="1" customHeight="1">
      <c r="A2520" t="s">
        <v>1198</v>
      </c>
      <c r="B2520" t="s">
        <v>240</v>
      </c>
      <c r="C2520" t="s">
        <v>200</v>
      </c>
      <c r="D2520" t="s">
        <v>1233</v>
      </c>
      <c r="E2520" s="1">
        <v>45881</v>
      </c>
      <c r="F2520" s="1">
        <v>45881</v>
      </c>
      <c r="G2520" s="12">
        <v>960</v>
      </c>
      <c r="H2520" s="2">
        <v>0</v>
      </c>
      <c r="I2520" s="2">
        <v>0</v>
      </c>
      <c r="J2520" s="2">
        <v>0</v>
      </c>
      <c r="K2520" s="20">
        <v>960</v>
      </c>
      <c r="L2520" t="s">
        <v>794</v>
      </c>
      <c r="M2520">
        <f t="shared" si="39"/>
        <v>2025</v>
      </c>
    </row>
    <row r="2521" spans="1:13" ht="12.75" hidden="1" customHeight="1">
      <c r="A2521" t="s">
        <v>1198</v>
      </c>
      <c r="B2521" t="s">
        <v>240</v>
      </c>
      <c r="C2521" t="s">
        <v>200</v>
      </c>
      <c r="D2521" t="s">
        <v>1242</v>
      </c>
      <c r="E2521" s="1">
        <v>45910</v>
      </c>
      <c r="F2521" s="1">
        <v>45910</v>
      </c>
      <c r="G2521" s="12">
        <v>1200</v>
      </c>
      <c r="H2521" s="2">
        <v>0</v>
      </c>
      <c r="I2521" s="2">
        <v>0</v>
      </c>
      <c r="J2521" s="2">
        <v>0</v>
      </c>
      <c r="K2521" s="20">
        <v>1200</v>
      </c>
      <c r="L2521" t="s">
        <v>794</v>
      </c>
      <c r="M2521">
        <f t="shared" si="39"/>
        <v>2025</v>
      </c>
    </row>
    <row r="2522" spans="1:13" ht="12.75" hidden="1" customHeight="1">
      <c r="A2522" t="s">
        <v>1288</v>
      </c>
      <c r="B2522" t="s">
        <v>300</v>
      </c>
      <c r="C2522" t="s">
        <v>200</v>
      </c>
      <c r="D2522" t="s">
        <v>1289</v>
      </c>
      <c r="E2522" s="1">
        <v>44814</v>
      </c>
      <c r="F2522" s="1">
        <v>45910</v>
      </c>
      <c r="G2522" s="12">
        <v>240</v>
      </c>
      <c r="H2522" s="2">
        <v>0</v>
      </c>
      <c r="I2522" s="2">
        <v>0</v>
      </c>
      <c r="J2522" s="2">
        <v>0</v>
      </c>
      <c r="K2522" s="20">
        <v>240</v>
      </c>
      <c r="L2522" t="s">
        <v>794</v>
      </c>
      <c r="M2522">
        <f t="shared" si="39"/>
        <v>2025</v>
      </c>
    </row>
    <row r="2523" spans="1:13" ht="12.75" hidden="1" customHeight="1">
      <c r="A2523" t="s">
        <v>1096</v>
      </c>
      <c r="B2523" t="s">
        <v>210</v>
      </c>
      <c r="C2523" t="s">
        <v>201</v>
      </c>
      <c r="D2523" t="s">
        <v>1233</v>
      </c>
      <c r="E2523" s="1">
        <v>45881</v>
      </c>
      <c r="F2523" s="1">
        <v>45881</v>
      </c>
      <c r="G2523" s="12">
        <v>1760</v>
      </c>
      <c r="H2523" s="2">
        <v>0</v>
      </c>
      <c r="I2523" s="2">
        <v>0</v>
      </c>
      <c r="J2523" s="2">
        <v>0</v>
      </c>
      <c r="K2523" s="20">
        <v>1760</v>
      </c>
      <c r="L2523" t="s">
        <v>794</v>
      </c>
      <c r="M2523">
        <f t="shared" si="39"/>
        <v>2025</v>
      </c>
    </row>
    <row r="2524" spans="1:13" ht="12.75" hidden="1" customHeight="1">
      <c r="A2524" t="s">
        <v>865</v>
      </c>
      <c r="B2524" t="s">
        <v>76</v>
      </c>
      <c r="C2524" t="s">
        <v>200</v>
      </c>
      <c r="D2524" t="s">
        <v>1233</v>
      </c>
      <c r="E2524" s="1">
        <v>45881</v>
      </c>
      <c r="F2524" s="1">
        <v>45881</v>
      </c>
      <c r="G2524" s="12">
        <v>1120</v>
      </c>
      <c r="H2524" s="2">
        <v>0</v>
      </c>
      <c r="I2524" s="2">
        <v>0</v>
      </c>
      <c r="J2524" s="2">
        <v>0</v>
      </c>
      <c r="K2524" s="20">
        <v>1120</v>
      </c>
      <c r="L2524" t="s">
        <v>794</v>
      </c>
      <c r="M2524">
        <f t="shared" si="39"/>
        <v>2025</v>
      </c>
    </row>
    <row r="2525" spans="1:13" ht="12.75" hidden="1" customHeight="1">
      <c r="A2525" t="s">
        <v>865</v>
      </c>
      <c r="B2525" t="s">
        <v>76</v>
      </c>
      <c r="C2525" t="s">
        <v>200</v>
      </c>
      <c r="D2525" t="s">
        <v>1242</v>
      </c>
      <c r="E2525" s="1">
        <v>45910</v>
      </c>
      <c r="F2525" s="1">
        <v>45910</v>
      </c>
      <c r="G2525" s="12">
        <v>880</v>
      </c>
      <c r="H2525" s="2">
        <v>0</v>
      </c>
      <c r="I2525" s="2">
        <v>0</v>
      </c>
      <c r="J2525" s="2">
        <v>0</v>
      </c>
      <c r="K2525" s="20">
        <v>880</v>
      </c>
      <c r="L2525" t="s">
        <v>794</v>
      </c>
      <c r="M2525">
        <f t="shared" si="39"/>
        <v>2025</v>
      </c>
    </row>
    <row r="2526" spans="1:13" ht="12.75" hidden="1" customHeight="1">
      <c r="A2526" t="s">
        <v>1290</v>
      </c>
      <c r="B2526" t="s">
        <v>324</v>
      </c>
      <c r="C2526" t="s">
        <v>200</v>
      </c>
      <c r="D2526" t="s">
        <v>1233</v>
      </c>
      <c r="E2526" s="1">
        <v>45881</v>
      </c>
      <c r="F2526" s="1">
        <v>45881</v>
      </c>
      <c r="G2526" s="12">
        <v>1040</v>
      </c>
      <c r="H2526" s="2">
        <v>0</v>
      </c>
      <c r="I2526" s="2">
        <v>0</v>
      </c>
      <c r="J2526" s="2">
        <v>0</v>
      </c>
      <c r="K2526" s="20">
        <v>1040</v>
      </c>
      <c r="L2526" t="s">
        <v>794</v>
      </c>
      <c r="M2526">
        <f t="shared" si="39"/>
        <v>2025</v>
      </c>
    </row>
    <row r="2527" spans="1:13" ht="12.75" hidden="1" customHeight="1">
      <c r="A2527" t="s">
        <v>1201</v>
      </c>
      <c r="B2527" t="s">
        <v>287</v>
      </c>
      <c r="C2527" t="s">
        <v>200</v>
      </c>
      <c r="D2527" t="s">
        <v>1242</v>
      </c>
      <c r="E2527" s="1">
        <v>45910</v>
      </c>
      <c r="F2527" s="1">
        <v>45910</v>
      </c>
      <c r="G2527" s="12">
        <v>960</v>
      </c>
      <c r="H2527" s="2">
        <v>0</v>
      </c>
      <c r="I2527" s="2">
        <v>0</v>
      </c>
      <c r="J2527" s="2">
        <v>0</v>
      </c>
      <c r="K2527" s="20">
        <v>960</v>
      </c>
      <c r="L2527" t="s">
        <v>794</v>
      </c>
      <c r="M2527">
        <f t="shared" si="39"/>
        <v>2025</v>
      </c>
    </row>
    <row r="2528" spans="1:13" ht="12.75" hidden="1" customHeight="1">
      <c r="A2528" t="s">
        <v>1158</v>
      </c>
      <c r="B2528" t="s">
        <v>60</v>
      </c>
      <c r="C2528" t="s">
        <v>201</v>
      </c>
      <c r="D2528" t="s">
        <v>1233</v>
      </c>
      <c r="E2528" s="1">
        <v>45881</v>
      </c>
      <c r="F2528" s="1">
        <v>45881</v>
      </c>
      <c r="G2528" s="12">
        <v>1600</v>
      </c>
      <c r="H2528" s="2">
        <v>0</v>
      </c>
      <c r="I2528" s="2">
        <v>0</v>
      </c>
      <c r="J2528" s="2">
        <v>0</v>
      </c>
      <c r="K2528" s="20">
        <v>1600</v>
      </c>
      <c r="L2528" t="s">
        <v>794</v>
      </c>
      <c r="M2528">
        <f t="shared" si="39"/>
        <v>2025</v>
      </c>
    </row>
    <row r="2529" spans="1:13" ht="12.75" hidden="1" customHeight="1">
      <c r="A2529" t="s">
        <v>1158</v>
      </c>
      <c r="B2529" t="s">
        <v>60</v>
      </c>
      <c r="C2529" t="s">
        <v>200</v>
      </c>
      <c r="D2529" t="s">
        <v>1242</v>
      </c>
      <c r="E2529" s="1">
        <v>45910</v>
      </c>
      <c r="F2529" s="1">
        <v>45910</v>
      </c>
      <c r="G2529" s="12">
        <v>1520</v>
      </c>
      <c r="H2529" s="2">
        <v>0</v>
      </c>
      <c r="I2529" s="2">
        <v>0</v>
      </c>
      <c r="J2529" s="2">
        <v>0</v>
      </c>
      <c r="K2529" s="20">
        <v>1520</v>
      </c>
      <c r="L2529" t="s">
        <v>794</v>
      </c>
      <c r="M2529">
        <f t="shared" si="39"/>
        <v>2025</v>
      </c>
    </row>
    <row r="2530" spans="1:13" ht="12.75" hidden="1" customHeight="1">
      <c r="A2530" t="s">
        <v>1158</v>
      </c>
      <c r="B2530" t="s">
        <v>60</v>
      </c>
      <c r="C2530" t="s">
        <v>200</v>
      </c>
      <c r="D2530" t="s">
        <v>1242</v>
      </c>
      <c r="E2530" s="1">
        <v>45910</v>
      </c>
      <c r="F2530" s="1">
        <v>45910</v>
      </c>
      <c r="G2530" s="12">
        <v>640</v>
      </c>
      <c r="H2530" s="2">
        <v>0</v>
      </c>
      <c r="I2530" s="2">
        <v>0</v>
      </c>
      <c r="J2530" s="2">
        <v>0</v>
      </c>
      <c r="K2530" s="20">
        <v>640</v>
      </c>
      <c r="L2530" t="s">
        <v>794</v>
      </c>
      <c r="M2530">
        <f t="shared" si="39"/>
        <v>2025</v>
      </c>
    </row>
    <row r="2531" spans="1:13" ht="12.75" hidden="1" customHeight="1">
      <c r="A2531" t="s">
        <v>1155</v>
      </c>
      <c r="B2531" t="s">
        <v>88</v>
      </c>
      <c r="C2531" t="s">
        <v>201</v>
      </c>
      <c r="D2531" t="s">
        <v>1233</v>
      </c>
      <c r="E2531" s="1">
        <v>45881</v>
      </c>
      <c r="F2531" s="1">
        <v>45881</v>
      </c>
      <c r="G2531" s="12">
        <v>1260</v>
      </c>
      <c r="H2531" s="2">
        <v>0</v>
      </c>
      <c r="I2531" s="2">
        <v>0</v>
      </c>
      <c r="J2531" s="2">
        <v>0</v>
      </c>
      <c r="K2531" s="20">
        <v>1260</v>
      </c>
      <c r="L2531" t="s">
        <v>794</v>
      </c>
      <c r="M2531">
        <f t="shared" si="39"/>
        <v>2025</v>
      </c>
    </row>
    <row r="2532" spans="1:13" ht="12.75" hidden="1" customHeight="1">
      <c r="A2532" t="s">
        <v>1155</v>
      </c>
      <c r="B2532" t="s">
        <v>88</v>
      </c>
      <c r="C2532" t="s">
        <v>201</v>
      </c>
      <c r="D2532" t="s">
        <v>1242</v>
      </c>
      <c r="E2532" s="1">
        <v>45910</v>
      </c>
      <c r="F2532" s="1">
        <v>45910</v>
      </c>
      <c r="G2532" s="12">
        <v>2320</v>
      </c>
      <c r="H2532" s="2">
        <v>0</v>
      </c>
      <c r="I2532" s="2">
        <v>0</v>
      </c>
      <c r="J2532" s="2">
        <v>0</v>
      </c>
      <c r="K2532" s="20">
        <v>2320</v>
      </c>
      <c r="L2532" t="s">
        <v>794</v>
      </c>
      <c r="M2532">
        <f t="shared" si="39"/>
        <v>2025</v>
      </c>
    </row>
    <row r="2533" spans="1:13" ht="12.75" hidden="1" customHeight="1">
      <c r="A2533" t="s">
        <v>1202</v>
      </c>
      <c r="B2533" t="s">
        <v>70</v>
      </c>
      <c r="C2533" t="s">
        <v>201</v>
      </c>
      <c r="D2533" t="s">
        <v>1233</v>
      </c>
      <c r="E2533" s="1">
        <v>45881</v>
      </c>
      <c r="F2533" s="1">
        <v>45881</v>
      </c>
      <c r="G2533" s="12">
        <v>1120</v>
      </c>
      <c r="H2533" s="2">
        <v>0</v>
      </c>
      <c r="I2533" s="2">
        <v>0</v>
      </c>
      <c r="J2533" s="2">
        <v>0</v>
      </c>
      <c r="K2533" s="20">
        <v>1120</v>
      </c>
      <c r="L2533" t="s">
        <v>794</v>
      </c>
      <c r="M2533">
        <f t="shared" si="39"/>
        <v>2025</v>
      </c>
    </row>
    <row r="2534" spans="1:13" ht="12.75" hidden="1" customHeight="1">
      <c r="A2534" t="s">
        <v>1202</v>
      </c>
      <c r="B2534" t="s">
        <v>70</v>
      </c>
      <c r="C2534" t="s">
        <v>200</v>
      </c>
      <c r="D2534" t="s">
        <v>1233</v>
      </c>
      <c r="E2534" s="1">
        <v>45881</v>
      </c>
      <c r="F2534" s="1">
        <v>45881</v>
      </c>
      <c r="G2534" s="12">
        <v>240</v>
      </c>
      <c r="H2534" s="2">
        <v>0</v>
      </c>
      <c r="I2534" s="2">
        <v>0</v>
      </c>
      <c r="J2534" s="2">
        <v>0</v>
      </c>
      <c r="K2534" s="20">
        <v>240</v>
      </c>
      <c r="L2534" t="s">
        <v>794</v>
      </c>
      <c r="M2534">
        <f t="shared" si="39"/>
        <v>2025</v>
      </c>
    </row>
    <row r="2535" spans="1:13" ht="12.75" hidden="1" customHeight="1">
      <c r="A2535" t="s">
        <v>1202</v>
      </c>
      <c r="B2535" t="s">
        <v>70</v>
      </c>
      <c r="C2535" t="s">
        <v>200</v>
      </c>
      <c r="D2535" t="s">
        <v>1242</v>
      </c>
      <c r="E2535" s="1">
        <v>45910</v>
      </c>
      <c r="F2535" s="1">
        <v>45910</v>
      </c>
      <c r="G2535" s="12">
        <v>880</v>
      </c>
      <c r="H2535" s="2">
        <v>0</v>
      </c>
      <c r="I2535" s="2">
        <v>0</v>
      </c>
      <c r="J2535" s="2">
        <v>0</v>
      </c>
      <c r="K2535" s="20">
        <v>880</v>
      </c>
      <c r="L2535" t="s">
        <v>794</v>
      </c>
      <c r="M2535">
        <f t="shared" si="39"/>
        <v>2025</v>
      </c>
    </row>
    <row r="2536" spans="1:13" ht="12.75" hidden="1" customHeight="1">
      <c r="A2536" t="s">
        <v>1210</v>
      </c>
      <c r="B2536" t="s">
        <v>22</v>
      </c>
      <c r="C2536" t="s">
        <v>717</v>
      </c>
      <c r="D2536" t="s">
        <v>1242</v>
      </c>
      <c r="E2536" s="1">
        <v>45910</v>
      </c>
      <c r="F2536" s="1">
        <v>45910</v>
      </c>
      <c r="G2536" s="12">
        <v>2890</v>
      </c>
      <c r="H2536" s="2">
        <v>0</v>
      </c>
      <c r="I2536" s="2">
        <v>0</v>
      </c>
      <c r="J2536" s="2">
        <v>0</v>
      </c>
      <c r="K2536" s="20">
        <v>2890</v>
      </c>
      <c r="L2536" t="s">
        <v>794</v>
      </c>
      <c r="M2536">
        <f t="shared" si="39"/>
        <v>2025</v>
      </c>
    </row>
    <row r="2537" spans="1:13" ht="12.75" hidden="1" customHeight="1">
      <c r="A2537" t="s">
        <v>855</v>
      </c>
      <c r="B2537" t="s">
        <v>20</v>
      </c>
      <c r="C2537" t="s">
        <v>721</v>
      </c>
      <c r="D2537" t="s">
        <v>1242</v>
      </c>
      <c r="E2537" s="1">
        <v>45910</v>
      </c>
      <c r="F2537" s="1">
        <v>45910</v>
      </c>
      <c r="G2537" s="12">
        <v>5000</v>
      </c>
      <c r="H2537" s="2">
        <v>0</v>
      </c>
      <c r="I2537" s="2">
        <v>0</v>
      </c>
      <c r="J2537" s="2">
        <v>0</v>
      </c>
      <c r="K2537" s="20">
        <v>5000</v>
      </c>
      <c r="L2537" t="s">
        <v>794</v>
      </c>
      <c r="M2537">
        <f t="shared" si="39"/>
        <v>2025</v>
      </c>
    </row>
    <row r="2538" spans="1:13" ht="12.75" hidden="1" customHeight="1">
      <c r="A2538" t="s">
        <v>855</v>
      </c>
      <c r="B2538" t="s">
        <v>20</v>
      </c>
      <c r="C2538" t="s">
        <v>721</v>
      </c>
      <c r="D2538" t="s">
        <v>1242</v>
      </c>
      <c r="E2538" s="1">
        <v>45910</v>
      </c>
      <c r="F2538" s="1">
        <v>45910</v>
      </c>
      <c r="G2538" s="12">
        <v>1000</v>
      </c>
      <c r="H2538" s="2">
        <v>0</v>
      </c>
      <c r="I2538" s="2">
        <v>0</v>
      </c>
      <c r="J2538" s="2">
        <v>0</v>
      </c>
      <c r="K2538" s="20">
        <v>1000</v>
      </c>
      <c r="L2538" t="s">
        <v>794</v>
      </c>
      <c r="M2538">
        <f t="shared" si="39"/>
        <v>2025</v>
      </c>
    </row>
    <row r="2539" spans="1:13" ht="12.75" hidden="1" customHeight="1">
      <c r="A2539" t="s">
        <v>848</v>
      </c>
      <c r="B2539" t="s">
        <v>14</v>
      </c>
      <c r="C2539" t="s">
        <v>714</v>
      </c>
      <c r="D2539" t="s">
        <v>1242</v>
      </c>
      <c r="E2539" s="1">
        <v>45910</v>
      </c>
      <c r="F2539" s="1">
        <v>45910</v>
      </c>
      <c r="G2539" s="12">
        <v>29955.31</v>
      </c>
      <c r="H2539" s="2">
        <v>0</v>
      </c>
      <c r="I2539" s="2">
        <v>0</v>
      </c>
      <c r="J2539" s="2">
        <v>0</v>
      </c>
      <c r="K2539" s="20">
        <v>29955.31</v>
      </c>
      <c r="L2539" t="s">
        <v>794</v>
      </c>
      <c r="M2539">
        <f t="shared" si="39"/>
        <v>2025</v>
      </c>
    </row>
    <row r="2540" spans="1:13" ht="12.75" hidden="1" customHeight="1">
      <c r="A2540" t="s">
        <v>995</v>
      </c>
      <c r="B2540" t="s">
        <v>122</v>
      </c>
      <c r="C2540" t="s">
        <v>735</v>
      </c>
      <c r="D2540" t="s">
        <v>1242</v>
      </c>
      <c r="E2540" s="1">
        <v>45910</v>
      </c>
      <c r="F2540" s="1">
        <v>45910</v>
      </c>
      <c r="G2540" s="12">
        <v>605</v>
      </c>
      <c r="H2540" s="2">
        <v>0</v>
      </c>
      <c r="I2540" s="2">
        <v>0</v>
      </c>
      <c r="J2540" s="2">
        <v>0</v>
      </c>
      <c r="K2540" s="20">
        <v>605</v>
      </c>
      <c r="L2540" t="s">
        <v>794</v>
      </c>
      <c r="M2540">
        <f t="shared" si="39"/>
        <v>2025</v>
      </c>
    </row>
    <row r="2541" spans="1:13" ht="12.75" hidden="1" customHeight="1">
      <c r="A2541" t="s">
        <v>845</v>
      </c>
      <c r="B2541" t="s">
        <v>67</v>
      </c>
      <c r="C2541" t="s">
        <v>729</v>
      </c>
      <c r="D2541" t="s">
        <v>1242</v>
      </c>
      <c r="E2541" s="1">
        <v>45910</v>
      </c>
      <c r="F2541" s="1">
        <v>45910</v>
      </c>
      <c r="G2541" s="12">
        <v>1643.55</v>
      </c>
      <c r="H2541" s="2">
        <v>0</v>
      </c>
      <c r="I2541" s="2">
        <v>0</v>
      </c>
      <c r="J2541" s="2">
        <v>0</v>
      </c>
      <c r="K2541" s="20">
        <v>1643.55</v>
      </c>
      <c r="L2541" t="s">
        <v>794</v>
      </c>
      <c r="M2541">
        <f t="shared" si="39"/>
        <v>2025</v>
      </c>
    </row>
    <row r="2542" spans="1:13" ht="12.75" hidden="1" customHeight="1">
      <c r="A2542" s="7" t="s">
        <v>879</v>
      </c>
      <c r="B2542" s="7" t="s">
        <v>23</v>
      </c>
      <c r="C2542" s="7" t="s">
        <v>716</v>
      </c>
      <c r="D2542" s="7" t="s">
        <v>1242</v>
      </c>
      <c r="E2542" s="9">
        <v>45910</v>
      </c>
      <c r="F2542" s="9">
        <v>45910</v>
      </c>
      <c r="G2542" s="10">
        <v>996.12</v>
      </c>
      <c r="H2542" s="11">
        <v>0</v>
      </c>
      <c r="I2542" s="11">
        <v>0</v>
      </c>
      <c r="J2542" s="11">
        <v>0</v>
      </c>
      <c r="K2542" s="21">
        <v>996.12</v>
      </c>
      <c r="L2542" s="7" t="s">
        <v>794</v>
      </c>
      <c r="M2542">
        <f t="shared" si="39"/>
        <v>2025</v>
      </c>
    </row>
    <row r="2543" spans="1:13" ht="12.75" hidden="1" customHeight="1">
      <c r="A2543" t="s">
        <v>844</v>
      </c>
      <c r="B2543" t="s">
        <v>18</v>
      </c>
      <c r="C2543" t="s">
        <v>719</v>
      </c>
      <c r="D2543" t="s">
        <v>1242</v>
      </c>
      <c r="E2543" s="1">
        <v>45910</v>
      </c>
      <c r="F2543" s="1">
        <v>45910</v>
      </c>
      <c r="G2543" s="12">
        <v>10305.710000000001</v>
      </c>
      <c r="H2543" s="2">
        <v>0</v>
      </c>
      <c r="I2543" s="2">
        <v>0</v>
      </c>
      <c r="J2543" s="2">
        <v>0</v>
      </c>
      <c r="K2543" s="20">
        <v>10305.710000000001</v>
      </c>
      <c r="L2543" t="s">
        <v>794</v>
      </c>
      <c r="M2543">
        <f t="shared" si="39"/>
        <v>2025</v>
      </c>
    </row>
    <row r="2544" spans="1:13" ht="12.75" hidden="1" customHeight="1">
      <c r="A2544" t="s">
        <v>847</v>
      </c>
      <c r="B2544" t="s">
        <v>169</v>
      </c>
      <c r="C2544" t="s">
        <v>722</v>
      </c>
      <c r="D2544" t="s">
        <v>1242</v>
      </c>
      <c r="E2544" s="1">
        <v>45910</v>
      </c>
      <c r="F2544" s="1">
        <v>45910</v>
      </c>
      <c r="G2544" s="12">
        <v>221.3</v>
      </c>
      <c r="H2544" s="2">
        <v>0</v>
      </c>
      <c r="I2544" s="2">
        <v>0</v>
      </c>
      <c r="J2544" s="2">
        <v>0</v>
      </c>
      <c r="K2544" s="20">
        <v>221.3</v>
      </c>
      <c r="L2544" t="s">
        <v>794</v>
      </c>
      <c r="M2544">
        <f t="shared" si="39"/>
        <v>2025</v>
      </c>
    </row>
    <row r="2545" spans="1:13" ht="12.75" hidden="1" customHeight="1">
      <c r="A2545" t="s">
        <v>1222</v>
      </c>
      <c r="B2545" t="s">
        <v>176</v>
      </c>
      <c r="C2545" t="s">
        <v>723</v>
      </c>
      <c r="D2545" t="s">
        <v>1242</v>
      </c>
      <c r="E2545" s="1">
        <v>45910</v>
      </c>
      <c r="F2545" s="1">
        <v>45910</v>
      </c>
      <c r="G2545" s="12">
        <v>475.32</v>
      </c>
      <c r="H2545" s="2">
        <v>0</v>
      </c>
      <c r="I2545" s="2">
        <v>0</v>
      </c>
      <c r="J2545" s="2">
        <v>0</v>
      </c>
      <c r="K2545" s="20">
        <v>475.32</v>
      </c>
      <c r="L2545" t="s">
        <v>794</v>
      </c>
      <c r="M2545">
        <f t="shared" si="39"/>
        <v>2025</v>
      </c>
    </row>
    <row r="2546" spans="1:13" ht="12.75" hidden="1" customHeight="1">
      <c r="A2546" t="s">
        <v>801</v>
      </c>
      <c r="B2546" t="s">
        <v>13</v>
      </c>
      <c r="C2546" t="s">
        <v>726</v>
      </c>
      <c r="D2546" t="s">
        <v>1242</v>
      </c>
      <c r="E2546" s="1">
        <v>45910</v>
      </c>
      <c r="F2546" s="1">
        <v>45910</v>
      </c>
      <c r="G2546" s="12">
        <v>20.400000000000002</v>
      </c>
      <c r="H2546" s="2">
        <v>0</v>
      </c>
      <c r="I2546" s="2">
        <v>0</v>
      </c>
      <c r="J2546" s="2">
        <v>0</v>
      </c>
      <c r="K2546" s="20">
        <v>20.400000000000002</v>
      </c>
      <c r="L2546" t="s">
        <v>794</v>
      </c>
      <c r="M2546">
        <f t="shared" si="39"/>
        <v>2025</v>
      </c>
    </row>
    <row r="2547" spans="1:13" ht="12.75" hidden="1" customHeight="1">
      <c r="A2547" s="7" t="s">
        <v>879</v>
      </c>
      <c r="B2547" s="7" t="s">
        <v>23</v>
      </c>
      <c r="C2547" s="7" t="s">
        <v>713</v>
      </c>
      <c r="D2547" s="7" t="s">
        <v>1142</v>
      </c>
      <c r="E2547" s="9">
        <v>45896</v>
      </c>
      <c r="F2547" s="9">
        <v>45911</v>
      </c>
      <c r="G2547" s="10">
        <v>2602.1</v>
      </c>
      <c r="H2547" s="11">
        <v>0</v>
      </c>
      <c r="I2547" s="11">
        <v>0</v>
      </c>
      <c r="J2547" s="11">
        <v>0</v>
      </c>
      <c r="K2547" s="21">
        <v>2602.1</v>
      </c>
      <c r="L2547" s="7" t="s">
        <v>794</v>
      </c>
      <c r="M2547">
        <f t="shared" si="39"/>
        <v>2025</v>
      </c>
    </row>
    <row r="2548" spans="1:13" ht="12.75" hidden="1" customHeight="1">
      <c r="A2548" t="s">
        <v>821</v>
      </c>
      <c r="B2548" t="s">
        <v>72</v>
      </c>
      <c r="C2548" t="s">
        <v>722</v>
      </c>
      <c r="D2548" t="s">
        <v>1242</v>
      </c>
      <c r="E2548" s="1">
        <v>45908</v>
      </c>
      <c r="F2548" s="1">
        <v>45911</v>
      </c>
      <c r="G2548" s="12">
        <v>1409.45</v>
      </c>
      <c r="H2548" s="2">
        <v>0</v>
      </c>
      <c r="I2548" s="2">
        <v>0</v>
      </c>
      <c r="J2548" s="2">
        <v>0</v>
      </c>
      <c r="K2548" s="20">
        <v>1409.45</v>
      </c>
      <c r="L2548" t="s">
        <v>794</v>
      </c>
      <c r="M2548">
        <f t="shared" si="39"/>
        <v>2025</v>
      </c>
    </row>
    <row r="2549" spans="1:13" ht="12.75" hidden="1" customHeight="1">
      <c r="A2549" t="s">
        <v>801</v>
      </c>
      <c r="B2549" t="s">
        <v>13</v>
      </c>
      <c r="C2549" t="s">
        <v>726</v>
      </c>
      <c r="D2549" t="s">
        <v>1242</v>
      </c>
      <c r="E2549" s="1">
        <v>45908</v>
      </c>
      <c r="F2549" s="1">
        <v>45911</v>
      </c>
      <c r="G2549" s="12">
        <v>106.08</v>
      </c>
      <c r="H2549" s="2">
        <v>0</v>
      </c>
      <c r="I2549" s="2">
        <v>0</v>
      </c>
      <c r="J2549" s="2">
        <v>0</v>
      </c>
      <c r="K2549" s="20">
        <v>106.08</v>
      </c>
      <c r="L2549" t="s">
        <v>794</v>
      </c>
      <c r="M2549">
        <f t="shared" si="39"/>
        <v>2025</v>
      </c>
    </row>
    <row r="2550" spans="1:13" ht="12.75" hidden="1" customHeight="1">
      <c r="A2550" t="s">
        <v>1291</v>
      </c>
      <c r="B2550" t="s">
        <v>472</v>
      </c>
      <c r="C2550" t="s">
        <v>140</v>
      </c>
      <c r="D2550" t="s">
        <v>1242</v>
      </c>
      <c r="E2550" s="1">
        <v>45915</v>
      </c>
      <c r="F2550" s="1">
        <v>45915</v>
      </c>
      <c r="G2550" s="12">
        <v>180</v>
      </c>
      <c r="H2550" s="2">
        <v>0</v>
      </c>
      <c r="I2550" s="2">
        <v>0</v>
      </c>
      <c r="J2550" s="2">
        <v>0</v>
      </c>
      <c r="K2550" s="20">
        <v>180</v>
      </c>
      <c r="L2550" t="s">
        <v>1114</v>
      </c>
      <c r="M2550">
        <f t="shared" si="39"/>
        <v>2025</v>
      </c>
    </row>
    <row r="2551" spans="1:13" ht="12.75" hidden="1" customHeight="1">
      <c r="A2551" t="s">
        <v>1188</v>
      </c>
      <c r="B2551" t="s">
        <v>410</v>
      </c>
      <c r="C2551" t="s">
        <v>458</v>
      </c>
      <c r="D2551" t="s">
        <v>1242</v>
      </c>
      <c r="E2551" s="1">
        <v>45916</v>
      </c>
      <c r="F2551" s="1">
        <v>45916</v>
      </c>
      <c r="G2551" s="12">
        <v>202.20000000000002</v>
      </c>
      <c r="H2551" s="2">
        <v>0</v>
      </c>
      <c r="I2551" s="2">
        <v>0</v>
      </c>
      <c r="J2551" s="2">
        <v>0</v>
      </c>
      <c r="K2551" s="20">
        <v>202.20000000000002</v>
      </c>
      <c r="L2551" t="s">
        <v>794</v>
      </c>
      <c r="M2551">
        <f t="shared" si="39"/>
        <v>2025</v>
      </c>
    </row>
    <row r="2552" spans="1:13" ht="12.75" hidden="1" customHeight="1">
      <c r="A2552" t="s">
        <v>1273</v>
      </c>
      <c r="B2552" t="s">
        <v>443</v>
      </c>
      <c r="C2552" t="s">
        <v>458</v>
      </c>
      <c r="D2552" t="s">
        <v>1242</v>
      </c>
      <c r="E2552" s="1">
        <v>45916</v>
      </c>
      <c r="F2552" s="1">
        <v>45916</v>
      </c>
      <c r="G2552" s="12">
        <v>79.960000000000008</v>
      </c>
      <c r="H2552" s="2">
        <v>0</v>
      </c>
      <c r="I2552" s="2">
        <v>0</v>
      </c>
      <c r="J2552" s="2">
        <v>0</v>
      </c>
      <c r="K2552" s="20">
        <v>79.960000000000008</v>
      </c>
      <c r="L2552" t="s">
        <v>794</v>
      </c>
      <c r="M2552">
        <f t="shared" si="39"/>
        <v>2025</v>
      </c>
    </row>
    <row r="2553" spans="1:13" ht="12.75" hidden="1" customHeight="1">
      <c r="A2553" t="s">
        <v>1272</v>
      </c>
      <c r="B2553" t="s">
        <v>132</v>
      </c>
      <c r="C2553" t="s">
        <v>140</v>
      </c>
      <c r="D2553" t="s">
        <v>1242</v>
      </c>
      <c r="E2553" s="1">
        <v>45915</v>
      </c>
      <c r="F2553" s="1">
        <v>45916</v>
      </c>
      <c r="G2553" s="12">
        <v>90</v>
      </c>
      <c r="H2553" s="2">
        <v>0</v>
      </c>
      <c r="I2553" s="2">
        <v>0</v>
      </c>
      <c r="J2553" s="2">
        <v>0</v>
      </c>
      <c r="K2553" s="20">
        <v>90</v>
      </c>
      <c r="L2553" t="s">
        <v>794</v>
      </c>
      <c r="M2553">
        <f t="shared" si="39"/>
        <v>2025</v>
      </c>
    </row>
    <row r="2554" spans="1:13" ht="12.75" hidden="1" customHeight="1">
      <c r="A2554" t="s">
        <v>812</v>
      </c>
      <c r="B2554" t="s">
        <v>31</v>
      </c>
      <c r="C2554" t="s">
        <v>141</v>
      </c>
      <c r="D2554" t="s">
        <v>1242</v>
      </c>
      <c r="E2554" s="1">
        <v>45910</v>
      </c>
      <c r="F2554" s="1">
        <v>45916</v>
      </c>
      <c r="G2554" s="12">
        <v>600</v>
      </c>
      <c r="H2554" s="2">
        <v>0</v>
      </c>
      <c r="I2554" s="2">
        <v>0</v>
      </c>
      <c r="J2554" s="2">
        <v>0</v>
      </c>
      <c r="K2554" s="20">
        <v>600</v>
      </c>
      <c r="L2554" t="s">
        <v>794</v>
      </c>
      <c r="M2554">
        <f t="shared" si="39"/>
        <v>2025</v>
      </c>
    </row>
    <row r="2555" spans="1:13" ht="12.75" hidden="1" customHeight="1">
      <c r="A2555" t="s">
        <v>1009</v>
      </c>
      <c r="B2555" t="s">
        <v>62</v>
      </c>
      <c r="C2555" t="s">
        <v>141</v>
      </c>
      <c r="D2555" t="s">
        <v>1242</v>
      </c>
      <c r="E2555" s="1">
        <v>45915</v>
      </c>
      <c r="F2555" s="1">
        <v>45916</v>
      </c>
      <c r="G2555" s="12">
        <v>80</v>
      </c>
      <c r="H2555" s="2">
        <v>0</v>
      </c>
      <c r="I2555" s="2">
        <v>0</v>
      </c>
      <c r="J2555" s="2">
        <v>0</v>
      </c>
      <c r="K2555" s="20">
        <v>80</v>
      </c>
      <c r="L2555" t="s">
        <v>794</v>
      </c>
      <c r="M2555">
        <f t="shared" si="39"/>
        <v>2025</v>
      </c>
    </row>
    <row r="2556" spans="1:13" ht="12.75" hidden="1" customHeight="1">
      <c r="A2556" t="s">
        <v>810</v>
      </c>
      <c r="B2556" t="s">
        <v>54</v>
      </c>
      <c r="C2556" t="s">
        <v>141</v>
      </c>
      <c r="D2556" t="s">
        <v>1242</v>
      </c>
      <c r="E2556" s="1">
        <v>45915</v>
      </c>
      <c r="F2556" s="1">
        <v>45916</v>
      </c>
      <c r="G2556" s="12">
        <v>40</v>
      </c>
      <c r="H2556" s="2">
        <v>0</v>
      </c>
      <c r="I2556" s="2">
        <v>0</v>
      </c>
      <c r="J2556" s="2">
        <v>0</v>
      </c>
      <c r="K2556" s="20">
        <v>40</v>
      </c>
      <c r="L2556" t="s">
        <v>794</v>
      </c>
      <c r="M2556">
        <f t="shared" si="39"/>
        <v>2025</v>
      </c>
    </row>
    <row r="2557" spans="1:13" ht="12.75" hidden="1" customHeight="1">
      <c r="A2557" t="s">
        <v>812</v>
      </c>
      <c r="B2557" t="s">
        <v>31</v>
      </c>
      <c r="C2557" t="s">
        <v>141</v>
      </c>
      <c r="D2557" t="s">
        <v>1242</v>
      </c>
      <c r="E2557" s="1">
        <v>45916</v>
      </c>
      <c r="F2557" s="1">
        <v>45916</v>
      </c>
      <c r="G2557" s="12">
        <v>200</v>
      </c>
      <c r="H2557" s="2">
        <v>0</v>
      </c>
      <c r="I2557" s="2">
        <v>0</v>
      </c>
      <c r="J2557" s="2">
        <v>0</v>
      </c>
      <c r="K2557" s="20">
        <v>200</v>
      </c>
      <c r="L2557" t="s">
        <v>794</v>
      </c>
      <c r="M2557">
        <f t="shared" si="39"/>
        <v>2025</v>
      </c>
    </row>
    <row r="2558" spans="1:13" ht="12.75" hidden="1" customHeight="1">
      <c r="A2558" t="s">
        <v>801</v>
      </c>
      <c r="B2558" t="s">
        <v>13</v>
      </c>
      <c r="C2558" t="s">
        <v>726</v>
      </c>
      <c r="D2558" t="s">
        <v>1242</v>
      </c>
      <c r="E2558" s="1">
        <v>45901</v>
      </c>
      <c r="F2558" s="1">
        <v>45916</v>
      </c>
      <c r="G2558" s="12">
        <v>12.24</v>
      </c>
      <c r="H2558" s="2">
        <v>0</v>
      </c>
      <c r="I2558" s="2">
        <v>0</v>
      </c>
      <c r="J2558" s="2">
        <v>0</v>
      </c>
      <c r="K2558" s="20">
        <v>12.24</v>
      </c>
      <c r="L2558" t="s">
        <v>794</v>
      </c>
      <c r="M2558">
        <f t="shared" si="39"/>
        <v>2025</v>
      </c>
    </row>
    <row r="2559" spans="1:13" ht="12.75" hidden="1" customHeight="1">
      <c r="A2559" t="s">
        <v>801</v>
      </c>
      <c r="B2559" t="s">
        <v>13</v>
      </c>
      <c r="C2559" t="s">
        <v>726</v>
      </c>
      <c r="D2559" t="s">
        <v>1242</v>
      </c>
      <c r="E2559" s="1">
        <v>45901</v>
      </c>
      <c r="F2559" s="1">
        <v>45916</v>
      </c>
      <c r="G2559" s="12">
        <v>61.09</v>
      </c>
      <c r="H2559" s="2">
        <v>0</v>
      </c>
      <c r="I2559" s="2">
        <v>0</v>
      </c>
      <c r="J2559" s="2">
        <v>0</v>
      </c>
      <c r="K2559" s="20">
        <v>61.09</v>
      </c>
      <c r="L2559" t="s">
        <v>794</v>
      </c>
      <c r="M2559">
        <f t="shared" si="39"/>
        <v>2025</v>
      </c>
    </row>
    <row r="2560" spans="1:13" ht="12.75" hidden="1" customHeight="1">
      <c r="A2560" t="s">
        <v>801</v>
      </c>
      <c r="B2560" t="s">
        <v>13</v>
      </c>
      <c r="C2560" t="s">
        <v>740</v>
      </c>
      <c r="D2560" t="s">
        <v>1242</v>
      </c>
      <c r="E2560" s="1">
        <v>45901</v>
      </c>
      <c r="F2560" s="1">
        <v>45916</v>
      </c>
      <c r="G2560" s="12">
        <v>203.36</v>
      </c>
      <c r="H2560" s="2">
        <v>0</v>
      </c>
      <c r="I2560" s="2">
        <v>0</v>
      </c>
      <c r="J2560" s="2">
        <v>0</v>
      </c>
      <c r="K2560" s="20">
        <v>203.36</v>
      </c>
      <c r="L2560" t="s">
        <v>794</v>
      </c>
      <c r="M2560">
        <f t="shared" si="39"/>
        <v>2025</v>
      </c>
    </row>
    <row r="2561" spans="1:13" ht="12.75" hidden="1" customHeight="1">
      <c r="A2561" t="s">
        <v>801</v>
      </c>
      <c r="B2561" t="s">
        <v>13</v>
      </c>
      <c r="C2561" t="s">
        <v>740</v>
      </c>
      <c r="D2561" t="s">
        <v>1242</v>
      </c>
      <c r="E2561" s="1">
        <v>45902</v>
      </c>
      <c r="F2561" s="1">
        <v>45916</v>
      </c>
      <c r="G2561" s="12">
        <v>160.20000000000002</v>
      </c>
      <c r="H2561" s="2">
        <v>0</v>
      </c>
      <c r="I2561" s="2">
        <v>0</v>
      </c>
      <c r="J2561" s="2">
        <v>0</v>
      </c>
      <c r="K2561" s="20">
        <v>160.20000000000002</v>
      </c>
      <c r="L2561" t="s">
        <v>794</v>
      </c>
      <c r="M2561">
        <f t="shared" si="39"/>
        <v>2025</v>
      </c>
    </row>
    <row r="2562" spans="1:13" ht="12.75" hidden="1" customHeight="1">
      <c r="A2562" t="s">
        <v>801</v>
      </c>
      <c r="B2562" t="s">
        <v>13</v>
      </c>
      <c r="C2562" t="s">
        <v>726</v>
      </c>
      <c r="D2562" t="s">
        <v>1242</v>
      </c>
      <c r="E2562" s="1">
        <v>45902</v>
      </c>
      <c r="F2562" s="1">
        <v>45916</v>
      </c>
      <c r="G2562" s="12">
        <v>36.72</v>
      </c>
      <c r="H2562" s="2">
        <v>0</v>
      </c>
      <c r="I2562" s="2">
        <v>0</v>
      </c>
      <c r="J2562" s="2">
        <v>0</v>
      </c>
      <c r="K2562" s="20">
        <v>36.72</v>
      </c>
      <c r="L2562" t="s">
        <v>794</v>
      </c>
      <c r="M2562">
        <f t="shared" si="39"/>
        <v>2025</v>
      </c>
    </row>
    <row r="2563" spans="1:13" ht="12.75" hidden="1" customHeight="1">
      <c r="A2563" t="s">
        <v>801</v>
      </c>
      <c r="B2563" t="s">
        <v>13</v>
      </c>
      <c r="C2563" t="s">
        <v>726</v>
      </c>
      <c r="D2563" t="s">
        <v>1242</v>
      </c>
      <c r="E2563" s="1">
        <v>45903</v>
      </c>
      <c r="F2563" s="1">
        <v>45916</v>
      </c>
      <c r="G2563" s="12">
        <v>16.32</v>
      </c>
      <c r="H2563" s="2">
        <v>0</v>
      </c>
      <c r="I2563" s="2">
        <v>0</v>
      </c>
      <c r="J2563" s="2">
        <v>0</v>
      </c>
      <c r="K2563" s="20">
        <v>16.32</v>
      </c>
      <c r="L2563" t="s">
        <v>794</v>
      </c>
      <c r="M2563">
        <f t="shared" ref="M2563:M2626" si="40">YEAR(F2563)</f>
        <v>2025</v>
      </c>
    </row>
    <row r="2564" spans="1:13" ht="12.75" hidden="1" customHeight="1">
      <c r="A2564" t="s">
        <v>801</v>
      </c>
      <c r="B2564" t="s">
        <v>13</v>
      </c>
      <c r="C2564" t="s">
        <v>726</v>
      </c>
      <c r="D2564" t="s">
        <v>1242</v>
      </c>
      <c r="E2564" s="1">
        <v>45903</v>
      </c>
      <c r="F2564" s="1">
        <v>45916</v>
      </c>
      <c r="G2564" s="12">
        <v>24.48</v>
      </c>
      <c r="H2564" s="2">
        <v>0</v>
      </c>
      <c r="I2564" s="2">
        <v>0</v>
      </c>
      <c r="J2564" s="2">
        <v>0</v>
      </c>
      <c r="K2564" s="20">
        <v>24.48</v>
      </c>
      <c r="L2564" t="s">
        <v>794</v>
      </c>
      <c r="M2564">
        <f t="shared" si="40"/>
        <v>2025</v>
      </c>
    </row>
    <row r="2565" spans="1:13" ht="12.75" hidden="1" customHeight="1">
      <c r="A2565" t="s">
        <v>801</v>
      </c>
      <c r="B2565" t="s">
        <v>13</v>
      </c>
      <c r="C2565" t="s">
        <v>726</v>
      </c>
      <c r="D2565" t="s">
        <v>1242</v>
      </c>
      <c r="E2565" s="1">
        <v>45905</v>
      </c>
      <c r="F2565" s="1">
        <v>45916</v>
      </c>
      <c r="G2565" s="12">
        <v>18.36</v>
      </c>
      <c r="H2565" s="2">
        <v>0</v>
      </c>
      <c r="I2565" s="2">
        <v>0</v>
      </c>
      <c r="J2565" s="2">
        <v>0</v>
      </c>
      <c r="K2565" s="20">
        <v>18.36</v>
      </c>
      <c r="L2565" t="s">
        <v>794</v>
      </c>
      <c r="M2565">
        <f t="shared" si="40"/>
        <v>2025</v>
      </c>
    </row>
    <row r="2566" spans="1:13" ht="12.75" hidden="1" customHeight="1">
      <c r="A2566" t="s">
        <v>801</v>
      </c>
      <c r="B2566" t="s">
        <v>13</v>
      </c>
      <c r="C2566" t="s">
        <v>726</v>
      </c>
      <c r="D2566" t="s">
        <v>1242</v>
      </c>
      <c r="E2566" s="1">
        <v>45908</v>
      </c>
      <c r="F2566" s="1">
        <v>45916</v>
      </c>
      <c r="G2566" s="12">
        <v>897.6</v>
      </c>
      <c r="H2566" s="2">
        <v>0</v>
      </c>
      <c r="I2566" s="2">
        <v>0</v>
      </c>
      <c r="J2566" s="2">
        <v>0</v>
      </c>
      <c r="K2566" s="20">
        <v>897.6</v>
      </c>
      <c r="L2566" t="s">
        <v>794</v>
      </c>
      <c r="M2566">
        <f t="shared" si="40"/>
        <v>2025</v>
      </c>
    </row>
    <row r="2567" spans="1:13" ht="12.75" hidden="1" customHeight="1">
      <c r="A2567" t="s">
        <v>801</v>
      </c>
      <c r="B2567" t="s">
        <v>13</v>
      </c>
      <c r="C2567" t="s">
        <v>726</v>
      </c>
      <c r="D2567" t="s">
        <v>1242</v>
      </c>
      <c r="E2567" s="1">
        <v>45909</v>
      </c>
      <c r="F2567" s="1">
        <v>45916</v>
      </c>
      <c r="G2567" s="12">
        <v>142.80000000000001</v>
      </c>
      <c r="H2567" s="2">
        <v>0</v>
      </c>
      <c r="I2567" s="2">
        <v>0</v>
      </c>
      <c r="J2567" s="2">
        <v>0</v>
      </c>
      <c r="K2567" s="20">
        <v>142.80000000000001</v>
      </c>
      <c r="L2567" t="s">
        <v>794</v>
      </c>
      <c r="M2567">
        <f t="shared" si="40"/>
        <v>2025</v>
      </c>
    </row>
    <row r="2568" spans="1:13" ht="12.75" hidden="1" customHeight="1">
      <c r="A2568" t="s">
        <v>801</v>
      </c>
      <c r="B2568" t="s">
        <v>13</v>
      </c>
      <c r="C2568" t="s">
        <v>726</v>
      </c>
      <c r="D2568" t="s">
        <v>1242</v>
      </c>
      <c r="E2568" s="1">
        <v>45910</v>
      </c>
      <c r="F2568" s="1">
        <v>45916</v>
      </c>
      <c r="G2568" s="12">
        <v>4.08</v>
      </c>
      <c r="H2568" s="2">
        <v>0</v>
      </c>
      <c r="I2568" s="2">
        <v>0</v>
      </c>
      <c r="J2568" s="2">
        <v>0</v>
      </c>
      <c r="K2568" s="20">
        <v>4.08</v>
      </c>
      <c r="L2568" t="s">
        <v>794</v>
      </c>
      <c r="M2568">
        <f t="shared" si="40"/>
        <v>2025</v>
      </c>
    </row>
    <row r="2569" spans="1:13" ht="12.75" hidden="1" customHeight="1">
      <c r="A2569" t="s">
        <v>801</v>
      </c>
      <c r="B2569" t="s">
        <v>13</v>
      </c>
      <c r="C2569" t="s">
        <v>717</v>
      </c>
      <c r="D2569" t="s">
        <v>1242</v>
      </c>
      <c r="E2569" s="1">
        <v>45912</v>
      </c>
      <c r="F2569" s="1">
        <v>45916</v>
      </c>
      <c r="G2569" s="12">
        <v>5552</v>
      </c>
      <c r="H2569" s="2">
        <v>0</v>
      </c>
      <c r="I2569" s="2">
        <v>0</v>
      </c>
      <c r="J2569" s="2">
        <v>0</v>
      </c>
      <c r="K2569" s="20">
        <v>5552</v>
      </c>
      <c r="L2569" t="s">
        <v>794</v>
      </c>
      <c r="M2569">
        <f t="shared" si="40"/>
        <v>2025</v>
      </c>
    </row>
    <row r="2570" spans="1:13" ht="12.75" hidden="1" customHeight="1">
      <c r="A2570" t="s">
        <v>801</v>
      </c>
      <c r="B2570" t="s">
        <v>13</v>
      </c>
      <c r="C2570" t="s">
        <v>726</v>
      </c>
      <c r="D2570" t="s">
        <v>1242</v>
      </c>
      <c r="E2570" s="1">
        <v>45912</v>
      </c>
      <c r="F2570" s="1">
        <v>45916</v>
      </c>
      <c r="G2570" s="12">
        <v>4.08</v>
      </c>
      <c r="H2570" s="2">
        <v>0</v>
      </c>
      <c r="I2570" s="2">
        <v>0</v>
      </c>
      <c r="J2570" s="2">
        <v>0</v>
      </c>
      <c r="K2570" s="20">
        <v>4.08</v>
      </c>
      <c r="L2570" t="s">
        <v>794</v>
      </c>
      <c r="M2570">
        <f t="shared" si="40"/>
        <v>2025</v>
      </c>
    </row>
    <row r="2571" spans="1:13" ht="12.75" hidden="1" customHeight="1">
      <c r="A2571" t="s">
        <v>801</v>
      </c>
      <c r="B2571" t="s">
        <v>13</v>
      </c>
      <c r="C2571" t="s">
        <v>717</v>
      </c>
      <c r="D2571" t="s">
        <v>1242</v>
      </c>
      <c r="E2571" s="1">
        <v>45915</v>
      </c>
      <c r="F2571" s="1">
        <v>45916</v>
      </c>
      <c r="G2571" s="12">
        <v>210.38</v>
      </c>
      <c r="H2571" s="2">
        <v>0</v>
      </c>
      <c r="I2571" s="2">
        <v>0</v>
      </c>
      <c r="J2571" s="2">
        <v>0</v>
      </c>
      <c r="K2571" s="20">
        <v>210.38</v>
      </c>
      <c r="L2571" t="s">
        <v>794</v>
      </c>
      <c r="M2571">
        <f t="shared" si="40"/>
        <v>2025</v>
      </c>
    </row>
    <row r="2572" spans="1:13" ht="12.75" hidden="1" customHeight="1">
      <c r="A2572" t="s">
        <v>801</v>
      </c>
      <c r="B2572" t="s">
        <v>13</v>
      </c>
      <c r="C2572" t="s">
        <v>726</v>
      </c>
      <c r="D2572" t="s">
        <v>1242</v>
      </c>
      <c r="E2572" s="1">
        <v>45915</v>
      </c>
      <c r="F2572" s="1">
        <v>45916</v>
      </c>
      <c r="G2572" s="12">
        <v>12.24</v>
      </c>
      <c r="H2572" s="2">
        <v>0</v>
      </c>
      <c r="I2572" s="2">
        <v>0</v>
      </c>
      <c r="J2572" s="2">
        <v>0</v>
      </c>
      <c r="K2572" s="20">
        <v>12.24</v>
      </c>
      <c r="L2572" t="s">
        <v>794</v>
      </c>
      <c r="M2572">
        <f t="shared" si="40"/>
        <v>2025</v>
      </c>
    </row>
    <row r="2573" spans="1:13" ht="12.75" hidden="1" customHeight="1">
      <c r="A2573" t="s">
        <v>812</v>
      </c>
      <c r="B2573" t="s">
        <v>31</v>
      </c>
      <c r="C2573" t="s">
        <v>141</v>
      </c>
      <c r="D2573" t="s">
        <v>1242</v>
      </c>
      <c r="E2573" s="1">
        <v>45912</v>
      </c>
      <c r="F2573" s="1">
        <v>45916</v>
      </c>
      <c r="G2573" s="12">
        <v>40</v>
      </c>
      <c r="H2573" s="2">
        <v>0</v>
      </c>
      <c r="I2573" s="2">
        <v>0</v>
      </c>
      <c r="J2573" s="2">
        <v>0</v>
      </c>
      <c r="K2573" s="20">
        <v>40</v>
      </c>
      <c r="L2573" t="s">
        <v>794</v>
      </c>
      <c r="M2573">
        <f t="shared" si="40"/>
        <v>2025</v>
      </c>
    </row>
    <row r="2574" spans="1:13" ht="12.75" hidden="1" customHeight="1">
      <c r="A2574" t="s">
        <v>887</v>
      </c>
      <c r="B2574" t="s">
        <v>61</v>
      </c>
      <c r="C2574" t="s">
        <v>201</v>
      </c>
      <c r="D2574" t="s">
        <v>1233</v>
      </c>
      <c r="E2574" s="1">
        <v>45881</v>
      </c>
      <c r="F2574" s="1">
        <v>45881</v>
      </c>
      <c r="G2574" s="12">
        <v>1760</v>
      </c>
      <c r="H2574" s="2">
        <v>0</v>
      </c>
      <c r="I2574" s="2">
        <v>0</v>
      </c>
      <c r="J2574" s="2">
        <v>0</v>
      </c>
      <c r="K2574" s="20">
        <v>1760</v>
      </c>
      <c r="L2574" t="s">
        <v>794</v>
      </c>
      <c r="M2574">
        <f t="shared" si="40"/>
        <v>2025</v>
      </c>
    </row>
    <row r="2575" spans="1:13" ht="12.75" hidden="1" customHeight="1">
      <c r="A2575" t="s">
        <v>1292</v>
      </c>
      <c r="B2575" t="s">
        <v>638</v>
      </c>
      <c r="C2575" t="s">
        <v>483</v>
      </c>
      <c r="D2575" t="s">
        <v>1242</v>
      </c>
      <c r="E2575" s="1">
        <v>45904</v>
      </c>
      <c r="F2575" s="1">
        <v>45916</v>
      </c>
      <c r="G2575" s="12">
        <v>45</v>
      </c>
      <c r="H2575" s="2">
        <v>0</v>
      </c>
      <c r="I2575" s="2">
        <v>0</v>
      </c>
      <c r="J2575" s="2">
        <v>0</v>
      </c>
      <c r="K2575" s="20">
        <v>45</v>
      </c>
      <c r="L2575" t="s">
        <v>794</v>
      </c>
      <c r="M2575">
        <f t="shared" si="40"/>
        <v>2025</v>
      </c>
    </row>
    <row r="2576" spans="1:13" ht="12.75" hidden="1" customHeight="1">
      <c r="A2576" t="s">
        <v>801</v>
      </c>
      <c r="B2576" t="s">
        <v>13</v>
      </c>
      <c r="C2576" t="s">
        <v>717</v>
      </c>
      <c r="D2576" t="s">
        <v>1242</v>
      </c>
      <c r="E2576" s="1">
        <v>45912</v>
      </c>
      <c r="F2576" s="1">
        <v>45916</v>
      </c>
      <c r="G2576" s="12">
        <v>466.14</v>
      </c>
      <c r="H2576" s="2">
        <v>0</v>
      </c>
      <c r="I2576" s="2">
        <v>0</v>
      </c>
      <c r="J2576" s="2">
        <v>0</v>
      </c>
      <c r="K2576" s="20">
        <v>466.14</v>
      </c>
      <c r="L2576" t="s">
        <v>794</v>
      </c>
      <c r="M2576">
        <f t="shared" si="40"/>
        <v>2025</v>
      </c>
    </row>
    <row r="2577" spans="1:13" ht="12.75" hidden="1" customHeight="1">
      <c r="A2577" t="s">
        <v>1072</v>
      </c>
      <c r="B2577" t="s">
        <v>65</v>
      </c>
      <c r="C2577" t="s">
        <v>756</v>
      </c>
      <c r="D2577" t="s">
        <v>1242</v>
      </c>
      <c r="E2577" s="1">
        <v>45912</v>
      </c>
      <c r="F2577" s="1">
        <v>45916</v>
      </c>
      <c r="G2577" s="12">
        <v>95.070000000000007</v>
      </c>
      <c r="H2577" s="2">
        <v>0</v>
      </c>
      <c r="I2577" s="2">
        <v>0</v>
      </c>
      <c r="J2577" s="2">
        <v>0</v>
      </c>
      <c r="K2577" s="20">
        <v>95.070000000000007</v>
      </c>
      <c r="L2577" t="s">
        <v>794</v>
      </c>
      <c r="M2577">
        <f t="shared" si="40"/>
        <v>2025</v>
      </c>
    </row>
    <row r="2578" spans="1:13" ht="12.75" hidden="1" customHeight="1">
      <c r="A2578" t="s">
        <v>801</v>
      </c>
      <c r="B2578" t="s">
        <v>13</v>
      </c>
      <c r="C2578" t="s">
        <v>726</v>
      </c>
      <c r="D2578" t="s">
        <v>1242</v>
      </c>
      <c r="E2578" s="1">
        <v>45912</v>
      </c>
      <c r="F2578" s="1">
        <v>45916</v>
      </c>
      <c r="G2578" s="12">
        <v>2.04</v>
      </c>
      <c r="H2578" s="2">
        <v>0</v>
      </c>
      <c r="I2578" s="2">
        <v>0</v>
      </c>
      <c r="J2578" s="2">
        <v>0</v>
      </c>
      <c r="K2578" s="20">
        <v>2.04</v>
      </c>
      <c r="L2578" t="s">
        <v>794</v>
      </c>
      <c r="M2578">
        <f t="shared" si="40"/>
        <v>2025</v>
      </c>
    </row>
    <row r="2579" spans="1:13" ht="12.75" hidden="1" customHeight="1">
      <c r="A2579" t="s">
        <v>1214</v>
      </c>
      <c r="B2579" t="s">
        <v>229</v>
      </c>
      <c r="C2579" t="s">
        <v>183</v>
      </c>
      <c r="D2579" t="s">
        <v>1242</v>
      </c>
      <c r="E2579" s="1">
        <v>45918</v>
      </c>
      <c r="F2579" s="1">
        <v>45918</v>
      </c>
      <c r="G2579" s="12">
        <v>200</v>
      </c>
      <c r="H2579" s="2">
        <v>0</v>
      </c>
      <c r="I2579" s="2">
        <v>0</v>
      </c>
      <c r="J2579" s="2">
        <v>0</v>
      </c>
      <c r="K2579" s="20">
        <v>200</v>
      </c>
      <c r="L2579" t="s">
        <v>794</v>
      </c>
      <c r="M2579">
        <f t="shared" si="40"/>
        <v>2025</v>
      </c>
    </row>
    <row r="2580" spans="1:13" ht="12.75" hidden="1" customHeight="1">
      <c r="A2580" t="s">
        <v>1221</v>
      </c>
      <c r="B2580" t="s">
        <v>100</v>
      </c>
      <c r="C2580" t="s">
        <v>183</v>
      </c>
      <c r="D2580" t="s">
        <v>1242</v>
      </c>
      <c r="E2580" s="1">
        <v>45918</v>
      </c>
      <c r="F2580" s="1">
        <v>45918</v>
      </c>
      <c r="G2580" s="12">
        <v>1365</v>
      </c>
      <c r="H2580" s="2">
        <v>0</v>
      </c>
      <c r="I2580" s="2">
        <v>0</v>
      </c>
      <c r="J2580" s="2">
        <v>0</v>
      </c>
      <c r="K2580" s="20">
        <v>1365</v>
      </c>
      <c r="L2580" t="s">
        <v>794</v>
      </c>
      <c r="M2580">
        <f t="shared" si="40"/>
        <v>2025</v>
      </c>
    </row>
    <row r="2581" spans="1:13" ht="12.75" hidden="1" customHeight="1">
      <c r="A2581" t="s">
        <v>811</v>
      </c>
      <c r="B2581" t="s">
        <v>39</v>
      </c>
      <c r="C2581" t="s">
        <v>141</v>
      </c>
      <c r="D2581" t="s">
        <v>1242</v>
      </c>
      <c r="E2581" s="1">
        <v>45918</v>
      </c>
      <c r="F2581" s="1">
        <v>45918</v>
      </c>
      <c r="G2581" s="12">
        <v>90</v>
      </c>
      <c r="H2581" s="2">
        <v>0</v>
      </c>
      <c r="I2581" s="2">
        <v>0</v>
      </c>
      <c r="J2581" s="2">
        <v>0</v>
      </c>
      <c r="K2581" s="20">
        <v>90</v>
      </c>
      <c r="L2581" t="s">
        <v>794</v>
      </c>
      <c r="M2581">
        <f t="shared" si="40"/>
        <v>2025</v>
      </c>
    </row>
    <row r="2582" spans="1:13" ht="12.75" hidden="1" customHeight="1">
      <c r="A2582" t="s">
        <v>1181</v>
      </c>
      <c r="B2582" t="s">
        <v>75</v>
      </c>
      <c r="C2582" t="s">
        <v>141</v>
      </c>
      <c r="D2582" t="s">
        <v>1242</v>
      </c>
      <c r="E2582" s="1">
        <v>45918</v>
      </c>
      <c r="F2582" s="1">
        <v>45918</v>
      </c>
      <c r="G2582" s="12">
        <v>120</v>
      </c>
      <c r="H2582" s="2">
        <v>0</v>
      </c>
      <c r="I2582" s="2">
        <v>0</v>
      </c>
      <c r="J2582" s="2">
        <v>0</v>
      </c>
      <c r="K2582" s="20">
        <v>120</v>
      </c>
      <c r="L2582" t="s">
        <v>794</v>
      </c>
      <c r="M2582">
        <f t="shared" si="40"/>
        <v>2025</v>
      </c>
    </row>
    <row r="2583" spans="1:13" ht="12.75" hidden="1" customHeight="1">
      <c r="A2583" t="s">
        <v>1211</v>
      </c>
      <c r="B2583" t="s">
        <v>73</v>
      </c>
      <c r="C2583" t="s">
        <v>721</v>
      </c>
      <c r="D2583" t="s">
        <v>1242</v>
      </c>
      <c r="E2583" s="1">
        <v>45918</v>
      </c>
      <c r="F2583" s="1">
        <v>45918</v>
      </c>
      <c r="G2583" s="12">
        <v>1500</v>
      </c>
      <c r="H2583" s="2">
        <v>0</v>
      </c>
      <c r="I2583" s="2">
        <v>0</v>
      </c>
      <c r="J2583" s="2">
        <v>0</v>
      </c>
      <c r="K2583" s="20">
        <v>1500</v>
      </c>
      <c r="L2583" t="s">
        <v>794</v>
      </c>
      <c r="M2583">
        <f t="shared" si="40"/>
        <v>2025</v>
      </c>
    </row>
    <row r="2584" spans="1:13" ht="12.75" hidden="1" customHeight="1">
      <c r="A2584" t="s">
        <v>1293</v>
      </c>
      <c r="B2584" t="s">
        <v>239</v>
      </c>
      <c r="C2584" t="s">
        <v>200</v>
      </c>
      <c r="D2584" t="s">
        <v>1242</v>
      </c>
      <c r="E2584" s="1">
        <v>45918</v>
      </c>
      <c r="F2584" s="1">
        <v>45918</v>
      </c>
      <c r="G2584" s="12">
        <v>1120</v>
      </c>
      <c r="H2584" s="2">
        <v>0</v>
      </c>
      <c r="I2584" s="2">
        <v>0</v>
      </c>
      <c r="J2584" s="2">
        <v>0</v>
      </c>
      <c r="K2584" s="20">
        <v>1120</v>
      </c>
      <c r="L2584" t="s">
        <v>794</v>
      </c>
      <c r="M2584">
        <f t="shared" si="40"/>
        <v>2025</v>
      </c>
    </row>
    <row r="2585" spans="1:13" ht="12.75" hidden="1" customHeight="1">
      <c r="A2585" t="s">
        <v>887</v>
      </c>
      <c r="B2585" t="s">
        <v>61</v>
      </c>
      <c r="C2585" t="s">
        <v>201</v>
      </c>
      <c r="D2585" t="s">
        <v>1242</v>
      </c>
      <c r="E2585" s="1">
        <v>45910</v>
      </c>
      <c r="F2585" s="1">
        <v>45916</v>
      </c>
      <c r="G2585" s="12">
        <v>2320</v>
      </c>
      <c r="H2585" s="2">
        <v>0</v>
      </c>
      <c r="I2585" s="2">
        <v>0</v>
      </c>
      <c r="J2585" s="2">
        <v>0</v>
      </c>
      <c r="K2585" s="20">
        <v>2320</v>
      </c>
      <c r="L2585" t="s">
        <v>794</v>
      </c>
      <c r="M2585">
        <f t="shared" si="40"/>
        <v>2025</v>
      </c>
    </row>
    <row r="2586" spans="1:13" ht="12.75" hidden="1" customHeight="1">
      <c r="A2586" t="s">
        <v>1181</v>
      </c>
      <c r="B2586" t="s">
        <v>75</v>
      </c>
      <c r="C2586" t="s">
        <v>137</v>
      </c>
      <c r="D2586" t="s">
        <v>1242</v>
      </c>
      <c r="E2586" s="1">
        <v>45918</v>
      </c>
      <c r="F2586" s="1">
        <v>45918</v>
      </c>
      <c r="G2586" s="12">
        <v>2000</v>
      </c>
      <c r="H2586" s="2">
        <v>0</v>
      </c>
      <c r="I2586" s="2">
        <v>0</v>
      </c>
      <c r="J2586" s="2">
        <v>0</v>
      </c>
      <c r="K2586" s="20">
        <v>2000</v>
      </c>
      <c r="L2586" t="s">
        <v>794</v>
      </c>
      <c r="M2586">
        <f t="shared" si="40"/>
        <v>2025</v>
      </c>
    </row>
    <row r="2587" spans="1:13" ht="12.75" hidden="1" customHeight="1">
      <c r="A2587" t="s">
        <v>948</v>
      </c>
      <c r="B2587" t="s">
        <v>89</v>
      </c>
      <c r="C2587" t="s">
        <v>725</v>
      </c>
      <c r="D2587" t="s">
        <v>1242</v>
      </c>
      <c r="E2587" s="1">
        <v>45912</v>
      </c>
      <c r="F2587" s="1">
        <v>45918</v>
      </c>
      <c r="G2587" s="12">
        <v>666</v>
      </c>
      <c r="H2587" s="2">
        <v>0</v>
      </c>
      <c r="I2587" s="2">
        <v>0</v>
      </c>
      <c r="J2587" s="2">
        <v>0</v>
      </c>
      <c r="K2587" s="20">
        <v>666</v>
      </c>
      <c r="L2587" t="s">
        <v>794</v>
      </c>
      <c r="M2587">
        <f t="shared" si="40"/>
        <v>2025</v>
      </c>
    </row>
    <row r="2588" spans="1:13" ht="12.75" hidden="1" customHeight="1">
      <c r="A2588" t="s">
        <v>893</v>
      </c>
      <c r="B2588" t="s">
        <v>212</v>
      </c>
      <c r="C2588" t="s">
        <v>746</v>
      </c>
      <c r="D2588" t="s">
        <v>1242</v>
      </c>
      <c r="E2588" s="1">
        <v>45915</v>
      </c>
      <c r="F2588" s="1">
        <v>45918</v>
      </c>
      <c r="G2588" s="12">
        <v>238.85</v>
      </c>
      <c r="H2588" s="2">
        <v>0</v>
      </c>
      <c r="I2588" s="2">
        <v>0</v>
      </c>
      <c r="J2588" s="2">
        <v>0</v>
      </c>
      <c r="K2588" s="20">
        <v>238.85</v>
      </c>
      <c r="L2588" t="s">
        <v>794</v>
      </c>
      <c r="M2588">
        <f t="shared" si="40"/>
        <v>2025</v>
      </c>
    </row>
    <row r="2589" spans="1:13" ht="12.75" hidden="1" customHeight="1">
      <c r="A2589" s="7" t="s">
        <v>879</v>
      </c>
      <c r="B2589" s="7" t="s">
        <v>23</v>
      </c>
      <c r="C2589" s="7" t="s">
        <v>713</v>
      </c>
      <c r="D2589" s="7" t="s">
        <v>1242</v>
      </c>
      <c r="E2589" s="9">
        <v>45915</v>
      </c>
      <c r="F2589" s="9">
        <v>45918</v>
      </c>
      <c r="G2589" s="10">
        <v>1992.24</v>
      </c>
      <c r="H2589" s="11">
        <v>0</v>
      </c>
      <c r="I2589" s="11">
        <v>0</v>
      </c>
      <c r="J2589" s="11">
        <v>0</v>
      </c>
      <c r="K2589" s="21">
        <v>1992.24</v>
      </c>
      <c r="L2589" s="7" t="s">
        <v>794</v>
      </c>
      <c r="M2589">
        <f t="shared" si="40"/>
        <v>2025</v>
      </c>
    </row>
    <row r="2590" spans="1:13" ht="12.75" hidden="1" customHeight="1">
      <c r="A2590" t="s">
        <v>886</v>
      </c>
      <c r="B2590" t="s">
        <v>194</v>
      </c>
      <c r="C2590" t="s">
        <v>743</v>
      </c>
      <c r="D2590" t="s">
        <v>1242</v>
      </c>
      <c r="E2590" s="1">
        <v>45915</v>
      </c>
      <c r="F2590" s="1">
        <v>45918</v>
      </c>
      <c r="G2590" s="12">
        <v>217.76</v>
      </c>
      <c r="H2590" s="2">
        <v>0</v>
      </c>
      <c r="I2590" s="2">
        <v>0</v>
      </c>
      <c r="J2590" s="2">
        <v>0</v>
      </c>
      <c r="K2590" s="20">
        <v>217.76</v>
      </c>
      <c r="L2590" t="s">
        <v>794</v>
      </c>
      <c r="M2590">
        <f t="shared" si="40"/>
        <v>2025</v>
      </c>
    </row>
    <row r="2591" spans="1:13" ht="12.75" hidden="1" customHeight="1">
      <c r="A2591" t="s">
        <v>1262</v>
      </c>
      <c r="B2591" t="s">
        <v>252</v>
      </c>
      <c r="C2591" t="s">
        <v>745</v>
      </c>
      <c r="D2591" t="s">
        <v>1242</v>
      </c>
      <c r="E2591" s="1">
        <v>45915</v>
      </c>
      <c r="F2591" s="1">
        <v>45918</v>
      </c>
      <c r="G2591" s="12">
        <v>1200</v>
      </c>
      <c r="H2591" s="2">
        <v>0</v>
      </c>
      <c r="I2591" s="2">
        <v>0</v>
      </c>
      <c r="J2591" s="2">
        <v>0</v>
      </c>
      <c r="K2591" s="20">
        <v>1200</v>
      </c>
      <c r="L2591" t="s">
        <v>794</v>
      </c>
      <c r="M2591">
        <f t="shared" si="40"/>
        <v>2025</v>
      </c>
    </row>
    <row r="2592" spans="1:13" ht="12.75" hidden="1" customHeight="1">
      <c r="A2592" t="s">
        <v>891</v>
      </c>
      <c r="B2592" t="s">
        <v>102</v>
      </c>
      <c r="C2592" t="s">
        <v>710</v>
      </c>
      <c r="D2592" t="s">
        <v>1242</v>
      </c>
      <c r="E2592" s="1">
        <v>45915</v>
      </c>
      <c r="F2592" s="1">
        <v>45918</v>
      </c>
      <c r="G2592" s="12">
        <v>650</v>
      </c>
      <c r="H2592" s="2">
        <v>0</v>
      </c>
      <c r="I2592" s="2">
        <v>0</v>
      </c>
      <c r="J2592" s="2">
        <v>0</v>
      </c>
      <c r="K2592" s="20">
        <v>650</v>
      </c>
      <c r="L2592" t="s">
        <v>794</v>
      </c>
      <c r="M2592">
        <f t="shared" si="40"/>
        <v>2025</v>
      </c>
    </row>
    <row r="2593" spans="1:13" ht="12.75" hidden="1" customHeight="1">
      <c r="A2593" t="s">
        <v>800</v>
      </c>
      <c r="B2593" t="s">
        <v>85</v>
      </c>
      <c r="C2593" t="s">
        <v>734</v>
      </c>
      <c r="D2593" t="s">
        <v>1242</v>
      </c>
      <c r="E2593" s="1">
        <v>45915</v>
      </c>
      <c r="F2593" s="1">
        <v>45918</v>
      </c>
      <c r="G2593" s="12">
        <v>900</v>
      </c>
      <c r="H2593" s="2">
        <v>0</v>
      </c>
      <c r="I2593" s="2">
        <v>0</v>
      </c>
      <c r="J2593" s="2">
        <v>0</v>
      </c>
      <c r="K2593" s="20">
        <v>900</v>
      </c>
      <c r="L2593" t="s">
        <v>794</v>
      </c>
      <c r="M2593">
        <f t="shared" si="40"/>
        <v>2025</v>
      </c>
    </row>
    <row r="2594" spans="1:13" ht="12.75" hidden="1" customHeight="1">
      <c r="A2594" t="s">
        <v>941</v>
      </c>
      <c r="B2594" t="s">
        <v>52</v>
      </c>
      <c r="C2594" t="s">
        <v>672</v>
      </c>
      <c r="D2594" t="s">
        <v>1242</v>
      </c>
      <c r="E2594" s="1">
        <v>45915</v>
      </c>
      <c r="F2594" s="1">
        <v>45918</v>
      </c>
      <c r="G2594" s="12">
        <v>1518</v>
      </c>
      <c r="H2594" s="2">
        <v>0</v>
      </c>
      <c r="I2594" s="2">
        <v>0</v>
      </c>
      <c r="J2594" s="2">
        <v>0</v>
      </c>
      <c r="K2594" s="20">
        <v>1518</v>
      </c>
      <c r="L2594" t="s">
        <v>794</v>
      </c>
      <c r="M2594">
        <f t="shared" si="40"/>
        <v>2025</v>
      </c>
    </row>
    <row r="2595" spans="1:13" ht="12.75" hidden="1" customHeight="1">
      <c r="A2595" t="s">
        <v>1294</v>
      </c>
      <c r="B2595" t="s">
        <v>296</v>
      </c>
      <c r="C2595" t="s">
        <v>558</v>
      </c>
      <c r="D2595" t="s">
        <v>1242</v>
      </c>
      <c r="E2595" s="1">
        <v>45915</v>
      </c>
      <c r="F2595" s="1">
        <v>45918</v>
      </c>
      <c r="G2595" s="12">
        <v>1303.29</v>
      </c>
      <c r="H2595" s="2">
        <v>0</v>
      </c>
      <c r="I2595" s="2">
        <v>0</v>
      </c>
      <c r="J2595" s="2">
        <v>0</v>
      </c>
      <c r="K2595" s="20">
        <v>1303.29</v>
      </c>
      <c r="L2595" t="s">
        <v>794</v>
      </c>
      <c r="M2595">
        <f t="shared" si="40"/>
        <v>2025</v>
      </c>
    </row>
    <row r="2596" spans="1:13" ht="12.75" hidden="1" customHeight="1">
      <c r="A2596" t="s">
        <v>894</v>
      </c>
      <c r="B2596" t="s">
        <v>50</v>
      </c>
      <c r="C2596" t="s">
        <v>152</v>
      </c>
      <c r="D2596" t="s">
        <v>1242</v>
      </c>
      <c r="E2596" s="1">
        <v>45915</v>
      </c>
      <c r="F2596" s="1">
        <v>45918</v>
      </c>
      <c r="G2596" s="12">
        <v>1518</v>
      </c>
      <c r="H2596" s="2">
        <v>0</v>
      </c>
      <c r="I2596" s="2">
        <v>0</v>
      </c>
      <c r="J2596" s="2">
        <v>0</v>
      </c>
      <c r="K2596" s="20">
        <v>1518</v>
      </c>
      <c r="L2596" t="s">
        <v>794</v>
      </c>
      <c r="M2596">
        <f t="shared" si="40"/>
        <v>2025</v>
      </c>
    </row>
    <row r="2597" spans="1:13" ht="12.75" hidden="1" customHeight="1">
      <c r="A2597" t="s">
        <v>1295</v>
      </c>
      <c r="B2597" t="s">
        <v>418</v>
      </c>
      <c r="C2597" t="s">
        <v>483</v>
      </c>
      <c r="D2597" t="s">
        <v>1242</v>
      </c>
      <c r="E2597" s="1">
        <v>45918</v>
      </c>
      <c r="F2597" s="1">
        <v>45918</v>
      </c>
      <c r="G2597" s="12">
        <v>202.20000000000002</v>
      </c>
      <c r="H2597" s="2">
        <v>0</v>
      </c>
      <c r="I2597" s="2">
        <v>0</v>
      </c>
      <c r="J2597" s="2">
        <v>0</v>
      </c>
      <c r="K2597" s="20">
        <v>202.20000000000002</v>
      </c>
      <c r="L2597" t="s">
        <v>794</v>
      </c>
      <c r="M2597">
        <f t="shared" si="40"/>
        <v>2025</v>
      </c>
    </row>
    <row r="2598" spans="1:13" ht="12.75" hidden="1" customHeight="1">
      <c r="A2598" t="s">
        <v>1163</v>
      </c>
      <c r="B2598" t="s">
        <v>94</v>
      </c>
      <c r="C2598" t="s">
        <v>721</v>
      </c>
      <c r="D2598" t="s">
        <v>1242</v>
      </c>
      <c r="E2598" s="1">
        <v>45918</v>
      </c>
      <c r="F2598" s="1">
        <v>45918</v>
      </c>
      <c r="G2598" s="12">
        <v>1800</v>
      </c>
      <c r="H2598" s="2">
        <v>0</v>
      </c>
      <c r="I2598" s="2">
        <v>0</v>
      </c>
      <c r="J2598" s="2">
        <v>0</v>
      </c>
      <c r="K2598" s="20">
        <v>1800</v>
      </c>
      <c r="L2598" t="s">
        <v>794</v>
      </c>
      <c r="M2598">
        <f t="shared" si="40"/>
        <v>2025</v>
      </c>
    </row>
    <row r="2599" spans="1:13" ht="12.75" hidden="1" customHeight="1">
      <c r="A2599" t="s">
        <v>1261</v>
      </c>
      <c r="B2599" t="s">
        <v>297</v>
      </c>
      <c r="C2599" t="s">
        <v>753</v>
      </c>
      <c r="D2599" t="s">
        <v>1242</v>
      </c>
      <c r="E2599" s="1">
        <v>45915</v>
      </c>
      <c r="F2599" s="1">
        <v>45918</v>
      </c>
      <c r="G2599" s="12">
        <v>250</v>
      </c>
      <c r="H2599" s="2">
        <v>0</v>
      </c>
      <c r="I2599" s="2">
        <v>0</v>
      </c>
      <c r="J2599" s="2">
        <v>0</v>
      </c>
      <c r="K2599" s="20">
        <v>250</v>
      </c>
      <c r="L2599" t="s">
        <v>794</v>
      </c>
      <c r="M2599">
        <f t="shared" si="40"/>
        <v>2025</v>
      </c>
    </row>
    <row r="2600" spans="1:13" ht="12.75" hidden="1" customHeight="1">
      <c r="A2600" t="s">
        <v>797</v>
      </c>
      <c r="B2600" t="s">
        <v>25</v>
      </c>
      <c r="C2600" t="s">
        <v>206</v>
      </c>
      <c r="D2600" t="s">
        <v>1242</v>
      </c>
      <c r="E2600" s="1">
        <v>45918</v>
      </c>
      <c r="F2600" s="1">
        <v>45918</v>
      </c>
      <c r="G2600" s="12">
        <v>1503.4</v>
      </c>
      <c r="H2600" s="2">
        <v>0</v>
      </c>
      <c r="I2600" s="2">
        <v>0</v>
      </c>
      <c r="J2600" s="2">
        <v>0</v>
      </c>
      <c r="K2600" s="20">
        <v>1503.4</v>
      </c>
      <c r="L2600" t="s">
        <v>794</v>
      </c>
      <c r="M2600">
        <f t="shared" si="40"/>
        <v>2025</v>
      </c>
    </row>
    <row r="2601" spans="1:13" ht="12.75" hidden="1" customHeight="1">
      <c r="A2601" t="s">
        <v>792</v>
      </c>
      <c r="B2601" t="s">
        <v>35</v>
      </c>
      <c r="C2601" t="s">
        <v>206</v>
      </c>
      <c r="D2601" t="s">
        <v>1242</v>
      </c>
      <c r="E2601" s="1">
        <v>45918</v>
      </c>
      <c r="F2601" s="1">
        <v>45918</v>
      </c>
      <c r="G2601" s="12">
        <v>496.6</v>
      </c>
      <c r="H2601" s="2">
        <v>0</v>
      </c>
      <c r="I2601" s="2">
        <v>0</v>
      </c>
      <c r="J2601" s="2">
        <v>0</v>
      </c>
      <c r="K2601" s="20">
        <v>496.6</v>
      </c>
      <c r="L2601" t="s">
        <v>794</v>
      </c>
      <c r="M2601">
        <f t="shared" si="40"/>
        <v>2025</v>
      </c>
    </row>
    <row r="2602" spans="1:13" ht="12.75" hidden="1" customHeight="1">
      <c r="A2602" t="s">
        <v>811</v>
      </c>
      <c r="B2602" t="s">
        <v>39</v>
      </c>
      <c r="C2602" t="s">
        <v>141</v>
      </c>
      <c r="D2602" t="s">
        <v>1242</v>
      </c>
      <c r="E2602" s="1">
        <v>45918</v>
      </c>
      <c r="F2602" s="1">
        <v>45918</v>
      </c>
      <c r="G2602" s="12">
        <v>249</v>
      </c>
      <c r="H2602" s="2">
        <v>0</v>
      </c>
      <c r="I2602" s="2">
        <v>0</v>
      </c>
      <c r="J2602" s="2">
        <v>0</v>
      </c>
      <c r="K2602" s="20">
        <v>249</v>
      </c>
      <c r="L2602" t="s">
        <v>794</v>
      </c>
      <c r="M2602">
        <f t="shared" si="40"/>
        <v>2025</v>
      </c>
    </row>
    <row r="2603" spans="1:13" ht="12.75" hidden="1" customHeight="1">
      <c r="A2603" t="s">
        <v>797</v>
      </c>
      <c r="B2603" t="s">
        <v>25</v>
      </c>
      <c r="C2603" t="s">
        <v>206</v>
      </c>
      <c r="D2603" t="s">
        <v>1242</v>
      </c>
      <c r="E2603" s="1">
        <v>45918</v>
      </c>
      <c r="F2603" s="1">
        <v>45918</v>
      </c>
      <c r="G2603" s="12">
        <v>3000</v>
      </c>
      <c r="H2603" s="2">
        <v>0</v>
      </c>
      <c r="I2603" s="2">
        <v>0</v>
      </c>
      <c r="J2603" s="2">
        <v>0</v>
      </c>
      <c r="K2603" s="20">
        <v>3000</v>
      </c>
      <c r="L2603" t="s">
        <v>794</v>
      </c>
      <c r="M2603">
        <f t="shared" si="40"/>
        <v>2025</v>
      </c>
    </row>
    <row r="2604" spans="1:13" ht="12.75" hidden="1" customHeight="1">
      <c r="A2604" t="s">
        <v>801</v>
      </c>
      <c r="B2604" t="s">
        <v>13</v>
      </c>
      <c r="C2604" t="s">
        <v>726</v>
      </c>
      <c r="D2604" t="s">
        <v>1242</v>
      </c>
      <c r="E2604" s="1">
        <v>45918</v>
      </c>
      <c r="F2604" s="1">
        <v>45918</v>
      </c>
      <c r="G2604" s="12">
        <v>2.04</v>
      </c>
      <c r="H2604" s="2">
        <v>0</v>
      </c>
      <c r="I2604" s="2">
        <v>0</v>
      </c>
      <c r="J2604" s="2">
        <v>0</v>
      </c>
      <c r="K2604" s="20">
        <v>2.04</v>
      </c>
      <c r="L2604" t="s">
        <v>794</v>
      </c>
      <c r="M2604">
        <f t="shared" si="40"/>
        <v>2025</v>
      </c>
    </row>
    <row r="2605" spans="1:13" ht="12.75" hidden="1" customHeight="1">
      <c r="A2605" t="s">
        <v>1296</v>
      </c>
      <c r="B2605" t="s">
        <v>42</v>
      </c>
      <c r="C2605" t="s">
        <v>728</v>
      </c>
      <c r="D2605" t="s">
        <v>1242</v>
      </c>
      <c r="E2605" s="1">
        <v>45910</v>
      </c>
      <c r="F2605" s="1">
        <v>45918</v>
      </c>
      <c r="G2605" s="12">
        <v>38.33</v>
      </c>
      <c r="H2605" s="2">
        <v>0</v>
      </c>
      <c r="I2605" s="2">
        <v>0</v>
      </c>
      <c r="J2605" s="2">
        <v>0</v>
      </c>
      <c r="K2605" s="20">
        <v>38.33</v>
      </c>
      <c r="L2605" t="s">
        <v>794</v>
      </c>
      <c r="M2605">
        <f t="shared" si="40"/>
        <v>2025</v>
      </c>
    </row>
    <row r="2606" spans="1:13" ht="12.75" hidden="1" customHeight="1">
      <c r="A2606" t="s">
        <v>826</v>
      </c>
      <c r="B2606" t="s">
        <v>21</v>
      </c>
      <c r="C2606" t="s">
        <v>141</v>
      </c>
      <c r="D2606" t="s">
        <v>1242</v>
      </c>
      <c r="E2606" s="1">
        <v>45910</v>
      </c>
      <c r="F2606" s="1">
        <v>45918</v>
      </c>
      <c r="G2606" s="12">
        <v>3550</v>
      </c>
      <c r="H2606" s="2">
        <v>0</v>
      </c>
      <c r="I2606" s="2">
        <v>0</v>
      </c>
      <c r="J2606" s="2">
        <v>0</v>
      </c>
      <c r="K2606" s="20">
        <v>3550</v>
      </c>
      <c r="L2606" t="s">
        <v>794</v>
      </c>
      <c r="M2606">
        <f t="shared" si="40"/>
        <v>2025</v>
      </c>
    </row>
    <row r="2607" spans="1:13" ht="12.75" hidden="1" customHeight="1">
      <c r="A2607" t="s">
        <v>1296</v>
      </c>
      <c r="B2607" t="s">
        <v>42</v>
      </c>
      <c r="C2607" t="s">
        <v>728</v>
      </c>
      <c r="D2607" t="s">
        <v>1242</v>
      </c>
      <c r="E2607" s="1">
        <v>45910</v>
      </c>
      <c r="F2607" s="1">
        <v>45918</v>
      </c>
      <c r="G2607" s="12">
        <v>2348.94</v>
      </c>
      <c r="H2607" s="2">
        <v>0</v>
      </c>
      <c r="I2607" s="2">
        <v>0</v>
      </c>
      <c r="J2607" s="2">
        <v>0</v>
      </c>
      <c r="K2607" s="20">
        <v>2348.94</v>
      </c>
      <c r="L2607" t="s">
        <v>794</v>
      </c>
      <c r="M2607">
        <f t="shared" si="40"/>
        <v>2025</v>
      </c>
    </row>
    <row r="2608" spans="1:13" ht="12.75" hidden="1" customHeight="1">
      <c r="A2608" t="s">
        <v>855</v>
      </c>
      <c r="B2608" t="s">
        <v>20</v>
      </c>
      <c r="C2608" t="s">
        <v>140</v>
      </c>
      <c r="D2608" t="s">
        <v>1242</v>
      </c>
      <c r="E2608" s="1">
        <v>45910</v>
      </c>
      <c r="F2608" s="1">
        <v>45918</v>
      </c>
      <c r="G2608" s="12">
        <v>500</v>
      </c>
      <c r="H2608" s="2">
        <v>0</v>
      </c>
      <c r="I2608" s="2">
        <v>0</v>
      </c>
      <c r="J2608" s="2">
        <v>0</v>
      </c>
      <c r="K2608" s="20">
        <v>500</v>
      </c>
      <c r="L2608" t="s">
        <v>794</v>
      </c>
      <c r="M2608">
        <f t="shared" si="40"/>
        <v>2025</v>
      </c>
    </row>
    <row r="2609" spans="1:13" ht="12.75" hidden="1" customHeight="1">
      <c r="A2609" t="s">
        <v>1009</v>
      </c>
      <c r="B2609" t="s">
        <v>62</v>
      </c>
      <c r="C2609" t="s">
        <v>141</v>
      </c>
      <c r="D2609" t="s">
        <v>1242</v>
      </c>
      <c r="E2609" s="1">
        <v>45911</v>
      </c>
      <c r="F2609" s="1">
        <v>45918</v>
      </c>
      <c r="G2609" s="12">
        <v>70</v>
      </c>
      <c r="H2609" s="2">
        <v>0</v>
      </c>
      <c r="I2609" s="2">
        <v>0</v>
      </c>
      <c r="J2609" s="2">
        <v>0</v>
      </c>
      <c r="K2609" s="20">
        <v>70</v>
      </c>
      <c r="L2609" t="s">
        <v>794</v>
      </c>
      <c r="M2609">
        <f t="shared" si="40"/>
        <v>2025</v>
      </c>
    </row>
    <row r="2610" spans="1:13" ht="12.75" hidden="1" customHeight="1">
      <c r="A2610" t="s">
        <v>1297</v>
      </c>
      <c r="B2610" t="s">
        <v>311</v>
      </c>
      <c r="C2610" t="s">
        <v>755</v>
      </c>
      <c r="D2610" t="s">
        <v>1025</v>
      </c>
      <c r="E2610" s="1">
        <v>45759</v>
      </c>
      <c r="F2610" s="1">
        <v>45918</v>
      </c>
      <c r="G2610" s="12">
        <v>268.59000000000003</v>
      </c>
      <c r="H2610" s="2">
        <v>0</v>
      </c>
      <c r="I2610" s="2">
        <v>0</v>
      </c>
      <c r="J2610" s="2">
        <v>0</v>
      </c>
      <c r="K2610" s="20">
        <v>268.59000000000003</v>
      </c>
      <c r="L2610" t="s">
        <v>794</v>
      </c>
      <c r="M2610">
        <f t="shared" si="40"/>
        <v>2025</v>
      </c>
    </row>
    <row r="2611" spans="1:13" ht="12.75" hidden="1" customHeight="1">
      <c r="A2611" t="s">
        <v>1297</v>
      </c>
      <c r="B2611" t="s">
        <v>311</v>
      </c>
      <c r="C2611" t="s">
        <v>755</v>
      </c>
      <c r="D2611" t="s">
        <v>1242</v>
      </c>
      <c r="E2611" s="1">
        <v>45912</v>
      </c>
      <c r="F2611" s="1">
        <v>45918</v>
      </c>
      <c r="G2611" s="12">
        <v>283.81</v>
      </c>
      <c r="H2611" s="2">
        <v>0</v>
      </c>
      <c r="I2611" s="2">
        <v>0</v>
      </c>
      <c r="J2611" s="2">
        <v>0</v>
      </c>
      <c r="K2611" s="20">
        <v>283.81</v>
      </c>
      <c r="L2611" t="s">
        <v>794</v>
      </c>
      <c r="M2611">
        <f t="shared" si="40"/>
        <v>2025</v>
      </c>
    </row>
    <row r="2612" spans="1:13" ht="12.75" hidden="1" customHeight="1">
      <c r="A2612" t="s">
        <v>1297</v>
      </c>
      <c r="B2612" t="s">
        <v>311</v>
      </c>
      <c r="C2612" t="s">
        <v>755</v>
      </c>
      <c r="D2612" t="s">
        <v>1242</v>
      </c>
      <c r="E2612" s="1">
        <v>45912</v>
      </c>
      <c r="F2612" s="1">
        <v>45918</v>
      </c>
      <c r="G2612" s="12">
        <v>283.81</v>
      </c>
      <c r="H2612" s="2">
        <v>0</v>
      </c>
      <c r="I2612" s="2">
        <v>0</v>
      </c>
      <c r="J2612" s="2">
        <v>0</v>
      </c>
      <c r="K2612" s="20">
        <v>283.81</v>
      </c>
      <c r="L2612" t="s">
        <v>794</v>
      </c>
      <c r="M2612">
        <f t="shared" si="40"/>
        <v>2025</v>
      </c>
    </row>
    <row r="2613" spans="1:13" ht="12.75" hidden="1" customHeight="1">
      <c r="A2613" t="s">
        <v>1278</v>
      </c>
      <c r="B2613" t="s">
        <v>190</v>
      </c>
      <c r="C2613" t="s">
        <v>729</v>
      </c>
      <c r="D2613" t="s">
        <v>1242</v>
      </c>
      <c r="E2613" s="1">
        <v>45912</v>
      </c>
      <c r="F2613" s="1">
        <v>45918</v>
      </c>
      <c r="G2613" s="12">
        <v>700</v>
      </c>
      <c r="H2613" s="2">
        <v>0</v>
      </c>
      <c r="I2613" s="2">
        <v>0</v>
      </c>
      <c r="J2613" s="2">
        <v>0</v>
      </c>
      <c r="K2613" s="20">
        <v>700</v>
      </c>
      <c r="L2613" t="s">
        <v>794</v>
      </c>
      <c r="M2613">
        <f t="shared" si="40"/>
        <v>2025</v>
      </c>
    </row>
    <row r="2614" spans="1:13" ht="12.75" hidden="1" customHeight="1">
      <c r="A2614" t="s">
        <v>1298</v>
      </c>
      <c r="B2614" t="s">
        <v>128</v>
      </c>
      <c r="C2614" t="s">
        <v>152</v>
      </c>
      <c r="D2614" t="s">
        <v>1242</v>
      </c>
      <c r="E2614" s="1">
        <v>45915</v>
      </c>
      <c r="F2614" s="1">
        <v>45918</v>
      </c>
      <c r="G2614" s="12">
        <v>1722.07</v>
      </c>
      <c r="H2614" s="2">
        <v>0</v>
      </c>
      <c r="I2614" s="2">
        <v>0</v>
      </c>
      <c r="J2614" s="2">
        <v>0</v>
      </c>
      <c r="K2614" s="20">
        <v>1722.07</v>
      </c>
      <c r="L2614" t="s">
        <v>794</v>
      </c>
      <c r="M2614">
        <f t="shared" si="40"/>
        <v>2025</v>
      </c>
    </row>
    <row r="2615" spans="1:13" ht="12.75" hidden="1" customHeight="1">
      <c r="A2615" t="s">
        <v>888</v>
      </c>
      <c r="B2615" t="s">
        <v>16</v>
      </c>
      <c r="C2615" t="s">
        <v>716</v>
      </c>
      <c r="D2615" t="s">
        <v>1242</v>
      </c>
      <c r="E2615" s="1">
        <v>45915</v>
      </c>
      <c r="F2615" s="1">
        <v>45918</v>
      </c>
      <c r="G2615" s="12">
        <v>10305.710000000001</v>
      </c>
      <c r="H2615" s="2">
        <v>0</v>
      </c>
      <c r="I2615" s="2">
        <v>0</v>
      </c>
      <c r="J2615" s="2">
        <v>0</v>
      </c>
      <c r="K2615" s="20">
        <v>10305.710000000001</v>
      </c>
      <c r="L2615" t="s">
        <v>794</v>
      </c>
      <c r="M2615">
        <f t="shared" si="40"/>
        <v>2025</v>
      </c>
    </row>
    <row r="2616" spans="1:13" ht="12.75" hidden="1" customHeight="1">
      <c r="A2616" s="7" t="s">
        <v>879</v>
      </c>
      <c r="B2616" s="7" t="s">
        <v>23</v>
      </c>
      <c r="C2616" s="7" t="s">
        <v>713</v>
      </c>
      <c r="D2616" s="7" t="s">
        <v>1242</v>
      </c>
      <c r="E2616" s="9">
        <v>45915</v>
      </c>
      <c r="F2616" s="9">
        <v>45918</v>
      </c>
      <c r="G2616" s="10">
        <v>700</v>
      </c>
      <c r="H2616" s="11">
        <v>0</v>
      </c>
      <c r="I2616" s="11">
        <v>0</v>
      </c>
      <c r="J2616" s="11">
        <v>0</v>
      </c>
      <c r="K2616" s="21">
        <v>700</v>
      </c>
      <c r="L2616" s="7" t="s">
        <v>794</v>
      </c>
      <c r="M2616">
        <f t="shared" si="40"/>
        <v>2025</v>
      </c>
    </row>
    <row r="2617" spans="1:13" ht="12.75" hidden="1" customHeight="1">
      <c r="A2617" t="s">
        <v>1072</v>
      </c>
      <c r="B2617" t="s">
        <v>65</v>
      </c>
      <c r="C2617" t="s">
        <v>756</v>
      </c>
      <c r="D2617" t="s">
        <v>1242</v>
      </c>
      <c r="E2617" s="1">
        <v>45918</v>
      </c>
      <c r="F2617" s="1">
        <v>45918</v>
      </c>
      <c r="G2617" s="12">
        <v>26.29</v>
      </c>
      <c r="H2617" s="2">
        <v>0</v>
      </c>
      <c r="I2617" s="2">
        <v>0</v>
      </c>
      <c r="J2617" s="2">
        <v>0</v>
      </c>
      <c r="K2617" s="20">
        <v>26.29</v>
      </c>
      <c r="L2617" t="s">
        <v>794</v>
      </c>
      <c r="M2617">
        <f t="shared" si="40"/>
        <v>2025</v>
      </c>
    </row>
    <row r="2618" spans="1:13" ht="12.75" hidden="1" customHeight="1">
      <c r="A2618" t="s">
        <v>1299</v>
      </c>
      <c r="B2618" t="s">
        <v>399</v>
      </c>
      <c r="C2618" t="s">
        <v>760</v>
      </c>
      <c r="D2618" t="s">
        <v>1242</v>
      </c>
      <c r="E2618" s="1">
        <v>45915</v>
      </c>
      <c r="F2618" s="1">
        <v>45918</v>
      </c>
      <c r="G2618" s="12">
        <v>250</v>
      </c>
      <c r="H2618" s="2">
        <v>0</v>
      </c>
      <c r="I2618" s="2">
        <v>0</v>
      </c>
      <c r="J2618" s="2">
        <v>0</v>
      </c>
      <c r="K2618" s="20">
        <v>250</v>
      </c>
      <c r="L2618" t="s">
        <v>794</v>
      </c>
      <c r="M2618">
        <f t="shared" si="40"/>
        <v>2025</v>
      </c>
    </row>
    <row r="2619" spans="1:13" ht="12.75" hidden="1" customHeight="1">
      <c r="A2619" t="s">
        <v>806</v>
      </c>
      <c r="B2619" t="s">
        <v>19</v>
      </c>
      <c r="C2619" t="s">
        <v>720</v>
      </c>
      <c r="D2619" t="s">
        <v>1242</v>
      </c>
      <c r="E2619" s="1">
        <v>45918</v>
      </c>
      <c r="F2619" s="1">
        <v>45919</v>
      </c>
      <c r="G2619" s="12">
        <v>12000</v>
      </c>
      <c r="H2619" s="2">
        <v>0</v>
      </c>
      <c r="I2619" s="2">
        <v>0</v>
      </c>
      <c r="J2619" s="2">
        <v>0</v>
      </c>
      <c r="K2619" s="20">
        <v>12000</v>
      </c>
      <c r="L2619" t="s">
        <v>794</v>
      </c>
      <c r="M2619">
        <f t="shared" si="40"/>
        <v>2025</v>
      </c>
    </row>
    <row r="2620" spans="1:13" ht="12.75" hidden="1" customHeight="1">
      <c r="A2620" t="s">
        <v>801</v>
      </c>
      <c r="B2620" t="s">
        <v>13</v>
      </c>
      <c r="C2620" t="s">
        <v>726</v>
      </c>
      <c r="D2620" t="s">
        <v>1242</v>
      </c>
      <c r="E2620" s="1">
        <v>45919</v>
      </c>
      <c r="F2620" s="1">
        <v>45919</v>
      </c>
      <c r="G2620" s="12">
        <v>2.04</v>
      </c>
      <c r="H2620" s="2">
        <v>0</v>
      </c>
      <c r="I2620" s="2">
        <v>0</v>
      </c>
      <c r="J2620" s="2">
        <v>0</v>
      </c>
      <c r="K2620" s="20">
        <v>2.04</v>
      </c>
      <c r="L2620" t="s">
        <v>794</v>
      </c>
      <c r="M2620">
        <f t="shared" si="40"/>
        <v>2025</v>
      </c>
    </row>
    <row r="2621" spans="1:13" ht="12.75" hidden="1" customHeight="1">
      <c r="A2621" t="s">
        <v>905</v>
      </c>
      <c r="B2621" t="s">
        <v>15</v>
      </c>
      <c r="C2621" t="s">
        <v>727</v>
      </c>
      <c r="D2621" t="s">
        <v>1242</v>
      </c>
      <c r="E2621" s="1">
        <v>45919</v>
      </c>
      <c r="F2621" s="1">
        <v>45919</v>
      </c>
      <c r="G2621" s="12">
        <v>2989.69</v>
      </c>
      <c r="H2621" s="2">
        <v>0</v>
      </c>
      <c r="I2621" s="2">
        <v>0</v>
      </c>
      <c r="J2621" s="2">
        <v>0</v>
      </c>
      <c r="K2621" s="20">
        <v>2989.69</v>
      </c>
      <c r="L2621" t="s">
        <v>794</v>
      </c>
      <c r="M2621">
        <f t="shared" si="40"/>
        <v>2025</v>
      </c>
    </row>
    <row r="2622" spans="1:13" ht="12.75" hidden="1" customHeight="1">
      <c r="A2622" t="s">
        <v>1072</v>
      </c>
      <c r="B2622" t="s">
        <v>65</v>
      </c>
      <c r="C2622" t="s">
        <v>756</v>
      </c>
      <c r="D2622" t="s">
        <v>1242</v>
      </c>
      <c r="E2622" s="1">
        <v>45919</v>
      </c>
      <c r="F2622" s="1">
        <v>45919</v>
      </c>
      <c r="G2622" s="12">
        <v>54.980000000000004</v>
      </c>
      <c r="H2622" s="2">
        <v>0</v>
      </c>
      <c r="I2622" s="2">
        <v>0</v>
      </c>
      <c r="J2622" s="2">
        <v>0</v>
      </c>
      <c r="K2622" s="20">
        <v>54.980000000000004</v>
      </c>
      <c r="L2622" t="s">
        <v>794</v>
      </c>
      <c r="M2622">
        <f t="shared" si="40"/>
        <v>2025</v>
      </c>
    </row>
    <row r="2623" spans="1:13" ht="12.75" hidden="1" customHeight="1">
      <c r="A2623" t="s">
        <v>914</v>
      </c>
      <c r="B2623" t="s">
        <v>28</v>
      </c>
      <c r="C2623" t="s">
        <v>724</v>
      </c>
      <c r="D2623" t="s">
        <v>1242</v>
      </c>
      <c r="E2623" s="1">
        <v>45919</v>
      </c>
      <c r="F2623" s="1">
        <v>45919</v>
      </c>
      <c r="G2623" s="12">
        <v>3326.39</v>
      </c>
      <c r="H2623" s="2">
        <v>0</v>
      </c>
      <c r="I2623" s="2">
        <v>0</v>
      </c>
      <c r="J2623" s="2">
        <v>0</v>
      </c>
      <c r="K2623" s="20">
        <v>3326.39</v>
      </c>
      <c r="L2623" t="s">
        <v>794</v>
      </c>
      <c r="M2623">
        <f t="shared" si="40"/>
        <v>2025</v>
      </c>
    </row>
    <row r="2624" spans="1:13" ht="12.75" hidden="1" customHeight="1">
      <c r="A2624" t="s">
        <v>914</v>
      </c>
      <c r="B2624" t="s">
        <v>28</v>
      </c>
      <c r="C2624" t="s">
        <v>724</v>
      </c>
      <c r="D2624" t="s">
        <v>1242</v>
      </c>
      <c r="E2624" s="1">
        <v>45919</v>
      </c>
      <c r="F2624" s="1">
        <v>45919</v>
      </c>
      <c r="G2624" s="12">
        <v>824.73</v>
      </c>
      <c r="H2624" s="2">
        <v>0</v>
      </c>
      <c r="I2624" s="2">
        <v>0</v>
      </c>
      <c r="J2624" s="2">
        <v>0</v>
      </c>
      <c r="K2624" s="20">
        <v>824.73</v>
      </c>
      <c r="L2624" t="s">
        <v>794</v>
      </c>
      <c r="M2624">
        <f t="shared" si="40"/>
        <v>2025</v>
      </c>
    </row>
    <row r="2625" spans="1:13" ht="12.75" hidden="1" customHeight="1">
      <c r="A2625" t="s">
        <v>1300</v>
      </c>
      <c r="B2625" t="s">
        <v>459</v>
      </c>
      <c r="C2625" t="s">
        <v>398</v>
      </c>
      <c r="D2625" t="s">
        <v>1242</v>
      </c>
      <c r="E2625" s="1">
        <v>45919</v>
      </c>
      <c r="F2625" s="1">
        <v>45919</v>
      </c>
      <c r="G2625" s="12">
        <v>200</v>
      </c>
      <c r="H2625" s="2">
        <v>0</v>
      </c>
      <c r="I2625" s="2">
        <v>0</v>
      </c>
      <c r="J2625" s="2">
        <v>0</v>
      </c>
      <c r="K2625" s="20">
        <v>200</v>
      </c>
      <c r="L2625" t="s">
        <v>794</v>
      </c>
      <c r="M2625">
        <f t="shared" si="40"/>
        <v>2025</v>
      </c>
    </row>
    <row r="2626" spans="1:13" ht="12.75" hidden="1" customHeight="1">
      <c r="A2626" t="s">
        <v>1297</v>
      </c>
      <c r="B2626" t="s">
        <v>311</v>
      </c>
      <c r="C2626" t="s">
        <v>755</v>
      </c>
      <c r="D2626" t="s">
        <v>1242</v>
      </c>
      <c r="E2626" s="1">
        <v>45919</v>
      </c>
      <c r="F2626" s="1">
        <v>45919</v>
      </c>
      <c r="G2626" s="12">
        <v>35.36</v>
      </c>
      <c r="H2626" s="2">
        <v>0</v>
      </c>
      <c r="I2626" s="2">
        <v>0</v>
      </c>
      <c r="J2626" s="2">
        <v>0</v>
      </c>
      <c r="K2626" s="20">
        <v>35.36</v>
      </c>
      <c r="L2626" t="s">
        <v>794</v>
      </c>
      <c r="M2626">
        <f t="shared" si="40"/>
        <v>2025</v>
      </c>
    </row>
    <row r="2627" spans="1:13" ht="12.75" hidden="1" customHeight="1">
      <c r="A2627" t="s">
        <v>1180</v>
      </c>
      <c r="B2627" t="s">
        <v>179</v>
      </c>
      <c r="C2627" t="s">
        <v>141</v>
      </c>
      <c r="D2627" t="s">
        <v>1242</v>
      </c>
      <c r="E2627" s="1">
        <v>45910</v>
      </c>
      <c r="F2627" s="1">
        <v>45919</v>
      </c>
      <c r="G2627" s="12">
        <v>400</v>
      </c>
      <c r="H2627" s="2">
        <v>0</v>
      </c>
      <c r="I2627" s="2">
        <v>0</v>
      </c>
      <c r="J2627" s="2">
        <v>0</v>
      </c>
      <c r="K2627" s="20">
        <v>400</v>
      </c>
      <c r="L2627" t="s">
        <v>794</v>
      </c>
      <c r="M2627">
        <f t="shared" ref="M2627:M2690" si="41">YEAR(F2627)</f>
        <v>2025</v>
      </c>
    </row>
    <row r="2628" spans="1:13" ht="12.75" hidden="1" customHeight="1">
      <c r="A2628" t="s">
        <v>818</v>
      </c>
      <c r="B2628" t="s">
        <v>30</v>
      </c>
      <c r="C2628" t="s">
        <v>141</v>
      </c>
      <c r="D2628" t="s">
        <v>1242</v>
      </c>
      <c r="E2628" s="1">
        <v>45919</v>
      </c>
      <c r="F2628" s="1">
        <v>45919</v>
      </c>
      <c r="G2628" s="12">
        <v>244</v>
      </c>
      <c r="H2628" s="2">
        <v>0</v>
      </c>
      <c r="I2628" s="2">
        <v>0</v>
      </c>
      <c r="J2628" s="2">
        <v>0</v>
      </c>
      <c r="K2628" s="20">
        <v>244</v>
      </c>
      <c r="L2628" t="s">
        <v>794</v>
      </c>
      <c r="M2628">
        <f t="shared" si="41"/>
        <v>2025</v>
      </c>
    </row>
    <row r="2629" spans="1:13" ht="12.75" hidden="1" customHeight="1">
      <c r="A2629" t="s">
        <v>801</v>
      </c>
      <c r="B2629" t="s">
        <v>13</v>
      </c>
      <c r="C2629" t="s">
        <v>726</v>
      </c>
      <c r="D2629" t="s">
        <v>1242</v>
      </c>
      <c r="E2629" s="1">
        <v>45922</v>
      </c>
      <c r="F2629" s="1">
        <v>45922</v>
      </c>
      <c r="G2629" s="12">
        <v>4.08</v>
      </c>
      <c r="H2629" s="2">
        <v>0</v>
      </c>
      <c r="I2629" s="2">
        <v>0</v>
      </c>
      <c r="J2629" s="2">
        <v>0</v>
      </c>
      <c r="K2629" s="20">
        <v>4.08</v>
      </c>
      <c r="L2629" t="s">
        <v>794</v>
      </c>
      <c r="M2629">
        <f t="shared" si="41"/>
        <v>2025</v>
      </c>
    </row>
    <row r="2630" spans="1:13" ht="12.75" hidden="1" customHeight="1">
      <c r="A2630" t="s">
        <v>1301</v>
      </c>
      <c r="B2630" t="s">
        <v>613</v>
      </c>
      <c r="C2630" t="s">
        <v>141</v>
      </c>
      <c r="D2630" t="s">
        <v>1242</v>
      </c>
      <c r="E2630" s="1">
        <v>45923</v>
      </c>
      <c r="F2630" s="1">
        <v>45923</v>
      </c>
      <c r="G2630" s="12">
        <v>50</v>
      </c>
      <c r="H2630" s="2">
        <v>0</v>
      </c>
      <c r="I2630" s="2">
        <v>0</v>
      </c>
      <c r="J2630" s="2">
        <v>0</v>
      </c>
      <c r="K2630" s="20">
        <v>50</v>
      </c>
      <c r="L2630" t="s">
        <v>794</v>
      </c>
      <c r="M2630">
        <f t="shared" si="41"/>
        <v>2025</v>
      </c>
    </row>
    <row r="2631" spans="1:13" ht="12.75" hidden="1" customHeight="1">
      <c r="A2631" t="s">
        <v>849</v>
      </c>
      <c r="B2631" t="s">
        <v>283</v>
      </c>
      <c r="C2631" t="s">
        <v>722</v>
      </c>
      <c r="D2631" t="s">
        <v>1242</v>
      </c>
      <c r="E2631" s="1">
        <v>45917</v>
      </c>
      <c r="F2631" s="1">
        <v>45923</v>
      </c>
      <c r="G2631" s="12">
        <v>99</v>
      </c>
      <c r="H2631" s="2">
        <v>0</v>
      </c>
      <c r="I2631" s="2">
        <v>0</v>
      </c>
      <c r="J2631" s="2">
        <v>0</v>
      </c>
      <c r="K2631" s="20">
        <v>99</v>
      </c>
      <c r="L2631" t="s">
        <v>794</v>
      </c>
      <c r="M2631">
        <f t="shared" si="41"/>
        <v>2025</v>
      </c>
    </row>
    <row r="2632" spans="1:13" ht="12.75" hidden="1" customHeight="1">
      <c r="A2632" t="s">
        <v>805</v>
      </c>
      <c r="B2632" t="s">
        <v>17</v>
      </c>
      <c r="C2632" t="s">
        <v>713</v>
      </c>
      <c r="D2632" t="s">
        <v>1118</v>
      </c>
      <c r="E2632" s="1">
        <v>45779</v>
      </c>
      <c r="F2632" s="1">
        <v>45923</v>
      </c>
      <c r="G2632" s="12">
        <v>8600.94</v>
      </c>
      <c r="H2632" s="2">
        <v>0</v>
      </c>
      <c r="I2632" s="2">
        <v>0</v>
      </c>
      <c r="J2632" s="2">
        <v>0</v>
      </c>
      <c r="K2632" s="20">
        <v>8600.94</v>
      </c>
      <c r="L2632" t="s">
        <v>794</v>
      </c>
      <c r="M2632">
        <f t="shared" si="41"/>
        <v>2025</v>
      </c>
    </row>
    <row r="2633" spans="1:13" ht="12.75" hidden="1" customHeight="1">
      <c r="A2633" t="s">
        <v>812</v>
      </c>
      <c r="B2633" t="s">
        <v>31</v>
      </c>
      <c r="C2633" t="s">
        <v>141</v>
      </c>
      <c r="D2633" t="s">
        <v>1242</v>
      </c>
      <c r="E2633" s="1">
        <v>45922</v>
      </c>
      <c r="F2633" s="1">
        <v>45923</v>
      </c>
      <c r="G2633" s="12">
        <v>382</v>
      </c>
      <c r="H2633" s="2">
        <v>0</v>
      </c>
      <c r="I2633" s="2">
        <v>0</v>
      </c>
      <c r="J2633" s="2">
        <v>0</v>
      </c>
      <c r="K2633" s="20">
        <v>382</v>
      </c>
      <c r="L2633" t="s">
        <v>794</v>
      </c>
      <c r="M2633">
        <f t="shared" si="41"/>
        <v>2025</v>
      </c>
    </row>
    <row r="2634" spans="1:13" ht="12.75" hidden="1" customHeight="1">
      <c r="A2634" t="s">
        <v>839</v>
      </c>
      <c r="B2634" t="s">
        <v>44</v>
      </c>
      <c r="C2634" t="s">
        <v>722</v>
      </c>
      <c r="D2634" t="s">
        <v>1242</v>
      </c>
      <c r="E2634" s="1">
        <v>45920</v>
      </c>
      <c r="F2634" s="1">
        <v>45923</v>
      </c>
      <c r="G2634" s="12">
        <v>791.23</v>
      </c>
      <c r="H2634" s="2">
        <v>0</v>
      </c>
      <c r="I2634" s="2">
        <v>0</v>
      </c>
      <c r="J2634" s="2">
        <v>0</v>
      </c>
      <c r="K2634" s="20">
        <v>791.23</v>
      </c>
      <c r="L2634" t="s">
        <v>794</v>
      </c>
      <c r="M2634">
        <f t="shared" si="41"/>
        <v>2025</v>
      </c>
    </row>
    <row r="2635" spans="1:13" ht="12.75" hidden="1" customHeight="1">
      <c r="A2635" t="s">
        <v>905</v>
      </c>
      <c r="B2635" t="s">
        <v>15</v>
      </c>
      <c r="C2635" t="s">
        <v>715</v>
      </c>
      <c r="D2635" t="s">
        <v>1242</v>
      </c>
      <c r="E2635" s="1">
        <v>45922</v>
      </c>
      <c r="F2635" s="1">
        <v>45923</v>
      </c>
      <c r="G2635" s="12">
        <v>17212.420000000002</v>
      </c>
      <c r="H2635" s="2">
        <v>0</v>
      </c>
      <c r="I2635" s="2">
        <v>0</v>
      </c>
      <c r="J2635" s="2">
        <v>0</v>
      </c>
      <c r="K2635" s="20">
        <v>17212.420000000002</v>
      </c>
      <c r="L2635" t="s">
        <v>794</v>
      </c>
      <c r="M2635">
        <f t="shared" si="41"/>
        <v>2025</v>
      </c>
    </row>
    <row r="2636" spans="1:13" ht="12.75" hidden="1" customHeight="1">
      <c r="A2636" t="s">
        <v>839</v>
      </c>
      <c r="B2636" t="s">
        <v>44</v>
      </c>
      <c r="C2636" t="s">
        <v>722</v>
      </c>
      <c r="D2636" t="s">
        <v>1242</v>
      </c>
      <c r="E2636" s="1">
        <v>45920</v>
      </c>
      <c r="F2636" s="1">
        <v>45923</v>
      </c>
      <c r="G2636" s="12">
        <v>941.56000000000006</v>
      </c>
      <c r="H2636" s="2">
        <v>0</v>
      </c>
      <c r="I2636" s="2">
        <v>0</v>
      </c>
      <c r="J2636" s="2">
        <v>0</v>
      </c>
      <c r="K2636" s="20">
        <v>941.56000000000006</v>
      </c>
      <c r="L2636" t="s">
        <v>794</v>
      </c>
      <c r="M2636">
        <f t="shared" si="41"/>
        <v>2025</v>
      </c>
    </row>
    <row r="2637" spans="1:13" ht="12.75" hidden="1" customHeight="1">
      <c r="A2637" t="s">
        <v>1223</v>
      </c>
      <c r="B2637" t="s">
        <v>1224</v>
      </c>
      <c r="C2637" t="s">
        <v>742</v>
      </c>
      <c r="D2637" t="s">
        <v>1242</v>
      </c>
      <c r="E2637" s="1">
        <v>45922</v>
      </c>
      <c r="F2637" s="1">
        <v>45923</v>
      </c>
      <c r="G2637" s="12">
        <v>2280</v>
      </c>
      <c r="H2637" s="2">
        <v>0</v>
      </c>
      <c r="I2637" s="2">
        <v>0</v>
      </c>
      <c r="J2637" s="2">
        <v>0</v>
      </c>
      <c r="K2637" s="20">
        <v>2280</v>
      </c>
      <c r="L2637" t="s">
        <v>794</v>
      </c>
      <c r="M2637">
        <f t="shared" si="41"/>
        <v>2025</v>
      </c>
    </row>
    <row r="2638" spans="1:13" ht="12.75" hidden="1" customHeight="1">
      <c r="A2638" t="s">
        <v>1069</v>
      </c>
      <c r="B2638" t="s">
        <v>147</v>
      </c>
      <c r="C2638" t="s">
        <v>738</v>
      </c>
      <c r="D2638" t="s">
        <v>1242</v>
      </c>
      <c r="E2638" s="1">
        <v>45920</v>
      </c>
      <c r="F2638" s="1">
        <v>45923</v>
      </c>
      <c r="G2638" s="12">
        <v>350</v>
      </c>
      <c r="H2638" s="2">
        <v>0</v>
      </c>
      <c r="I2638" s="2">
        <v>0</v>
      </c>
      <c r="J2638" s="2">
        <v>0</v>
      </c>
      <c r="K2638" s="20">
        <v>350</v>
      </c>
      <c r="L2638" t="s">
        <v>794</v>
      </c>
      <c r="M2638">
        <f t="shared" si="41"/>
        <v>2025</v>
      </c>
    </row>
    <row r="2639" spans="1:13" ht="12.75" hidden="1" customHeight="1">
      <c r="A2639" t="s">
        <v>811</v>
      </c>
      <c r="B2639" t="s">
        <v>39</v>
      </c>
      <c r="C2639" t="s">
        <v>141</v>
      </c>
      <c r="D2639" t="s">
        <v>1242</v>
      </c>
      <c r="E2639" s="1">
        <v>45922</v>
      </c>
      <c r="F2639" s="1">
        <v>45923</v>
      </c>
      <c r="G2639" s="12">
        <v>234</v>
      </c>
      <c r="H2639" s="2">
        <v>0</v>
      </c>
      <c r="I2639" s="2">
        <v>0</v>
      </c>
      <c r="J2639" s="2">
        <v>0</v>
      </c>
      <c r="K2639" s="20">
        <v>234</v>
      </c>
      <c r="L2639" t="s">
        <v>794</v>
      </c>
      <c r="M2639">
        <f t="shared" si="41"/>
        <v>2025</v>
      </c>
    </row>
    <row r="2640" spans="1:13" ht="12.75" hidden="1" customHeight="1">
      <c r="A2640" t="s">
        <v>810</v>
      </c>
      <c r="B2640" t="s">
        <v>54</v>
      </c>
      <c r="C2640" t="s">
        <v>141</v>
      </c>
      <c r="D2640" t="s">
        <v>1242</v>
      </c>
      <c r="E2640" s="1">
        <v>45923</v>
      </c>
      <c r="F2640" s="1">
        <v>45923</v>
      </c>
      <c r="G2640" s="12">
        <v>98</v>
      </c>
      <c r="H2640" s="2">
        <v>0</v>
      </c>
      <c r="I2640" s="2">
        <v>0</v>
      </c>
      <c r="J2640" s="2">
        <v>0</v>
      </c>
      <c r="K2640" s="20">
        <v>98</v>
      </c>
      <c r="L2640" t="s">
        <v>794</v>
      </c>
      <c r="M2640">
        <f t="shared" si="41"/>
        <v>2025</v>
      </c>
    </row>
    <row r="2641" spans="1:13" ht="12.75" hidden="1" customHeight="1">
      <c r="A2641" t="s">
        <v>1173</v>
      </c>
      <c r="B2641" t="s">
        <v>45</v>
      </c>
      <c r="C2641" t="s">
        <v>647</v>
      </c>
      <c r="D2641" t="s">
        <v>1242</v>
      </c>
      <c r="E2641" s="1">
        <v>45923</v>
      </c>
      <c r="F2641" s="1">
        <v>45923</v>
      </c>
      <c r="G2641" s="12">
        <v>39.800000000000004</v>
      </c>
      <c r="H2641" s="2">
        <v>0</v>
      </c>
      <c r="I2641" s="2">
        <v>0</v>
      </c>
      <c r="J2641" s="2">
        <v>0</v>
      </c>
      <c r="K2641" s="20">
        <v>39.800000000000004</v>
      </c>
      <c r="L2641" t="s">
        <v>794</v>
      </c>
      <c r="M2641">
        <f t="shared" si="41"/>
        <v>2025</v>
      </c>
    </row>
    <row r="2642" spans="1:13" ht="12.75" hidden="1" customHeight="1">
      <c r="A2642" t="s">
        <v>833</v>
      </c>
      <c r="B2642" t="s">
        <v>27</v>
      </c>
      <c r="C2642" t="s">
        <v>137</v>
      </c>
      <c r="D2642" t="s">
        <v>1242</v>
      </c>
      <c r="E2642" s="1">
        <v>45923</v>
      </c>
      <c r="F2642" s="1">
        <v>45923</v>
      </c>
      <c r="G2642" s="12">
        <v>1000</v>
      </c>
      <c r="H2642" s="2">
        <v>0</v>
      </c>
      <c r="I2642" s="2">
        <v>0</v>
      </c>
      <c r="J2642" s="2">
        <v>0</v>
      </c>
      <c r="K2642" s="20">
        <v>1000</v>
      </c>
      <c r="L2642" t="s">
        <v>794</v>
      </c>
      <c r="M2642">
        <f t="shared" si="41"/>
        <v>2025</v>
      </c>
    </row>
    <row r="2643" spans="1:13" ht="12.75" hidden="1" customHeight="1">
      <c r="A2643" t="s">
        <v>805</v>
      </c>
      <c r="B2643" t="s">
        <v>17</v>
      </c>
      <c r="C2643" t="s">
        <v>713</v>
      </c>
      <c r="D2643" t="s">
        <v>1233</v>
      </c>
      <c r="E2643" s="1">
        <v>45887</v>
      </c>
      <c r="F2643" s="1">
        <v>45923</v>
      </c>
      <c r="G2643" s="12">
        <v>10698.66</v>
      </c>
      <c r="H2643" s="2">
        <v>0</v>
      </c>
      <c r="I2643" s="2">
        <v>0</v>
      </c>
      <c r="J2643" s="2">
        <v>0</v>
      </c>
      <c r="K2643" s="20">
        <v>10698.66</v>
      </c>
      <c r="L2643" t="s">
        <v>794</v>
      </c>
      <c r="M2643">
        <f t="shared" si="41"/>
        <v>2025</v>
      </c>
    </row>
    <row r="2644" spans="1:13" ht="12.75" hidden="1" customHeight="1">
      <c r="A2644" t="s">
        <v>896</v>
      </c>
      <c r="B2644" t="s">
        <v>293</v>
      </c>
      <c r="C2644" t="s">
        <v>733</v>
      </c>
      <c r="D2644" t="s">
        <v>1242</v>
      </c>
      <c r="E2644" s="1">
        <v>45919</v>
      </c>
      <c r="F2644" s="1">
        <v>45924</v>
      </c>
      <c r="G2644" s="12">
        <v>97.69</v>
      </c>
      <c r="H2644" s="2">
        <v>0</v>
      </c>
      <c r="I2644" s="2">
        <v>0</v>
      </c>
      <c r="J2644" s="2">
        <v>0</v>
      </c>
      <c r="K2644" s="20">
        <v>97.69</v>
      </c>
      <c r="L2644" t="s">
        <v>794</v>
      </c>
      <c r="M2644">
        <f t="shared" si="41"/>
        <v>2025</v>
      </c>
    </row>
    <row r="2645" spans="1:13" ht="12.75" hidden="1" customHeight="1">
      <c r="A2645" t="s">
        <v>855</v>
      </c>
      <c r="B2645" t="s">
        <v>20</v>
      </c>
      <c r="C2645" t="s">
        <v>141</v>
      </c>
      <c r="D2645" t="s">
        <v>1242</v>
      </c>
      <c r="E2645" s="1">
        <v>45923</v>
      </c>
      <c r="F2645" s="1">
        <v>45924</v>
      </c>
      <c r="G2645" s="12">
        <v>350</v>
      </c>
      <c r="H2645" s="2">
        <v>0</v>
      </c>
      <c r="I2645" s="2">
        <v>0</v>
      </c>
      <c r="J2645" s="2">
        <v>0</v>
      </c>
      <c r="K2645" s="20">
        <v>350</v>
      </c>
      <c r="L2645" t="s">
        <v>794</v>
      </c>
      <c r="M2645">
        <f t="shared" si="41"/>
        <v>2025</v>
      </c>
    </row>
    <row r="2646" spans="1:13" ht="12.75" hidden="1" customHeight="1">
      <c r="A2646" t="s">
        <v>961</v>
      </c>
      <c r="B2646" t="s">
        <v>41</v>
      </c>
      <c r="C2646" t="s">
        <v>141</v>
      </c>
      <c r="D2646" t="s">
        <v>1242</v>
      </c>
      <c r="E2646" s="1">
        <v>45923</v>
      </c>
      <c r="F2646" s="1">
        <v>45924</v>
      </c>
      <c r="G2646" s="12">
        <v>50</v>
      </c>
      <c r="H2646" s="2">
        <v>0</v>
      </c>
      <c r="I2646" s="2">
        <v>0</v>
      </c>
      <c r="J2646" s="2">
        <v>0</v>
      </c>
      <c r="K2646" s="20">
        <v>50</v>
      </c>
      <c r="L2646" t="s">
        <v>794</v>
      </c>
      <c r="M2646">
        <f t="shared" si="41"/>
        <v>2025</v>
      </c>
    </row>
    <row r="2647" spans="1:13" ht="12.75" hidden="1" customHeight="1">
      <c r="A2647" t="s">
        <v>855</v>
      </c>
      <c r="B2647" t="s">
        <v>20</v>
      </c>
      <c r="C2647" t="s">
        <v>141</v>
      </c>
      <c r="D2647" t="s">
        <v>1242</v>
      </c>
      <c r="E2647" s="1">
        <v>45924</v>
      </c>
      <c r="F2647" s="1">
        <v>45924</v>
      </c>
      <c r="G2647" s="12">
        <v>280</v>
      </c>
      <c r="H2647" s="2">
        <v>0</v>
      </c>
      <c r="I2647" s="2">
        <v>0</v>
      </c>
      <c r="J2647" s="2">
        <v>0</v>
      </c>
      <c r="K2647" s="20">
        <v>280</v>
      </c>
      <c r="L2647" t="s">
        <v>794</v>
      </c>
      <c r="M2647">
        <f t="shared" si="41"/>
        <v>2025</v>
      </c>
    </row>
    <row r="2648" spans="1:13" ht="12.75" hidden="1" customHeight="1">
      <c r="A2648" t="s">
        <v>1302</v>
      </c>
      <c r="B2648" t="s">
        <v>578</v>
      </c>
      <c r="C2648" t="s">
        <v>452</v>
      </c>
      <c r="D2648" t="s">
        <v>1242</v>
      </c>
      <c r="E2648" s="1">
        <v>45924</v>
      </c>
      <c r="F2648" s="1">
        <v>45924</v>
      </c>
      <c r="G2648" s="12">
        <v>69</v>
      </c>
      <c r="H2648" s="2">
        <v>0</v>
      </c>
      <c r="I2648" s="2">
        <v>0</v>
      </c>
      <c r="J2648" s="2">
        <v>0</v>
      </c>
      <c r="K2648" s="20">
        <v>69</v>
      </c>
      <c r="L2648" t="s">
        <v>794</v>
      </c>
      <c r="M2648">
        <f t="shared" si="41"/>
        <v>2025</v>
      </c>
    </row>
    <row r="2649" spans="1:13" ht="12.75" hidden="1" customHeight="1">
      <c r="A2649" t="s">
        <v>1303</v>
      </c>
      <c r="B2649" t="s">
        <v>576</v>
      </c>
      <c r="C2649" t="s">
        <v>452</v>
      </c>
      <c r="D2649" t="s">
        <v>1242</v>
      </c>
      <c r="E2649" s="1">
        <v>45924</v>
      </c>
      <c r="F2649" s="1">
        <v>45924</v>
      </c>
      <c r="G2649" s="12">
        <v>69</v>
      </c>
      <c r="H2649" s="2">
        <v>0</v>
      </c>
      <c r="I2649" s="2">
        <v>0</v>
      </c>
      <c r="J2649" s="2">
        <v>0</v>
      </c>
      <c r="K2649" s="20">
        <v>69</v>
      </c>
      <c r="L2649" t="s">
        <v>794</v>
      </c>
      <c r="M2649">
        <f t="shared" si="41"/>
        <v>2025</v>
      </c>
    </row>
    <row r="2650" spans="1:13" ht="12.75" hidden="1" customHeight="1">
      <c r="A2650" t="s">
        <v>1131</v>
      </c>
      <c r="B2650" t="s">
        <v>81</v>
      </c>
      <c r="C2650" t="s">
        <v>183</v>
      </c>
      <c r="D2650" t="s">
        <v>1242</v>
      </c>
      <c r="E2650" s="1">
        <v>45925</v>
      </c>
      <c r="F2650" s="1">
        <v>45925</v>
      </c>
      <c r="G2650" s="12">
        <v>980</v>
      </c>
      <c r="H2650" s="2">
        <v>0</v>
      </c>
      <c r="I2650" s="2">
        <v>0</v>
      </c>
      <c r="J2650" s="2">
        <v>0</v>
      </c>
      <c r="K2650" s="20">
        <v>980</v>
      </c>
      <c r="L2650" t="s">
        <v>794</v>
      </c>
      <c r="M2650">
        <f t="shared" si="41"/>
        <v>2025</v>
      </c>
    </row>
    <row r="2651" spans="1:13" ht="12.75" hidden="1" customHeight="1">
      <c r="A2651" t="s">
        <v>1125</v>
      </c>
      <c r="B2651" t="s">
        <v>150</v>
      </c>
      <c r="C2651" t="s">
        <v>204</v>
      </c>
      <c r="D2651" t="s">
        <v>1242</v>
      </c>
      <c r="E2651" s="1">
        <v>45925</v>
      </c>
      <c r="F2651" s="1">
        <v>45925</v>
      </c>
      <c r="G2651" s="12">
        <v>925.6</v>
      </c>
      <c r="H2651" s="2">
        <v>0</v>
      </c>
      <c r="I2651" s="2">
        <v>0</v>
      </c>
      <c r="J2651" s="2">
        <v>0</v>
      </c>
      <c r="K2651" s="20">
        <v>925.6</v>
      </c>
      <c r="L2651" t="s">
        <v>794</v>
      </c>
      <c r="M2651">
        <f t="shared" si="41"/>
        <v>2025</v>
      </c>
    </row>
    <row r="2652" spans="1:13" ht="12.75" hidden="1" customHeight="1">
      <c r="A2652" t="s">
        <v>801</v>
      </c>
      <c r="B2652" t="s">
        <v>13</v>
      </c>
      <c r="C2652" t="s">
        <v>726</v>
      </c>
      <c r="D2652" t="s">
        <v>1242</v>
      </c>
      <c r="E2652" s="1">
        <v>45929</v>
      </c>
      <c r="F2652" s="1">
        <v>45925</v>
      </c>
      <c r="G2652" s="12">
        <v>2.04</v>
      </c>
      <c r="H2652" s="2">
        <v>0</v>
      </c>
      <c r="I2652" s="2">
        <v>0</v>
      </c>
      <c r="J2652" s="2">
        <v>0</v>
      </c>
      <c r="K2652" s="20">
        <v>2.04</v>
      </c>
      <c r="L2652" t="s">
        <v>794</v>
      </c>
      <c r="M2652">
        <f t="shared" si="41"/>
        <v>2025</v>
      </c>
    </row>
    <row r="2653" spans="1:13" ht="12.75" hidden="1" customHeight="1">
      <c r="A2653" t="s">
        <v>801</v>
      </c>
      <c r="B2653" t="s">
        <v>13</v>
      </c>
      <c r="C2653" t="s">
        <v>726</v>
      </c>
      <c r="D2653" t="s">
        <v>1242</v>
      </c>
      <c r="E2653" s="1">
        <v>45925</v>
      </c>
      <c r="F2653" s="1">
        <v>45925</v>
      </c>
      <c r="G2653" s="12">
        <v>4.08</v>
      </c>
      <c r="H2653" s="2">
        <v>0</v>
      </c>
      <c r="I2653" s="2">
        <v>0</v>
      </c>
      <c r="J2653" s="2">
        <v>0</v>
      </c>
      <c r="K2653" s="20">
        <v>4.08</v>
      </c>
      <c r="L2653" t="s">
        <v>794</v>
      </c>
      <c r="M2653">
        <f t="shared" si="41"/>
        <v>2025</v>
      </c>
    </row>
    <row r="2654" spans="1:13" ht="12.75" hidden="1" customHeight="1">
      <c r="A2654" t="s">
        <v>1304</v>
      </c>
      <c r="B2654" t="s">
        <v>582</v>
      </c>
      <c r="C2654" t="s">
        <v>452</v>
      </c>
      <c r="D2654" t="s">
        <v>1242</v>
      </c>
      <c r="E2654" s="1">
        <v>45929</v>
      </c>
      <c r="F2654" s="1">
        <v>45929</v>
      </c>
      <c r="G2654" s="12">
        <v>69</v>
      </c>
      <c r="H2654" s="2">
        <v>0</v>
      </c>
      <c r="I2654" s="2">
        <v>0</v>
      </c>
      <c r="J2654" s="2">
        <v>0</v>
      </c>
      <c r="K2654" s="20">
        <v>69</v>
      </c>
      <c r="L2654" t="s">
        <v>794</v>
      </c>
      <c r="M2654">
        <f t="shared" si="41"/>
        <v>2025</v>
      </c>
    </row>
    <row r="2655" spans="1:13" ht="12.75" hidden="1" customHeight="1">
      <c r="A2655" t="s">
        <v>895</v>
      </c>
      <c r="B2655" t="s">
        <v>155</v>
      </c>
      <c r="C2655" t="s">
        <v>384</v>
      </c>
      <c r="D2655" t="s">
        <v>1242</v>
      </c>
      <c r="E2655" s="1">
        <v>45925</v>
      </c>
      <c r="F2655" s="1">
        <v>45929</v>
      </c>
      <c r="G2655" s="12">
        <v>390</v>
      </c>
      <c r="H2655" s="2">
        <v>0</v>
      </c>
      <c r="I2655" s="2">
        <v>0</v>
      </c>
      <c r="J2655" s="2">
        <v>0</v>
      </c>
      <c r="K2655" s="20">
        <v>391.29</v>
      </c>
      <c r="L2655" t="s">
        <v>794</v>
      </c>
      <c r="M2655">
        <f t="shared" si="41"/>
        <v>2025</v>
      </c>
    </row>
    <row r="2656" spans="1:13" ht="12.75" hidden="1" customHeight="1">
      <c r="A2656" t="s">
        <v>935</v>
      </c>
      <c r="B2656" t="s">
        <v>158</v>
      </c>
      <c r="C2656" t="s">
        <v>741</v>
      </c>
      <c r="D2656" t="s">
        <v>1242</v>
      </c>
      <c r="E2656" s="1">
        <v>45925</v>
      </c>
      <c r="F2656" s="1">
        <v>45929</v>
      </c>
      <c r="G2656" s="12">
        <v>377.43</v>
      </c>
      <c r="H2656" s="2">
        <v>0</v>
      </c>
      <c r="I2656" s="2">
        <v>0</v>
      </c>
      <c r="J2656" s="2">
        <v>0</v>
      </c>
      <c r="K2656" s="20">
        <v>377.43</v>
      </c>
      <c r="L2656" t="s">
        <v>794</v>
      </c>
      <c r="M2656">
        <f t="shared" si="41"/>
        <v>2025</v>
      </c>
    </row>
    <row r="2657" spans="1:13" ht="12.75" hidden="1" customHeight="1">
      <c r="A2657" t="s">
        <v>1305</v>
      </c>
      <c r="B2657" t="s">
        <v>96</v>
      </c>
      <c r="C2657" t="s">
        <v>183</v>
      </c>
      <c r="D2657" t="s">
        <v>1242</v>
      </c>
      <c r="E2657" s="1">
        <v>45925</v>
      </c>
      <c r="F2657" s="1">
        <v>45929</v>
      </c>
      <c r="G2657" s="12">
        <v>1094.98</v>
      </c>
      <c r="H2657" s="2">
        <v>0</v>
      </c>
      <c r="I2657" s="2">
        <v>0</v>
      </c>
      <c r="J2657" s="2">
        <v>0</v>
      </c>
      <c r="K2657" s="20">
        <v>1094.98</v>
      </c>
      <c r="L2657" t="s">
        <v>794</v>
      </c>
      <c r="M2657">
        <f t="shared" si="41"/>
        <v>2025</v>
      </c>
    </row>
    <row r="2658" spans="1:13" ht="12.75" hidden="1" customHeight="1">
      <c r="A2658" t="s">
        <v>1248</v>
      </c>
      <c r="B2658" t="s">
        <v>111</v>
      </c>
      <c r="C2658" t="s">
        <v>183</v>
      </c>
      <c r="D2658" t="s">
        <v>1242</v>
      </c>
      <c r="E2658" s="1">
        <v>45925</v>
      </c>
      <c r="F2658" s="1">
        <v>45929</v>
      </c>
      <c r="G2658" s="12">
        <v>997.5</v>
      </c>
      <c r="H2658" s="2">
        <v>0</v>
      </c>
      <c r="I2658" s="2">
        <v>0</v>
      </c>
      <c r="J2658" s="2">
        <v>0</v>
      </c>
      <c r="K2658" s="20">
        <v>997.5</v>
      </c>
      <c r="L2658" t="s">
        <v>794</v>
      </c>
      <c r="M2658">
        <f t="shared" si="41"/>
        <v>2025</v>
      </c>
    </row>
    <row r="2659" spans="1:13" ht="12.75" hidden="1" customHeight="1">
      <c r="A2659" t="s">
        <v>980</v>
      </c>
      <c r="B2659" t="s">
        <v>246</v>
      </c>
      <c r="C2659" t="s">
        <v>398</v>
      </c>
      <c r="D2659" t="s">
        <v>1242</v>
      </c>
      <c r="E2659" s="1">
        <v>45910</v>
      </c>
      <c r="F2659" s="1">
        <v>45929</v>
      </c>
      <c r="G2659" s="12">
        <v>383.11</v>
      </c>
      <c r="H2659" s="2">
        <v>0</v>
      </c>
      <c r="I2659" s="2">
        <v>0</v>
      </c>
      <c r="J2659" s="2">
        <v>383.11</v>
      </c>
      <c r="K2659" s="20">
        <v>387.27</v>
      </c>
      <c r="L2659" t="s">
        <v>794</v>
      </c>
      <c r="M2659">
        <f t="shared" si="41"/>
        <v>2025</v>
      </c>
    </row>
    <row r="2660" spans="1:13" ht="12.75" hidden="1" customHeight="1">
      <c r="A2660" t="s">
        <v>1278</v>
      </c>
      <c r="B2660" t="s">
        <v>190</v>
      </c>
      <c r="C2660" t="s">
        <v>729</v>
      </c>
      <c r="D2660" t="s">
        <v>1242</v>
      </c>
      <c r="E2660" s="1">
        <v>45929</v>
      </c>
      <c r="F2660" s="1">
        <v>45929</v>
      </c>
      <c r="G2660" s="12">
        <v>700</v>
      </c>
      <c r="H2660" s="2">
        <v>0</v>
      </c>
      <c r="I2660" s="2">
        <v>0</v>
      </c>
      <c r="J2660" s="2">
        <v>0</v>
      </c>
      <c r="K2660" s="20">
        <v>700</v>
      </c>
      <c r="L2660" t="s">
        <v>794</v>
      </c>
      <c r="M2660">
        <f t="shared" si="41"/>
        <v>2025</v>
      </c>
    </row>
    <row r="2661" spans="1:13" ht="12.75" hidden="1" customHeight="1">
      <c r="A2661" t="s">
        <v>1306</v>
      </c>
      <c r="B2661" t="s">
        <v>442</v>
      </c>
      <c r="C2661" t="s">
        <v>152</v>
      </c>
      <c r="D2661" t="s">
        <v>1242</v>
      </c>
      <c r="E2661" s="1">
        <v>45929</v>
      </c>
      <c r="F2661" s="1">
        <v>45929</v>
      </c>
      <c r="G2661" s="12">
        <v>82.41</v>
      </c>
      <c r="H2661" s="2">
        <v>0</v>
      </c>
      <c r="I2661" s="2">
        <v>0</v>
      </c>
      <c r="J2661" s="2">
        <v>0</v>
      </c>
      <c r="K2661" s="20">
        <v>82.41</v>
      </c>
      <c r="L2661" t="s">
        <v>794</v>
      </c>
      <c r="M2661">
        <f t="shared" si="41"/>
        <v>2025</v>
      </c>
    </row>
    <row r="2662" spans="1:13" ht="12.75" hidden="1" customHeight="1">
      <c r="A2662" t="s">
        <v>896</v>
      </c>
      <c r="B2662" t="s">
        <v>293</v>
      </c>
      <c r="C2662" t="s">
        <v>733</v>
      </c>
      <c r="D2662" t="s">
        <v>1242</v>
      </c>
      <c r="E2662" s="1">
        <v>45929</v>
      </c>
      <c r="F2662" s="1">
        <v>45929</v>
      </c>
      <c r="G2662" s="12">
        <v>17.79</v>
      </c>
      <c r="H2662" s="2">
        <v>0</v>
      </c>
      <c r="I2662" s="2">
        <v>0</v>
      </c>
      <c r="J2662" s="2">
        <v>0</v>
      </c>
      <c r="K2662" s="20">
        <v>17.79</v>
      </c>
      <c r="L2662" t="s">
        <v>794</v>
      </c>
      <c r="M2662">
        <f t="shared" si="41"/>
        <v>2025</v>
      </c>
    </row>
    <row r="2663" spans="1:13" ht="12.75" hidden="1" customHeight="1">
      <c r="A2663" t="s">
        <v>801</v>
      </c>
      <c r="B2663" t="s">
        <v>13</v>
      </c>
      <c r="C2663" t="s">
        <v>717</v>
      </c>
      <c r="D2663" t="s">
        <v>1242</v>
      </c>
      <c r="E2663" s="1">
        <v>45929</v>
      </c>
      <c r="F2663" s="1">
        <v>45929</v>
      </c>
      <c r="G2663" s="12">
        <v>824.12</v>
      </c>
      <c r="H2663" s="2">
        <v>0</v>
      </c>
      <c r="I2663" s="2">
        <v>0</v>
      </c>
      <c r="J2663" s="2">
        <v>0</v>
      </c>
      <c r="K2663" s="20">
        <v>824.12</v>
      </c>
      <c r="L2663" t="s">
        <v>794</v>
      </c>
      <c r="M2663">
        <f t="shared" si="41"/>
        <v>2025</v>
      </c>
    </row>
    <row r="2664" spans="1:13" ht="12.75" hidden="1" customHeight="1">
      <c r="A2664" t="s">
        <v>801</v>
      </c>
      <c r="B2664" t="s">
        <v>13</v>
      </c>
      <c r="C2664" t="s">
        <v>717</v>
      </c>
      <c r="D2664" t="s">
        <v>1242</v>
      </c>
      <c r="E2664" s="1">
        <v>45929</v>
      </c>
      <c r="F2664" s="1">
        <v>45929</v>
      </c>
      <c r="G2664" s="12">
        <v>844.03</v>
      </c>
      <c r="H2664" s="2">
        <v>0</v>
      </c>
      <c r="I2664" s="2">
        <v>0</v>
      </c>
      <c r="J2664" s="2">
        <v>0</v>
      </c>
      <c r="K2664" s="20">
        <v>844.03</v>
      </c>
      <c r="L2664" t="s">
        <v>794</v>
      </c>
      <c r="M2664">
        <f t="shared" si="41"/>
        <v>2025</v>
      </c>
    </row>
    <row r="2665" spans="1:13" ht="12.75" hidden="1" customHeight="1">
      <c r="A2665" t="s">
        <v>801</v>
      </c>
      <c r="B2665" t="s">
        <v>13</v>
      </c>
      <c r="C2665" t="s">
        <v>726</v>
      </c>
      <c r="D2665" t="s">
        <v>1242</v>
      </c>
      <c r="E2665" s="1">
        <v>45929</v>
      </c>
      <c r="F2665" s="1">
        <v>45929</v>
      </c>
      <c r="G2665" s="12">
        <v>2.04</v>
      </c>
      <c r="H2665" s="2">
        <v>0</v>
      </c>
      <c r="I2665" s="2">
        <v>0</v>
      </c>
      <c r="J2665" s="2">
        <v>0</v>
      </c>
      <c r="K2665" s="20">
        <v>2.04</v>
      </c>
      <c r="L2665" t="s">
        <v>794</v>
      </c>
      <c r="M2665">
        <f t="shared" si="41"/>
        <v>2025</v>
      </c>
    </row>
    <row r="2666" spans="1:13" ht="12.75" hidden="1" customHeight="1">
      <c r="A2666" t="s">
        <v>801</v>
      </c>
      <c r="B2666" t="s">
        <v>13</v>
      </c>
      <c r="C2666" t="s">
        <v>726</v>
      </c>
      <c r="D2666" t="s">
        <v>1242</v>
      </c>
      <c r="E2666" s="1">
        <v>45929</v>
      </c>
      <c r="F2666" s="1">
        <v>45929</v>
      </c>
      <c r="G2666" s="12">
        <v>4.08</v>
      </c>
      <c r="H2666" s="2">
        <v>0</v>
      </c>
      <c r="I2666" s="2">
        <v>0</v>
      </c>
      <c r="J2666" s="2">
        <v>0</v>
      </c>
      <c r="K2666" s="20">
        <v>4.08</v>
      </c>
      <c r="L2666" t="s">
        <v>794</v>
      </c>
      <c r="M2666">
        <f t="shared" si="41"/>
        <v>2025</v>
      </c>
    </row>
    <row r="2667" spans="1:13" ht="12.75" hidden="1" customHeight="1">
      <c r="A2667" t="s">
        <v>905</v>
      </c>
      <c r="B2667" t="s">
        <v>15</v>
      </c>
      <c r="C2667" t="s">
        <v>715</v>
      </c>
      <c r="D2667" t="s">
        <v>1242</v>
      </c>
      <c r="E2667" s="1">
        <v>45930</v>
      </c>
      <c r="F2667" s="1">
        <v>45930</v>
      </c>
      <c r="G2667" s="12">
        <v>701.07</v>
      </c>
      <c r="H2667" s="2">
        <v>0</v>
      </c>
      <c r="I2667" s="2">
        <v>0</v>
      </c>
      <c r="J2667" s="2">
        <v>0</v>
      </c>
      <c r="K2667" s="20">
        <v>701.07</v>
      </c>
      <c r="L2667" t="s">
        <v>794</v>
      </c>
      <c r="M2667">
        <f t="shared" si="41"/>
        <v>2025</v>
      </c>
    </row>
    <row r="2668" spans="1:13" ht="12.75" hidden="1" customHeight="1">
      <c r="A2668" t="s">
        <v>811</v>
      </c>
      <c r="B2668" t="s">
        <v>39</v>
      </c>
      <c r="C2668" t="s">
        <v>137</v>
      </c>
      <c r="D2668" t="s">
        <v>1242</v>
      </c>
      <c r="E2668" s="1">
        <v>45919</v>
      </c>
      <c r="F2668" s="1">
        <v>45930</v>
      </c>
      <c r="G2668" s="12">
        <v>330</v>
      </c>
      <c r="H2668" s="2">
        <v>0</v>
      </c>
      <c r="I2668" s="2">
        <v>0</v>
      </c>
      <c r="J2668" s="2">
        <v>0</v>
      </c>
      <c r="K2668" s="20">
        <v>330</v>
      </c>
      <c r="L2668" t="s">
        <v>794</v>
      </c>
      <c r="M2668">
        <f t="shared" si="41"/>
        <v>2025</v>
      </c>
    </row>
    <row r="2669" spans="1:13" ht="12.75" hidden="1" customHeight="1">
      <c r="A2669" t="s">
        <v>801</v>
      </c>
      <c r="B2669" t="s">
        <v>13</v>
      </c>
      <c r="C2669" t="s">
        <v>718</v>
      </c>
      <c r="D2669" t="s">
        <v>1242</v>
      </c>
      <c r="E2669" s="1">
        <v>45930</v>
      </c>
      <c r="F2669" s="1">
        <v>45930</v>
      </c>
      <c r="G2669" s="12">
        <v>13633.74</v>
      </c>
      <c r="H2669" s="2">
        <v>0</v>
      </c>
      <c r="I2669" s="2">
        <v>0</v>
      </c>
      <c r="J2669" s="2">
        <v>0</v>
      </c>
      <c r="K2669" s="20">
        <v>13633.74</v>
      </c>
      <c r="L2669" t="s">
        <v>794</v>
      </c>
      <c r="M2669">
        <f t="shared" si="41"/>
        <v>2025</v>
      </c>
    </row>
    <row r="2670" spans="1:13" ht="12.75" hidden="1" customHeight="1">
      <c r="A2670" t="s">
        <v>801</v>
      </c>
      <c r="B2670" t="s">
        <v>13</v>
      </c>
      <c r="C2670" t="s">
        <v>726</v>
      </c>
      <c r="D2670" t="s">
        <v>1242</v>
      </c>
      <c r="E2670" s="1">
        <v>45930</v>
      </c>
      <c r="F2670" s="1">
        <v>45930</v>
      </c>
      <c r="G2670" s="12">
        <v>12.24</v>
      </c>
      <c r="H2670" s="2">
        <v>0</v>
      </c>
      <c r="I2670" s="2">
        <v>0</v>
      </c>
      <c r="J2670" s="2">
        <v>0</v>
      </c>
      <c r="K2670" s="20">
        <v>12.24</v>
      </c>
      <c r="L2670" t="s">
        <v>794</v>
      </c>
      <c r="M2670">
        <f t="shared" si="41"/>
        <v>2025</v>
      </c>
    </row>
    <row r="2671" spans="1:13" ht="12.75" hidden="1" customHeight="1">
      <c r="A2671" t="s">
        <v>1307</v>
      </c>
      <c r="B2671" t="s">
        <v>411</v>
      </c>
      <c r="C2671" t="s">
        <v>438</v>
      </c>
      <c r="D2671" t="s">
        <v>1242</v>
      </c>
      <c r="E2671" s="1">
        <v>45908</v>
      </c>
      <c r="F2671" s="1">
        <v>45908</v>
      </c>
      <c r="G2671" s="12">
        <v>397.5</v>
      </c>
      <c r="H2671" s="2">
        <v>0</v>
      </c>
      <c r="I2671" s="2">
        <v>0</v>
      </c>
      <c r="J2671" s="2">
        <v>0</v>
      </c>
      <c r="K2671" s="20">
        <v>397.5</v>
      </c>
      <c r="L2671" t="s">
        <v>794</v>
      </c>
      <c r="M2671">
        <f t="shared" si="41"/>
        <v>2025</v>
      </c>
    </row>
    <row r="2672" spans="1:13" ht="12.75" hidden="1" customHeight="1">
      <c r="A2672" t="s">
        <v>1308</v>
      </c>
      <c r="B2672" t="s">
        <v>133</v>
      </c>
      <c r="C2672" t="s">
        <v>200</v>
      </c>
      <c r="D2672" t="s">
        <v>1242</v>
      </c>
      <c r="E2672" s="1">
        <v>45910</v>
      </c>
      <c r="F2672" s="1">
        <v>45910</v>
      </c>
      <c r="G2672" s="12">
        <v>580</v>
      </c>
      <c r="H2672" s="2">
        <v>0</v>
      </c>
      <c r="I2672" s="2">
        <v>0</v>
      </c>
      <c r="J2672" s="2">
        <v>0</v>
      </c>
      <c r="K2672" s="20">
        <v>580</v>
      </c>
      <c r="L2672" t="s">
        <v>794</v>
      </c>
      <c r="M2672">
        <f t="shared" si="41"/>
        <v>2025</v>
      </c>
    </row>
    <row r="2673" spans="1:13" ht="12.75" hidden="1" customHeight="1">
      <c r="A2673" t="s">
        <v>928</v>
      </c>
      <c r="B2673" t="s">
        <v>263</v>
      </c>
      <c r="C2673" t="s">
        <v>204</v>
      </c>
      <c r="D2673" t="s">
        <v>1242</v>
      </c>
      <c r="E2673" s="1">
        <v>45917</v>
      </c>
      <c r="F2673" s="1">
        <v>45917</v>
      </c>
      <c r="G2673" s="12">
        <v>71.5</v>
      </c>
      <c r="H2673" s="2">
        <v>0</v>
      </c>
      <c r="I2673" s="2">
        <v>0</v>
      </c>
      <c r="J2673" s="2">
        <v>0</v>
      </c>
      <c r="K2673" s="20">
        <v>71.5</v>
      </c>
      <c r="L2673" t="s">
        <v>794</v>
      </c>
      <c r="M2673">
        <f t="shared" si="41"/>
        <v>2025</v>
      </c>
    </row>
    <row r="2674" spans="1:13" ht="12.75" hidden="1" customHeight="1">
      <c r="A2674" t="s">
        <v>1309</v>
      </c>
      <c r="B2674" t="s">
        <v>580</v>
      </c>
      <c r="C2674" t="s">
        <v>452</v>
      </c>
      <c r="D2674" t="s">
        <v>1242</v>
      </c>
      <c r="E2674" s="1">
        <v>45904</v>
      </c>
      <c r="F2674" s="1">
        <v>45904</v>
      </c>
      <c r="G2674" s="12">
        <v>69</v>
      </c>
      <c r="H2674" s="2">
        <v>0</v>
      </c>
      <c r="I2674" s="2">
        <v>0</v>
      </c>
      <c r="J2674" s="2">
        <v>0</v>
      </c>
      <c r="K2674" s="20">
        <v>69</v>
      </c>
      <c r="L2674" t="s">
        <v>794</v>
      </c>
      <c r="M2674">
        <f t="shared" si="41"/>
        <v>2025</v>
      </c>
    </row>
    <row r="2675" spans="1:13" ht="12.75" hidden="1" customHeight="1">
      <c r="A2675" t="s">
        <v>1310</v>
      </c>
      <c r="B2675" t="s">
        <v>532</v>
      </c>
      <c r="C2675" t="s">
        <v>452</v>
      </c>
      <c r="D2675" t="s">
        <v>1242</v>
      </c>
      <c r="E2675" s="1">
        <v>45924</v>
      </c>
      <c r="F2675" s="1">
        <v>45924</v>
      </c>
      <c r="G2675" s="12">
        <v>99</v>
      </c>
      <c r="H2675" s="2">
        <v>0</v>
      </c>
      <c r="I2675" s="2">
        <v>0</v>
      </c>
      <c r="J2675" s="2">
        <v>0</v>
      </c>
      <c r="K2675" s="20">
        <v>99</v>
      </c>
      <c r="L2675" t="s">
        <v>794</v>
      </c>
      <c r="M2675">
        <f t="shared" si="41"/>
        <v>2025</v>
      </c>
    </row>
    <row r="2676" spans="1:13" ht="12.75" hidden="1" customHeight="1">
      <c r="A2676" t="s">
        <v>907</v>
      </c>
      <c r="B2676" t="s">
        <v>291</v>
      </c>
      <c r="C2676" t="s">
        <v>749</v>
      </c>
      <c r="D2676" t="s">
        <v>1311</v>
      </c>
      <c r="E2676" s="1">
        <v>45931</v>
      </c>
      <c r="F2676" s="1">
        <v>45931</v>
      </c>
      <c r="G2676" s="12">
        <v>71.930000000000007</v>
      </c>
      <c r="H2676" s="2">
        <v>0</v>
      </c>
      <c r="I2676" s="2">
        <v>0</v>
      </c>
      <c r="J2676" s="2">
        <v>0</v>
      </c>
      <c r="K2676" s="20">
        <v>71.930000000000007</v>
      </c>
      <c r="L2676" t="s">
        <v>794</v>
      </c>
      <c r="M2676">
        <f t="shared" si="41"/>
        <v>2025</v>
      </c>
    </row>
    <row r="2677" spans="1:13" ht="12.75" hidden="1" customHeight="1">
      <c r="A2677" t="s">
        <v>1312</v>
      </c>
      <c r="B2677" t="s">
        <v>660</v>
      </c>
      <c r="C2677" t="s">
        <v>749</v>
      </c>
      <c r="D2677" t="s">
        <v>1311</v>
      </c>
      <c r="E2677" s="1">
        <v>45931</v>
      </c>
      <c r="F2677" s="1">
        <v>45931</v>
      </c>
      <c r="G2677" s="12">
        <v>32.47</v>
      </c>
      <c r="H2677" s="2">
        <v>0</v>
      </c>
      <c r="I2677" s="2">
        <v>0</v>
      </c>
      <c r="J2677" s="2">
        <v>0</v>
      </c>
      <c r="K2677" s="20">
        <v>32.47</v>
      </c>
      <c r="L2677" t="s">
        <v>794</v>
      </c>
      <c r="M2677">
        <f t="shared" si="41"/>
        <v>2025</v>
      </c>
    </row>
    <row r="2678" spans="1:13" ht="12.75" hidden="1" customHeight="1">
      <c r="A2678" t="s">
        <v>1313</v>
      </c>
      <c r="B2678" t="s">
        <v>362</v>
      </c>
      <c r="C2678" t="s">
        <v>558</v>
      </c>
      <c r="D2678" t="s">
        <v>1311</v>
      </c>
      <c r="E2678" s="1">
        <v>45932</v>
      </c>
      <c r="F2678" s="1">
        <v>45932</v>
      </c>
      <c r="G2678" s="12">
        <v>84.9</v>
      </c>
      <c r="H2678" s="2">
        <v>0</v>
      </c>
      <c r="I2678" s="2">
        <v>0</v>
      </c>
      <c r="J2678" s="2">
        <v>0</v>
      </c>
      <c r="K2678" s="20">
        <v>84.9</v>
      </c>
      <c r="L2678" t="s">
        <v>794</v>
      </c>
      <c r="M2678">
        <f t="shared" si="41"/>
        <v>2025</v>
      </c>
    </row>
    <row r="2679" spans="1:13" ht="12.75" hidden="1" customHeight="1">
      <c r="A2679" t="s">
        <v>907</v>
      </c>
      <c r="B2679" t="s">
        <v>291</v>
      </c>
      <c r="C2679" t="s">
        <v>749</v>
      </c>
      <c r="D2679" t="s">
        <v>1311</v>
      </c>
      <c r="E2679" s="1">
        <v>45932</v>
      </c>
      <c r="F2679" s="1">
        <v>45932</v>
      </c>
      <c r="G2679" s="12">
        <v>27.86</v>
      </c>
      <c r="H2679" s="2">
        <v>0</v>
      </c>
      <c r="I2679" s="2">
        <v>0</v>
      </c>
      <c r="J2679" s="2">
        <v>0</v>
      </c>
      <c r="K2679" s="20">
        <v>27.86</v>
      </c>
      <c r="L2679" t="s">
        <v>794</v>
      </c>
      <c r="M2679">
        <f t="shared" si="41"/>
        <v>2025</v>
      </c>
    </row>
    <row r="2680" spans="1:13" ht="12.75" hidden="1" customHeight="1">
      <c r="A2680" t="s">
        <v>1314</v>
      </c>
      <c r="B2680" t="s">
        <v>666</v>
      </c>
      <c r="C2680" t="s">
        <v>681</v>
      </c>
      <c r="D2680" t="s">
        <v>1311</v>
      </c>
      <c r="E2680" s="1">
        <v>45933</v>
      </c>
      <c r="F2680" s="1">
        <v>45933</v>
      </c>
      <c r="G2680" s="12">
        <v>30</v>
      </c>
      <c r="H2680" s="2">
        <v>0</v>
      </c>
      <c r="I2680" s="2">
        <v>0</v>
      </c>
      <c r="J2680" s="2">
        <v>0</v>
      </c>
      <c r="K2680" s="20">
        <v>30</v>
      </c>
      <c r="L2680" t="s">
        <v>794</v>
      </c>
      <c r="M2680">
        <f t="shared" si="41"/>
        <v>2025</v>
      </c>
    </row>
    <row r="2681" spans="1:13" ht="12.75" hidden="1" customHeight="1">
      <c r="A2681" t="s">
        <v>906</v>
      </c>
      <c r="B2681" t="s">
        <v>289</v>
      </c>
      <c r="C2681" t="s">
        <v>681</v>
      </c>
      <c r="D2681" t="s">
        <v>1311</v>
      </c>
      <c r="E2681" s="1">
        <v>45933</v>
      </c>
      <c r="F2681" s="1">
        <v>45933</v>
      </c>
      <c r="G2681" s="12">
        <v>38</v>
      </c>
      <c r="H2681" s="2">
        <v>0</v>
      </c>
      <c r="I2681" s="2">
        <v>0</v>
      </c>
      <c r="J2681" s="2">
        <v>0</v>
      </c>
      <c r="K2681" s="20">
        <v>38</v>
      </c>
      <c r="L2681" t="s">
        <v>794</v>
      </c>
      <c r="M2681">
        <f t="shared" si="41"/>
        <v>2025</v>
      </c>
    </row>
    <row r="2682" spans="1:13" ht="12.75" hidden="1" customHeight="1">
      <c r="A2682" t="s">
        <v>981</v>
      </c>
      <c r="B2682" t="s">
        <v>55</v>
      </c>
      <c r="C2682" t="s">
        <v>99</v>
      </c>
      <c r="D2682" t="s">
        <v>1311</v>
      </c>
      <c r="E2682" s="1">
        <v>45936</v>
      </c>
      <c r="F2682" s="1">
        <v>45936</v>
      </c>
      <c r="G2682" s="12">
        <v>700</v>
      </c>
      <c r="H2682" s="2">
        <v>0</v>
      </c>
      <c r="I2682" s="2">
        <v>0</v>
      </c>
      <c r="J2682" s="2">
        <v>0</v>
      </c>
      <c r="K2682" s="20">
        <v>700</v>
      </c>
      <c r="L2682" t="s">
        <v>794</v>
      </c>
      <c r="M2682">
        <f t="shared" si="41"/>
        <v>2025</v>
      </c>
    </row>
    <row r="2683" spans="1:13" ht="12.75" hidden="1" customHeight="1">
      <c r="A2683" t="s">
        <v>808</v>
      </c>
      <c r="B2683" t="s">
        <v>154</v>
      </c>
      <c r="C2683" t="s">
        <v>693</v>
      </c>
      <c r="D2683" t="s">
        <v>1311</v>
      </c>
      <c r="E2683" s="1">
        <v>45936</v>
      </c>
      <c r="F2683" s="1">
        <v>45936</v>
      </c>
      <c r="G2683" s="12">
        <v>550</v>
      </c>
      <c r="H2683" s="2">
        <v>0</v>
      </c>
      <c r="I2683" s="2">
        <v>0</v>
      </c>
      <c r="J2683" s="2">
        <v>0</v>
      </c>
      <c r="K2683" s="20">
        <v>550</v>
      </c>
      <c r="L2683" t="s">
        <v>794</v>
      </c>
      <c r="M2683">
        <f t="shared" si="41"/>
        <v>2025</v>
      </c>
    </row>
    <row r="2684" spans="1:13" ht="12.75" hidden="1" customHeight="1">
      <c r="A2684" t="s">
        <v>1196</v>
      </c>
      <c r="B2684" t="s">
        <v>1197</v>
      </c>
      <c r="C2684" t="s">
        <v>137</v>
      </c>
      <c r="D2684" t="s">
        <v>1311</v>
      </c>
      <c r="E2684" s="1">
        <v>45936</v>
      </c>
      <c r="F2684" s="1">
        <v>45936</v>
      </c>
      <c r="G2684" s="12">
        <v>133.34</v>
      </c>
      <c r="H2684" s="2">
        <v>0</v>
      </c>
      <c r="I2684" s="2">
        <v>0</v>
      </c>
      <c r="J2684" s="2">
        <v>0</v>
      </c>
      <c r="K2684" s="20">
        <v>133.34</v>
      </c>
      <c r="L2684" t="s">
        <v>794</v>
      </c>
      <c r="M2684">
        <f t="shared" si="41"/>
        <v>2025</v>
      </c>
    </row>
    <row r="2685" spans="1:13" ht="12.75" hidden="1" customHeight="1">
      <c r="A2685" t="s">
        <v>818</v>
      </c>
      <c r="B2685" t="s">
        <v>30</v>
      </c>
      <c r="C2685" t="s">
        <v>141</v>
      </c>
      <c r="D2685" t="s">
        <v>1311</v>
      </c>
      <c r="E2685" s="1">
        <v>45936</v>
      </c>
      <c r="F2685" s="1">
        <v>45936</v>
      </c>
      <c r="G2685" s="12">
        <v>40</v>
      </c>
      <c r="H2685" s="2">
        <v>0</v>
      </c>
      <c r="I2685" s="2">
        <v>0</v>
      </c>
      <c r="J2685" s="2">
        <v>0</v>
      </c>
      <c r="K2685" s="20">
        <v>40</v>
      </c>
      <c r="L2685" t="s">
        <v>794</v>
      </c>
      <c r="M2685">
        <f t="shared" si="41"/>
        <v>2025</v>
      </c>
    </row>
    <row r="2686" spans="1:13" ht="12.75" hidden="1" customHeight="1">
      <c r="A2686" t="s">
        <v>1120</v>
      </c>
      <c r="B2686" t="s">
        <v>676</v>
      </c>
      <c r="C2686" t="s">
        <v>139</v>
      </c>
      <c r="D2686" t="s">
        <v>1311</v>
      </c>
      <c r="E2686" s="1">
        <v>45937</v>
      </c>
      <c r="F2686" s="1">
        <v>45937</v>
      </c>
      <c r="G2686" s="12">
        <v>20</v>
      </c>
      <c r="H2686" s="2">
        <v>0</v>
      </c>
      <c r="I2686" s="2">
        <v>0</v>
      </c>
      <c r="J2686" s="2">
        <v>0</v>
      </c>
      <c r="K2686" s="20">
        <v>20</v>
      </c>
      <c r="L2686" t="s">
        <v>794</v>
      </c>
      <c r="M2686">
        <f t="shared" si="41"/>
        <v>2025</v>
      </c>
    </row>
    <row r="2687" spans="1:13" ht="12.75" hidden="1" customHeight="1">
      <c r="A2687" t="s">
        <v>1009</v>
      </c>
      <c r="B2687" t="s">
        <v>62</v>
      </c>
      <c r="C2687" t="s">
        <v>141</v>
      </c>
      <c r="D2687" t="s">
        <v>1311</v>
      </c>
      <c r="E2687" s="1">
        <v>45937</v>
      </c>
      <c r="F2687" s="1">
        <v>45937</v>
      </c>
      <c r="G2687" s="12">
        <v>40</v>
      </c>
      <c r="H2687" s="2">
        <v>0</v>
      </c>
      <c r="I2687" s="2">
        <v>0</v>
      </c>
      <c r="J2687" s="2">
        <v>0</v>
      </c>
      <c r="K2687" s="20">
        <v>40</v>
      </c>
      <c r="L2687" t="s">
        <v>794</v>
      </c>
      <c r="M2687">
        <f t="shared" si="41"/>
        <v>2025</v>
      </c>
    </row>
    <row r="2688" spans="1:13" ht="12.75" hidden="1" customHeight="1">
      <c r="A2688" t="s">
        <v>1315</v>
      </c>
      <c r="B2688" t="s">
        <v>378</v>
      </c>
      <c r="C2688" t="s">
        <v>736</v>
      </c>
      <c r="D2688" t="s">
        <v>1311</v>
      </c>
      <c r="E2688" s="1">
        <v>45937</v>
      </c>
      <c r="F2688" s="1">
        <v>45937</v>
      </c>
      <c r="G2688" s="12">
        <v>220.4</v>
      </c>
      <c r="H2688" s="2">
        <v>0</v>
      </c>
      <c r="I2688" s="2">
        <v>0</v>
      </c>
      <c r="J2688" s="2">
        <v>0</v>
      </c>
      <c r="K2688" s="20">
        <v>220.4</v>
      </c>
      <c r="L2688" t="s">
        <v>794</v>
      </c>
      <c r="M2688">
        <f t="shared" si="41"/>
        <v>2025</v>
      </c>
    </row>
    <row r="2689" spans="1:13" ht="12.75" hidden="1" customHeight="1">
      <c r="A2689" t="s">
        <v>1144</v>
      </c>
      <c r="B2689" t="s">
        <v>389</v>
      </c>
      <c r="C2689" t="s">
        <v>491</v>
      </c>
      <c r="D2689" t="s">
        <v>1311</v>
      </c>
      <c r="E2689" s="1">
        <v>45938</v>
      </c>
      <c r="F2689" s="1">
        <v>45938</v>
      </c>
      <c r="G2689" s="12">
        <v>54</v>
      </c>
      <c r="H2689" s="2">
        <v>0</v>
      </c>
      <c r="I2689" s="2">
        <v>0</v>
      </c>
      <c r="J2689" s="2">
        <v>0</v>
      </c>
      <c r="K2689" s="20">
        <v>54</v>
      </c>
      <c r="L2689" t="s">
        <v>794</v>
      </c>
      <c r="M2689">
        <f t="shared" si="41"/>
        <v>2025</v>
      </c>
    </row>
    <row r="2690" spans="1:13" ht="12.75" hidden="1" customHeight="1">
      <c r="A2690" t="s">
        <v>906</v>
      </c>
      <c r="B2690" t="s">
        <v>289</v>
      </c>
      <c r="C2690" t="s">
        <v>681</v>
      </c>
      <c r="D2690" t="s">
        <v>1311</v>
      </c>
      <c r="E2690" s="1">
        <v>45938</v>
      </c>
      <c r="F2690" s="1">
        <v>45938</v>
      </c>
      <c r="G2690" s="12">
        <v>64</v>
      </c>
      <c r="H2690" s="2">
        <v>0</v>
      </c>
      <c r="I2690" s="2">
        <v>0</v>
      </c>
      <c r="J2690" s="2">
        <v>0</v>
      </c>
      <c r="K2690" s="20">
        <v>64</v>
      </c>
      <c r="L2690" t="s">
        <v>794</v>
      </c>
      <c r="M2690">
        <f t="shared" si="41"/>
        <v>2025</v>
      </c>
    </row>
    <row r="2691" spans="1:13" ht="12.75" hidden="1" customHeight="1">
      <c r="A2691" t="s">
        <v>907</v>
      </c>
      <c r="B2691" t="s">
        <v>291</v>
      </c>
      <c r="C2691" t="s">
        <v>749</v>
      </c>
      <c r="D2691" t="s">
        <v>1311</v>
      </c>
      <c r="E2691" s="1">
        <v>45938</v>
      </c>
      <c r="F2691" s="1">
        <v>45938</v>
      </c>
      <c r="G2691" s="12">
        <v>28.900000000000002</v>
      </c>
      <c r="H2691" s="2">
        <v>0</v>
      </c>
      <c r="I2691" s="2">
        <v>0</v>
      </c>
      <c r="J2691" s="2">
        <v>0</v>
      </c>
      <c r="K2691" s="20">
        <v>28.900000000000002</v>
      </c>
      <c r="L2691" t="s">
        <v>794</v>
      </c>
      <c r="M2691">
        <f t="shared" ref="M2691:M2754" si="42">YEAR(F2691)</f>
        <v>2025</v>
      </c>
    </row>
    <row r="2692" spans="1:13" ht="12.75" hidden="1" customHeight="1">
      <c r="A2692" t="s">
        <v>1316</v>
      </c>
      <c r="B2692" t="s">
        <v>59</v>
      </c>
      <c r="C2692" t="s">
        <v>139</v>
      </c>
      <c r="D2692" t="s">
        <v>1311</v>
      </c>
      <c r="E2692" s="1">
        <v>45938</v>
      </c>
      <c r="F2692" s="1">
        <v>45938</v>
      </c>
      <c r="G2692" s="12">
        <v>53.4</v>
      </c>
      <c r="H2692" s="2">
        <v>0</v>
      </c>
      <c r="I2692" s="2">
        <v>0</v>
      </c>
      <c r="J2692" s="2">
        <v>0</v>
      </c>
      <c r="K2692" s="20">
        <v>53.4</v>
      </c>
      <c r="L2692" t="s">
        <v>794</v>
      </c>
      <c r="M2692">
        <f t="shared" si="42"/>
        <v>2025</v>
      </c>
    </row>
    <row r="2693" spans="1:13" ht="12.75" hidden="1" customHeight="1">
      <c r="A2693" t="s">
        <v>1317</v>
      </c>
      <c r="B2693" t="s">
        <v>64</v>
      </c>
      <c r="C2693" t="s">
        <v>139</v>
      </c>
      <c r="D2693" t="s">
        <v>1311</v>
      </c>
      <c r="E2693" s="1">
        <v>45938</v>
      </c>
      <c r="F2693" s="1">
        <v>45938</v>
      </c>
      <c r="G2693" s="12">
        <v>53.4</v>
      </c>
      <c r="H2693" s="2">
        <v>0</v>
      </c>
      <c r="I2693" s="2">
        <v>0</v>
      </c>
      <c r="J2693" s="2">
        <v>0</v>
      </c>
      <c r="K2693" s="20">
        <v>53.4</v>
      </c>
      <c r="L2693" t="s">
        <v>794</v>
      </c>
      <c r="M2693">
        <f t="shared" si="42"/>
        <v>2025</v>
      </c>
    </row>
    <row r="2694" spans="1:13" ht="12.75" hidden="1" customHeight="1">
      <c r="A2694" t="s">
        <v>921</v>
      </c>
      <c r="B2694" t="s">
        <v>184</v>
      </c>
      <c r="C2694" t="s">
        <v>483</v>
      </c>
      <c r="D2694" t="s">
        <v>1311</v>
      </c>
      <c r="E2694" s="1">
        <v>45939</v>
      </c>
      <c r="F2694" s="1">
        <v>45939</v>
      </c>
      <c r="G2694" s="12">
        <v>51.67</v>
      </c>
      <c r="H2694" s="2">
        <v>0</v>
      </c>
      <c r="I2694" s="2">
        <v>0</v>
      </c>
      <c r="J2694" s="2">
        <v>0</v>
      </c>
      <c r="K2694" s="20">
        <v>51.67</v>
      </c>
      <c r="L2694" t="s">
        <v>794</v>
      </c>
      <c r="M2694">
        <f t="shared" si="42"/>
        <v>2025</v>
      </c>
    </row>
    <row r="2695" spans="1:13" ht="12.75" hidden="1" customHeight="1">
      <c r="A2695" t="s">
        <v>921</v>
      </c>
      <c r="B2695" t="s">
        <v>184</v>
      </c>
      <c r="C2695" t="s">
        <v>483</v>
      </c>
      <c r="D2695" t="s">
        <v>1311</v>
      </c>
      <c r="E2695" s="1">
        <v>45939</v>
      </c>
      <c r="F2695" s="1">
        <v>45939</v>
      </c>
      <c r="G2695" s="12">
        <v>11.4</v>
      </c>
      <c r="H2695" s="2">
        <v>0</v>
      </c>
      <c r="I2695" s="2">
        <v>0</v>
      </c>
      <c r="J2695" s="2">
        <v>0</v>
      </c>
      <c r="K2695" s="20">
        <v>11.4</v>
      </c>
      <c r="L2695" t="s">
        <v>794</v>
      </c>
      <c r="M2695">
        <f t="shared" si="42"/>
        <v>2025</v>
      </c>
    </row>
    <row r="2696" spans="1:13" ht="12.75" hidden="1" customHeight="1">
      <c r="A2696" t="s">
        <v>992</v>
      </c>
      <c r="B2696" t="s">
        <v>277</v>
      </c>
      <c r="C2696" t="s">
        <v>99</v>
      </c>
      <c r="D2696" t="s">
        <v>1311</v>
      </c>
      <c r="E2696" s="1">
        <v>45939</v>
      </c>
      <c r="F2696" s="1">
        <v>45939</v>
      </c>
      <c r="G2696" s="12">
        <v>29.55</v>
      </c>
      <c r="H2696" s="2">
        <v>0</v>
      </c>
      <c r="I2696" s="2">
        <v>0</v>
      </c>
      <c r="J2696" s="2">
        <v>0</v>
      </c>
      <c r="K2696" s="20">
        <v>29.55</v>
      </c>
      <c r="L2696" t="s">
        <v>794</v>
      </c>
      <c r="M2696">
        <f t="shared" si="42"/>
        <v>2025</v>
      </c>
    </row>
    <row r="2697" spans="1:13" ht="12.75" hidden="1" customHeight="1">
      <c r="A2697" t="s">
        <v>907</v>
      </c>
      <c r="B2697" t="s">
        <v>291</v>
      </c>
      <c r="C2697" t="s">
        <v>483</v>
      </c>
      <c r="D2697" t="s">
        <v>1311</v>
      </c>
      <c r="E2697" s="1">
        <v>45939</v>
      </c>
      <c r="F2697" s="1">
        <v>45939</v>
      </c>
      <c r="G2697" s="12">
        <v>5.25</v>
      </c>
      <c r="H2697" s="2">
        <v>0</v>
      </c>
      <c r="I2697" s="2">
        <v>0</v>
      </c>
      <c r="J2697" s="2">
        <v>0</v>
      </c>
      <c r="K2697" s="20">
        <v>5.25</v>
      </c>
      <c r="L2697" t="s">
        <v>794</v>
      </c>
      <c r="M2697">
        <f t="shared" si="42"/>
        <v>2025</v>
      </c>
    </row>
    <row r="2698" spans="1:13" ht="12.75" hidden="1" customHeight="1">
      <c r="A2698" t="s">
        <v>818</v>
      </c>
      <c r="B2698" t="s">
        <v>30</v>
      </c>
      <c r="C2698" t="s">
        <v>141</v>
      </c>
      <c r="D2698" t="s">
        <v>1311</v>
      </c>
      <c r="E2698" s="1">
        <v>45940</v>
      </c>
      <c r="F2698" s="1">
        <v>45940</v>
      </c>
      <c r="G2698" s="12">
        <v>1250</v>
      </c>
      <c r="H2698" s="2">
        <v>0</v>
      </c>
      <c r="I2698" s="2">
        <v>0</v>
      </c>
      <c r="J2698" s="2">
        <v>0</v>
      </c>
      <c r="K2698" s="20">
        <v>1250</v>
      </c>
      <c r="L2698" t="s">
        <v>794</v>
      </c>
      <c r="M2698">
        <f t="shared" si="42"/>
        <v>2025</v>
      </c>
    </row>
    <row r="2699" spans="1:13" ht="12.75" hidden="1" customHeight="1">
      <c r="A2699" t="s">
        <v>811</v>
      </c>
      <c r="B2699" t="s">
        <v>39</v>
      </c>
      <c r="C2699" t="s">
        <v>141</v>
      </c>
      <c r="D2699" t="s">
        <v>1311</v>
      </c>
      <c r="E2699" s="1">
        <v>45940</v>
      </c>
      <c r="F2699" s="1">
        <v>45940</v>
      </c>
      <c r="G2699" s="12">
        <v>1250</v>
      </c>
      <c r="H2699" s="2">
        <v>0</v>
      </c>
      <c r="I2699" s="2">
        <v>0</v>
      </c>
      <c r="J2699" s="2">
        <v>0</v>
      </c>
      <c r="K2699" s="20">
        <v>1250</v>
      </c>
      <c r="L2699" t="s">
        <v>794</v>
      </c>
      <c r="M2699">
        <f t="shared" si="42"/>
        <v>2025</v>
      </c>
    </row>
    <row r="2700" spans="1:13" ht="12.75" hidden="1" customHeight="1">
      <c r="A2700" t="s">
        <v>1181</v>
      </c>
      <c r="B2700" t="s">
        <v>75</v>
      </c>
      <c r="C2700" t="s">
        <v>141</v>
      </c>
      <c r="D2700" t="s">
        <v>1311</v>
      </c>
      <c r="E2700" s="1">
        <v>45940</v>
      </c>
      <c r="F2700" s="1">
        <v>45940</v>
      </c>
      <c r="G2700" s="12">
        <v>600</v>
      </c>
      <c r="H2700" s="2">
        <v>0</v>
      </c>
      <c r="I2700" s="2">
        <v>0</v>
      </c>
      <c r="J2700" s="2">
        <v>0</v>
      </c>
      <c r="K2700" s="20">
        <v>600</v>
      </c>
      <c r="L2700" t="s">
        <v>794</v>
      </c>
      <c r="M2700">
        <f t="shared" si="42"/>
        <v>2025</v>
      </c>
    </row>
    <row r="2701" spans="1:13" ht="12.75" hidden="1" customHeight="1">
      <c r="A2701" t="s">
        <v>810</v>
      </c>
      <c r="B2701" t="s">
        <v>54</v>
      </c>
      <c r="C2701" t="s">
        <v>141</v>
      </c>
      <c r="D2701" t="s">
        <v>1311</v>
      </c>
      <c r="E2701" s="1">
        <v>45940</v>
      </c>
      <c r="F2701" s="1">
        <v>45940</v>
      </c>
      <c r="G2701" s="12">
        <v>650</v>
      </c>
      <c r="H2701" s="2">
        <v>0</v>
      </c>
      <c r="I2701" s="2">
        <v>0</v>
      </c>
      <c r="J2701" s="2">
        <v>0</v>
      </c>
      <c r="K2701" s="20">
        <v>650</v>
      </c>
      <c r="L2701" t="s">
        <v>794</v>
      </c>
      <c r="M2701">
        <f t="shared" si="42"/>
        <v>2025</v>
      </c>
    </row>
    <row r="2702" spans="1:13" ht="12.75" hidden="1" customHeight="1">
      <c r="A2702" t="s">
        <v>1112</v>
      </c>
      <c r="B2702" t="s">
        <v>68</v>
      </c>
      <c r="C2702" t="s">
        <v>141</v>
      </c>
      <c r="D2702" t="s">
        <v>1311</v>
      </c>
      <c r="E2702" s="1">
        <v>45940</v>
      </c>
      <c r="F2702" s="1">
        <v>45940</v>
      </c>
      <c r="G2702" s="12">
        <v>130</v>
      </c>
      <c r="H2702" s="2">
        <v>0</v>
      </c>
      <c r="I2702" s="2">
        <v>0</v>
      </c>
      <c r="J2702" s="2">
        <v>0</v>
      </c>
      <c r="K2702" s="20">
        <v>130</v>
      </c>
      <c r="L2702" t="s">
        <v>794</v>
      </c>
      <c r="M2702">
        <f t="shared" si="42"/>
        <v>2025</v>
      </c>
    </row>
    <row r="2703" spans="1:13" ht="12.75" hidden="1" customHeight="1">
      <c r="A2703" t="s">
        <v>1239</v>
      </c>
      <c r="B2703" t="s">
        <v>224</v>
      </c>
      <c r="C2703" t="s">
        <v>141</v>
      </c>
      <c r="D2703" t="s">
        <v>1311</v>
      </c>
      <c r="E2703" s="1">
        <v>45940</v>
      </c>
      <c r="F2703" s="1">
        <v>45940</v>
      </c>
      <c r="G2703" s="12">
        <v>80</v>
      </c>
      <c r="H2703" s="2">
        <v>0</v>
      </c>
      <c r="I2703" s="2">
        <v>0</v>
      </c>
      <c r="J2703" s="2">
        <v>0</v>
      </c>
      <c r="K2703" s="20">
        <v>80</v>
      </c>
      <c r="L2703" t="s">
        <v>794</v>
      </c>
      <c r="M2703">
        <f t="shared" si="42"/>
        <v>2025</v>
      </c>
    </row>
    <row r="2704" spans="1:13" ht="12.75" hidden="1" customHeight="1">
      <c r="A2704" t="s">
        <v>836</v>
      </c>
      <c r="B2704" t="s">
        <v>37</v>
      </c>
      <c r="C2704" t="s">
        <v>141</v>
      </c>
      <c r="D2704" t="s">
        <v>1311</v>
      </c>
      <c r="E2704" s="1">
        <v>45940</v>
      </c>
      <c r="F2704" s="1">
        <v>45940</v>
      </c>
      <c r="G2704" s="12">
        <v>200</v>
      </c>
      <c r="H2704" s="2">
        <v>0</v>
      </c>
      <c r="I2704" s="2">
        <v>0</v>
      </c>
      <c r="J2704" s="2">
        <v>0</v>
      </c>
      <c r="K2704" s="20">
        <v>200</v>
      </c>
      <c r="L2704" t="s">
        <v>794</v>
      </c>
      <c r="M2704">
        <f t="shared" si="42"/>
        <v>2025</v>
      </c>
    </row>
    <row r="2705" spans="1:13" ht="12.75" hidden="1" customHeight="1">
      <c r="A2705" t="s">
        <v>836</v>
      </c>
      <c r="B2705" t="s">
        <v>37</v>
      </c>
      <c r="C2705" t="s">
        <v>141</v>
      </c>
      <c r="D2705" t="s">
        <v>1311</v>
      </c>
      <c r="E2705" s="1">
        <v>45940</v>
      </c>
      <c r="F2705" s="1">
        <v>45940</v>
      </c>
      <c r="G2705" s="12">
        <v>200</v>
      </c>
      <c r="H2705" s="2">
        <v>0</v>
      </c>
      <c r="I2705" s="2">
        <v>0</v>
      </c>
      <c r="J2705" s="2">
        <v>0</v>
      </c>
      <c r="K2705" s="20">
        <v>200</v>
      </c>
      <c r="L2705" t="s">
        <v>794</v>
      </c>
      <c r="M2705">
        <f t="shared" si="42"/>
        <v>2025</v>
      </c>
    </row>
    <row r="2706" spans="1:13" ht="12.75" hidden="1" customHeight="1">
      <c r="A2706" t="s">
        <v>1105</v>
      </c>
      <c r="B2706" t="s">
        <v>84</v>
      </c>
      <c r="C2706" t="s">
        <v>141</v>
      </c>
      <c r="D2706" t="s">
        <v>1311</v>
      </c>
      <c r="E2706" s="1">
        <v>45940</v>
      </c>
      <c r="F2706" s="1">
        <v>45940</v>
      </c>
      <c r="G2706" s="12">
        <v>200</v>
      </c>
      <c r="H2706" s="2">
        <v>0</v>
      </c>
      <c r="I2706" s="2">
        <v>0</v>
      </c>
      <c r="J2706" s="2">
        <v>0</v>
      </c>
      <c r="K2706" s="20">
        <v>200</v>
      </c>
      <c r="L2706" t="s">
        <v>794</v>
      </c>
      <c r="M2706">
        <f t="shared" si="42"/>
        <v>2025</v>
      </c>
    </row>
    <row r="2707" spans="1:13" ht="12.75" hidden="1" customHeight="1">
      <c r="A2707" t="s">
        <v>961</v>
      </c>
      <c r="B2707" t="s">
        <v>41</v>
      </c>
      <c r="C2707" t="s">
        <v>141</v>
      </c>
      <c r="D2707" t="s">
        <v>1311</v>
      </c>
      <c r="E2707" s="1">
        <v>45940</v>
      </c>
      <c r="F2707" s="1">
        <v>45940</v>
      </c>
      <c r="G2707" s="12">
        <v>200</v>
      </c>
      <c r="H2707" s="2">
        <v>0</v>
      </c>
      <c r="I2707" s="2">
        <v>0</v>
      </c>
      <c r="J2707" s="2">
        <v>0</v>
      </c>
      <c r="K2707" s="20">
        <v>200</v>
      </c>
      <c r="L2707" t="s">
        <v>794</v>
      </c>
      <c r="M2707">
        <f t="shared" si="42"/>
        <v>2025</v>
      </c>
    </row>
    <row r="2708" spans="1:13" ht="12.75" hidden="1" customHeight="1">
      <c r="A2708" t="s">
        <v>946</v>
      </c>
      <c r="B2708" t="s">
        <v>234</v>
      </c>
      <c r="C2708" t="s">
        <v>200</v>
      </c>
      <c r="D2708" t="s">
        <v>1311</v>
      </c>
      <c r="E2708" s="1">
        <v>45940</v>
      </c>
      <c r="F2708" s="1">
        <v>45940</v>
      </c>
      <c r="G2708" s="12">
        <v>720</v>
      </c>
      <c r="H2708" s="2">
        <v>0</v>
      </c>
      <c r="I2708" s="2">
        <v>0</v>
      </c>
      <c r="J2708" s="2">
        <v>0</v>
      </c>
      <c r="K2708" s="20">
        <v>720</v>
      </c>
      <c r="L2708" t="s">
        <v>794</v>
      </c>
      <c r="M2708">
        <f t="shared" si="42"/>
        <v>2025</v>
      </c>
    </row>
    <row r="2709" spans="1:13" ht="12.75" hidden="1" customHeight="1">
      <c r="A2709" t="s">
        <v>1196</v>
      </c>
      <c r="B2709" t="s">
        <v>1197</v>
      </c>
      <c r="C2709" t="s">
        <v>141</v>
      </c>
      <c r="D2709" t="s">
        <v>1311</v>
      </c>
      <c r="E2709" s="1">
        <v>45940</v>
      </c>
      <c r="F2709" s="1">
        <v>45940</v>
      </c>
      <c r="G2709" s="12">
        <v>50</v>
      </c>
      <c r="H2709" s="2">
        <v>0</v>
      </c>
      <c r="I2709" s="2">
        <v>0</v>
      </c>
      <c r="J2709" s="2">
        <v>0</v>
      </c>
      <c r="K2709" s="20">
        <v>50</v>
      </c>
      <c r="L2709" t="s">
        <v>794</v>
      </c>
      <c r="M2709">
        <f t="shared" si="42"/>
        <v>2025</v>
      </c>
    </row>
    <row r="2710" spans="1:13" ht="12.75" hidden="1" customHeight="1">
      <c r="A2710" t="s">
        <v>833</v>
      </c>
      <c r="B2710" t="s">
        <v>27</v>
      </c>
      <c r="C2710" t="s">
        <v>141</v>
      </c>
      <c r="D2710" t="s">
        <v>1311</v>
      </c>
      <c r="E2710" s="1">
        <v>45940</v>
      </c>
      <c r="F2710" s="1">
        <v>45940</v>
      </c>
      <c r="G2710" s="12">
        <v>600</v>
      </c>
      <c r="H2710" s="2">
        <v>0</v>
      </c>
      <c r="I2710" s="2">
        <v>0</v>
      </c>
      <c r="J2710" s="2">
        <v>0</v>
      </c>
      <c r="K2710" s="20">
        <v>600</v>
      </c>
      <c r="L2710" t="s">
        <v>794</v>
      </c>
      <c r="M2710">
        <f t="shared" si="42"/>
        <v>2025</v>
      </c>
    </row>
    <row r="2711" spans="1:13" ht="12.75" hidden="1" customHeight="1">
      <c r="A2711" t="s">
        <v>1318</v>
      </c>
      <c r="B2711" t="s">
        <v>498</v>
      </c>
      <c r="C2711" t="s">
        <v>681</v>
      </c>
      <c r="D2711" t="s">
        <v>1311</v>
      </c>
      <c r="E2711" s="1">
        <v>45940</v>
      </c>
      <c r="F2711" s="1">
        <v>45940</v>
      </c>
      <c r="G2711" s="12">
        <v>57.54</v>
      </c>
      <c r="H2711" s="2">
        <v>0</v>
      </c>
      <c r="I2711" s="2">
        <v>0</v>
      </c>
      <c r="J2711" s="2">
        <v>0</v>
      </c>
      <c r="K2711" s="20">
        <v>57.54</v>
      </c>
      <c r="L2711" t="s">
        <v>794</v>
      </c>
      <c r="M2711">
        <f t="shared" si="42"/>
        <v>2025</v>
      </c>
    </row>
    <row r="2712" spans="1:13" ht="12.75" hidden="1" customHeight="1">
      <c r="A2712" t="s">
        <v>907</v>
      </c>
      <c r="B2712" t="s">
        <v>291</v>
      </c>
      <c r="C2712" t="s">
        <v>749</v>
      </c>
      <c r="D2712" t="s">
        <v>1311</v>
      </c>
      <c r="E2712" s="1">
        <v>45940</v>
      </c>
      <c r="F2712" s="1">
        <v>45940</v>
      </c>
      <c r="G2712" s="12">
        <v>27.38</v>
      </c>
      <c r="H2712" s="2">
        <v>0</v>
      </c>
      <c r="I2712" s="2">
        <v>0</v>
      </c>
      <c r="J2712" s="2">
        <v>0</v>
      </c>
      <c r="K2712" s="20">
        <v>27.38</v>
      </c>
      <c r="L2712" t="s">
        <v>794</v>
      </c>
      <c r="M2712">
        <f t="shared" si="42"/>
        <v>2025</v>
      </c>
    </row>
    <row r="2713" spans="1:13" ht="12.75" hidden="1" customHeight="1">
      <c r="A2713" t="s">
        <v>907</v>
      </c>
      <c r="B2713" t="s">
        <v>291</v>
      </c>
      <c r="C2713" t="s">
        <v>749</v>
      </c>
      <c r="D2713" t="s">
        <v>1311</v>
      </c>
      <c r="E2713" s="1">
        <v>45940</v>
      </c>
      <c r="F2713" s="1">
        <v>45940</v>
      </c>
      <c r="G2713" s="12">
        <v>31.96</v>
      </c>
      <c r="H2713" s="2">
        <v>0</v>
      </c>
      <c r="I2713" s="2">
        <v>0</v>
      </c>
      <c r="J2713" s="2">
        <v>0</v>
      </c>
      <c r="K2713" s="20">
        <v>31.96</v>
      </c>
      <c r="L2713" t="s">
        <v>794</v>
      </c>
      <c r="M2713">
        <f t="shared" si="42"/>
        <v>2025</v>
      </c>
    </row>
    <row r="2714" spans="1:13" ht="12.75" hidden="1" customHeight="1">
      <c r="A2714" t="s">
        <v>836</v>
      </c>
      <c r="B2714" t="s">
        <v>37</v>
      </c>
      <c r="C2714" t="s">
        <v>141</v>
      </c>
      <c r="D2714" t="s">
        <v>1311</v>
      </c>
      <c r="E2714" s="1">
        <v>45940</v>
      </c>
      <c r="F2714" s="1">
        <v>45940</v>
      </c>
      <c r="G2714" s="12">
        <v>75</v>
      </c>
      <c r="H2714" s="2">
        <v>0</v>
      </c>
      <c r="I2714" s="2">
        <v>0</v>
      </c>
      <c r="J2714" s="2">
        <v>0</v>
      </c>
      <c r="K2714" s="20">
        <v>75</v>
      </c>
      <c r="L2714" t="s">
        <v>794</v>
      </c>
      <c r="M2714">
        <f t="shared" si="42"/>
        <v>2025</v>
      </c>
    </row>
    <row r="2715" spans="1:13" ht="12.75" hidden="1" customHeight="1">
      <c r="A2715" t="s">
        <v>1176</v>
      </c>
      <c r="B2715" t="s">
        <v>106</v>
      </c>
      <c r="C2715" t="s">
        <v>200</v>
      </c>
      <c r="D2715" t="s">
        <v>1311</v>
      </c>
      <c r="E2715" s="1">
        <v>45940</v>
      </c>
      <c r="F2715" s="1">
        <v>45940</v>
      </c>
      <c r="G2715" s="12">
        <v>960</v>
      </c>
      <c r="H2715" s="2">
        <v>0</v>
      </c>
      <c r="I2715" s="2">
        <v>0</v>
      </c>
      <c r="J2715" s="2">
        <v>0</v>
      </c>
      <c r="K2715" s="20">
        <v>960</v>
      </c>
      <c r="L2715" t="s">
        <v>794</v>
      </c>
      <c r="M2715">
        <f t="shared" si="42"/>
        <v>2025</v>
      </c>
    </row>
    <row r="2716" spans="1:13" ht="12.75" hidden="1" customHeight="1">
      <c r="A2716" t="s">
        <v>819</v>
      </c>
      <c r="B2716" t="s">
        <v>38</v>
      </c>
      <c r="C2716" t="s">
        <v>141</v>
      </c>
      <c r="D2716" t="s">
        <v>1311</v>
      </c>
      <c r="E2716" s="1">
        <v>45941</v>
      </c>
      <c r="F2716" s="1">
        <v>45941</v>
      </c>
      <c r="G2716" s="12">
        <v>200</v>
      </c>
      <c r="H2716" s="2">
        <v>0</v>
      </c>
      <c r="I2716" s="2">
        <v>0</v>
      </c>
      <c r="J2716" s="2">
        <v>0</v>
      </c>
      <c r="K2716" s="20">
        <v>200</v>
      </c>
      <c r="L2716" t="s">
        <v>794</v>
      </c>
      <c r="M2716">
        <f t="shared" si="42"/>
        <v>2025</v>
      </c>
    </row>
    <row r="2717" spans="1:13" ht="12.75" hidden="1" customHeight="1">
      <c r="A2717" t="s">
        <v>1272</v>
      </c>
      <c r="B2717" t="s">
        <v>132</v>
      </c>
      <c r="C2717" t="s">
        <v>141</v>
      </c>
      <c r="D2717" t="s">
        <v>1311</v>
      </c>
      <c r="E2717" s="1">
        <v>45943</v>
      </c>
      <c r="F2717" s="1">
        <v>45943</v>
      </c>
      <c r="G2717" s="12">
        <v>350</v>
      </c>
      <c r="H2717" s="2">
        <v>0</v>
      </c>
      <c r="I2717" s="2">
        <v>0</v>
      </c>
      <c r="J2717" s="2">
        <v>0</v>
      </c>
      <c r="K2717" s="20">
        <v>350</v>
      </c>
      <c r="L2717" t="s">
        <v>794</v>
      </c>
      <c r="M2717">
        <f t="shared" si="42"/>
        <v>2025</v>
      </c>
    </row>
    <row r="2718" spans="1:13" ht="12.75" hidden="1" customHeight="1">
      <c r="A2718" t="s">
        <v>907</v>
      </c>
      <c r="B2718" t="s">
        <v>291</v>
      </c>
      <c r="C2718" t="s">
        <v>681</v>
      </c>
      <c r="D2718" t="s">
        <v>1311</v>
      </c>
      <c r="E2718" s="1">
        <v>45944</v>
      </c>
      <c r="F2718" s="1">
        <v>45944</v>
      </c>
      <c r="G2718" s="12">
        <v>2.4</v>
      </c>
      <c r="H2718" s="2">
        <v>0</v>
      </c>
      <c r="I2718" s="2">
        <v>0</v>
      </c>
      <c r="J2718" s="2">
        <v>0</v>
      </c>
      <c r="K2718" s="20">
        <v>2.4</v>
      </c>
      <c r="L2718" t="s">
        <v>794</v>
      </c>
      <c r="M2718">
        <f t="shared" si="42"/>
        <v>2025</v>
      </c>
    </row>
    <row r="2719" spans="1:13" ht="12.75" hidden="1" customHeight="1">
      <c r="A2719" t="s">
        <v>1319</v>
      </c>
      <c r="B2719" t="s">
        <v>587</v>
      </c>
      <c r="C2719" t="s">
        <v>749</v>
      </c>
      <c r="D2719" t="s">
        <v>1311</v>
      </c>
      <c r="E2719" s="1">
        <v>45945</v>
      </c>
      <c r="F2719" s="1">
        <v>45945</v>
      </c>
      <c r="G2719" s="12">
        <v>62.24</v>
      </c>
      <c r="H2719" s="2">
        <v>0</v>
      </c>
      <c r="I2719" s="2">
        <v>0</v>
      </c>
      <c r="J2719" s="2">
        <v>0</v>
      </c>
      <c r="K2719" s="20">
        <v>62.24</v>
      </c>
      <c r="L2719" t="s">
        <v>794</v>
      </c>
      <c r="M2719">
        <f t="shared" si="42"/>
        <v>2025</v>
      </c>
    </row>
    <row r="2720" spans="1:13" ht="12.75" hidden="1" customHeight="1">
      <c r="A2720" t="s">
        <v>819</v>
      </c>
      <c r="B2720" t="s">
        <v>38</v>
      </c>
      <c r="C2720" t="s">
        <v>141</v>
      </c>
      <c r="D2720" t="s">
        <v>1311</v>
      </c>
      <c r="E2720" s="1">
        <v>45945</v>
      </c>
      <c r="F2720" s="1">
        <v>45945</v>
      </c>
      <c r="G2720" s="12">
        <v>50</v>
      </c>
      <c r="H2720" s="2">
        <v>0</v>
      </c>
      <c r="I2720" s="2">
        <v>0</v>
      </c>
      <c r="J2720" s="2">
        <v>0</v>
      </c>
      <c r="K2720" s="20">
        <v>50</v>
      </c>
      <c r="L2720" t="s">
        <v>794</v>
      </c>
      <c r="M2720">
        <f t="shared" si="42"/>
        <v>2025</v>
      </c>
    </row>
    <row r="2721" spans="1:13" ht="12.75" hidden="1" customHeight="1">
      <c r="A2721" t="s">
        <v>907</v>
      </c>
      <c r="B2721" t="s">
        <v>291</v>
      </c>
      <c r="C2721" t="s">
        <v>681</v>
      </c>
      <c r="D2721" t="s">
        <v>1311</v>
      </c>
      <c r="E2721" s="1">
        <v>45945</v>
      </c>
      <c r="F2721" s="1">
        <v>45945</v>
      </c>
      <c r="G2721" s="12">
        <v>57.800000000000004</v>
      </c>
      <c r="H2721" s="2">
        <v>0</v>
      </c>
      <c r="I2721" s="2">
        <v>0</v>
      </c>
      <c r="J2721" s="2">
        <v>0</v>
      </c>
      <c r="K2721" s="20">
        <v>57.800000000000004</v>
      </c>
      <c r="L2721" t="s">
        <v>794</v>
      </c>
      <c r="M2721">
        <f t="shared" si="42"/>
        <v>2025</v>
      </c>
    </row>
    <row r="2722" spans="1:13" ht="12.75" hidden="1" customHeight="1">
      <c r="A2722" t="s">
        <v>906</v>
      </c>
      <c r="B2722" t="s">
        <v>289</v>
      </c>
      <c r="C2722" t="s">
        <v>681</v>
      </c>
      <c r="D2722" t="s">
        <v>1311</v>
      </c>
      <c r="E2722" s="1">
        <v>45945</v>
      </c>
      <c r="F2722" s="1">
        <v>45945</v>
      </c>
      <c r="G2722" s="12">
        <v>45</v>
      </c>
      <c r="H2722" s="2">
        <v>0</v>
      </c>
      <c r="I2722" s="2">
        <v>0</v>
      </c>
      <c r="J2722" s="2">
        <v>0</v>
      </c>
      <c r="K2722" s="20">
        <v>45</v>
      </c>
      <c r="L2722" t="s">
        <v>794</v>
      </c>
      <c r="M2722">
        <f t="shared" si="42"/>
        <v>2025</v>
      </c>
    </row>
    <row r="2723" spans="1:13" ht="12.75" hidden="1" customHeight="1">
      <c r="A2723" t="s">
        <v>907</v>
      </c>
      <c r="B2723" t="s">
        <v>291</v>
      </c>
      <c r="C2723" t="s">
        <v>681</v>
      </c>
      <c r="D2723" t="s">
        <v>1311</v>
      </c>
      <c r="E2723" s="1">
        <v>45945</v>
      </c>
      <c r="F2723" s="1">
        <v>45945</v>
      </c>
      <c r="G2723" s="12">
        <v>12</v>
      </c>
      <c r="H2723" s="2">
        <v>0</v>
      </c>
      <c r="I2723" s="2">
        <v>0</v>
      </c>
      <c r="J2723" s="2">
        <v>0</v>
      </c>
      <c r="K2723" s="20">
        <v>12</v>
      </c>
      <c r="L2723" t="s">
        <v>794</v>
      </c>
      <c r="M2723">
        <f t="shared" si="42"/>
        <v>2025</v>
      </c>
    </row>
    <row r="2724" spans="1:13" ht="12.75" hidden="1" customHeight="1">
      <c r="A2724" t="s">
        <v>1320</v>
      </c>
      <c r="B2724" t="s">
        <v>620</v>
      </c>
      <c r="C2724" t="s">
        <v>141</v>
      </c>
      <c r="D2724" t="s">
        <v>1311</v>
      </c>
      <c r="E2724" s="1">
        <v>45945</v>
      </c>
      <c r="F2724" s="1">
        <v>45945</v>
      </c>
      <c r="G2724" s="12">
        <v>50</v>
      </c>
      <c r="H2724" s="2">
        <v>0</v>
      </c>
      <c r="I2724" s="2">
        <v>0</v>
      </c>
      <c r="J2724" s="2">
        <v>0</v>
      </c>
      <c r="K2724" s="20">
        <v>50</v>
      </c>
      <c r="L2724" t="s">
        <v>794</v>
      </c>
      <c r="M2724">
        <f t="shared" si="42"/>
        <v>2025</v>
      </c>
    </row>
    <row r="2725" spans="1:13" ht="12.75" hidden="1" customHeight="1">
      <c r="A2725" t="s">
        <v>1321</v>
      </c>
      <c r="B2725" t="s">
        <v>621</v>
      </c>
      <c r="C2725" t="s">
        <v>141</v>
      </c>
      <c r="D2725" t="s">
        <v>1311</v>
      </c>
      <c r="E2725" s="1">
        <v>45945</v>
      </c>
      <c r="F2725" s="1">
        <v>45945</v>
      </c>
      <c r="G2725" s="12">
        <v>50</v>
      </c>
      <c r="H2725" s="2">
        <v>0</v>
      </c>
      <c r="I2725" s="2">
        <v>0</v>
      </c>
      <c r="J2725" s="2">
        <v>0</v>
      </c>
      <c r="K2725" s="20">
        <v>50</v>
      </c>
      <c r="L2725" t="s">
        <v>794</v>
      </c>
      <c r="M2725">
        <f t="shared" si="42"/>
        <v>2025</v>
      </c>
    </row>
    <row r="2726" spans="1:13" ht="12.75" hidden="1" customHeight="1">
      <c r="A2726" t="s">
        <v>1121</v>
      </c>
      <c r="B2726" t="s">
        <v>295</v>
      </c>
      <c r="C2726" t="s">
        <v>142</v>
      </c>
      <c r="D2726" t="s">
        <v>1311</v>
      </c>
      <c r="E2726" s="1">
        <v>45946</v>
      </c>
      <c r="F2726" s="1">
        <v>45946</v>
      </c>
      <c r="G2726" s="12">
        <v>35</v>
      </c>
      <c r="H2726" s="2">
        <v>0</v>
      </c>
      <c r="I2726" s="2">
        <v>0</v>
      </c>
      <c r="J2726" s="2">
        <v>0</v>
      </c>
      <c r="K2726" s="20">
        <v>35</v>
      </c>
      <c r="L2726" t="s">
        <v>794</v>
      </c>
      <c r="M2726">
        <f t="shared" si="42"/>
        <v>2025</v>
      </c>
    </row>
    <row r="2727" spans="1:13" ht="12.75" hidden="1" customHeight="1">
      <c r="A2727" t="s">
        <v>1121</v>
      </c>
      <c r="B2727" t="s">
        <v>295</v>
      </c>
      <c r="C2727" t="s">
        <v>142</v>
      </c>
      <c r="D2727" t="s">
        <v>1311</v>
      </c>
      <c r="E2727" s="1">
        <v>45946</v>
      </c>
      <c r="F2727" s="1">
        <v>45946</v>
      </c>
      <c r="G2727" s="12">
        <v>35</v>
      </c>
      <c r="H2727" s="2">
        <v>0</v>
      </c>
      <c r="I2727" s="2">
        <v>0</v>
      </c>
      <c r="J2727" s="2">
        <v>0</v>
      </c>
      <c r="K2727" s="20">
        <v>35</v>
      </c>
      <c r="L2727" t="s">
        <v>794</v>
      </c>
      <c r="M2727">
        <f t="shared" si="42"/>
        <v>2025</v>
      </c>
    </row>
    <row r="2728" spans="1:13" ht="12.75" hidden="1" customHeight="1">
      <c r="A2728" t="s">
        <v>907</v>
      </c>
      <c r="B2728" t="s">
        <v>291</v>
      </c>
      <c r="C2728" t="s">
        <v>681</v>
      </c>
      <c r="D2728" t="s">
        <v>1311</v>
      </c>
      <c r="E2728" s="1">
        <v>45950</v>
      </c>
      <c r="F2728" s="1">
        <v>45950</v>
      </c>
      <c r="G2728" s="12">
        <v>27.98</v>
      </c>
      <c r="H2728" s="2">
        <v>0</v>
      </c>
      <c r="I2728" s="2">
        <v>0</v>
      </c>
      <c r="J2728" s="2">
        <v>0</v>
      </c>
      <c r="K2728" s="20">
        <v>27.98</v>
      </c>
      <c r="L2728" t="s">
        <v>794</v>
      </c>
      <c r="M2728">
        <f t="shared" si="42"/>
        <v>2025</v>
      </c>
    </row>
    <row r="2729" spans="1:13" ht="12.75" hidden="1" customHeight="1">
      <c r="A2729" t="s">
        <v>818</v>
      </c>
      <c r="B2729" t="s">
        <v>30</v>
      </c>
      <c r="C2729" t="s">
        <v>141</v>
      </c>
      <c r="D2729" t="s">
        <v>1311</v>
      </c>
      <c r="E2729" s="1">
        <v>45950</v>
      </c>
      <c r="F2729" s="1">
        <v>45951</v>
      </c>
      <c r="G2729" s="12">
        <v>40</v>
      </c>
      <c r="H2729" s="2">
        <v>0</v>
      </c>
      <c r="I2729" s="2">
        <v>0</v>
      </c>
      <c r="J2729" s="2">
        <v>0</v>
      </c>
      <c r="K2729" s="20">
        <v>40</v>
      </c>
      <c r="L2729" t="s">
        <v>794</v>
      </c>
      <c r="M2729">
        <f t="shared" si="42"/>
        <v>2025</v>
      </c>
    </row>
    <row r="2730" spans="1:13" ht="12.75" hidden="1" customHeight="1">
      <c r="A2730" t="s">
        <v>818</v>
      </c>
      <c r="B2730" t="s">
        <v>30</v>
      </c>
      <c r="C2730" t="s">
        <v>681</v>
      </c>
      <c r="D2730" t="s">
        <v>1311</v>
      </c>
      <c r="E2730" s="1">
        <v>45951</v>
      </c>
      <c r="F2730" s="1">
        <v>45951</v>
      </c>
      <c r="G2730" s="12">
        <v>13.89</v>
      </c>
      <c r="H2730" s="2">
        <v>0</v>
      </c>
      <c r="I2730" s="2">
        <v>0</v>
      </c>
      <c r="J2730" s="2">
        <v>0</v>
      </c>
      <c r="K2730" s="20">
        <v>13.89</v>
      </c>
      <c r="L2730" t="s">
        <v>794</v>
      </c>
      <c r="M2730">
        <f t="shared" si="42"/>
        <v>2025</v>
      </c>
    </row>
    <row r="2731" spans="1:13" ht="12.75" hidden="1" customHeight="1">
      <c r="A2731" t="s">
        <v>1322</v>
      </c>
      <c r="B2731" t="s">
        <v>556</v>
      </c>
      <c r="C2731" t="s">
        <v>723</v>
      </c>
      <c r="D2731" t="s">
        <v>1311</v>
      </c>
      <c r="E2731" s="1">
        <v>45951</v>
      </c>
      <c r="F2731" s="1">
        <v>45951</v>
      </c>
      <c r="G2731" s="12">
        <v>84</v>
      </c>
      <c r="H2731" s="2">
        <v>0</v>
      </c>
      <c r="I2731" s="2">
        <v>0</v>
      </c>
      <c r="J2731" s="2">
        <v>0</v>
      </c>
      <c r="K2731" s="20">
        <v>84</v>
      </c>
      <c r="L2731" t="s">
        <v>794</v>
      </c>
      <c r="M2731">
        <f t="shared" si="42"/>
        <v>2025</v>
      </c>
    </row>
    <row r="2732" spans="1:13" ht="12.75" hidden="1" customHeight="1">
      <c r="A2732" t="s">
        <v>1009</v>
      </c>
      <c r="B2732" t="s">
        <v>62</v>
      </c>
      <c r="C2732" t="s">
        <v>141</v>
      </c>
      <c r="D2732" t="s">
        <v>1311</v>
      </c>
      <c r="E2732" s="1">
        <v>45952</v>
      </c>
      <c r="F2732" s="1">
        <v>45952</v>
      </c>
      <c r="G2732" s="12">
        <v>40</v>
      </c>
      <c r="H2732" s="2">
        <v>0</v>
      </c>
      <c r="I2732" s="2">
        <v>0</v>
      </c>
      <c r="J2732" s="2">
        <v>0</v>
      </c>
      <c r="K2732" s="20">
        <v>40</v>
      </c>
      <c r="L2732" t="s">
        <v>794</v>
      </c>
      <c r="M2732">
        <f t="shared" si="42"/>
        <v>2025</v>
      </c>
    </row>
    <row r="2733" spans="1:13" ht="12.75" hidden="1" customHeight="1">
      <c r="A2733" t="s">
        <v>1323</v>
      </c>
      <c r="B2733" t="s">
        <v>663</v>
      </c>
      <c r="C2733" t="s">
        <v>483</v>
      </c>
      <c r="D2733" t="s">
        <v>1311</v>
      </c>
      <c r="E2733" s="1">
        <v>45959</v>
      </c>
      <c r="F2733" s="1">
        <v>45959</v>
      </c>
      <c r="G2733" s="12">
        <v>30</v>
      </c>
      <c r="H2733" s="2">
        <v>0</v>
      </c>
      <c r="I2733" s="2">
        <v>0</v>
      </c>
      <c r="J2733" s="2">
        <v>0</v>
      </c>
      <c r="K2733" s="20">
        <v>30</v>
      </c>
      <c r="L2733" t="s">
        <v>794</v>
      </c>
      <c r="M2733">
        <f t="shared" si="42"/>
        <v>2025</v>
      </c>
    </row>
    <row r="2734" spans="1:13" ht="12.75" hidden="1" customHeight="1">
      <c r="A2734" t="s">
        <v>896</v>
      </c>
      <c r="B2734" t="s">
        <v>293</v>
      </c>
      <c r="C2734" t="s">
        <v>733</v>
      </c>
      <c r="D2734" t="s">
        <v>1311</v>
      </c>
      <c r="E2734" s="1">
        <v>45959</v>
      </c>
      <c r="F2734" s="1">
        <v>45959</v>
      </c>
      <c r="G2734" s="12">
        <v>110.5</v>
      </c>
      <c r="H2734" s="2">
        <v>0</v>
      </c>
      <c r="I2734" s="2">
        <v>0</v>
      </c>
      <c r="J2734" s="2">
        <v>0</v>
      </c>
      <c r="K2734" s="20">
        <v>110.5</v>
      </c>
      <c r="L2734" t="s">
        <v>794</v>
      </c>
      <c r="M2734">
        <f t="shared" si="42"/>
        <v>2025</v>
      </c>
    </row>
    <row r="2735" spans="1:13" ht="12.75" hidden="1" customHeight="1">
      <c r="A2735" t="s">
        <v>1239</v>
      </c>
      <c r="B2735" t="s">
        <v>224</v>
      </c>
      <c r="C2735" t="s">
        <v>204</v>
      </c>
      <c r="D2735" t="s">
        <v>1311</v>
      </c>
      <c r="E2735" s="1">
        <v>45960</v>
      </c>
      <c r="F2735" s="1">
        <v>45960</v>
      </c>
      <c r="G2735" s="12">
        <v>91</v>
      </c>
      <c r="H2735" s="2">
        <v>0</v>
      </c>
      <c r="I2735" s="2">
        <v>0</v>
      </c>
      <c r="J2735" s="2">
        <v>0</v>
      </c>
      <c r="K2735" s="20">
        <v>91</v>
      </c>
      <c r="L2735" t="s">
        <v>794</v>
      </c>
      <c r="M2735">
        <f t="shared" si="42"/>
        <v>2025</v>
      </c>
    </row>
    <row r="2736" spans="1:13" ht="12.75" hidden="1" customHeight="1">
      <c r="A2736" t="s">
        <v>1313</v>
      </c>
      <c r="B2736" t="s">
        <v>362</v>
      </c>
      <c r="C2736" t="s">
        <v>558</v>
      </c>
      <c r="D2736" t="s">
        <v>1311</v>
      </c>
      <c r="E2736" s="1">
        <v>45960</v>
      </c>
      <c r="F2736" s="1">
        <v>45960</v>
      </c>
      <c r="G2736" s="12">
        <v>21.5</v>
      </c>
      <c r="H2736" s="2">
        <v>0</v>
      </c>
      <c r="I2736" s="2">
        <v>0</v>
      </c>
      <c r="J2736" s="2">
        <v>0</v>
      </c>
      <c r="K2736" s="20">
        <v>21.5</v>
      </c>
      <c r="L2736" t="s">
        <v>794</v>
      </c>
      <c r="M2736">
        <f t="shared" si="42"/>
        <v>2025</v>
      </c>
    </row>
    <row r="2737" spans="1:13" ht="12.75" hidden="1" customHeight="1">
      <c r="A2737" t="s">
        <v>1324</v>
      </c>
      <c r="B2737" t="s">
        <v>618</v>
      </c>
      <c r="C2737" t="s">
        <v>141</v>
      </c>
      <c r="D2737" t="s">
        <v>1311</v>
      </c>
      <c r="E2737" s="1">
        <v>45960</v>
      </c>
      <c r="F2737" s="1">
        <v>45960</v>
      </c>
      <c r="G2737" s="12">
        <v>50</v>
      </c>
      <c r="H2737" s="2">
        <v>0</v>
      </c>
      <c r="I2737" s="2">
        <v>0</v>
      </c>
      <c r="J2737" s="2">
        <v>0</v>
      </c>
      <c r="K2737" s="20">
        <v>50</v>
      </c>
      <c r="L2737" t="s">
        <v>794</v>
      </c>
      <c r="M2737">
        <f t="shared" si="42"/>
        <v>2025</v>
      </c>
    </row>
    <row r="2738" spans="1:13" ht="12.75" hidden="1" customHeight="1">
      <c r="A2738" t="s">
        <v>804</v>
      </c>
      <c r="B2738" t="s">
        <v>350</v>
      </c>
      <c r="C2738" t="s">
        <v>99</v>
      </c>
      <c r="D2738" t="s">
        <v>1311</v>
      </c>
      <c r="E2738" s="1">
        <v>45961</v>
      </c>
      <c r="F2738" s="1">
        <v>45961</v>
      </c>
      <c r="G2738" s="12">
        <v>100</v>
      </c>
      <c r="H2738" s="2">
        <v>0</v>
      </c>
      <c r="I2738" s="2">
        <v>0</v>
      </c>
      <c r="J2738" s="2">
        <v>0</v>
      </c>
      <c r="K2738" s="20">
        <v>100</v>
      </c>
      <c r="L2738" t="s">
        <v>794</v>
      </c>
      <c r="M2738">
        <f t="shared" si="42"/>
        <v>2025</v>
      </c>
    </row>
    <row r="2739" spans="1:13" ht="12.75" hidden="1" customHeight="1">
      <c r="A2739" t="s">
        <v>1317</v>
      </c>
      <c r="B2739" t="s">
        <v>64</v>
      </c>
      <c r="C2739" t="s">
        <v>138</v>
      </c>
      <c r="D2739" t="s">
        <v>1311</v>
      </c>
      <c r="E2739" s="1">
        <v>45961</v>
      </c>
      <c r="F2739" s="1">
        <v>45961</v>
      </c>
      <c r="G2739" s="12">
        <v>107</v>
      </c>
      <c r="H2739" s="2">
        <v>0</v>
      </c>
      <c r="I2739" s="2">
        <v>0</v>
      </c>
      <c r="J2739" s="2">
        <v>0</v>
      </c>
      <c r="K2739" s="20">
        <v>107</v>
      </c>
      <c r="L2739" t="s">
        <v>794</v>
      </c>
      <c r="M2739">
        <f t="shared" si="42"/>
        <v>2025</v>
      </c>
    </row>
    <row r="2740" spans="1:13" ht="12.75" hidden="1" customHeight="1">
      <c r="A2740" t="s">
        <v>1316</v>
      </c>
      <c r="B2740" t="s">
        <v>59</v>
      </c>
      <c r="C2740" t="s">
        <v>138</v>
      </c>
      <c r="D2740" t="s">
        <v>1311</v>
      </c>
      <c r="E2740" s="1">
        <v>45961</v>
      </c>
      <c r="F2740" s="1">
        <v>45961</v>
      </c>
      <c r="G2740" s="12">
        <v>107</v>
      </c>
      <c r="H2740" s="2">
        <v>0</v>
      </c>
      <c r="I2740" s="2">
        <v>0</v>
      </c>
      <c r="J2740" s="2">
        <v>0</v>
      </c>
      <c r="K2740" s="20">
        <v>107</v>
      </c>
      <c r="L2740" t="s">
        <v>794</v>
      </c>
      <c r="M2740">
        <f t="shared" si="42"/>
        <v>2025</v>
      </c>
    </row>
    <row r="2741" spans="1:13" ht="12.75" hidden="1" customHeight="1">
      <c r="A2741" t="s">
        <v>1112</v>
      </c>
      <c r="B2741" t="s">
        <v>68</v>
      </c>
      <c r="C2741" t="s">
        <v>733</v>
      </c>
      <c r="D2741" t="s">
        <v>1311</v>
      </c>
      <c r="E2741" s="1">
        <v>45961</v>
      </c>
      <c r="F2741" s="1">
        <v>45961</v>
      </c>
      <c r="G2741" s="12">
        <v>18.8</v>
      </c>
      <c r="H2741" s="2">
        <v>0</v>
      </c>
      <c r="I2741" s="2">
        <v>0</v>
      </c>
      <c r="J2741" s="2">
        <v>0</v>
      </c>
      <c r="K2741" s="20">
        <v>18.8</v>
      </c>
      <c r="L2741" t="s">
        <v>794</v>
      </c>
      <c r="M2741">
        <f t="shared" si="42"/>
        <v>2025</v>
      </c>
    </row>
    <row r="2742" spans="1:13" ht="12.75" hidden="1" customHeight="1">
      <c r="A2742" t="s">
        <v>823</v>
      </c>
      <c r="B2742" t="s">
        <v>245</v>
      </c>
      <c r="C2742" t="s">
        <v>736</v>
      </c>
      <c r="D2742" t="s">
        <v>1311</v>
      </c>
      <c r="E2742" s="1">
        <v>45931</v>
      </c>
      <c r="F2742" s="1">
        <v>45932</v>
      </c>
      <c r="G2742" s="12">
        <v>252.28</v>
      </c>
      <c r="H2742" s="2">
        <v>0</v>
      </c>
      <c r="I2742" s="2">
        <v>0</v>
      </c>
      <c r="J2742" s="2">
        <v>0</v>
      </c>
      <c r="K2742" s="20">
        <v>252.28</v>
      </c>
      <c r="L2742" t="s">
        <v>794</v>
      </c>
      <c r="M2742">
        <f t="shared" si="42"/>
        <v>2025</v>
      </c>
    </row>
    <row r="2743" spans="1:13" ht="12.75" hidden="1" customHeight="1">
      <c r="A2743" t="s">
        <v>892</v>
      </c>
      <c r="B2743" t="s">
        <v>110</v>
      </c>
      <c r="C2743" t="s">
        <v>733</v>
      </c>
      <c r="D2743" t="s">
        <v>1311</v>
      </c>
      <c r="E2743" s="1">
        <v>45932</v>
      </c>
      <c r="F2743" s="1">
        <v>45932</v>
      </c>
      <c r="G2743" s="12">
        <v>288</v>
      </c>
      <c r="H2743" s="2">
        <v>0</v>
      </c>
      <c r="I2743" s="2">
        <v>0</v>
      </c>
      <c r="J2743" s="2">
        <v>0</v>
      </c>
      <c r="K2743" s="20">
        <v>288</v>
      </c>
      <c r="L2743" t="s">
        <v>794</v>
      </c>
      <c r="M2743">
        <f t="shared" si="42"/>
        <v>2025</v>
      </c>
    </row>
    <row r="2744" spans="1:13" ht="12.75" hidden="1" customHeight="1">
      <c r="A2744" t="s">
        <v>833</v>
      </c>
      <c r="B2744" t="s">
        <v>27</v>
      </c>
      <c r="C2744" t="s">
        <v>139</v>
      </c>
      <c r="D2744" t="s">
        <v>1242</v>
      </c>
      <c r="E2744" s="1">
        <v>45931</v>
      </c>
      <c r="F2744" s="1">
        <v>45932</v>
      </c>
      <c r="G2744" s="12">
        <v>448.8</v>
      </c>
      <c r="H2744" s="2">
        <v>0</v>
      </c>
      <c r="I2744" s="2">
        <v>0</v>
      </c>
      <c r="J2744" s="2">
        <v>0</v>
      </c>
      <c r="K2744" s="20">
        <v>448.8</v>
      </c>
      <c r="L2744" t="s">
        <v>1114</v>
      </c>
      <c r="M2744">
        <f t="shared" si="42"/>
        <v>2025</v>
      </c>
    </row>
    <row r="2745" spans="1:13" ht="12.75" hidden="1" customHeight="1">
      <c r="A2745" t="s">
        <v>801</v>
      </c>
      <c r="B2745" t="s">
        <v>13</v>
      </c>
      <c r="C2745" t="s">
        <v>740</v>
      </c>
      <c r="D2745" t="s">
        <v>1311</v>
      </c>
      <c r="E2745" s="1">
        <v>45932</v>
      </c>
      <c r="F2745" s="1">
        <v>45932</v>
      </c>
      <c r="G2745" s="12">
        <v>116.23</v>
      </c>
      <c r="H2745" s="2">
        <v>0</v>
      </c>
      <c r="I2745" s="2">
        <v>0</v>
      </c>
      <c r="J2745" s="2">
        <v>0</v>
      </c>
      <c r="K2745" s="20">
        <v>116.23</v>
      </c>
      <c r="L2745" t="s">
        <v>794</v>
      </c>
      <c r="M2745">
        <f t="shared" si="42"/>
        <v>2025</v>
      </c>
    </row>
    <row r="2746" spans="1:13" ht="12.75" hidden="1" customHeight="1">
      <c r="A2746" t="s">
        <v>801</v>
      </c>
      <c r="B2746" t="s">
        <v>13</v>
      </c>
      <c r="C2746" t="s">
        <v>726</v>
      </c>
      <c r="D2746" t="s">
        <v>1311</v>
      </c>
      <c r="E2746" s="1">
        <v>45932</v>
      </c>
      <c r="F2746" s="1">
        <v>45932</v>
      </c>
      <c r="G2746" s="12">
        <v>2.04</v>
      </c>
      <c r="H2746" s="2">
        <v>0</v>
      </c>
      <c r="I2746" s="2">
        <v>0</v>
      </c>
      <c r="J2746" s="2">
        <v>0</v>
      </c>
      <c r="K2746" s="20">
        <v>2.04</v>
      </c>
      <c r="L2746" t="s">
        <v>794</v>
      </c>
      <c r="M2746">
        <f t="shared" si="42"/>
        <v>2025</v>
      </c>
    </row>
    <row r="2747" spans="1:13" ht="12.75" hidden="1" customHeight="1">
      <c r="A2747" t="s">
        <v>833</v>
      </c>
      <c r="B2747" t="s">
        <v>27</v>
      </c>
      <c r="C2747" t="s">
        <v>733</v>
      </c>
      <c r="D2747" t="s">
        <v>1311</v>
      </c>
      <c r="E2747" s="1">
        <v>45932</v>
      </c>
      <c r="F2747" s="1">
        <v>45932</v>
      </c>
      <c r="G2747" s="12">
        <v>59.64</v>
      </c>
      <c r="H2747" s="2">
        <v>0</v>
      </c>
      <c r="I2747" s="2">
        <v>0</v>
      </c>
      <c r="J2747" s="2">
        <v>0</v>
      </c>
      <c r="K2747" s="20">
        <v>59.64</v>
      </c>
      <c r="L2747" t="s">
        <v>794</v>
      </c>
      <c r="M2747">
        <f t="shared" si="42"/>
        <v>2025</v>
      </c>
    </row>
    <row r="2748" spans="1:13" ht="12.75" hidden="1" customHeight="1">
      <c r="A2748" t="s">
        <v>819</v>
      </c>
      <c r="B2748" t="s">
        <v>38</v>
      </c>
      <c r="C2748" t="s">
        <v>733</v>
      </c>
      <c r="D2748" t="s">
        <v>1311</v>
      </c>
      <c r="E2748" s="1">
        <v>45932</v>
      </c>
      <c r="F2748" s="1">
        <v>45932</v>
      </c>
      <c r="G2748" s="12">
        <v>75.98</v>
      </c>
      <c r="H2748" s="2">
        <v>0</v>
      </c>
      <c r="I2748" s="2">
        <v>0</v>
      </c>
      <c r="J2748" s="2">
        <v>0</v>
      </c>
      <c r="K2748" s="20">
        <v>75.98</v>
      </c>
      <c r="L2748" t="s">
        <v>794</v>
      </c>
      <c r="M2748">
        <f t="shared" si="42"/>
        <v>2025</v>
      </c>
    </row>
    <row r="2749" spans="1:13" ht="12.75" hidden="1" customHeight="1">
      <c r="A2749" t="s">
        <v>797</v>
      </c>
      <c r="B2749" t="s">
        <v>25</v>
      </c>
      <c r="C2749" t="s">
        <v>206</v>
      </c>
      <c r="D2749" t="s">
        <v>1311</v>
      </c>
      <c r="E2749" s="1">
        <v>45932</v>
      </c>
      <c r="F2749" s="1">
        <v>45932</v>
      </c>
      <c r="G2749" s="12">
        <v>785.2</v>
      </c>
      <c r="H2749" s="2">
        <v>0</v>
      </c>
      <c r="I2749" s="2">
        <v>0</v>
      </c>
      <c r="J2749" s="2">
        <v>0</v>
      </c>
      <c r="K2749" s="20">
        <v>785.2</v>
      </c>
      <c r="L2749" t="s">
        <v>794</v>
      </c>
      <c r="M2749">
        <f t="shared" si="42"/>
        <v>2025</v>
      </c>
    </row>
    <row r="2750" spans="1:13" ht="12.75" hidden="1" customHeight="1">
      <c r="A2750" t="s">
        <v>797</v>
      </c>
      <c r="B2750" t="s">
        <v>25</v>
      </c>
      <c r="C2750" t="s">
        <v>206</v>
      </c>
      <c r="D2750" t="s">
        <v>1311</v>
      </c>
      <c r="E2750" s="1">
        <v>45932</v>
      </c>
      <c r="F2750" s="1">
        <v>45932</v>
      </c>
      <c r="G2750" s="12">
        <v>1277.76</v>
      </c>
      <c r="H2750" s="2">
        <v>0</v>
      </c>
      <c r="I2750" s="2">
        <v>0</v>
      </c>
      <c r="J2750" s="2">
        <v>0</v>
      </c>
      <c r="K2750" s="20">
        <v>1277.76</v>
      </c>
      <c r="L2750" t="s">
        <v>794</v>
      </c>
      <c r="M2750">
        <f t="shared" si="42"/>
        <v>2025</v>
      </c>
    </row>
    <row r="2751" spans="1:13" ht="12.75" hidden="1" customHeight="1">
      <c r="A2751" t="s">
        <v>792</v>
      </c>
      <c r="B2751" t="s">
        <v>35</v>
      </c>
      <c r="C2751" t="s">
        <v>206</v>
      </c>
      <c r="D2751" t="s">
        <v>1311</v>
      </c>
      <c r="E2751" s="1">
        <v>45932</v>
      </c>
      <c r="F2751" s="1">
        <v>45932</v>
      </c>
      <c r="G2751" s="12">
        <v>1214.8</v>
      </c>
      <c r="H2751" s="2">
        <v>0</v>
      </c>
      <c r="I2751" s="2">
        <v>0</v>
      </c>
      <c r="J2751" s="2">
        <v>0</v>
      </c>
      <c r="K2751" s="20">
        <v>1214.8</v>
      </c>
      <c r="L2751" t="s">
        <v>794</v>
      </c>
      <c r="M2751">
        <f t="shared" si="42"/>
        <v>2025</v>
      </c>
    </row>
    <row r="2752" spans="1:13" ht="12.75" hidden="1" customHeight="1">
      <c r="A2752" t="s">
        <v>792</v>
      </c>
      <c r="B2752" t="s">
        <v>35</v>
      </c>
      <c r="C2752" t="s">
        <v>206</v>
      </c>
      <c r="D2752" t="s">
        <v>1311</v>
      </c>
      <c r="E2752" s="1">
        <v>45932</v>
      </c>
      <c r="F2752" s="1">
        <v>45932</v>
      </c>
      <c r="G2752" s="12">
        <v>1922.24</v>
      </c>
      <c r="H2752" s="2">
        <v>0</v>
      </c>
      <c r="I2752" s="2">
        <v>0</v>
      </c>
      <c r="J2752" s="2">
        <v>0</v>
      </c>
      <c r="K2752" s="20">
        <v>1922.24</v>
      </c>
      <c r="L2752" t="s">
        <v>794</v>
      </c>
      <c r="M2752">
        <f t="shared" si="42"/>
        <v>2025</v>
      </c>
    </row>
    <row r="2753" spans="1:13" ht="12.75" hidden="1" customHeight="1">
      <c r="A2753" t="s">
        <v>836</v>
      </c>
      <c r="B2753" t="s">
        <v>37</v>
      </c>
      <c r="C2753" t="s">
        <v>139</v>
      </c>
      <c r="D2753" t="s">
        <v>1242</v>
      </c>
      <c r="E2753" s="1">
        <v>45931</v>
      </c>
      <c r="F2753" s="1">
        <v>45932</v>
      </c>
      <c r="G2753" s="12">
        <v>518.70000000000005</v>
      </c>
      <c r="H2753" s="2">
        <v>0</v>
      </c>
      <c r="I2753" s="2">
        <v>0</v>
      </c>
      <c r="J2753" s="2">
        <v>0</v>
      </c>
      <c r="K2753" s="20">
        <v>518.70000000000005</v>
      </c>
      <c r="L2753" t="s">
        <v>794</v>
      </c>
      <c r="M2753">
        <f t="shared" si="42"/>
        <v>2025</v>
      </c>
    </row>
    <row r="2754" spans="1:13" ht="12.75" hidden="1" customHeight="1">
      <c r="A2754" t="s">
        <v>924</v>
      </c>
      <c r="B2754" t="s">
        <v>87</v>
      </c>
      <c r="C2754" t="s">
        <v>139</v>
      </c>
      <c r="D2754" t="s">
        <v>1242</v>
      </c>
      <c r="E2754" s="1">
        <v>45931</v>
      </c>
      <c r="F2754" s="1">
        <v>45932</v>
      </c>
      <c r="G2754" s="12">
        <v>510</v>
      </c>
      <c r="H2754" s="2">
        <v>0</v>
      </c>
      <c r="I2754" s="2">
        <v>0</v>
      </c>
      <c r="J2754" s="2">
        <v>0</v>
      </c>
      <c r="K2754" s="20">
        <v>510</v>
      </c>
      <c r="L2754" t="s">
        <v>794</v>
      </c>
      <c r="M2754">
        <f t="shared" si="42"/>
        <v>2025</v>
      </c>
    </row>
    <row r="2755" spans="1:13" ht="12.75" hidden="1" customHeight="1">
      <c r="A2755" t="s">
        <v>1112</v>
      </c>
      <c r="B2755" t="s">
        <v>68</v>
      </c>
      <c r="C2755" t="s">
        <v>139</v>
      </c>
      <c r="D2755" t="s">
        <v>1242</v>
      </c>
      <c r="E2755" s="1">
        <v>45931</v>
      </c>
      <c r="F2755" s="1">
        <v>45932</v>
      </c>
      <c r="G2755" s="12">
        <v>290</v>
      </c>
      <c r="H2755" s="2">
        <v>0</v>
      </c>
      <c r="I2755" s="2">
        <v>0</v>
      </c>
      <c r="J2755" s="2">
        <v>0</v>
      </c>
      <c r="K2755" s="20">
        <v>290</v>
      </c>
      <c r="L2755" t="s">
        <v>794</v>
      </c>
      <c r="M2755">
        <f t="shared" ref="M2755:M2818" si="43">YEAR(F2755)</f>
        <v>2025</v>
      </c>
    </row>
    <row r="2756" spans="1:13" ht="12.75" hidden="1" customHeight="1">
      <c r="A2756" t="s">
        <v>819</v>
      </c>
      <c r="B2756" t="s">
        <v>38</v>
      </c>
      <c r="C2756" t="s">
        <v>139</v>
      </c>
      <c r="D2756" t="s">
        <v>1242</v>
      </c>
      <c r="E2756" s="1">
        <v>45931</v>
      </c>
      <c r="F2756" s="1">
        <v>45932</v>
      </c>
      <c r="G2756" s="12">
        <v>510</v>
      </c>
      <c r="H2756" s="2">
        <v>0</v>
      </c>
      <c r="I2756" s="2">
        <v>0</v>
      </c>
      <c r="J2756" s="2">
        <v>0</v>
      </c>
      <c r="K2756" s="20">
        <v>510</v>
      </c>
      <c r="L2756" t="s">
        <v>794</v>
      </c>
      <c r="M2756">
        <f t="shared" si="43"/>
        <v>2025</v>
      </c>
    </row>
    <row r="2757" spans="1:13" ht="12.75" hidden="1" customHeight="1">
      <c r="A2757" t="s">
        <v>1004</v>
      </c>
      <c r="B2757" t="s">
        <v>57</v>
      </c>
      <c r="C2757" t="s">
        <v>139</v>
      </c>
      <c r="D2757" t="s">
        <v>1242</v>
      </c>
      <c r="E2757" s="1">
        <v>45931</v>
      </c>
      <c r="F2757" s="1">
        <v>45932</v>
      </c>
      <c r="G2757" s="12">
        <v>278.40000000000003</v>
      </c>
      <c r="H2757" s="2">
        <v>0</v>
      </c>
      <c r="I2757" s="2">
        <v>0</v>
      </c>
      <c r="J2757" s="2">
        <v>0</v>
      </c>
      <c r="K2757" s="20">
        <v>278.40000000000003</v>
      </c>
      <c r="L2757" t="s">
        <v>794</v>
      </c>
      <c r="M2757">
        <f t="shared" si="43"/>
        <v>2025</v>
      </c>
    </row>
    <row r="2758" spans="1:13" ht="12.75" hidden="1" customHeight="1">
      <c r="A2758" t="s">
        <v>1141</v>
      </c>
      <c r="B2758" t="s">
        <v>69</v>
      </c>
      <c r="C2758" t="s">
        <v>139</v>
      </c>
      <c r="D2758" t="s">
        <v>1242</v>
      </c>
      <c r="E2758" s="1">
        <v>45931</v>
      </c>
      <c r="F2758" s="1">
        <v>45932</v>
      </c>
      <c r="G2758" s="12">
        <v>301.60000000000002</v>
      </c>
      <c r="H2758" s="2">
        <v>0</v>
      </c>
      <c r="I2758" s="2">
        <v>0</v>
      </c>
      <c r="J2758" s="2">
        <v>0</v>
      </c>
      <c r="K2758" s="20">
        <v>301.60000000000002</v>
      </c>
      <c r="L2758" t="s">
        <v>794</v>
      </c>
      <c r="M2758">
        <f t="shared" si="43"/>
        <v>2025</v>
      </c>
    </row>
    <row r="2759" spans="1:13" ht="12.75" hidden="1" customHeight="1">
      <c r="A2759" t="s">
        <v>825</v>
      </c>
      <c r="B2759" t="s">
        <v>46</v>
      </c>
      <c r="C2759" t="s">
        <v>139</v>
      </c>
      <c r="D2759" t="s">
        <v>1242</v>
      </c>
      <c r="E2759" s="1">
        <v>45931</v>
      </c>
      <c r="F2759" s="1">
        <v>45932</v>
      </c>
      <c r="G2759" s="12">
        <v>278.40000000000003</v>
      </c>
      <c r="H2759" s="2">
        <v>0</v>
      </c>
      <c r="I2759" s="2">
        <v>0</v>
      </c>
      <c r="J2759" s="2">
        <v>0</v>
      </c>
      <c r="K2759" s="20">
        <v>278.40000000000003</v>
      </c>
      <c r="L2759" t="s">
        <v>794</v>
      </c>
      <c r="M2759">
        <f t="shared" si="43"/>
        <v>2025</v>
      </c>
    </row>
    <row r="2760" spans="1:13" ht="12.75" hidden="1" customHeight="1">
      <c r="A2760" t="s">
        <v>799</v>
      </c>
      <c r="B2760" t="s">
        <v>24</v>
      </c>
      <c r="C2760" t="s">
        <v>138</v>
      </c>
      <c r="D2760" t="s">
        <v>1242</v>
      </c>
      <c r="E2760" s="1">
        <v>45901</v>
      </c>
      <c r="F2760" s="1">
        <v>45932</v>
      </c>
      <c r="G2760" s="12">
        <v>5486.22</v>
      </c>
      <c r="H2760" s="2">
        <v>0</v>
      </c>
      <c r="I2760" s="2">
        <v>0</v>
      </c>
      <c r="J2760" s="2">
        <v>0</v>
      </c>
      <c r="K2760" s="20">
        <v>5486.22</v>
      </c>
      <c r="L2760" t="s">
        <v>794</v>
      </c>
      <c r="M2760">
        <f t="shared" si="43"/>
        <v>2025</v>
      </c>
    </row>
    <row r="2761" spans="1:13" ht="12.75" hidden="1" customHeight="1">
      <c r="A2761" t="s">
        <v>819</v>
      </c>
      <c r="B2761" t="s">
        <v>38</v>
      </c>
      <c r="C2761" t="s">
        <v>138</v>
      </c>
      <c r="D2761" t="s">
        <v>1311</v>
      </c>
      <c r="E2761" s="1">
        <v>45931</v>
      </c>
      <c r="F2761" s="1">
        <v>45932</v>
      </c>
      <c r="G2761" s="12">
        <v>255.42000000000002</v>
      </c>
      <c r="H2761" s="2">
        <v>0</v>
      </c>
      <c r="I2761" s="2">
        <v>0</v>
      </c>
      <c r="J2761" s="2">
        <v>0</v>
      </c>
      <c r="K2761" s="20">
        <v>255.42000000000002</v>
      </c>
      <c r="L2761" t="s">
        <v>794</v>
      </c>
      <c r="M2761">
        <f t="shared" si="43"/>
        <v>2025</v>
      </c>
    </row>
    <row r="2762" spans="1:13" ht="12.75" hidden="1" customHeight="1">
      <c r="A2762" t="s">
        <v>833</v>
      </c>
      <c r="B2762" t="s">
        <v>27</v>
      </c>
      <c r="C2762" t="s">
        <v>138</v>
      </c>
      <c r="D2762" t="s">
        <v>1311</v>
      </c>
      <c r="E2762" s="1">
        <v>45931</v>
      </c>
      <c r="F2762" s="1">
        <v>45932</v>
      </c>
      <c r="G2762" s="12">
        <v>255.42000000000002</v>
      </c>
      <c r="H2762" s="2">
        <v>0</v>
      </c>
      <c r="I2762" s="2">
        <v>0</v>
      </c>
      <c r="J2762" s="2">
        <v>0</v>
      </c>
      <c r="K2762" s="20">
        <v>255.42000000000002</v>
      </c>
      <c r="L2762" t="s">
        <v>794</v>
      </c>
      <c r="M2762">
        <f t="shared" si="43"/>
        <v>2025</v>
      </c>
    </row>
    <row r="2763" spans="1:13" ht="12.75" hidden="1" customHeight="1">
      <c r="A2763" t="s">
        <v>799</v>
      </c>
      <c r="B2763" t="s">
        <v>24</v>
      </c>
      <c r="C2763" t="s">
        <v>139</v>
      </c>
      <c r="D2763" t="s">
        <v>1311</v>
      </c>
      <c r="E2763" s="1">
        <v>45931</v>
      </c>
      <c r="F2763" s="1">
        <v>45932</v>
      </c>
      <c r="G2763" s="12">
        <v>6721.2</v>
      </c>
      <c r="H2763" s="2">
        <v>0</v>
      </c>
      <c r="I2763" s="2">
        <v>0</v>
      </c>
      <c r="J2763" s="2">
        <v>0</v>
      </c>
      <c r="K2763" s="20">
        <v>6721.2</v>
      </c>
      <c r="L2763" t="s">
        <v>794</v>
      </c>
      <c r="M2763">
        <f t="shared" si="43"/>
        <v>2025</v>
      </c>
    </row>
    <row r="2764" spans="1:13" ht="12.75" hidden="1" customHeight="1">
      <c r="A2764" t="s">
        <v>833</v>
      </c>
      <c r="B2764" t="s">
        <v>27</v>
      </c>
      <c r="C2764" t="s">
        <v>733</v>
      </c>
      <c r="D2764" t="s">
        <v>1311</v>
      </c>
      <c r="E2764" s="1">
        <v>45932</v>
      </c>
      <c r="F2764" s="1">
        <v>45932</v>
      </c>
      <c r="G2764" s="12">
        <v>134.38</v>
      </c>
      <c r="H2764" s="2">
        <v>0</v>
      </c>
      <c r="I2764" s="2">
        <v>0</v>
      </c>
      <c r="J2764" s="2">
        <v>0</v>
      </c>
      <c r="K2764" s="20">
        <v>134.38</v>
      </c>
      <c r="L2764" t="s">
        <v>794</v>
      </c>
      <c r="M2764">
        <f t="shared" si="43"/>
        <v>2025</v>
      </c>
    </row>
    <row r="2765" spans="1:13" ht="12.75" hidden="1" customHeight="1">
      <c r="A2765" t="s">
        <v>801</v>
      </c>
      <c r="B2765" t="s">
        <v>13</v>
      </c>
      <c r="C2765" t="s">
        <v>739</v>
      </c>
      <c r="D2765" t="s">
        <v>1311</v>
      </c>
      <c r="E2765" s="1">
        <v>45933</v>
      </c>
      <c r="F2765" s="1">
        <v>45933</v>
      </c>
      <c r="G2765" s="12">
        <v>554.4</v>
      </c>
      <c r="H2765" s="2">
        <v>0</v>
      </c>
      <c r="I2765" s="2">
        <v>0</v>
      </c>
      <c r="J2765" s="2">
        <v>0</v>
      </c>
      <c r="K2765" s="20">
        <v>554.4</v>
      </c>
      <c r="L2765" t="s">
        <v>794</v>
      </c>
      <c r="M2765">
        <f t="shared" si="43"/>
        <v>2025</v>
      </c>
    </row>
    <row r="2766" spans="1:13" ht="12.75" hidden="1" customHeight="1">
      <c r="A2766" t="s">
        <v>801</v>
      </c>
      <c r="B2766" t="s">
        <v>13</v>
      </c>
      <c r="C2766" t="s">
        <v>739</v>
      </c>
      <c r="D2766" t="s">
        <v>1311</v>
      </c>
      <c r="E2766" s="1">
        <v>45933</v>
      </c>
      <c r="F2766" s="1">
        <v>45933</v>
      </c>
      <c r="G2766" s="12">
        <v>528.41</v>
      </c>
      <c r="H2766" s="2">
        <v>0</v>
      </c>
      <c r="I2766" s="2">
        <v>0</v>
      </c>
      <c r="J2766" s="2">
        <v>0</v>
      </c>
      <c r="K2766" s="20">
        <v>528.41</v>
      </c>
      <c r="L2766" t="s">
        <v>794</v>
      </c>
      <c r="M2766">
        <f t="shared" si="43"/>
        <v>2025</v>
      </c>
    </row>
    <row r="2767" spans="1:13" ht="12.75" hidden="1" customHeight="1">
      <c r="A2767" t="s">
        <v>821</v>
      </c>
      <c r="B2767" t="s">
        <v>72</v>
      </c>
      <c r="C2767" t="s">
        <v>722</v>
      </c>
      <c r="D2767" t="s">
        <v>1311</v>
      </c>
      <c r="E2767" s="1">
        <v>45936</v>
      </c>
      <c r="F2767" s="1">
        <v>45936</v>
      </c>
      <c r="G2767" s="12">
        <v>1381.38</v>
      </c>
      <c r="H2767" s="2">
        <v>0</v>
      </c>
      <c r="I2767" s="2">
        <v>0</v>
      </c>
      <c r="J2767" s="2">
        <v>0</v>
      </c>
      <c r="K2767" s="20">
        <v>1381.38</v>
      </c>
      <c r="L2767" t="s">
        <v>794</v>
      </c>
      <c r="M2767">
        <f t="shared" si="43"/>
        <v>2025</v>
      </c>
    </row>
    <row r="2768" spans="1:13" ht="12.75" hidden="1" customHeight="1">
      <c r="A2768" t="s">
        <v>801</v>
      </c>
      <c r="B2768" t="s">
        <v>13</v>
      </c>
      <c r="C2768" t="s">
        <v>740</v>
      </c>
      <c r="D2768" t="s">
        <v>1311</v>
      </c>
      <c r="E2768" s="1">
        <v>45936</v>
      </c>
      <c r="F2768" s="1">
        <v>45936</v>
      </c>
      <c r="G2768" s="12">
        <v>25.57</v>
      </c>
      <c r="H2768" s="2">
        <v>0</v>
      </c>
      <c r="I2768" s="2">
        <v>0</v>
      </c>
      <c r="J2768" s="2">
        <v>0</v>
      </c>
      <c r="K2768" s="20">
        <v>25.57</v>
      </c>
      <c r="L2768" t="s">
        <v>794</v>
      </c>
      <c r="M2768">
        <f t="shared" si="43"/>
        <v>2025</v>
      </c>
    </row>
    <row r="2769" spans="1:13" ht="12.75" hidden="1" customHeight="1">
      <c r="A2769" t="s">
        <v>801</v>
      </c>
      <c r="B2769" t="s">
        <v>13</v>
      </c>
      <c r="C2769" t="s">
        <v>740</v>
      </c>
      <c r="D2769" t="s">
        <v>1311</v>
      </c>
      <c r="E2769" s="1">
        <v>45936</v>
      </c>
      <c r="F2769" s="1">
        <v>45936</v>
      </c>
      <c r="G2769" s="12">
        <v>196.8</v>
      </c>
      <c r="H2769" s="2">
        <v>0</v>
      </c>
      <c r="I2769" s="2">
        <v>0</v>
      </c>
      <c r="J2769" s="2">
        <v>0</v>
      </c>
      <c r="K2769" s="20">
        <v>196.8</v>
      </c>
      <c r="L2769" t="s">
        <v>794</v>
      </c>
      <c r="M2769">
        <f t="shared" si="43"/>
        <v>2025</v>
      </c>
    </row>
    <row r="2770" spans="1:13" ht="12.75" hidden="1" customHeight="1">
      <c r="A2770" t="s">
        <v>1112</v>
      </c>
      <c r="B2770" t="s">
        <v>68</v>
      </c>
      <c r="C2770" t="s">
        <v>736</v>
      </c>
      <c r="D2770" t="s">
        <v>1311</v>
      </c>
      <c r="E2770" s="1">
        <v>45936</v>
      </c>
      <c r="F2770" s="1">
        <v>45936</v>
      </c>
      <c r="G2770" s="12">
        <v>900</v>
      </c>
      <c r="H2770" s="2">
        <v>0</v>
      </c>
      <c r="I2770" s="2">
        <v>0</v>
      </c>
      <c r="J2770" s="2">
        <v>0</v>
      </c>
      <c r="K2770" s="20">
        <v>900</v>
      </c>
      <c r="L2770" t="s">
        <v>794</v>
      </c>
      <c r="M2770">
        <f t="shared" si="43"/>
        <v>2025</v>
      </c>
    </row>
    <row r="2771" spans="1:13" ht="12.75" hidden="1" customHeight="1">
      <c r="A2771" t="s">
        <v>924</v>
      </c>
      <c r="B2771" t="s">
        <v>87</v>
      </c>
      <c r="C2771" t="s">
        <v>137</v>
      </c>
      <c r="D2771" t="s">
        <v>1311</v>
      </c>
      <c r="E2771" s="1">
        <v>45936</v>
      </c>
      <c r="F2771" s="1">
        <v>45936</v>
      </c>
      <c r="G2771" s="12">
        <v>720</v>
      </c>
      <c r="H2771" s="2">
        <v>0</v>
      </c>
      <c r="I2771" s="2">
        <v>0</v>
      </c>
      <c r="J2771" s="2">
        <v>0</v>
      </c>
      <c r="K2771" s="20">
        <v>720</v>
      </c>
      <c r="L2771" t="s">
        <v>794</v>
      </c>
      <c r="M2771">
        <f t="shared" si="43"/>
        <v>2025</v>
      </c>
    </row>
    <row r="2772" spans="1:13" ht="12.75" hidden="1" customHeight="1">
      <c r="A2772" t="s">
        <v>833</v>
      </c>
      <c r="B2772" t="s">
        <v>27</v>
      </c>
      <c r="C2772" t="s">
        <v>140</v>
      </c>
      <c r="D2772" t="s">
        <v>1311</v>
      </c>
      <c r="E2772" s="1">
        <v>45936</v>
      </c>
      <c r="F2772" s="1">
        <v>45936</v>
      </c>
      <c r="G2772" s="12">
        <v>1000</v>
      </c>
      <c r="H2772" s="2">
        <v>0</v>
      </c>
      <c r="I2772" s="2">
        <v>0</v>
      </c>
      <c r="J2772" s="2">
        <v>0</v>
      </c>
      <c r="K2772" s="20">
        <v>1000</v>
      </c>
      <c r="L2772" t="s">
        <v>794</v>
      </c>
      <c r="M2772">
        <f t="shared" si="43"/>
        <v>2025</v>
      </c>
    </row>
    <row r="2773" spans="1:13" ht="12.75" hidden="1" customHeight="1">
      <c r="A2773" t="s">
        <v>1272</v>
      </c>
      <c r="B2773" t="s">
        <v>132</v>
      </c>
      <c r="C2773" t="s">
        <v>140</v>
      </c>
      <c r="D2773" t="s">
        <v>1311</v>
      </c>
      <c r="E2773" s="1">
        <v>45936</v>
      </c>
      <c r="F2773" s="1">
        <v>45936</v>
      </c>
      <c r="G2773" s="12">
        <v>607.20000000000005</v>
      </c>
      <c r="H2773" s="2">
        <v>0</v>
      </c>
      <c r="I2773" s="2">
        <v>0</v>
      </c>
      <c r="J2773" s="2">
        <v>0</v>
      </c>
      <c r="K2773" s="20">
        <v>607.20000000000005</v>
      </c>
      <c r="L2773" t="s">
        <v>794</v>
      </c>
      <c r="M2773">
        <f t="shared" si="43"/>
        <v>2025</v>
      </c>
    </row>
    <row r="2774" spans="1:13" ht="12.75" hidden="1" customHeight="1">
      <c r="A2774" t="s">
        <v>812</v>
      </c>
      <c r="B2774" t="s">
        <v>31</v>
      </c>
      <c r="C2774" t="s">
        <v>140</v>
      </c>
      <c r="D2774" t="s">
        <v>1311</v>
      </c>
      <c r="E2774" s="1">
        <v>45936</v>
      </c>
      <c r="F2774" s="1">
        <v>45936</v>
      </c>
      <c r="G2774" s="12">
        <v>774.19</v>
      </c>
      <c r="H2774" s="2">
        <v>0</v>
      </c>
      <c r="I2774" s="2">
        <v>0</v>
      </c>
      <c r="J2774" s="2">
        <v>0</v>
      </c>
      <c r="K2774" s="20">
        <v>774.19</v>
      </c>
      <c r="L2774" t="s">
        <v>794</v>
      </c>
      <c r="M2774">
        <f t="shared" si="43"/>
        <v>2025</v>
      </c>
    </row>
    <row r="2775" spans="1:13" ht="12.75" hidden="1" customHeight="1">
      <c r="A2775" t="s">
        <v>836</v>
      </c>
      <c r="B2775" t="s">
        <v>37</v>
      </c>
      <c r="C2775" t="s">
        <v>137</v>
      </c>
      <c r="D2775" t="s">
        <v>1311</v>
      </c>
      <c r="E2775" s="1">
        <v>45936</v>
      </c>
      <c r="F2775" s="1">
        <v>45936</v>
      </c>
      <c r="G2775" s="12">
        <v>1606</v>
      </c>
      <c r="H2775" s="2">
        <v>0</v>
      </c>
      <c r="I2775" s="2">
        <v>0</v>
      </c>
      <c r="J2775" s="2">
        <v>0</v>
      </c>
      <c r="K2775" s="20">
        <v>1606</v>
      </c>
      <c r="L2775" t="s">
        <v>794</v>
      </c>
      <c r="M2775">
        <f t="shared" si="43"/>
        <v>2025</v>
      </c>
    </row>
    <row r="2776" spans="1:13" ht="12.75" hidden="1" customHeight="1">
      <c r="A2776" t="s">
        <v>855</v>
      </c>
      <c r="B2776" t="s">
        <v>20</v>
      </c>
      <c r="C2776" t="s">
        <v>721</v>
      </c>
      <c r="D2776" t="s">
        <v>1311</v>
      </c>
      <c r="E2776" s="1">
        <v>45936</v>
      </c>
      <c r="F2776" s="1">
        <v>45936</v>
      </c>
      <c r="G2776" s="12">
        <v>5000</v>
      </c>
      <c r="H2776" s="2">
        <v>0</v>
      </c>
      <c r="I2776" s="2">
        <v>0</v>
      </c>
      <c r="J2776" s="2">
        <v>0</v>
      </c>
      <c r="K2776" s="20">
        <v>5000</v>
      </c>
      <c r="L2776" t="s">
        <v>794</v>
      </c>
      <c r="M2776">
        <f t="shared" si="43"/>
        <v>2025</v>
      </c>
    </row>
    <row r="2777" spans="1:13" ht="12.75" hidden="1" customHeight="1">
      <c r="A2777" t="s">
        <v>855</v>
      </c>
      <c r="B2777" t="s">
        <v>20</v>
      </c>
      <c r="C2777" t="s">
        <v>721</v>
      </c>
      <c r="D2777" t="s">
        <v>1311</v>
      </c>
      <c r="E2777" s="1">
        <v>45936</v>
      </c>
      <c r="F2777" s="1">
        <v>45936</v>
      </c>
      <c r="G2777" s="12">
        <v>1000</v>
      </c>
      <c r="H2777" s="2">
        <v>0</v>
      </c>
      <c r="I2777" s="2">
        <v>0</v>
      </c>
      <c r="J2777" s="2">
        <v>0</v>
      </c>
      <c r="K2777" s="20">
        <v>1000</v>
      </c>
      <c r="L2777" t="s">
        <v>794</v>
      </c>
      <c r="M2777">
        <f t="shared" si="43"/>
        <v>2025</v>
      </c>
    </row>
    <row r="2778" spans="1:13" ht="12.75" hidden="1" customHeight="1">
      <c r="A2778" t="s">
        <v>1173</v>
      </c>
      <c r="B2778" t="s">
        <v>45</v>
      </c>
      <c r="C2778" t="s">
        <v>137</v>
      </c>
      <c r="D2778" t="s">
        <v>1311</v>
      </c>
      <c r="E2778" s="1">
        <v>45936</v>
      </c>
      <c r="F2778" s="1">
        <v>45936</v>
      </c>
      <c r="G2778" s="12">
        <v>1821.63</v>
      </c>
      <c r="H2778" s="2">
        <v>0</v>
      </c>
      <c r="I2778" s="2">
        <v>0</v>
      </c>
      <c r="J2778" s="2">
        <v>0</v>
      </c>
      <c r="K2778" s="20">
        <v>1821.63</v>
      </c>
      <c r="L2778" t="s">
        <v>794</v>
      </c>
      <c r="M2778">
        <f t="shared" si="43"/>
        <v>2025</v>
      </c>
    </row>
    <row r="2779" spans="1:13" ht="12.75" hidden="1" customHeight="1">
      <c r="A2779" t="s">
        <v>818</v>
      </c>
      <c r="B2779" t="s">
        <v>30</v>
      </c>
      <c r="C2779" t="s">
        <v>137</v>
      </c>
      <c r="D2779" t="s">
        <v>1311</v>
      </c>
      <c r="E2779" s="1">
        <v>45936</v>
      </c>
      <c r="F2779" s="1">
        <v>45936</v>
      </c>
      <c r="G2779" s="12">
        <v>1603</v>
      </c>
      <c r="H2779" s="2">
        <v>0</v>
      </c>
      <c r="I2779" s="2">
        <v>0</v>
      </c>
      <c r="J2779" s="2">
        <v>0</v>
      </c>
      <c r="K2779" s="20">
        <v>1603</v>
      </c>
      <c r="L2779" t="s">
        <v>794</v>
      </c>
      <c r="M2779">
        <f t="shared" si="43"/>
        <v>2025</v>
      </c>
    </row>
    <row r="2780" spans="1:13" ht="12.75" hidden="1" customHeight="1">
      <c r="A2780" t="s">
        <v>833</v>
      </c>
      <c r="B2780" t="s">
        <v>27</v>
      </c>
      <c r="C2780" t="s">
        <v>137</v>
      </c>
      <c r="D2780" t="s">
        <v>1311</v>
      </c>
      <c r="E2780" s="1">
        <v>45936</v>
      </c>
      <c r="F2780" s="1">
        <v>45936</v>
      </c>
      <c r="G2780" s="12">
        <v>1896</v>
      </c>
      <c r="H2780" s="2">
        <v>0</v>
      </c>
      <c r="I2780" s="2">
        <v>0</v>
      </c>
      <c r="J2780" s="2">
        <v>0</v>
      </c>
      <c r="K2780" s="20">
        <v>1896</v>
      </c>
      <c r="L2780" t="s">
        <v>794</v>
      </c>
      <c r="M2780">
        <f t="shared" si="43"/>
        <v>2025</v>
      </c>
    </row>
    <row r="2781" spans="1:13" ht="12.75" hidden="1" customHeight="1">
      <c r="A2781" t="s">
        <v>811</v>
      </c>
      <c r="B2781" t="s">
        <v>39</v>
      </c>
      <c r="C2781" t="s">
        <v>137</v>
      </c>
      <c r="D2781" t="s">
        <v>1311</v>
      </c>
      <c r="E2781" s="1">
        <v>45936</v>
      </c>
      <c r="F2781" s="1">
        <v>45936</v>
      </c>
      <c r="G2781" s="12">
        <v>1631</v>
      </c>
      <c r="H2781" s="2">
        <v>0</v>
      </c>
      <c r="I2781" s="2">
        <v>0</v>
      </c>
      <c r="J2781" s="2">
        <v>0</v>
      </c>
      <c r="K2781" s="20">
        <v>1631</v>
      </c>
      <c r="L2781" t="s">
        <v>794</v>
      </c>
      <c r="M2781">
        <f t="shared" si="43"/>
        <v>2025</v>
      </c>
    </row>
    <row r="2782" spans="1:13" ht="12.75" hidden="1" customHeight="1">
      <c r="A2782" t="s">
        <v>1196</v>
      </c>
      <c r="B2782" t="s">
        <v>1197</v>
      </c>
      <c r="C2782" t="s">
        <v>137</v>
      </c>
      <c r="D2782" t="s">
        <v>1311</v>
      </c>
      <c r="E2782" s="1">
        <v>45936</v>
      </c>
      <c r="F2782" s="1">
        <v>45936</v>
      </c>
      <c r="G2782" s="12">
        <v>1612</v>
      </c>
      <c r="H2782" s="2">
        <v>0</v>
      </c>
      <c r="I2782" s="2">
        <v>0</v>
      </c>
      <c r="J2782" s="2">
        <v>0</v>
      </c>
      <c r="K2782" s="20">
        <v>1612</v>
      </c>
      <c r="L2782" t="s">
        <v>794</v>
      </c>
      <c r="M2782">
        <f t="shared" si="43"/>
        <v>2025</v>
      </c>
    </row>
    <row r="2783" spans="1:13" ht="12.75" hidden="1" customHeight="1">
      <c r="A2783" t="s">
        <v>1272</v>
      </c>
      <c r="B2783" t="s">
        <v>132</v>
      </c>
      <c r="C2783" t="s">
        <v>137</v>
      </c>
      <c r="D2783" t="s">
        <v>1311</v>
      </c>
      <c r="E2783" s="1">
        <v>45936</v>
      </c>
      <c r="F2783" s="1">
        <v>45936</v>
      </c>
      <c r="G2783" s="12">
        <v>57</v>
      </c>
      <c r="H2783" s="2">
        <v>0</v>
      </c>
      <c r="I2783" s="2">
        <v>0</v>
      </c>
      <c r="J2783" s="2">
        <v>0</v>
      </c>
      <c r="K2783" s="20">
        <v>57</v>
      </c>
      <c r="L2783" t="s">
        <v>794</v>
      </c>
      <c r="M2783">
        <f t="shared" si="43"/>
        <v>2025</v>
      </c>
    </row>
    <row r="2784" spans="1:13" ht="12.75" hidden="1" customHeight="1">
      <c r="A2784" t="s">
        <v>810</v>
      </c>
      <c r="B2784" t="s">
        <v>54</v>
      </c>
      <c r="C2784" t="s">
        <v>137</v>
      </c>
      <c r="D2784" t="s">
        <v>1311</v>
      </c>
      <c r="E2784" s="1">
        <v>45936</v>
      </c>
      <c r="F2784" s="1">
        <v>45936</v>
      </c>
      <c r="G2784" s="12">
        <v>1693</v>
      </c>
      <c r="H2784" s="2">
        <v>0</v>
      </c>
      <c r="I2784" s="2">
        <v>0</v>
      </c>
      <c r="J2784" s="2">
        <v>0</v>
      </c>
      <c r="K2784" s="20">
        <v>1693</v>
      </c>
      <c r="L2784" t="s">
        <v>794</v>
      </c>
      <c r="M2784">
        <f t="shared" si="43"/>
        <v>2025</v>
      </c>
    </row>
    <row r="2785" spans="1:13" ht="12.75" hidden="1" customHeight="1">
      <c r="A2785" t="s">
        <v>1004</v>
      </c>
      <c r="B2785" t="s">
        <v>57</v>
      </c>
      <c r="C2785" t="s">
        <v>137</v>
      </c>
      <c r="D2785" t="s">
        <v>1311</v>
      </c>
      <c r="E2785" s="1">
        <v>45936</v>
      </c>
      <c r="F2785" s="1">
        <v>45936</v>
      </c>
      <c r="G2785" s="12">
        <v>1750</v>
      </c>
      <c r="H2785" s="2">
        <v>0</v>
      </c>
      <c r="I2785" s="2">
        <v>0</v>
      </c>
      <c r="J2785" s="2">
        <v>0</v>
      </c>
      <c r="K2785" s="20">
        <v>1750</v>
      </c>
      <c r="L2785" t="s">
        <v>794</v>
      </c>
      <c r="M2785">
        <f t="shared" si="43"/>
        <v>2025</v>
      </c>
    </row>
    <row r="2786" spans="1:13" ht="12.75" hidden="1" customHeight="1">
      <c r="A2786" t="s">
        <v>819</v>
      </c>
      <c r="B2786" t="s">
        <v>38</v>
      </c>
      <c r="C2786" t="s">
        <v>137</v>
      </c>
      <c r="D2786" t="s">
        <v>1311</v>
      </c>
      <c r="E2786" s="1">
        <v>45936</v>
      </c>
      <c r="F2786" s="1">
        <v>45936</v>
      </c>
      <c r="G2786" s="12">
        <v>1656</v>
      </c>
      <c r="H2786" s="2">
        <v>0</v>
      </c>
      <c r="I2786" s="2">
        <v>0</v>
      </c>
      <c r="J2786" s="2">
        <v>0</v>
      </c>
      <c r="K2786" s="20">
        <v>1656</v>
      </c>
      <c r="L2786" t="s">
        <v>794</v>
      </c>
      <c r="M2786">
        <f t="shared" si="43"/>
        <v>2025</v>
      </c>
    </row>
    <row r="2787" spans="1:13" ht="12.75" hidden="1" customHeight="1">
      <c r="A2787" t="s">
        <v>1239</v>
      </c>
      <c r="B2787" t="s">
        <v>224</v>
      </c>
      <c r="C2787" t="s">
        <v>137</v>
      </c>
      <c r="D2787" t="s">
        <v>1311</v>
      </c>
      <c r="E2787" s="1">
        <v>45936</v>
      </c>
      <c r="F2787" s="1">
        <v>45936</v>
      </c>
      <c r="G2787" s="12">
        <v>1306</v>
      </c>
      <c r="H2787" s="2">
        <v>0</v>
      </c>
      <c r="I2787" s="2">
        <v>0</v>
      </c>
      <c r="J2787" s="2">
        <v>0</v>
      </c>
      <c r="K2787" s="20">
        <v>1306</v>
      </c>
      <c r="L2787" t="s">
        <v>794</v>
      </c>
      <c r="M2787">
        <f t="shared" si="43"/>
        <v>2025</v>
      </c>
    </row>
    <row r="2788" spans="1:13" ht="12.75" hidden="1" customHeight="1">
      <c r="A2788" t="s">
        <v>1167</v>
      </c>
      <c r="B2788" t="s">
        <v>47</v>
      </c>
      <c r="C2788" t="s">
        <v>137</v>
      </c>
      <c r="D2788" t="s">
        <v>1311</v>
      </c>
      <c r="E2788" s="1">
        <v>45936</v>
      </c>
      <c r="F2788" s="1">
        <v>45936</v>
      </c>
      <c r="G2788" s="12">
        <v>1884</v>
      </c>
      <c r="H2788" s="2">
        <v>0</v>
      </c>
      <c r="I2788" s="2">
        <v>0</v>
      </c>
      <c r="J2788" s="2">
        <v>0</v>
      </c>
      <c r="K2788" s="20">
        <v>1884</v>
      </c>
      <c r="L2788" t="s">
        <v>794</v>
      </c>
      <c r="M2788">
        <f t="shared" si="43"/>
        <v>2025</v>
      </c>
    </row>
    <row r="2789" spans="1:13" ht="12.75" hidden="1" customHeight="1">
      <c r="A2789" t="s">
        <v>961</v>
      </c>
      <c r="B2789" t="s">
        <v>41</v>
      </c>
      <c r="C2789" t="s">
        <v>137</v>
      </c>
      <c r="D2789" t="s">
        <v>1311</v>
      </c>
      <c r="E2789" s="1">
        <v>45936</v>
      </c>
      <c r="F2789" s="1">
        <v>45936</v>
      </c>
      <c r="G2789" s="12">
        <v>1635</v>
      </c>
      <c r="H2789" s="2">
        <v>0</v>
      </c>
      <c r="I2789" s="2">
        <v>0</v>
      </c>
      <c r="J2789" s="2">
        <v>0</v>
      </c>
      <c r="K2789" s="20">
        <v>1635</v>
      </c>
      <c r="L2789" t="s">
        <v>794</v>
      </c>
      <c r="M2789">
        <f t="shared" si="43"/>
        <v>2025</v>
      </c>
    </row>
    <row r="2790" spans="1:13" ht="12.75" hidden="1" customHeight="1">
      <c r="A2790" t="s">
        <v>814</v>
      </c>
      <c r="B2790" t="s">
        <v>56</v>
      </c>
      <c r="C2790" t="s">
        <v>137</v>
      </c>
      <c r="D2790" t="s">
        <v>1311</v>
      </c>
      <c r="E2790" s="1">
        <v>45936</v>
      </c>
      <c r="F2790" s="1">
        <v>45936</v>
      </c>
      <c r="G2790" s="12">
        <v>1542</v>
      </c>
      <c r="H2790" s="2">
        <v>0</v>
      </c>
      <c r="I2790" s="2">
        <v>0</v>
      </c>
      <c r="J2790" s="2">
        <v>0</v>
      </c>
      <c r="K2790" s="20">
        <v>1542</v>
      </c>
      <c r="L2790" t="s">
        <v>794</v>
      </c>
      <c r="M2790">
        <f t="shared" si="43"/>
        <v>2025</v>
      </c>
    </row>
    <row r="2791" spans="1:13" ht="12.75" hidden="1" customHeight="1">
      <c r="A2791" t="s">
        <v>1141</v>
      </c>
      <c r="B2791" t="s">
        <v>69</v>
      </c>
      <c r="C2791" t="s">
        <v>137</v>
      </c>
      <c r="D2791" t="s">
        <v>1311</v>
      </c>
      <c r="E2791" s="1">
        <v>45936</v>
      </c>
      <c r="F2791" s="1">
        <v>45936</v>
      </c>
      <c r="G2791" s="12">
        <v>1387</v>
      </c>
      <c r="H2791" s="2">
        <v>0</v>
      </c>
      <c r="I2791" s="2">
        <v>0</v>
      </c>
      <c r="J2791" s="2">
        <v>0</v>
      </c>
      <c r="K2791" s="20">
        <v>1387</v>
      </c>
      <c r="L2791" t="s">
        <v>794</v>
      </c>
      <c r="M2791">
        <f t="shared" si="43"/>
        <v>2025</v>
      </c>
    </row>
    <row r="2792" spans="1:13" ht="12.75" hidden="1" customHeight="1">
      <c r="A2792" t="s">
        <v>1105</v>
      </c>
      <c r="B2792" t="s">
        <v>84</v>
      </c>
      <c r="C2792" t="s">
        <v>137</v>
      </c>
      <c r="D2792" t="s">
        <v>1311</v>
      </c>
      <c r="E2792" s="1">
        <v>45936</v>
      </c>
      <c r="F2792" s="1">
        <v>45936</v>
      </c>
      <c r="G2792" s="12">
        <v>1559</v>
      </c>
      <c r="H2792" s="2">
        <v>0</v>
      </c>
      <c r="I2792" s="2">
        <v>0</v>
      </c>
      <c r="J2792" s="2">
        <v>0</v>
      </c>
      <c r="K2792" s="20">
        <v>1559</v>
      </c>
      <c r="L2792" t="s">
        <v>794</v>
      </c>
      <c r="M2792">
        <f t="shared" si="43"/>
        <v>2025</v>
      </c>
    </row>
    <row r="2793" spans="1:13" ht="12.75" hidden="1" customHeight="1">
      <c r="A2793" t="s">
        <v>1009</v>
      </c>
      <c r="B2793" t="s">
        <v>62</v>
      </c>
      <c r="C2793" t="s">
        <v>137</v>
      </c>
      <c r="D2793" t="s">
        <v>1311</v>
      </c>
      <c r="E2793" s="1">
        <v>45936</v>
      </c>
      <c r="F2793" s="1">
        <v>45936</v>
      </c>
      <c r="G2793" s="12">
        <v>1262</v>
      </c>
      <c r="H2793" s="2">
        <v>0</v>
      </c>
      <c r="I2793" s="2">
        <v>0</v>
      </c>
      <c r="J2793" s="2">
        <v>0</v>
      </c>
      <c r="K2793" s="20">
        <v>1262</v>
      </c>
      <c r="L2793" t="s">
        <v>794</v>
      </c>
      <c r="M2793">
        <f t="shared" si="43"/>
        <v>2025</v>
      </c>
    </row>
    <row r="2794" spans="1:13" ht="12.75" hidden="1" customHeight="1">
      <c r="A2794" t="s">
        <v>826</v>
      </c>
      <c r="B2794" t="s">
        <v>21</v>
      </c>
      <c r="C2794" t="s">
        <v>137</v>
      </c>
      <c r="D2794" t="s">
        <v>1311</v>
      </c>
      <c r="E2794" s="1">
        <v>45936</v>
      </c>
      <c r="F2794" s="1">
        <v>45936</v>
      </c>
      <c r="G2794" s="12">
        <v>2354</v>
      </c>
      <c r="H2794" s="2">
        <v>0</v>
      </c>
      <c r="I2794" s="2">
        <v>0</v>
      </c>
      <c r="J2794" s="2">
        <v>0</v>
      </c>
      <c r="K2794" s="20">
        <v>2354</v>
      </c>
      <c r="L2794" t="s">
        <v>794</v>
      </c>
      <c r="M2794">
        <f t="shared" si="43"/>
        <v>2025</v>
      </c>
    </row>
    <row r="2795" spans="1:13" ht="12.75" hidden="1" customHeight="1">
      <c r="A2795" t="s">
        <v>825</v>
      </c>
      <c r="B2795" t="s">
        <v>46</v>
      </c>
      <c r="C2795" t="s">
        <v>137</v>
      </c>
      <c r="D2795" t="s">
        <v>1311</v>
      </c>
      <c r="E2795" s="1">
        <v>45936</v>
      </c>
      <c r="F2795" s="1">
        <v>45936</v>
      </c>
      <c r="G2795" s="12">
        <v>1122</v>
      </c>
      <c r="H2795" s="2">
        <v>0</v>
      </c>
      <c r="I2795" s="2">
        <v>0</v>
      </c>
      <c r="J2795" s="2">
        <v>0</v>
      </c>
      <c r="K2795" s="20">
        <v>1122</v>
      </c>
      <c r="L2795" t="s">
        <v>794</v>
      </c>
      <c r="M2795">
        <f t="shared" si="43"/>
        <v>2025</v>
      </c>
    </row>
    <row r="2796" spans="1:13" ht="12.75" hidden="1" customHeight="1">
      <c r="A2796" t="s">
        <v>1134</v>
      </c>
      <c r="B2796" t="s">
        <v>33</v>
      </c>
      <c r="C2796" t="s">
        <v>137</v>
      </c>
      <c r="D2796" t="s">
        <v>1311</v>
      </c>
      <c r="E2796" s="1">
        <v>45936</v>
      </c>
      <c r="F2796" s="1">
        <v>45936</v>
      </c>
      <c r="G2796" s="12">
        <v>1571</v>
      </c>
      <c r="H2796" s="2">
        <v>0</v>
      </c>
      <c r="I2796" s="2">
        <v>0</v>
      </c>
      <c r="J2796" s="2">
        <v>0</v>
      </c>
      <c r="K2796" s="20">
        <v>1571</v>
      </c>
      <c r="L2796" t="s">
        <v>794</v>
      </c>
      <c r="M2796">
        <f t="shared" si="43"/>
        <v>2025</v>
      </c>
    </row>
    <row r="2797" spans="1:13" ht="12.75" hidden="1" customHeight="1">
      <c r="A2797" t="s">
        <v>1104</v>
      </c>
      <c r="B2797" t="s">
        <v>53</v>
      </c>
      <c r="C2797" t="s">
        <v>137</v>
      </c>
      <c r="D2797" t="s">
        <v>1311</v>
      </c>
      <c r="E2797" s="1">
        <v>45936</v>
      </c>
      <c r="F2797" s="1">
        <v>45936</v>
      </c>
      <c r="G2797" s="12">
        <v>1671</v>
      </c>
      <c r="H2797" s="2">
        <v>0</v>
      </c>
      <c r="I2797" s="2">
        <v>0</v>
      </c>
      <c r="J2797" s="2">
        <v>0</v>
      </c>
      <c r="K2797" s="20">
        <v>1671</v>
      </c>
      <c r="L2797" t="s">
        <v>794</v>
      </c>
      <c r="M2797">
        <f t="shared" si="43"/>
        <v>2025</v>
      </c>
    </row>
    <row r="2798" spans="1:13" ht="12.75" hidden="1" customHeight="1">
      <c r="A2798" t="s">
        <v>1181</v>
      </c>
      <c r="B2798" t="s">
        <v>75</v>
      </c>
      <c r="C2798" t="s">
        <v>137</v>
      </c>
      <c r="D2798" t="s">
        <v>1311</v>
      </c>
      <c r="E2798" s="1">
        <v>45936</v>
      </c>
      <c r="F2798" s="1">
        <v>45936</v>
      </c>
      <c r="G2798" s="12">
        <v>1061</v>
      </c>
      <c r="H2798" s="2">
        <v>0</v>
      </c>
      <c r="I2798" s="2">
        <v>0</v>
      </c>
      <c r="J2798" s="2">
        <v>0</v>
      </c>
      <c r="K2798" s="20">
        <v>1061</v>
      </c>
      <c r="L2798" t="s">
        <v>794</v>
      </c>
      <c r="M2798">
        <f t="shared" si="43"/>
        <v>2025</v>
      </c>
    </row>
    <row r="2799" spans="1:13" ht="12.75" hidden="1" customHeight="1">
      <c r="A2799" t="s">
        <v>812</v>
      </c>
      <c r="B2799" t="s">
        <v>31</v>
      </c>
      <c r="C2799" t="s">
        <v>137</v>
      </c>
      <c r="D2799" t="s">
        <v>1311</v>
      </c>
      <c r="E2799" s="1">
        <v>45936</v>
      </c>
      <c r="F2799" s="1">
        <v>45936</v>
      </c>
      <c r="G2799" s="12">
        <v>666</v>
      </c>
      <c r="H2799" s="2">
        <v>0</v>
      </c>
      <c r="I2799" s="2">
        <v>0</v>
      </c>
      <c r="J2799" s="2">
        <v>0</v>
      </c>
      <c r="K2799" s="20">
        <v>666</v>
      </c>
      <c r="L2799" t="s">
        <v>794</v>
      </c>
      <c r="M2799">
        <f t="shared" si="43"/>
        <v>2025</v>
      </c>
    </row>
    <row r="2800" spans="1:13" ht="12.75" hidden="1" customHeight="1">
      <c r="A2800" t="s">
        <v>1210</v>
      </c>
      <c r="B2800" t="s">
        <v>22</v>
      </c>
      <c r="C2800" t="s">
        <v>717</v>
      </c>
      <c r="D2800" t="s">
        <v>1311</v>
      </c>
      <c r="E2800" s="1">
        <v>45939</v>
      </c>
      <c r="F2800" s="1">
        <v>45939</v>
      </c>
      <c r="G2800" s="12">
        <v>2890</v>
      </c>
      <c r="H2800" s="2">
        <v>0</v>
      </c>
      <c r="I2800" s="2">
        <v>0</v>
      </c>
      <c r="J2800" s="2">
        <v>0</v>
      </c>
      <c r="K2800" s="20">
        <v>2890</v>
      </c>
      <c r="L2800" t="s">
        <v>794</v>
      </c>
      <c r="M2800">
        <f t="shared" si="43"/>
        <v>2025</v>
      </c>
    </row>
    <row r="2801" spans="1:13" ht="12.75" hidden="1" customHeight="1">
      <c r="A2801" t="s">
        <v>837</v>
      </c>
      <c r="B2801" t="s">
        <v>58</v>
      </c>
      <c r="C2801" t="s">
        <v>206</v>
      </c>
      <c r="D2801" t="s">
        <v>1311</v>
      </c>
      <c r="E2801" s="1">
        <v>45935</v>
      </c>
      <c r="F2801" s="1">
        <v>45939</v>
      </c>
      <c r="G2801" s="12">
        <v>1915.94</v>
      </c>
      <c r="H2801" s="2">
        <v>0</v>
      </c>
      <c r="I2801" s="2">
        <v>0</v>
      </c>
      <c r="J2801" s="2">
        <v>0</v>
      </c>
      <c r="K2801" s="20">
        <v>1915.94</v>
      </c>
      <c r="L2801" t="s">
        <v>794</v>
      </c>
      <c r="M2801">
        <f t="shared" si="43"/>
        <v>2025</v>
      </c>
    </row>
    <row r="2802" spans="1:13" ht="12.75" hidden="1" customHeight="1">
      <c r="A2802" t="s">
        <v>841</v>
      </c>
      <c r="B2802" t="s">
        <v>164</v>
      </c>
      <c r="C2802" t="s">
        <v>722</v>
      </c>
      <c r="D2802" t="s">
        <v>1242</v>
      </c>
      <c r="E2802" s="1">
        <v>45930</v>
      </c>
      <c r="F2802" s="1">
        <v>45939</v>
      </c>
      <c r="G2802" s="12">
        <v>392.81</v>
      </c>
      <c r="H2802" s="2">
        <v>0</v>
      </c>
      <c r="I2802" s="2">
        <v>0</v>
      </c>
      <c r="J2802" s="2">
        <v>0</v>
      </c>
      <c r="K2802" s="20">
        <v>392.81</v>
      </c>
      <c r="L2802" t="s">
        <v>794</v>
      </c>
      <c r="M2802">
        <f t="shared" si="43"/>
        <v>2025</v>
      </c>
    </row>
    <row r="2803" spans="1:13" ht="12.75" hidden="1" customHeight="1">
      <c r="A2803" t="s">
        <v>980</v>
      </c>
      <c r="B2803" t="s">
        <v>246</v>
      </c>
      <c r="C2803" t="s">
        <v>398</v>
      </c>
      <c r="D2803" t="s">
        <v>1311</v>
      </c>
      <c r="E2803" s="1">
        <v>45940</v>
      </c>
      <c r="F2803" s="1">
        <v>45940</v>
      </c>
      <c r="G2803" s="12">
        <v>383.11</v>
      </c>
      <c r="H2803" s="2">
        <v>0</v>
      </c>
      <c r="I2803" s="2">
        <v>0</v>
      </c>
      <c r="J2803" s="2">
        <v>0</v>
      </c>
      <c r="K2803" s="20">
        <v>383.11</v>
      </c>
      <c r="L2803" t="s">
        <v>794</v>
      </c>
      <c r="M2803">
        <f t="shared" si="43"/>
        <v>2025</v>
      </c>
    </row>
    <row r="2804" spans="1:13" ht="12.75" hidden="1" customHeight="1">
      <c r="A2804" t="s">
        <v>844</v>
      </c>
      <c r="B2804" t="s">
        <v>18</v>
      </c>
      <c r="C2804" t="s">
        <v>719</v>
      </c>
      <c r="D2804" t="s">
        <v>1311</v>
      </c>
      <c r="E2804" s="1">
        <v>45940</v>
      </c>
      <c r="F2804" s="1">
        <v>45940</v>
      </c>
      <c r="G2804" s="12">
        <v>11020.9</v>
      </c>
      <c r="H2804" s="2">
        <v>0</v>
      </c>
      <c r="I2804" s="2">
        <v>0</v>
      </c>
      <c r="J2804" s="2">
        <v>0</v>
      </c>
      <c r="K2804" s="20">
        <v>11020.9</v>
      </c>
      <c r="L2804" t="s">
        <v>794</v>
      </c>
      <c r="M2804">
        <f t="shared" si="43"/>
        <v>2025</v>
      </c>
    </row>
    <row r="2805" spans="1:13" ht="12.75" hidden="1" customHeight="1">
      <c r="A2805" t="s">
        <v>995</v>
      </c>
      <c r="B2805" t="s">
        <v>122</v>
      </c>
      <c r="C2805" t="s">
        <v>735</v>
      </c>
      <c r="D2805" t="s">
        <v>1311</v>
      </c>
      <c r="E2805" s="1">
        <v>45940</v>
      </c>
      <c r="F2805" s="1">
        <v>45940</v>
      </c>
      <c r="G2805" s="12">
        <v>605</v>
      </c>
      <c r="H2805" s="2">
        <v>0</v>
      </c>
      <c r="I2805" s="2">
        <v>0</v>
      </c>
      <c r="J2805" s="2">
        <v>0</v>
      </c>
      <c r="K2805" s="20">
        <v>605</v>
      </c>
      <c r="L2805" t="s">
        <v>794</v>
      </c>
      <c r="M2805">
        <f t="shared" si="43"/>
        <v>2025</v>
      </c>
    </row>
    <row r="2806" spans="1:13" ht="12.75" hidden="1" customHeight="1">
      <c r="A2806" t="s">
        <v>848</v>
      </c>
      <c r="B2806" t="s">
        <v>14</v>
      </c>
      <c r="C2806" t="s">
        <v>714</v>
      </c>
      <c r="D2806" t="s">
        <v>1311</v>
      </c>
      <c r="E2806" s="1">
        <v>45940</v>
      </c>
      <c r="F2806" s="1">
        <v>45940</v>
      </c>
      <c r="G2806" s="12">
        <v>29955.31</v>
      </c>
      <c r="H2806" s="2">
        <v>0</v>
      </c>
      <c r="I2806" s="2">
        <v>0</v>
      </c>
      <c r="J2806" s="2">
        <v>0</v>
      </c>
      <c r="K2806" s="20">
        <v>29955.31</v>
      </c>
      <c r="L2806" t="s">
        <v>794</v>
      </c>
      <c r="M2806">
        <f t="shared" si="43"/>
        <v>2025</v>
      </c>
    </row>
    <row r="2807" spans="1:13" ht="12.75" hidden="1" customHeight="1">
      <c r="A2807" t="s">
        <v>1223</v>
      </c>
      <c r="B2807" t="s">
        <v>1224</v>
      </c>
      <c r="C2807" t="s">
        <v>742</v>
      </c>
      <c r="D2807" t="s">
        <v>1311</v>
      </c>
      <c r="E2807" s="1">
        <v>45940</v>
      </c>
      <c r="F2807" s="1">
        <v>45940</v>
      </c>
      <c r="G2807" s="12">
        <v>540</v>
      </c>
      <c r="H2807" s="2">
        <v>0</v>
      </c>
      <c r="I2807" s="2">
        <v>0</v>
      </c>
      <c r="J2807" s="2">
        <v>0</v>
      </c>
      <c r="K2807" s="20">
        <v>540</v>
      </c>
      <c r="L2807" t="s">
        <v>794</v>
      </c>
      <c r="M2807">
        <f t="shared" si="43"/>
        <v>2025</v>
      </c>
    </row>
    <row r="2808" spans="1:13" ht="12.75" hidden="1" customHeight="1">
      <c r="A2808" t="s">
        <v>1222</v>
      </c>
      <c r="B2808" t="s">
        <v>176</v>
      </c>
      <c r="C2808" t="s">
        <v>723</v>
      </c>
      <c r="D2808" t="s">
        <v>1311</v>
      </c>
      <c r="E2808" s="1">
        <v>45940</v>
      </c>
      <c r="F2808" s="1">
        <v>45940</v>
      </c>
      <c r="G2808" s="12">
        <v>475.32</v>
      </c>
      <c r="H2808" s="2">
        <v>0</v>
      </c>
      <c r="I2808" s="2">
        <v>0</v>
      </c>
      <c r="J2808" s="2">
        <v>0</v>
      </c>
      <c r="K2808" s="20">
        <v>475.32</v>
      </c>
      <c r="L2808" t="s">
        <v>794</v>
      </c>
      <c r="M2808">
        <f t="shared" si="43"/>
        <v>2025</v>
      </c>
    </row>
    <row r="2809" spans="1:13" ht="12.75" hidden="1" customHeight="1">
      <c r="A2809" t="s">
        <v>847</v>
      </c>
      <c r="B2809" t="s">
        <v>169</v>
      </c>
      <c r="C2809" t="s">
        <v>722</v>
      </c>
      <c r="D2809" t="s">
        <v>1311</v>
      </c>
      <c r="E2809" s="1">
        <v>45940</v>
      </c>
      <c r="F2809" s="1">
        <v>45940</v>
      </c>
      <c r="G2809" s="12">
        <v>276.60000000000002</v>
      </c>
      <c r="H2809" s="2">
        <v>0</v>
      </c>
      <c r="I2809" s="2">
        <v>0</v>
      </c>
      <c r="J2809" s="2">
        <v>0</v>
      </c>
      <c r="K2809" s="20">
        <v>276.60000000000002</v>
      </c>
      <c r="L2809" t="s">
        <v>794</v>
      </c>
      <c r="M2809">
        <f t="shared" si="43"/>
        <v>2025</v>
      </c>
    </row>
    <row r="2810" spans="1:13" ht="12.75" hidden="1" customHeight="1">
      <c r="A2810" t="s">
        <v>1325</v>
      </c>
      <c r="B2810" t="s">
        <v>478</v>
      </c>
      <c r="C2810" t="s">
        <v>452</v>
      </c>
      <c r="D2810" t="s">
        <v>1311</v>
      </c>
      <c r="E2810" s="1">
        <v>45940</v>
      </c>
      <c r="F2810" s="1">
        <v>45940</v>
      </c>
      <c r="G2810" s="12">
        <v>69</v>
      </c>
      <c r="H2810" s="2">
        <v>0</v>
      </c>
      <c r="I2810" s="2">
        <v>0</v>
      </c>
      <c r="J2810" s="2">
        <v>0</v>
      </c>
      <c r="K2810" s="20">
        <v>69</v>
      </c>
      <c r="L2810" t="s">
        <v>794</v>
      </c>
      <c r="M2810">
        <f t="shared" si="43"/>
        <v>2025</v>
      </c>
    </row>
    <row r="2811" spans="1:13" ht="12.75" hidden="1" customHeight="1">
      <c r="A2811" t="s">
        <v>1325</v>
      </c>
      <c r="B2811" t="s">
        <v>478</v>
      </c>
      <c r="C2811" t="s">
        <v>452</v>
      </c>
      <c r="D2811" t="s">
        <v>1311</v>
      </c>
      <c r="E2811" s="1">
        <v>45940</v>
      </c>
      <c r="F2811" s="1">
        <v>45940</v>
      </c>
      <c r="G2811" s="12">
        <v>100</v>
      </c>
      <c r="H2811" s="2">
        <v>0</v>
      </c>
      <c r="I2811" s="2">
        <v>0</v>
      </c>
      <c r="J2811" s="2">
        <v>0</v>
      </c>
      <c r="K2811" s="20">
        <v>100</v>
      </c>
      <c r="L2811" t="s">
        <v>794</v>
      </c>
      <c r="M2811">
        <f t="shared" si="43"/>
        <v>2025</v>
      </c>
    </row>
    <row r="2812" spans="1:13" ht="12.75" hidden="1" customHeight="1">
      <c r="A2812" t="s">
        <v>1326</v>
      </c>
      <c r="B2812" t="s">
        <v>579</v>
      </c>
      <c r="C2812" t="s">
        <v>452</v>
      </c>
      <c r="D2812" t="s">
        <v>1311</v>
      </c>
      <c r="E2812" s="1">
        <v>45940</v>
      </c>
      <c r="F2812" s="1">
        <v>45940</v>
      </c>
      <c r="G2812" s="12">
        <v>69</v>
      </c>
      <c r="H2812" s="2">
        <v>0</v>
      </c>
      <c r="I2812" s="2">
        <v>0</v>
      </c>
      <c r="J2812" s="2">
        <v>0</v>
      </c>
      <c r="K2812" s="20">
        <v>69</v>
      </c>
      <c r="L2812" t="s">
        <v>794</v>
      </c>
      <c r="M2812">
        <f t="shared" si="43"/>
        <v>2025</v>
      </c>
    </row>
    <row r="2813" spans="1:13" ht="12.75" hidden="1" customHeight="1">
      <c r="A2813" t="s">
        <v>1327</v>
      </c>
      <c r="B2813" t="s">
        <v>337</v>
      </c>
      <c r="C2813" t="s">
        <v>360</v>
      </c>
      <c r="D2813" t="s">
        <v>1311</v>
      </c>
      <c r="E2813" s="1">
        <v>45940</v>
      </c>
      <c r="F2813" s="1">
        <v>45940</v>
      </c>
      <c r="G2813" s="12">
        <v>900</v>
      </c>
      <c r="H2813" s="2">
        <v>0</v>
      </c>
      <c r="I2813" s="2">
        <v>0</v>
      </c>
      <c r="J2813" s="2">
        <v>0</v>
      </c>
      <c r="K2813" s="20">
        <v>900</v>
      </c>
      <c r="L2813" t="s">
        <v>794</v>
      </c>
      <c r="M2813">
        <f t="shared" si="43"/>
        <v>2025</v>
      </c>
    </row>
    <row r="2814" spans="1:13" ht="12.75" hidden="1" customHeight="1">
      <c r="A2814" t="s">
        <v>1328</v>
      </c>
      <c r="B2814" t="s">
        <v>593</v>
      </c>
      <c r="C2814" t="s">
        <v>483</v>
      </c>
      <c r="D2814" t="s">
        <v>1311</v>
      </c>
      <c r="E2814" s="1">
        <v>45940</v>
      </c>
      <c r="F2814" s="1">
        <v>45940</v>
      </c>
      <c r="G2814" s="12">
        <v>56.04</v>
      </c>
      <c r="H2814" s="2">
        <v>0</v>
      </c>
      <c r="I2814" s="2">
        <v>0</v>
      </c>
      <c r="J2814" s="2">
        <v>0</v>
      </c>
      <c r="K2814" s="20">
        <v>56.04</v>
      </c>
      <c r="L2814" t="s">
        <v>794</v>
      </c>
      <c r="M2814">
        <f t="shared" si="43"/>
        <v>2025</v>
      </c>
    </row>
    <row r="2815" spans="1:13" ht="12.75" hidden="1" customHeight="1">
      <c r="A2815" t="s">
        <v>844</v>
      </c>
      <c r="B2815" t="s">
        <v>18</v>
      </c>
      <c r="C2815" t="s">
        <v>719</v>
      </c>
      <c r="D2815" t="s">
        <v>1311</v>
      </c>
      <c r="E2815" s="1">
        <v>45940</v>
      </c>
      <c r="F2815" s="1">
        <v>45940</v>
      </c>
      <c r="G2815" s="12">
        <v>1176.08</v>
      </c>
      <c r="H2815" s="2">
        <v>0</v>
      </c>
      <c r="I2815" s="2">
        <v>0</v>
      </c>
      <c r="J2815" s="2">
        <v>0</v>
      </c>
      <c r="K2815" s="20">
        <v>1176.08</v>
      </c>
      <c r="L2815" t="s">
        <v>794</v>
      </c>
      <c r="M2815">
        <f t="shared" si="43"/>
        <v>2025</v>
      </c>
    </row>
    <row r="2816" spans="1:13" ht="12.75" hidden="1" customHeight="1">
      <c r="A2816" t="s">
        <v>1196</v>
      </c>
      <c r="B2816" t="s">
        <v>1197</v>
      </c>
      <c r="C2816" t="s">
        <v>141</v>
      </c>
      <c r="D2816" t="s">
        <v>1311</v>
      </c>
      <c r="E2816" s="1">
        <v>45940</v>
      </c>
      <c r="F2816" s="1">
        <v>45940</v>
      </c>
      <c r="G2816" s="12">
        <v>450</v>
      </c>
      <c r="H2816" s="2">
        <v>0</v>
      </c>
      <c r="I2816" s="2">
        <v>0</v>
      </c>
      <c r="J2816" s="2">
        <v>0</v>
      </c>
      <c r="K2816" s="20">
        <v>450</v>
      </c>
      <c r="L2816" t="s">
        <v>794</v>
      </c>
      <c r="M2816">
        <f t="shared" si="43"/>
        <v>2025</v>
      </c>
    </row>
    <row r="2817" spans="1:13" ht="12.75" hidden="1" customHeight="1">
      <c r="A2817" t="s">
        <v>833</v>
      </c>
      <c r="B2817" t="s">
        <v>27</v>
      </c>
      <c r="C2817" t="s">
        <v>141</v>
      </c>
      <c r="D2817" t="s">
        <v>1311</v>
      </c>
      <c r="E2817" s="1">
        <v>45940</v>
      </c>
      <c r="F2817" s="1">
        <v>45940</v>
      </c>
      <c r="G2817" s="12">
        <v>200</v>
      </c>
      <c r="H2817" s="2">
        <v>0</v>
      </c>
      <c r="I2817" s="2">
        <v>0</v>
      </c>
      <c r="J2817" s="2">
        <v>0</v>
      </c>
      <c r="K2817" s="20">
        <v>200</v>
      </c>
      <c r="L2817" t="s">
        <v>794</v>
      </c>
      <c r="M2817">
        <f t="shared" si="43"/>
        <v>2025</v>
      </c>
    </row>
    <row r="2818" spans="1:13" ht="12.75" hidden="1" customHeight="1">
      <c r="A2818" t="s">
        <v>1329</v>
      </c>
      <c r="B2818" t="s">
        <v>449</v>
      </c>
      <c r="C2818" t="s">
        <v>200</v>
      </c>
      <c r="D2818" t="s">
        <v>1311</v>
      </c>
      <c r="E2818" s="1">
        <v>45940</v>
      </c>
      <c r="F2818" s="1">
        <v>45941</v>
      </c>
      <c r="G2818" s="12">
        <v>240</v>
      </c>
      <c r="H2818" s="2">
        <v>0</v>
      </c>
      <c r="I2818" s="2">
        <v>0</v>
      </c>
      <c r="J2818" s="2">
        <v>0</v>
      </c>
      <c r="K2818" s="20">
        <v>240</v>
      </c>
      <c r="L2818" t="s">
        <v>794</v>
      </c>
      <c r="M2818">
        <f t="shared" si="43"/>
        <v>2025</v>
      </c>
    </row>
    <row r="2819" spans="1:13" ht="12.75" hidden="1" customHeight="1">
      <c r="A2819" t="s">
        <v>1206</v>
      </c>
      <c r="B2819" t="s">
        <v>153</v>
      </c>
      <c r="C2819" t="s">
        <v>200</v>
      </c>
      <c r="D2819" t="s">
        <v>1311</v>
      </c>
      <c r="E2819" s="1">
        <v>45940</v>
      </c>
      <c r="F2819" s="1">
        <v>45941</v>
      </c>
      <c r="G2819" s="12">
        <v>1680</v>
      </c>
      <c r="H2819" s="2">
        <v>0</v>
      </c>
      <c r="I2819" s="2">
        <v>0</v>
      </c>
      <c r="J2819" s="2">
        <v>0</v>
      </c>
      <c r="K2819" s="20">
        <v>1680</v>
      </c>
      <c r="L2819" t="s">
        <v>794</v>
      </c>
      <c r="M2819">
        <f t="shared" ref="M2819:M2882" si="44">YEAR(F2819)</f>
        <v>2025</v>
      </c>
    </row>
    <row r="2820" spans="1:13" ht="12.75" hidden="1" customHeight="1">
      <c r="A2820" t="s">
        <v>881</v>
      </c>
      <c r="B2820" t="s">
        <v>48</v>
      </c>
      <c r="C2820" t="s">
        <v>200</v>
      </c>
      <c r="D2820" t="s">
        <v>1311</v>
      </c>
      <c r="E2820" s="1">
        <v>45940</v>
      </c>
      <c r="F2820" s="1">
        <v>45941</v>
      </c>
      <c r="G2820" s="12">
        <v>3680</v>
      </c>
      <c r="H2820" s="2">
        <v>0</v>
      </c>
      <c r="I2820" s="2">
        <v>0</v>
      </c>
      <c r="J2820" s="2">
        <v>0</v>
      </c>
      <c r="K2820" s="20">
        <v>3680</v>
      </c>
      <c r="L2820" t="s">
        <v>794</v>
      </c>
      <c r="M2820">
        <f t="shared" si="44"/>
        <v>2025</v>
      </c>
    </row>
    <row r="2821" spans="1:13" ht="12.75" hidden="1" customHeight="1">
      <c r="A2821" t="s">
        <v>881</v>
      </c>
      <c r="B2821" t="s">
        <v>48</v>
      </c>
      <c r="C2821" t="s">
        <v>201</v>
      </c>
      <c r="D2821" t="s">
        <v>1311</v>
      </c>
      <c r="E2821" s="1">
        <v>45940</v>
      </c>
      <c r="F2821" s="1">
        <v>45941</v>
      </c>
      <c r="G2821" s="12">
        <v>400</v>
      </c>
      <c r="H2821" s="2">
        <v>0</v>
      </c>
      <c r="I2821" s="2">
        <v>0</v>
      </c>
      <c r="J2821" s="2">
        <v>0</v>
      </c>
      <c r="K2821" s="20">
        <v>400</v>
      </c>
      <c r="L2821" t="s">
        <v>794</v>
      </c>
      <c r="M2821">
        <f t="shared" si="44"/>
        <v>2025</v>
      </c>
    </row>
    <row r="2822" spans="1:13" ht="12.75" hidden="1" customHeight="1">
      <c r="A2822" t="s">
        <v>875</v>
      </c>
      <c r="B2822" t="s">
        <v>115</v>
      </c>
      <c r="C2822" t="s">
        <v>201</v>
      </c>
      <c r="D2822" t="s">
        <v>1311</v>
      </c>
      <c r="E2822" s="1">
        <v>45940</v>
      </c>
      <c r="F2822" s="1">
        <v>45943</v>
      </c>
      <c r="G2822" s="12">
        <v>80</v>
      </c>
      <c r="H2822" s="2">
        <v>0</v>
      </c>
      <c r="I2822" s="2">
        <v>0</v>
      </c>
      <c r="J2822" s="2">
        <v>0</v>
      </c>
      <c r="K2822" s="20">
        <v>80</v>
      </c>
      <c r="L2822" t="s">
        <v>794</v>
      </c>
      <c r="M2822">
        <f t="shared" si="44"/>
        <v>2025</v>
      </c>
    </row>
    <row r="2823" spans="1:13" ht="12.75" hidden="1" customHeight="1">
      <c r="A2823" t="s">
        <v>865</v>
      </c>
      <c r="B2823" t="s">
        <v>76</v>
      </c>
      <c r="C2823" t="s">
        <v>200</v>
      </c>
      <c r="D2823" t="s">
        <v>1311</v>
      </c>
      <c r="E2823" s="1">
        <v>45940</v>
      </c>
      <c r="F2823" s="1">
        <v>45943</v>
      </c>
      <c r="G2823" s="12">
        <v>800</v>
      </c>
      <c r="H2823" s="2">
        <v>0</v>
      </c>
      <c r="I2823" s="2">
        <v>0</v>
      </c>
      <c r="J2823" s="2">
        <v>0</v>
      </c>
      <c r="K2823" s="20">
        <v>800</v>
      </c>
      <c r="L2823" t="s">
        <v>794</v>
      </c>
      <c r="M2823">
        <f t="shared" si="44"/>
        <v>2025</v>
      </c>
    </row>
    <row r="2824" spans="1:13" ht="12.75" hidden="1" customHeight="1">
      <c r="A2824" t="s">
        <v>882</v>
      </c>
      <c r="B2824" t="s">
        <v>34</v>
      </c>
      <c r="C2824" t="s">
        <v>200</v>
      </c>
      <c r="D2824" t="s">
        <v>1311</v>
      </c>
      <c r="E2824" s="1">
        <v>45940</v>
      </c>
      <c r="F2824" s="1">
        <v>45943</v>
      </c>
      <c r="G2824" s="12">
        <v>2960</v>
      </c>
      <c r="H2824" s="2">
        <v>0</v>
      </c>
      <c r="I2824" s="2">
        <v>0</v>
      </c>
      <c r="J2824" s="2">
        <v>0</v>
      </c>
      <c r="K2824" s="20">
        <v>2960</v>
      </c>
      <c r="L2824" t="s">
        <v>794</v>
      </c>
      <c r="M2824">
        <f t="shared" si="44"/>
        <v>2025</v>
      </c>
    </row>
    <row r="2825" spans="1:13" ht="12.75" hidden="1" customHeight="1">
      <c r="A2825" t="s">
        <v>855</v>
      </c>
      <c r="B2825" t="s">
        <v>20</v>
      </c>
      <c r="C2825" t="s">
        <v>200</v>
      </c>
      <c r="D2825" t="s">
        <v>1311</v>
      </c>
      <c r="E2825" s="1">
        <v>45940</v>
      </c>
      <c r="F2825" s="1">
        <v>45943</v>
      </c>
      <c r="G2825" s="12">
        <v>1280</v>
      </c>
      <c r="H2825" s="2">
        <v>0</v>
      </c>
      <c r="I2825" s="2">
        <v>0</v>
      </c>
      <c r="J2825" s="2">
        <v>0</v>
      </c>
      <c r="K2825" s="20">
        <v>1280</v>
      </c>
      <c r="L2825" t="s">
        <v>794</v>
      </c>
      <c r="M2825">
        <f t="shared" si="44"/>
        <v>2025</v>
      </c>
    </row>
    <row r="2826" spans="1:13" ht="12.75" hidden="1" customHeight="1">
      <c r="A2826" t="s">
        <v>1155</v>
      </c>
      <c r="B2826" t="s">
        <v>88</v>
      </c>
      <c r="C2826" t="s">
        <v>201</v>
      </c>
      <c r="D2826" t="s">
        <v>1311</v>
      </c>
      <c r="E2826" s="1">
        <v>45940</v>
      </c>
      <c r="F2826" s="1">
        <v>45943</v>
      </c>
      <c r="G2826" s="12">
        <v>720</v>
      </c>
      <c r="H2826" s="2">
        <v>0</v>
      </c>
      <c r="I2826" s="2">
        <v>0</v>
      </c>
      <c r="J2826" s="2">
        <v>0</v>
      </c>
      <c r="K2826" s="20">
        <v>720</v>
      </c>
      <c r="L2826" t="s">
        <v>794</v>
      </c>
      <c r="M2826">
        <f t="shared" si="44"/>
        <v>2025</v>
      </c>
    </row>
    <row r="2827" spans="1:13" ht="12.75" hidden="1" customHeight="1">
      <c r="A2827" t="s">
        <v>1330</v>
      </c>
      <c r="B2827" t="s">
        <v>175</v>
      </c>
      <c r="C2827" t="s">
        <v>200</v>
      </c>
      <c r="D2827" t="s">
        <v>1311</v>
      </c>
      <c r="E2827" s="1">
        <v>45940</v>
      </c>
      <c r="F2827" s="1">
        <v>45943</v>
      </c>
      <c r="G2827" s="12">
        <v>240</v>
      </c>
      <c r="H2827" s="2">
        <v>0</v>
      </c>
      <c r="I2827" s="2">
        <v>0</v>
      </c>
      <c r="J2827" s="2">
        <v>0</v>
      </c>
      <c r="K2827" s="20">
        <v>240</v>
      </c>
      <c r="L2827" t="s">
        <v>794</v>
      </c>
      <c r="M2827">
        <f t="shared" si="44"/>
        <v>2025</v>
      </c>
    </row>
    <row r="2828" spans="1:13" ht="12.75" hidden="1" customHeight="1">
      <c r="A2828" t="s">
        <v>878</v>
      </c>
      <c r="B2828" t="s">
        <v>32</v>
      </c>
      <c r="C2828" t="s">
        <v>200</v>
      </c>
      <c r="D2828" t="s">
        <v>1311</v>
      </c>
      <c r="E2828" s="1">
        <v>45940</v>
      </c>
      <c r="F2828" s="1">
        <v>45943</v>
      </c>
      <c r="G2828" s="12">
        <v>2400</v>
      </c>
      <c r="H2828" s="2">
        <v>0</v>
      </c>
      <c r="I2828" s="2">
        <v>0</v>
      </c>
      <c r="J2828" s="2">
        <v>0</v>
      </c>
      <c r="K2828" s="20">
        <v>2400</v>
      </c>
      <c r="L2828" t="s">
        <v>794</v>
      </c>
      <c r="M2828">
        <f t="shared" si="44"/>
        <v>2025</v>
      </c>
    </row>
    <row r="2829" spans="1:13" ht="12.75" hidden="1" customHeight="1">
      <c r="A2829" t="s">
        <v>1331</v>
      </c>
      <c r="B2829" t="s">
        <v>168</v>
      </c>
      <c r="C2829" t="s">
        <v>200</v>
      </c>
      <c r="D2829" t="s">
        <v>1311</v>
      </c>
      <c r="E2829" s="1">
        <v>45940</v>
      </c>
      <c r="F2829" s="1">
        <v>45943</v>
      </c>
      <c r="G2829" s="12">
        <v>880</v>
      </c>
      <c r="H2829" s="2">
        <v>0</v>
      </c>
      <c r="I2829" s="2">
        <v>0</v>
      </c>
      <c r="J2829" s="2">
        <v>0</v>
      </c>
      <c r="K2829" s="20">
        <v>880</v>
      </c>
      <c r="L2829" t="s">
        <v>794</v>
      </c>
      <c r="M2829">
        <f t="shared" si="44"/>
        <v>2025</v>
      </c>
    </row>
    <row r="2830" spans="1:13" ht="12.75" hidden="1" customHeight="1">
      <c r="A2830" t="s">
        <v>1215</v>
      </c>
      <c r="B2830" t="s">
        <v>172</v>
      </c>
      <c r="C2830" t="s">
        <v>201</v>
      </c>
      <c r="D2830" t="s">
        <v>1311</v>
      </c>
      <c r="E2830" s="1">
        <v>45940</v>
      </c>
      <c r="F2830" s="1">
        <v>45943</v>
      </c>
      <c r="G2830" s="12">
        <v>720</v>
      </c>
      <c r="H2830" s="2">
        <v>0</v>
      </c>
      <c r="I2830" s="2">
        <v>0</v>
      </c>
      <c r="J2830" s="2">
        <v>0</v>
      </c>
      <c r="K2830" s="20">
        <v>720</v>
      </c>
      <c r="L2830" t="s">
        <v>794</v>
      </c>
      <c r="M2830">
        <f t="shared" si="44"/>
        <v>2025</v>
      </c>
    </row>
    <row r="2831" spans="1:13" ht="12.75" hidden="1" customHeight="1">
      <c r="A2831" t="s">
        <v>1199</v>
      </c>
      <c r="B2831" t="s">
        <v>107</v>
      </c>
      <c r="C2831" t="s">
        <v>201</v>
      </c>
      <c r="D2831" t="s">
        <v>1311</v>
      </c>
      <c r="E2831" s="1">
        <v>45940</v>
      </c>
      <c r="F2831" s="1">
        <v>45943</v>
      </c>
      <c r="G2831" s="12">
        <v>1600</v>
      </c>
      <c r="H2831" s="2">
        <v>0</v>
      </c>
      <c r="I2831" s="2">
        <v>0</v>
      </c>
      <c r="J2831" s="2">
        <v>0</v>
      </c>
      <c r="K2831" s="20">
        <v>1600</v>
      </c>
      <c r="L2831" t="s">
        <v>794</v>
      </c>
      <c r="M2831">
        <f t="shared" si="44"/>
        <v>2025</v>
      </c>
    </row>
    <row r="2832" spans="1:13" ht="12.75" hidden="1" customHeight="1">
      <c r="A2832" t="s">
        <v>1308</v>
      </c>
      <c r="B2832" t="s">
        <v>133</v>
      </c>
      <c r="C2832" t="s">
        <v>200</v>
      </c>
      <c r="D2832" t="s">
        <v>1311</v>
      </c>
      <c r="E2832" s="1">
        <v>45940</v>
      </c>
      <c r="F2832" s="1">
        <v>45943</v>
      </c>
      <c r="G2832" s="12">
        <v>1440</v>
      </c>
      <c r="H2832" s="2">
        <v>0</v>
      </c>
      <c r="I2832" s="2">
        <v>0</v>
      </c>
      <c r="J2832" s="2">
        <v>0</v>
      </c>
      <c r="K2832" s="20">
        <v>1440</v>
      </c>
      <c r="L2832" t="s">
        <v>794</v>
      </c>
      <c r="M2832">
        <f t="shared" si="44"/>
        <v>2025</v>
      </c>
    </row>
    <row r="2833" spans="1:13" ht="12.75" hidden="1" customHeight="1">
      <c r="A2833" t="s">
        <v>887</v>
      </c>
      <c r="B2833" t="s">
        <v>61</v>
      </c>
      <c r="C2833" t="s">
        <v>201</v>
      </c>
      <c r="D2833" t="s">
        <v>1311</v>
      </c>
      <c r="E2833" s="1">
        <v>45940</v>
      </c>
      <c r="F2833" s="1">
        <v>45943</v>
      </c>
      <c r="G2833" s="12">
        <v>1440</v>
      </c>
      <c r="H2833" s="2">
        <v>0</v>
      </c>
      <c r="I2833" s="2">
        <v>0</v>
      </c>
      <c r="J2833" s="2">
        <v>0</v>
      </c>
      <c r="K2833" s="20">
        <v>1440</v>
      </c>
      <c r="L2833" t="s">
        <v>794</v>
      </c>
      <c r="M2833">
        <f t="shared" si="44"/>
        <v>2025</v>
      </c>
    </row>
    <row r="2834" spans="1:13" ht="12.75" hidden="1" customHeight="1">
      <c r="A2834" t="s">
        <v>864</v>
      </c>
      <c r="B2834" t="s">
        <v>36</v>
      </c>
      <c r="C2834" t="s">
        <v>200</v>
      </c>
      <c r="D2834" t="s">
        <v>1311</v>
      </c>
      <c r="E2834" s="1">
        <v>45940</v>
      </c>
      <c r="F2834" s="1">
        <v>45943</v>
      </c>
      <c r="G2834" s="12">
        <v>720</v>
      </c>
      <c r="H2834" s="2">
        <v>0</v>
      </c>
      <c r="I2834" s="2">
        <v>0</v>
      </c>
      <c r="J2834" s="2">
        <v>0</v>
      </c>
      <c r="K2834" s="20">
        <v>720</v>
      </c>
      <c r="L2834" t="s">
        <v>794</v>
      </c>
      <c r="M2834">
        <f t="shared" si="44"/>
        <v>2025</v>
      </c>
    </row>
    <row r="2835" spans="1:13" ht="12.75" hidden="1" customHeight="1">
      <c r="A2835" t="s">
        <v>1158</v>
      </c>
      <c r="B2835" t="s">
        <v>60</v>
      </c>
      <c r="C2835" t="s">
        <v>200</v>
      </c>
      <c r="D2835" t="s">
        <v>1311</v>
      </c>
      <c r="E2835" s="1">
        <v>45940</v>
      </c>
      <c r="F2835" s="1">
        <v>45943</v>
      </c>
      <c r="G2835" s="12">
        <v>1760</v>
      </c>
      <c r="H2835" s="2">
        <v>0</v>
      </c>
      <c r="I2835" s="2">
        <v>0</v>
      </c>
      <c r="J2835" s="2">
        <v>0</v>
      </c>
      <c r="K2835" s="20">
        <v>1760</v>
      </c>
      <c r="L2835" t="s">
        <v>794</v>
      </c>
      <c r="M2835">
        <f t="shared" si="44"/>
        <v>2025</v>
      </c>
    </row>
    <row r="2836" spans="1:13" ht="12.75" hidden="1" customHeight="1">
      <c r="A2836" t="s">
        <v>1045</v>
      </c>
      <c r="B2836" t="s">
        <v>71</v>
      </c>
      <c r="C2836" t="s">
        <v>201</v>
      </c>
      <c r="D2836" t="s">
        <v>1311</v>
      </c>
      <c r="E2836" s="1">
        <v>45940</v>
      </c>
      <c r="F2836" s="1">
        <v>45943</v>
      </c>
      <c r="G2836" s="12">
        <v>1280</v>
      </c>
      <c r="H2836" s="2">
        <v>0</v>
      </c>
      <c r="I2836" s="2">
        <v>0</v>
      </c>
      <c r="J2836" s="2">
        <v>0</v>
      </c>
      <c r="K2836" s="20">
        <v>1280</v>
      </c>
      <c r="L2836" t="s">
        <v>794</v>
      </c>
      <c r="M2836">
        <f t="shared" si="44"/>
        <v>2025</v>
      </c>
    </row>
    <row r="2837" spans="1:13" ht="12.75" hidden="1" customHeight="1">
      <c r="A2837" t="s">
        <v>1173</v>
      </c>
      <c r="B2837" t="s">
        <v>45</v>
      </c>
      <c r="C2837" t="s">
        <v>200</v>
      </c>
      <c r="D2837" t="s">
        <v>1311</v>
      </c>
      <c r="E2837" s="1">
        <v>45940</v>
      </c>
      <c r="F2837" s="1">
        <v>45943</v>
      </c>
      <c r="G2837" s="12">
        <v>860</v>
      </c>
      <c r="H2837" s="2">
        <v>0</v>
      </c>
      <c r="I2837" s="2">
        <v>0</v>
      </c>
      <c r="J2837" s="2">
        <v>0</v>
      </c>
      <c r="K2837" s="20">
        <v>860</v>
      </c>
      <c r="L2837" t="s">
        <v>794</v>
      </c>
      <c r="M2837">
        <f t="shared" si="44"/>
        <v>2025</v>
      </c>
    </row>
    <row r="2838" spans="1:13" ht="12.75" hidden="1" customHeight="1">
      <c r="A2838" t="s">
        <v>1215</v>
      </c>
      <c r="B2838" t="s">
        <v>172</v>
      </c>
      <c r="C2838" t="s">
        <v>200</v>
      </c>
      <c r="D2838" t="s">
        <v>1311</v>
      </c>
      <c r="E2838" s="1">
        <v>45940</v>
      </c>
      <c r="F2838" s="1">
        <v>45943</v>
      </c>
      <c r="G2838" s="12">
        <v>240</v>
      </c>
      <c r="H2838" s="2">
        <v>0</v>
      </c>
      <c r="I2838" s="2">
        <v>0</v>
      </c>
      <c r="J2838" s="2">
        <v>0</v>
      </c>
      <c r="K2838" s="20">
        <v>240</v>
      </c>
      <c r="L2838" t="s">
        <v>794</v>
      </c>
      <c r="M2838">
        <f t="shared" si="44"/>
        <v>2025</v>
      </c>
    </row>
    <row r="2839" spans="1:13" ht="12.75" hidden="1" customHeight="1">
      <c r="A2839" t="s">
        <v>1158</v>
      </c>
      <c r="B2839" t="s">
        <v>60</v>
      </c>
      <c r="C2839" t="s">
        <v>201</v>
      </c>
      <c r="D2839" t="s">
        <v>1311</v>
      </c>
      <c r="E2839" s="1">
        <v>45940</v>
      </c>
      <c r="F2839" s="1">
        <v>45943</v>
      </c>
      <c r="G2839" s="12">
        <v>1040</v>
      </c>
      <c r="H2839" s="2">
        <v>0</v>
      </c>
      <c r="I2839" s="2">
        <v>0</v>
      </c>
      <c r="J2839" s="2">
        <v>0</v>
      </c>
      <c r="K2839" s="20">
        <v>1040</v>
      </c>
      <c r="L2839" t="s">
        <v>794</v>
      </c>
      <c r="M2839">
        <f t="shared" si="44"/>
        <v>2025</v>
      </c>
    </row>
    <row r="2840" spans="1:13" ht="12.75" hidden="1" customHeight="1">
      <c r="A2840" t="s">
        <v>961</v>
      </c>
      <c r="B2840" t="s">
        <v>41</v>
      </c>
      <c r="C2840" t="s">
        <v>200</v>
      </c>
      <c r="D2840" t="s">
        <v>1311</v>
      </c>
      <c r="E2840" s="1">
        <v>45940</v>
      </c>
      <c r="F2840" s="1">
        <v>45943</v>
      </c>
      <c r="G2840" s="12">
        <v>1040</v>
      </c>
      <c r="H2840" s="2">
        <v>0</v>
      </c>
      <c r="I2840" s="2">
        <v>0</v>
      </c>
      <c r="J2840" s="2">
        <v>0</v>
      </c>
      <c r="K2840" s="20">
        <v>1040</v>
      </c>
      <c r="L2840" t="s">
        <v>794</v>
      </c>
      <c r="M2840">
        <f t="shared" si="44"/>
        <v>2025</v>
      </c>
    </row>
    <row r="2841" spans="1:13" ht="12.75" hidden="1" customHeight="1">
      <c r="A2841" t="s">
        <v>1288</v>
      </c>
      <c r="B2841" t="s">
        <v>300</v>
      </c>
      <c r="C2841" t="s">
        <v>200</v>
      </c>
      <c r="D2841" t="s">
        <v>1311</v>
      </c>
      <c r="E2841" s="1">
        <v>45940</v>
      </c>
      <c r="F2841" s="1">
        <v>45943</v>
      </c>
      <c r="G2841" s="12">
        <v>480</v>
      </c>
      <c r="H2841" s="2">
        <v>0</v>
      </c>
      <c r="I2841" s="2">
        <v>0</v>
      </c>
      <c r="J2841" s="2">
        <v>0</v>
      </c>
      <c r="K2841" s="20">
        <v>480</v>
      </c>
      <c r="L2841" t="s">
        <v>794</v>
      </c>
      <c r="M2841">
        <f t="shared" si="44"/>
        <v>2025</v>
      </c>
    </row>
    <row r="2842" spans="1:13" ht="12.75" hidden="1" customHeight="1">
      <c r="A2842" t="s">
        <v>1134</v>
      </c>
      <c r="B2842" t="s">
        <v>33</v>
      </c>
      <c r="C2842" t="s">
        <v>200</v>
      </c>
      <c r="D2842" t="s">
        <v>1311</v>
      </c>
      <c r="E2842" s="1">
        <v>45940</v>
      </c>
      <c r="F2842" s="1">
        <v>45943</v>
      </c>
      <c r="G2842" s="12">
        <v>2160</v>
      </c>
      <c r="H2842" s="2">
        <v>0</v>
      </c>
      <c r="I2842" s="2">
        <v>0</v>
      </c>
      <c r="J2842" s="2">
        <v>0</v>
      </c>
      <c r="K2842" s="20">
        <v>2160</v>
      </c>
      <c r="L2842" t="s">
        <v>794</v>
      </c>
      <c r="M2842">
        <f t="shared" si="44"/>
        <v>2025</v>
      </c>
    </row>
    <row r="2843" spans="1:13" ht="12.75" hidden="1" customHeight="1">
      <c r="A2843" t="s">
        <v>1216</v>
      </c>
      <c r="B2843" t="s">
        <v>109</v>
      </c>
      <c r="C2843" t="s">
        <v>201</v>
      </c>
      <c r="D2843" t="s">
        <v>1311</v>
      </c>
      <c r="E2843" s="1">
        <v>45940</v>
      </c>
      <c r="F2843" s="1">
        <v>45943</v>
      </c>
      <c r="G2843" s="12">
        <v>720</v>
      </c>
      <c r="H2843" s="2">
        <v>0</v>
      </c>
      <c r="I2843" s="2">
        <v>0</v>
      </c>
      <c r="J2843" s="2">
        <v>0</v>
      </c>
      <c r="K2843" s="20">
        <v>720</v>
      </c>
      <c r="L2843" t="s">
        <v>794</v>
      </c>
      <c r="M2843">
        <f t="shared" si="44"/>
        <v>2025</v>
      </c>
    </row>
    <row r="2844" spans="1:13" ht="12.75" hidden="1" customHeight="1">
      <c r="A2844" t="s">
        <v>1202</v>
      </c>
      <c r="B2844" t="s">
        <v>70</v>
      </c>
      <c r="C2844" t="s">
        <v>201</v>
      </c>
      <c r="D2844" t="s">
        <v>1311</v>
      </c>
      <c r="E2844" s="1">
        <v>45940</v>
      </c>
      <c r="F2844" s="1">
        <v>45943</v>
      </c>
      <c r="G2844" s="12">
        <v>2000</v>
      </c>
      <c r="H2844" s="2">
        <v>0</v>
      </c>
      <c r="I2844" s="2">
        <v>0</v>
      </c>
      <c r="J2844" s="2">
        <v>0</v>
      </c>
      <c r="K2844" s="20">
        <v>2000</v>
      </c>
      <c r="L2844" t="s">
        <v>794</v>
      </c>
      <c r="M2844">
        <f t="shared" si="44"/>
        <v>2025</v>
      </c>
    </row>
    <row r="2845" spans="1:13" ht="12.75" hidden="1" customHeight="1">
      <c r="A2845" t="s">
        <v>882</v>
      </c>
      <c r="B2845" t="s">
        <v>34</v>
      </c>
      <c r="C2845" t="s">
        <v>201</v>
      </c>
      <c r="D2845" t="s">
        <v>1311</v>
      </c>
      <c r="E2845" s="1">
        <v>45940</v>
      </c>
      <c r="F2845" s="1">
        <v>45943</v>
      </c>
      <c r="G2845" s="12">
        <v>400</v>
      </c>
      <c r="H2845" s="2">
        <v>0</v>
      </c>
      <c r="I2845" s="2">
        <v>0</v>
      </c>
      <c r="J2845" s="2">
        <v>0</v>
      </c>
      <c r="K2845" s="20">
        <v>400</v>
      </c>
      <c r="L2845" t="s">
        <v>794</v>
      </c>
      <c r="M2845">
        <f t="shared" si="44"/>
        <v>2025</v>
      </c>
    </row>
    <row r="2846" spans="1:13" ht="12.75" hidden="1" customHeight="1">
      <c r="A2846" t="s">
        <v>854</v>
      </c>
      <c r="B2846" t="s">
        <v>79</v>
      </c>
      <c r="C2846" t="s">
        <v>201</v>
      </c>
      <c r="D2846" t="s">
        <v>1311</v>
      </c>
      <c r="E2846" s="1">
        <v>45940</v>
      </c>
      <c r="F2846" s="1">
        <v>45943</v>
      </c>
      <c r="G2846" s="12">
        <v>1100</v>
      </c>
      <c r="H2846" s="2">
        <v>0</v>
      </c>
      <c r="I2846" s="2">
        <v>0</v>
      </c>
      <c r="J2846" s="2">
        <v>0</v>
      </c>
      <c r="K2846" s="20">
        <v>1100</v>
      </c>
      <c r="L2846" t="s">
        <v>794</v>
      </c>
      <c r="M2846">
        <f t="shared" si="44"/>
        <v>2025</v>
      </c>
    </row>
    <row r="2847" spans="1:13" ht="12.75" hidden="1" customHeight="1">
      <c r="A2847" t="s">
        <v>1245</v>
      </c>
      <c r="B2847" t="s">
        <v>156</v>
      </c>
      <c r="C2847" t="s">
        <v>200</v>
      </c>
      <c r="D2847" t="s">
        <v>1311</v>
      </c>
      <c r="E2847" s="1">
        <v>45940</v>
      </c>
      <c r="F2847" s="1">
        <v>45943</v>
      </c>
      <c r="G2847" s="12">
        <v>2000</v>
      </c>
      <c r="H2847" s="2">
        <v>0</v>
      </c>
      <c r="I2847" s="2">
        <v>0</v>
      </c>
      <c r="J2847" s="2">
        <v>0</v>
      </c>
      <c r="K2847" s="20">
        <v>2000</v>
      </c>
      <c r="L2847" t="s">
        <v>794</v>
      </c>
      <c r="M2847">
        <f t="shared" si="44"/>
        <v>2025</v>
      </c>
    </row>
    <row r="2848" spans="1:13" ht="12.75" hidden="1" customHeight="1">
      <c r="A2848" t="s">
        <v>1244</v>
      </c>
      <c r="B2848" t="s">
        <v>241</v>
      </c>
      <c r="C2848" t="s">
        <v>200</v>
      </c>
      <c r="D2848" t="s">
        <v>1311</v>
      </c>
      <c r="E2848" s="1">
        <v>45940</v>
      </c>
      <c r="F2848" s="1">
        <v>45943</v>
      </c>
      <c r="G2848" s="12">
        <v>480</v>
      </c>
      <c r="H2848" s="2">
        <v>0</v>
      </c>
      <c r="I2848" s="2">
        <v>0</v>
      </c>
      <c r="J2848" s="2">
        <v>0</v>
      </c>
      <c r="K2848" s="20">
        <v>480</v>
      </c>
      <c r="L2848" t="s">
        <v>794</v>
      </c>
      <c r="M2848">
        <f t="shared" si="44"/>
        <v>2025</v>
      </c>
    </row>
    <row r="2849" spans="1:13" ht="12.75" hidden="1" customHeight="1">
      <c r="A2849" t="s">
        <v>1170</v>
      </c>
      <c r="B2849" t="s">
        <v>117</v>
      </c>
      <c r="C2849" t="s">
        <v>200</v>
      </c>
      <c r="D2849" t="s">
        <v>1311</v>
      </c>
      <c r="E2849" s="1">
        <v>45940</v>
      </c>
      <c r="F2849" s="1">
        <v>45943</v>
      </c>
      <c r="G2849" s="12">
        <v>1680</v>
      </c>
      <c r="H2849" s="2">
        <v>0</v>
      </c>
      <c r="I2849" s="2">
        <v>0</v>
      </c>
      <c r="J2849" s="2">
        <v>0</v>
      </c>
      <c r="K2849" s="20">
        <v>1680</v>
      </c>
      <c r="L2849" t="s">
        <v>794</v>
      </c>
      <c r="M2849">
        <f t="shared" si="44"/>
        <v>2025</v>
      </c>
    </row>
    <row r="2850" spans="1:13" ht="12.75" hidden="1" customHeight="1">
      <c r="A2850" t="s">
        <v>878</v>
      </c>
      <c r="B2850" t="s">
        <v>32</v>
      </c>
      <c r="C2850" t="s">
        <v>200</v>
      </c>
      <c r="D2850" t="s">
        <v>1311</v>
      </c>
      <c r="E2850" s="1">
        <v>45940</v>
      </c>
      <c r="F2850" s="1">
        <v>45943</v>
      </c>
      <c r="G2850" s="12">
        <v>80</v>
      </c>
      <c r="H2850" s="2">
        <v>0</v>
      </c>
      <c r="I2850" s="2">
        <v>0</v>
      </c>
      <c r="J2850" s="2">
        <v>0</v>
      </c>
      <c r="K2850" s="20">
        <v>80</v>
      </c>
      <c r="L2850" t="s">
        <v>794</v>
      </c>
      <c r="M2850">
        <f t="shared" si="44"/>
        <v>2025</v>
      </c>
    </row>
    <row r="2851" spans="1:13" ht="12.75" hidden="1" customHeight="1">
      <c r="A2851" t="s">
        <v>1278</v>
      </c>
      <c r="B2851" t="s">
        <v>190</v>
      </c>
      <c r="C2851" t="s">
        <v>729</v>
      </c>
      <c r="D2851" t="s">
        <v>1311</v>
      </c>
      <c r="E2851" s="1">
        <v>45943</v>
      </c>
      <c r="F2851" s="1">
        <v>45943</v>
      </c>
      <c r="G2851" s="12">
        <v>700</v>
      </c>
      <c r="H2851" s="2">
        <v>0</v>
      </c>
      <c r="I2851" s="2">
        <v>0</v>
      </c>
      <c r="J2851" s="2">
        <v>0</v>
      </c>
      <c r="K2851" s="20">
        <v>700</v>
      </c>
      <c r="L2851" t="s">
        <v>794</v>
      </c>
      <c r="M2851">
        <f t="shared" si="44"/>
        <v>2025</v>
      </c>
    </row>
    <row r="2852" spans="1:13" ht="12.75" hidden="1" customHeight="1">
      <c r="A2852" t="s">
        <v>1009</v>
      </c>
      <c r="B2852" t="s">
        <v>62</v>
      </c>
      <c r="C2852" t="s">
        <v>141</v>
      </c>
      <c r="D2852" t="s">
        <v>1311</v>
      </c>
      <c r="E2852" s="1">
        <v>45940</v>
      </c>
      <c r="F2852" s="1">
        <v>45943</v>
      </c>
      <c r="G2852" s="12">
        <v>1250</v>
      </c>
      <c r="H2852" s="2">
        <v>0</v>
      </c>
      <c r="I2852" s="2">
        <v>0</v>
      </c>
      <c r="J2852" s="2">
        <v>0</v>
      </c>
      <c r="K2852" s="20">
        <v>1250</v>
      </c>
      <c r="L2852" t="s">
        <v>794</v>
      </c>
      <c r="M2852">
        <f t="shared" si="44"/>
        <v>2025</v>
      </c>
    </row>
    <row r="2853" spans="1:13" ht="12.75" hidden="1" customHeight="1">
      <c r="A2853" t="s">
        <v>855</v>
      </c>
      <c r="B2853" t="s">
        <v>20</v>
      </c>
      <c r="C2853" t="s">
        <v>140</v>
      </c>
      <c r="D2853" t="s">
        <v>1311</v>
      </c>
      <c r="E2853" s="1">
        <v>45940</v>
      </c>
      <c r="F2853" s="1">
        <v>45943</v>
      </c>
      <c r="G2853" s="12">
        <v>500</v>
      </c>
      <c r="H2853" s="2">
        <v>0</v>
      </c>
      <c r="I2853" s="2">
        <v>0</v>
      </c>
      <c r="J2853" s="2">
        <v>0</v>
      </c>
      <c r="K2853" s="20">
        <v>500</v>
      </c>
      <c r="L2853" t="s">
        <v>794</v>
      </c>
      <c r="M2853">
        <f t="shared" si="44"/>
        <v>2025</v>
      </c>
    </row>
    <row r="2854" spans="1:13" ht="12.75" hidden="1" customHeight="1">
      <c r="A2854" t="s">
        <v>1299</v>
      </c>
      <c r="B2854" t="s">
        <v>399</v>
      </c>
      <c r="C2854" t="s">
        <v>760</v>
      </c>
      <c r="D2854" t="s">
        <v>1311</v>
      </c>
      <c r="E2854" s="1">
        <v>45943</v>
      </c>
      <c r="F2854" s="1">
        <v>45943</v>
      </c>
      <c r="G2854" s="12">
        <v>250</v>
      </c>
      <c r="H2854" s="2">
        <v>0</v>
      </c>
      <c r="I2854" s="2">
        <v>0</v>
      </c>
      <c r="J2854" s="2">
        <v>0</v>
      </c>
      <c r="K2854" s="20">
        <v>250</v>
      </c>
      <c r="L2854" t="s">
        <v>794</v>
      </c>
      <c r="M2854">
        <f t="shared" si="44"/>
        <v>2025</v>
      </c>
    </row>
    <row r="2855" spans="1:13" ht="12.75" hidden="1" customHeight="1">
      <c r="A2855" t="s">
        <v>892</v>
      </c>
      <c r="B2855" t="s">
        <v>110</v>
      </c>
      <c r="C2855" t="s">
        <v>733</v>
      </c>
      <c r="D2855" t="s">
        <v>1311</v>
      </c>
      <c r="E2855" s="1">
        <v>45943</v>
      </c>
      <c r="F2855" s="1">
        <v>45943</v>
      </c>
      <c r="G2855" s="12">
        <v>850</v>
      </c>
      <c r="H2855" s="2">
        <v>0</v>
      </c>
      <c r="I2855" s="2">
        <v>0</v>
      </c>
      <c r="J2855" s="2">
        <v>0</v>
      </c>
      <c r="K2855" s="20">
        <v>850</v>
      </c>
      <c r="L2855" t="s">
        <v>794</v>
      </c>
      <c r="M2855">
        <f t="shared" si="44"/>
        <v>2025</v>
      </c>
    </row>
    <row r="2856" spans="1:13" ht="12.75" hidden="1" customHeight="1">
      <c r="A2856" t="s">
        <v>812</v>
      </c>
      <c r="B2856" t="s">
        <v>31</v>
      </c>
      <c r="C2856" t="s">
        <v>141</v>
      </c>
      <c r="D2856" t="s">
        <v>1311</v>
      </c>
      <c r="E2856" s="1">
        <v>45940</v>
      </c>
      <c r="F2856" s="1">
        <v>45943</v>
      </c>
      <c r="G2856" s="12">
        <v>440</v>
      </c>
      <c r="H2856" s="2">
        <v>0</v>
      </c>
      <c r="I2856" s="2">
        <v>0</v>
      </c>
      <c r="J2856" s="2">
        <v>0</v>
      </c>
      <c r="K2856" s="20">
        <v>440</v>
      </c>
      <c r="L2856" t="s">
        <v>794</v>
      </c>
      <c r="M2856">
        <f t="shared" si="44"/>
        <v>2025</v>
      </c>
    </row>
    <row r="2857" spans="1:13" ht="12.75" hidden="1" customHeight="1">
      <c r="A2857" t="s">
        <v>924</v>
      </c>
      <c r="B2857" t="s">
        <v>87</v>
      </c>
      <c r="C2857" t="s">
        <v>141</v>
      </c>
      <c r="D2857" t="s">
        <v>1311</v>
      </c>
      <c r="E2857" s="1">
        <v>45940</v>
      </c>
      <c r="F2857" s="1">
        <v>45943</v>
      </c>
      <c r="G2857" s="12">
        <v>500</v>
      </c>
      <c r="H2857" s="2">
        <v>0</v>
      </c>
      <c r="I2857" s="2">
        <v>0</v>
      </c>
      <c r="J2857" s="2">
        <v>0</v>
      </c>
      <c r="K2857" s="20">
        <v>500</v>
      </c>
      <c r="L2857" t="s">
        <v>794</v>
      </c>
      <c r="M2857">
        <f t="shared" si="44"/>
        <v>2025</v>
      </c>
    </row>
    <row r="2858" spans="1:13" ht="12.75" hidden="1" customHeight="1">
      <c r="A2858" t="s">
        <v>826</v>
      </c>
      <c r="B2858" t="s">
        <v>21</v>
      </c>
      <c r="C2858" t="s">
        <v>141</v>
      </c>
      <c r="D2858" t="s">
        <v>1311</v>
      </c>
      <c r="E2858" s="1">
        <v>45940</v>
      </c>
      <c r="F2858" s="1">
        <v>45943</v>
      </c>
      <c r="G2858" s="12">
        <v>4430</v>
      </c>
      <c r="H2858" s="2">
        <v>0</v>
      </c>
      <c r="I2858" s="2">
        <v>0</v>
      </c>
      <c r="J2858" s="2">
        <v>0</v>
      </c>
      <c r="K2858" s="20">
        <v>4430</v>
      </c>
      <c r="L2858" t="s">
        <v>794</v>
      </c>
      <c r="M2858">
        <f t="shared" si="44"/>
        <v>2025</v>
      </c>
    </row>
    <row r="2859" spans="1:13" ht="12.75" hidden="1" customHeight="1">
      <c r="A2859" t="s">
        <v>1011</v>
      </c>
      <c r="B2859" t="s">
        <v>77</v>
      </c>
      <c r="C2859" t="s">
        <v>201</v>
      </c>
      <c r="D2859" t="s">
        <v>1311</v>
      </c>
      <c r="E2859" s="1">
        <v>45940</v>
      </c>
      <c r="F2859" s="1">
        <v>45943</v>
      </c>
      <c r="G2859" s="12">
        <v>560</v>
      </c>
      <c r="H2859" s="2">
        <v>0</v>
      </c>
      <c r="I2859" s="2">
        <v>0</v>
      </c>
      <c r="J2859" s="2">
        <v>0</v>
      </c>
      <c r="K2859" s="20">
        <v>560</v>
      </c>
      <c r="L2859" t="s">
        <v>794</v>
      </c>
      <c r="M2859">
        <f t="shared" si="44"/>
        <v>2025</v>
      </c>
    </row>
    <row r="2860" spans="1:13" ht="12.75" hidden="1" customHeight="1">
      <c r="A2860" t="s">
        <v>1104</v>
      </c>
      <c r="B2860" t="s">
        <v>53</v>
      </c>
      <c r="C2860" t="s">
        <v>141</v>
      </c>
      <c r="D2860" t="s">
        <v>1311</v>
      </c>
      <c r="E2860" s="1">
        <v>45943</v>
      </c>
      <c r="F2860" s="1">
        <v>45943</v>
      </c>
      <c r="G2860" s="12">
        <v>240</v>
      </c>
      <c r="H2860" s="2">
        <v>0</v>
      </c>
      <c r="I2860" s="2">
        <v>0</v>
      </c>
      <c r="J2860" s="2">
        <v>0</v>
      </c>
      <c r="K2860" s="20">
        <v>240</v>
      </c>
      <c r="L2860" t="s">
        <v>794</v>
      </c>
      <c r="M2860">
        <f t="shared" si="44"/>
        <v>2025</v>
      </c>
    </row>
    <row r="2861" spans="1:13" ht="12.75" hidden="1" customHeight="1">
      <c r="A2861" t="s">
        <v>1216</v>
      </c>
      <c r="B2861" t="s">
        <v>109</v>
      </c>
      <c r="C2861" t="s">
        <v>200</v>
      </c>
      <c r="D2861" t="s">
        <v>1311</v>
      </c>
      <c r="E2861" s="1">
        <v>45940</v>
      </c>
      <c r="F2861" s="1">
        <v>45943</v>
      </c>
      <c r="G2861" s="12">
        <v>1680</v>
      </c>
      <c r="H2861" s="2">
        <v>0</v>
      </c>
      <c r="I2861" s="2">
        <v>0</v>
      </c>
      <c r="J2861" s="2">
        <v>0</v>
      </c>
      <c r="K2861" s="20">
        <v>1680</v>
      </c>
      <c r="L2861" t="s">
        <v>794</v>
      </c>
      <c r="M2861">
        <f t="shared" si="44"/>
        <v>2025</v>
      </c>
    </row>
    <row r="2862" spans="1:13" ht="12.75" hidden="1" customHeight="1">
      <c r="A2862" t="s">
        <v>864</v>
      </c>
      <c r="B2862" t="s">
        <v>36</v>
      </c>
      <c r="C2862" t="s">
        <v>201</v>
      </c>
      <c r="D2862" t="s">
        <v>1311</v>
      </c>
      <c r="E2862" s="1">
        <v>45940</v>
      </c>
      <c r="F2862" s="1">
        <v>45943</v>
      </c>
      <c r="G2862" s="12">
        <v>3360</v>
      </c>
      <c r="H2862" s="2">
        <v>0</v>
      </c>
      <c r="I2862" s="2">
        <v>0</v>
      </c>
      <c r="J2862" s="2">
        <v>0</v>
      </c>
      <c r="K2862" s="20">
        <v>3360</v>
      </c>
      <c r="L2862" t="s">
        <v>794</v>
      </c>
      <c r="M2862">
        <f t="shared" si="44"/>
        <v>2025</v>
      </c>
    </row>
    <row r="2863" spans="1:13" ht="12.75" hidden="1" customHeight="1">
      <c r="A2863" t="s">
        <v>1293</v>
      </c>
      <c r="B2863" t="s">
        <v>239</v>
      </c>
      <c r="C2863" t="s">
        <v>200</v>
      </c>
      <c r="D2863" t="s">
        <v>1311</v>
      </c>
      <c r="E2863" s="1">
        <v>45943</v>
      </c>
      <c r="F2863" s="1">
        <v>45943</v>
      </c>
      <c r="G2863" s="12">
        <v>1680</v>
      </c>
      <c r="H2863" s="2">
        <v>0</v>
      </c>
      <c r="I2863" s="2">
        <v>0</v>
      </c>
      <c r="J2863" s="2">
        <v>0</v>
      </c>
      <c r="K2863" s="20">
        <v>1680</v>
      </c>
      <c r="L2863" t="s">
        <v>794</v>
      </c>
      <c r="M2863">
        <f t="shared" si="44"/>
        <v>2025</v>
      </c>
    </row>
    <row r="2864" spans="1:13" ht="12.75" hidden="1" customHeight="1">
      <c r="A2864" t="s">
        <v>855</v>
      </c>
      <c r="B2864" t="s">
        <v>20</v>
      </c>
      <c r="C2864" t="s">
        <v>141</v>
      </c>
      <c r="D2864" t="s">
        <v>1311</v>
      </c>
      <c r="E2864" s="1">
        <v>45943</v>
      </c>
      <c r="F2864" s="1">
        <v>45943</v>
      </c>
      <c r="G2864" s="12">
        <v>375</v>
      </c>
      <c r="H2864" s="2">
        <v>0</v>
      </c>
      <c r="I2864" s="2">
        <v>0</v>
      </c>
      <c r="J2864" s="2">
        <v>0</v>
      </c>
      <c r="K2864" s="20">
        <v>375</v>
      </c>
      <c r="L2864" t="s">
        <v>794</v>
      </c>
      <c r="M2864">
        <f t="shared" si="44"/>
        <v>2025</v>
      </c>
    </row>
    <row r="2865" spans="1:13" ht="12.75" hidden="1" customHeight="1">
      <c r="A2865" t="s">
        <v>1246</v>
      </c>
      <c r="B2865" t="s">
        <v>63</v>
      </c>
      <c r="C2865" t="s">
        <v>200</v>
      </c>
      <c r="D2865" t="s">
        <v>1311</v>
      </c>
      <c r="E2865" s="1">
        <v>45943</v>
      </c>
      <c r="F2865" s="1">
        <v>45943</v>
      </c>
      <c r="G2865" s="12">
        <v>3680</v>
      </c>
      <c r="H2865" s="2">
        <v>0</v>
      </c>
      <c r="I2865" s="2">
        <v>0</v>
      </c>
      <c r="J2865" s="2">
        <v>0</v>
      </c>
      <c r="K2865" s="20">
        <v>3680</v>
      </c>
      <c r="L2865" t="s">
        <v>794</v>
      </c>
      <c r="M2865">
        <f t="shared" si="44"/>
        <v>2025</v>
      </c>
    </row>
    <row r="2866" spans="1:13" ht="12.75" hidden="1" customHeight="1">
      <c r="A2866" t="s">
        <v>1246</v>
      </c>
      <c r="B2866" t="s">
        <v>63</v>
      </c>
      <c r="C2866" t="s">
        <v>201</v>
      </c>
      <c r="D2866" t="s">
        <v>1311</v>
      </c>
      <c r="E2866" s="1">
        <v>45943</v>
      </c>
      <c r="F2866" s="1">
        <v>45943</v>
      </c>
      <c r="G2866" s="12">
        <v>400</v>
      </c>
      <c r="H2866" s="2">
        <v>0</v>
      </c>
      <c r="I2866" s="2">
        <v>0</v>
      </c>
      <c r="J2866" s="2">
        <v>0</v>
      </c>
      <c r="K2866" s="20">
        <v>400</v>
      </c>
      <c r="L2866" t="s">
        <v>794</v>
      </c>
      <c r="M2866">
        <f t="shared" si="44"/>
        <v>2025</v>
      </c>
    </row>
    <row r="2867" spans="1:13" ht="12.75" hidden="1" customHeight="1">
      <c r="A2867" t="s">
        <v>1316</v>
      </c>
      <c r="B2867" t="s">
        <v>59</v>
      </c>
      <c r="C2867" t="s">
        <v>139</v>
      </c>
      <c r="D2867" t="s">
        <v>1311</v>
      </c>
      <c r="E2867" s="1">
        <v>45943</v>
      </c>
      <c r="F2867" s="1">
        <v>45944</v>
      </c>
      <c r="G2867" s="12">
        <v>302.60000000000002</v>
      </c>
      <c r="H2867" s="2">
        <v>0</v>
      </c>
      <c r="I2867" s="2">
        <v>0</v>
      </c>
      <c r="J2867" s="2">
        <v>0</v>
      </c>
      <c r="K2867" s="20">
        <v>302.60000000000002</v>
      </c>
      <c r="L2867" t="s">
        <v>794</v>
      </c>
      <c r="M2867">
        <f t="shared" si="44"/>
        <v>2025</v>
      </c>
    </row>
    <row r="2868" spans="1:13" ht="12.75" hidden="1" customHeight="1">
      <c r="A2868" t="s">
        <v>878</v>
      </c>
      <c r="B2868" t="s">
        <v>32</v>
      </c>
      <c r="C2868" t="s">
        <v>721</v>
      </c>
      <c r="D2868" t="s">
        <v>1311</v>
      </c>
      <c r="E2868" s="1">
        <v>45940</v>
      </c>
      <c r="F2868" s="1">
        <v>45944</v>
      </c>
      <c r="G2868" s="12">
        <v>1200</v>
      </c>
      <c r="H2868" s="2">
        <v>0</v>
      </c>
      <c r="I2868" s="2">
        <v>0</v>
      </c>
      <c r="J2868" s="2">
        <v>0</v>
      </c>
      <c r="K2868" s="20">
        <v>1200</v>
      </c>
      <c r="L2868" t="s">
        <v>794</v>
      </c>
      <c r="M2868">
        <f t="shared" si="44"/>
        <v>2025</v>
      </c>
    </row>
    <row r="2869" spans="1:13" ht="12.75" hidden="1" customHeight="1">
      <c r="A2869" t="s">
        <v>1287</v>
      </c>
      <c r="B2869" t="s">
        <v>83</v>
      </c>
      <c r="C2869" t="s">
        <v>200</v>
      </c>
      <c r="D2869" t="s">
        <v>1311</v>
      </c>
      <c r="E2869" s="1">
        <v>45940</v>
      </c>
      <c r="F2869" s="1">
        <v>45944</v>
      </c>
      <c r="G2869" s="12">
        <v>880</v>
      </c>
      <c r="H2869" s="2">
        <v>0</v>
      </c>
      <c r="I2869" s="2">
        <v>0</v>
      </c>
      <c r="J2869" s="2">
        <v>0</v>
      </c>
      <c r="K2869" s="20">
        <v>880</v>
      </c>
      <c r="L2869" t="s">
        <v>794</v>
      </c>
      <c r="M2869">
        <f t="shared" si="44"/>
        <v>2025</v>
      </c>
    </row>
    <row r="2870" spans="1:13" ht="12.75" hidden="1" customHeight="1">
      <c r="A2870" t="s">
        <v>1243</v>
      </c>
      <c r="B2870" t="s">
        <v>233</v>
      </c>
      <c r="C2870" t="s">
        <v>200</v>
      </c>
      <c r="D2870" t="s">
        <v>1311</v>
      </c>
      <c r="E2870" s="1">
        <v>45940</v>
      </c>
      <c r="F2870" s="1">
        <v>45944</v>
      </c>
      <c r="G2870" s="12">
        <v>560</v>
      </c>
      <c r="H2870" s="2">
        <v>0</v>
      </c>
      <c r="I2870" s="2">
        <v>0</v>
      </c>
      <c r="J2870" s="2">
        <v>0</v>
      </c>
      <c r="K2870" s="20">
        <v>560</v>
      </c>
      <c r="L2870" t="s">
        <v>794</v>
      </c>
      <c r="M2870">
        <f t="shared" si="44"/>
        <v>2025</v>
      </c>
    </row>
    <row r="2871" spans="1:13" ht="12.75" hidden="1" customHeight="1">
      <c r="A2871" t="s">
        <v>1317</v>
      </c>
      <c r="B2871" t="s">
        <v>64</v>
      </c>
      <c r="C2871" t="s">
        <v>139</v>
      </c>
      <c r="D2871" t="s">
        <v>1311</v>
      </c>
      <c r="E2871" s="1">
        <v>45943</v>
      </c>
      <c r="F2871" s="1">
        <v>45944</v>
      </c>
      <c r="G2871" s="12">
        <v>302.60000000000002</v>
      </c>
      <c r="H2871" s="2">
        <v>0</v>
      </c>
      <c r="I2871" s="2">
        <v>0</v>
      </c>
      <c r="J2871" s="2">
        <v>0</v>
      </c>
      <c r="K2871" s="20">
        <v>302.60000000000002</v>
      </c>
      <c r="L2871" t="s">
        <v>794</v>
      </c>
      <c r="M2871">
        <f t="shared" si="44"/>
        <v>2025</v>
      </c>
    </row>
    <row r="2872" spans="1:13" ht="12.75" hidden="1" customHeight="1">
      <c r="A2872" t="s">
        <v>1261</v>
      </c>
      <c r="B2872" t="s">
        <v>297</v>
      </c>
      <c r="C2872" t="s">
        <v>753</v>
      </c>
      <c r="D2872" t="s">
        <v>1311</v>
      </c>
      <c r="E2872" s="1">
        <v>45943</v>
      </c>
      <c r="F2872" s="1">
        <v>45944</v>
      </c>
      <c r="G2872" s="12">
        <v>250</v>
      </c>
      <c r="H2872" s="2">
        <v>0</v>
      </c>
      <c r="I2872" s="2">
        <v>0</v>
      </c>
      <c r="J2872" s="2">
        <v>0</v>
      </c>
      <c r="K2872" s="20">
        <v>250</v>
      </c>
      <c r="L2872" t="s">
        <v>794</v>
      </c>
      <c r="M2872">
        <f t="shared" si="44"/>
        <v>2025</v>
      </c>
    </row>
    <row r="2873" spans="1:13" ht="12.75" hidden="1" customHeight="1">
      <c r="A2873" t="s">
        <v>1287</v>
      </c>
      <c r="B2873" t="s">
        <v>83</v>
      </c>
      <c r="C2873" t="s">
        <v>201</v>
      </c>
      <c r="D2873" t="s">
        <v>1311</v>
      </c>
      <c r="E2873" s="1">
        <v>45940</v>
      </c>
      <c r="F2873" s="1">
        <v>45944</v>
      </c>
      <c r="G2873" s="12">
        <v>3400</v>
      </c>
      <c r="H2873" s="2">
        <v>0</v>
      </c>
      <c r="I2873" s="2">
        <v>0</v>
      </c>
      <c r="J2873" s="2">
        <v>0</v>
      </c>
      <c r="K2873" s="20">
        <v>3400</v>
      </c>
      <c r="L2873" t="s">
        <v>794</v>
      </c>
      <c r="M2873">
        <f t="shared" si="44"/>
        <v>2025</v>
      </c>
    </row>
    <row r="2874" spans="1:13" ht="12.75" hidden="1" customHeight="1">
      <c r="A2874" t="s">
        <v>836</v>
      </c>
      <c r="B2874" t="s">
        <v>37</v>
      </c>
      <c r="C2874" t="s">
        <v>140</v>
      </c>
      <c r="D2874" t="s">
        <v>1311</v>
      </c>
      <c r="E2874" s="1">
        <v>45943</v>
      </c>
      <c r="F2874" s="1">
        <v>45944</v>
      </c>
      <c r="G2874" s="12">
        <v>600</v>
      </c>
      <c r="H2874" s="2">
        <v>0</v>
      </c>
      <c r="I2874" s="2">
        <v>0</v>
      </c>
      <c r="J2874" s="2">
        <v>0</v>
      </c>
      <c r="K2874" s="20">
        <v>600</v>
      </c>
      <c r="L2874" t="s">
        <v>794</v>
      </c>
      <c r="M2874">
        <f t="shared" si="44"/>
        <v>2025</v>
      </c>
    </row>
    <row r="2875" spans="1:13" ht="12.75" hidden="1" customHeight="1">
      <c r="A2875" t="s">
        <v>1214</v>
      </c>
      <c r="B2875" t="s">
        <v>229</v>
      </c>
      <c r="C2875" t="s">
        <v>183</v>
      </c>
      <c r="D2875" t="s">
        <v>1311</v>
      </c>
      <c r="E2875" s="1">
        <v>45944</v>
      </c>
      <c r="F2875" s="1">
        <v>45944</v>
      </c>
      <c r="G2875" s="12">
        <v>300</v>
      </c>
      <c r="H2875" s="2">
        <v>0</v>
      </c>
      <c r="I2875" s="2">
        <v>0</v>
      </c>
      <c r="J2875" s="2">
        <v>0</v>
      </c>
      <c r="K2875" s="20">
        <v>300</v>
      </c>
      <c r="L2875" t="s">
        <v>794</v>
      </c>
      <c r="M2875">
        <f t="shared" si="44"/>
        <v>2025</v>
      </c>
    </row>
    <row r="2876" spans="1:13" ht="12.75" hidden="1" customHeight="1">
      <c r="A2876" t="s">
        <v>948</v>
      </c>
      <c r="B2876" t="s">
        <v>89</v>
      </c>
      <c r="C2876" t="s">
        <v>723</v>
      </c>
      <c r="D2876" t="s">
        <v>1311</v>
      </c>
      <c r="E2876" s="1">
        <v>45943</v>
      </c>
      <c r="F2876" s="1">
        <v>45944</v>
      </c>
      <c r="G2876" s="12">
        <v>666</v>
      </c>
      <c r="H2876" s="2">
        <v>0</v>
      </c>
      <c r="I2876" s="2">
        <v>0</v>
      </c>
      <c r="J2876" s="2">
        <v>0</v>
      </c>
      <c r="K2876" s="20">
        <v>666</v>
      </c>
      <c r="L2876" t="s">
        <v>794</v>
      </c>
      <c r="M2876">
        <f t="shared" si="44"/>
        <v>2025</v>
      </c>
    </row>
    <row r="2877" spans="1:13" ht="12.75" hidden="1" customHeight="1">
      <c r="A2877" t="s">
        <v>801</v>
      </c>
      <c r="B2877" t="s">
        <v>13</v>
      </c>
      <c r="C2877" t="s">
        <v>717</v>
      </c>
      <c r="D2877" t="s">
        <v>1311</v>
      </c>
      <c r="E2877" s="1">
        <v>45944</v>
      </c>
      <c r="F2877" s="1">
        <v>45944</v>
      </c>
      <c r="G2877" s="12">
        <v>5832</v>
      </c>
      <c r="H2877" s="2">
        <v>0</v>
      </c>
      <c r="I2877" s="2">
        <v>0</v>
      </c>
      <c r="J2877" s="2">
        <v>0</v>
      </c>
      <c r="K2877" s="20">
        <v>5832</v>
      </c>
      <c r="L2877" t="s">
        <v>794</v>
      </c>
      <c r="M2877">
        <f t="shared" si="44"/>
        <v>2025</v>
      </c>
    </row>
    <row r="2878" spans="1:13" ht="12.75" hidden="1" customHeight="1">
      <c r="A2878" t="s">
        <v>806</v>
      </c>
      <c r="B2878" t="s">
        <v>19</v>
      </c>
      <c r="C2878" t="s">
        <v>720</v>
      </c>
      <c r="D2878" t="s">
        <v>1311</v>
      </c>
      <c r="E2878" s="1">
        <v>45945</v>
      </c>
      <c r="F2878" s="1">
        <v>45945</v>
      </c>
      <c r="G2878" s="12">
        <v>6000</v>
      </c>
      <c r="H2878" s="2">
        <v>0</v>
      </c>
      <c r="I2878" s="2">
        <v>0</v>
      </c>
      <c r="J2878" s="2">
        <v>0</v>
      </c>
      <c r="K2878" s="20">
        <v>6000</v>
      </c>
      <c r="L2878" t="s">
        <v>794</v>
      </c>
      <c r="M2878">
        <f t="shared" si="44"/>
        <v>2025</v>
      </c>
    </row>
    <row r="2879" spans="1:13" ht="12.75" hidden="1" customHeight="1">
      <c r="A2879" t="s">
        <v>1211</v>
      </c>
      <c r="B2879" t="s">
        <v>73</v>
      </c>
      <c r="C2879" t="s">
        <v>721</v>
      </c>
      <c r="D2879" t="s">
        <v>1311</v>
      </c>
      <c r="E2879" s="1">
        <v>45945</v>
      </c>
      <c r="F2879" s="1">
        <v>45945</v>
      </c>
      <c r="G2879" s="12">
        <v>1500</v>
      </c>
      <c r="H2879" s="2">
        <v>0</v>
      </c>
      <c r="I2879" s="2">
        <v>0</v>
      </c>
      <c r="J2879" s="2">
        <v>0</v>
      </c>
      <c r="K2879" s="20">
        <v>1500</v>
      </c>
      <c r="L2879" t="s">
        <v>794</v>
      </c>
      <c r="M2879">
        <f t="shared" si="44"/>
        <v>2025</v>
      </c>
    </row>
    <row r="2880" spans="1:13" ht="12.75" hidden="1" customHeight="1">
      <c r="A2880" t="s">
        <v>801</v>
      </c>
      <c r="B2880" t="s">
        <v>13</v>
      </c>
      <c r="C2880" t="s">
        <v>717</v>
      </c>
      <c r="D2880" t="s">
        <v>1311</v>
      </c>
      <c r="E2880" s="1">
        <v>45945</v>
      </c>
      <c r="F2880" s="1">
        <v>45945</v>
      </c>
      <c r="G2880" s="12">
        <v>210.38</v>
      </c>
      <c r="H2880" s="2">
        <v>0</v>
      </c>
      <c r="I2880" s="2">
        <v>0</v>
      </c>
      <c r="J2880" s="2">
        <v>0</v>
      </c>
      <c r="K2880" s="20">
        <v>210.38</v>
      </c>
      <c r="L2880" t="s">
        <v>794</v>
      </c>
      <c r="M2880">
        <f t="shared" si="44"/>
        <v>2025</v>
      </c>
    </row>
    <row r="2881" spans="1:13" ht="12.75" hidden="1" customHeight="1">
      <c r="A2881" t="s">
        <v>801</v>
      </c>
      <c r="B2881" t="s">
        <v>13</v>
      </c>
      <c r="C2881" t="s">
        <v>717</v>
      </c>
      <c r="D2881" t="s">
        <v>1311</v>
      </c>
      <c r="E2881" s="1">
        <v>45933</v>
      </c>
      <c r="F2881" s="1">
        <v>45945</v>
      </c>
      <c r="G2881" s="12">
        <v>4357.7300000000005</v>
      </c>
      <c r="H2881" s="2">
        <v>0</v>
      </c>
      <c r="I2881" s="2">
        <v>0</v>
      </c>
      <c r="J2881" s="2">
        <v>0</v>
      </c>
      <c r="K2881" s="20">
        <v>4357.7300000000005</v>
      </c>
      <c r="L2881" t="s">
        <v>794</v>
      </c>
      <c r="M2881">
        <f t="shared" si="44"/>
        <v>2025</v>
      </c>
    </row>
    <row r="2882" spans="1:13" ht="12.75" hidden="1" customHeight="1">
      <c r="A2882" t="s">
        <v>801</v>
      </c>
      <c r="B2882" t="s">
        <v>13</v>
      </c>
      <c r="C2882" t="s">
        <v>717</v>
      </c>
      <c r="D2882" t="s">
        <v>1311</v>
      </c>
      <c r="E2882" s="1">
        <v>45936</v>
      </c>
      <c r="F2882" s="1">
        <v>45945</v>
      </c>
      <c r="G2882" s="12">
        <v>135.52000000000001</v>
      </c>
      <c r="H2882" s="2">
        <v>0</v>
      </c>
      <c r="I2882" s="2">
        <v>0</v>
      </c>
      <c r="J2882" s="2">
        <v>0</v>
      </c>
      <c r="K2882" s="20">
        <v>135.52000000000001</v>
      </c>
      <c r="L2882" t="s">
        <v>794</v>
      </c>
      <c r="M2882">
        <f t="shared" si="44"/>
        <v>2025</v>
      </c>
    </row>
    <row r="2883" spans="1:13" ht="12.75" hidden="1" customHeight="1">
      <c r="A2883" t="s">
        <v>801</v>
      </c>
      <c r="B2883" t="s">
        <v>13</v>
      </c>
      <c r="C2883" t="s">
        <v>726</v>
      </c>
      <c r="D2883" t="s">
        <v>1311</v>
      </c>
      <c r="E2883" s="1">
        <v>45933</v>
      </c>
      <c r="F2883" s="1">
        <v>45945</v>
      </c>
      <c r="G2883" s="12">
        <v>6.12</v>
      </c>
      <c r="H2883" s="2">
        <v>0</v>
      </c>
      <c r="I2883" s="2">
        <v>0</v>
      </c>
      <c r="J2883" s="2">
        <v>0</v>
      </c>
      <c r="K2883" s="20">
        <v>6.12</v>
      </c>
      <c r="L2883" t="s">
        <v>794</v>
      </c>
      <c r="M2883">
        <f t="shared" ref="M2883:M2946" si="45">YEAR(F2883)</f>
        <v>2025</v>
      </c>
    </row>
    <row r="2884" spans="1:13" ht="12.75" hidden="1" customHeight="1">
      <c r="A2884" t="s">
        <v>801</v>
      </c>
      <c r="B2884" t="s">
        <v>13</v>
      </c>
      <c r="C2884" t="s">
        <v>726</v>
      </c>
      <c r="D2884" t="s">
        <v>1311</v>
      </c>
      <c r="E2884" s="1">
        <v>45936</v>
      </c>
      <c r="F2884" s="1">
        <v>45945</v>
      </c>
      <c r="G2884" s="12">
        <v>6.12</v>
      </c>
      <c r="H2884" s="2">
        <v>0</v>
      </c>
      <c r="I2884" s="2">
        <v>0</v>
      </c>
      <c r="J2884" s="2">
        <v>0</v>
      </c>
      <c r="K2884" s="20">
        <v>6.12</v>
      </c>
      <c r="L2884" t="s">
        <v>794</v>
      </c>
      <c r="M2884">
        <f t="shared" si="45"/>
        <v>2025</v>
      </c>
    </row>
    <row r="2885" spans="1:13" ht="12.75" hidden="1" customHeight="1">
      <c r="A2885" t="s">
        <v>801</v>
      </c>
      <c r="B2885" t="s">
        <v>13</v>
      </c>
      <c r="C2885" t="s">
        <v>726</v>
      </c>
      <c r="D2885" t="s">
        <v>1311</v>
      </c>
      <c r="E2885" s="1">
        <v>45936</v>
      </c>
      <c r="F2885" s="1">
        <v>45945</v>
      </c>
      <c r="G2885" s="12">
        <v>8.16</v>
      </c>
      <c r="H2885" s="2">
        <v>0</v>
      </c>
      <c r="I2885" s="2">
        <v>0</v>
      </c>
      <c r="J2885" s="2">
        <v>0</v>
      </c>
      <c r="K2885" s="20">
        <v>8.16</v>
      </c>
      <c r="L2885" t="s">
        <v>794</v>
      </c>
      <c r="M2885">
        <f t="shared" si="45"/>
        <v>2025</v>
      </c>
    </row>
    <row r="2886" spans="1:13" ht="12.75" hidden="1" customHeight="1">
      <c r="A2886" t="s">
        <v>801</v>
      </c>
      <c r="B2886" t="s">
        <v>13</v>
      </c>
      <c r="C2886" t="s">
        <v>726</v>
      </c>
      <c r="D2886" t="s">
        <v>1311</v>
      </c>
      <c r="E2886" s="1">
        <v>45936</v>
      </c>
      <c r="F2886" s="1">
        <v>45945</v>
      </c>
      <c r="G2886" s="12">
        <v>14.280000000000001</v>
      </c>
      <c r="H2886" s="2">
        <v>0</v>
      </c>
      <c r="I2886" s="2">
        <v>0</v>
      </c>
      <c r="J2886" s="2">
        <v>0</v>
      </c>
      <c r="K2886" s="20">
        <v>14.280000000000001</v>
      </c>
      <c r="L2886" t="s">
        <v>794</v>
      </c>
      <c r="M2886">
        <f t="shared" si="45"/>
        <v>2025</v>
      </c>
    </row>
    <row r="2887" spans="1:13" ht="12.75" hidden="1" customHeight="1">
      <c r="A2887" t="s">
        <v>801</v>
      </c>
      <c r="B2887" t="s">
        <v>13</v>
      </c>
      <c r="C2887" t="s">
        <v>726</v>
      </c>
      <c r="D2887" t="s">
        <v>1311</v>
      </c>
      <c r="E2887" s="1">
        <v>45936</v>
      </c>
      <c r="F2887" s="1">
        <v>45945</v>
      </c>
      <c r="G2887" s="12">
        <v>24.48</v>
      </c>
      <c r="H2887" s="2">
        <v>0</v>
      </c>
      <c r="I2887" s="2">
        <v>0</v>
      </c>
      <c r="J2887" s="2">
        <v>0</v>
      </c>
      <c r="K2887" s="20">
        <v>24.48</v>
      </c>
      <c r="L2887" t="s">
        <v>794</v>
      </c>
      <c r="M2887">
        <f t="shared" si="45"/>
        <v>2025</v>
      </c>
    </row>
    <row r="2888" spans="1:13" ht="12.75" hidden="1" customHeight="1">
      <c r="A2888" t="s">
        <v>801</v>
      </c>
      <c r="B2888" t="s">
        <v>13</v>
      </c>
      <c r="C2888" t="s">
        <v>726</v>
      </c>
      <c r="D2888" t="s">
        <v>1311</v>
      </c>
      <c r="E2888" s="1">
        <v>45936</v>
      </c>
      <c r="F2888" s="1">
        <v>45945</v>
      </c>
      <c r="G2888" s="12">
        <v>44.88</v>
      </c>
      <c r="H2888" s="2">
        <v>0</v>
      </c>
      <c r="I2888" s="2">
        <v>0</v>
      </c>
      <c r="J2888" s="2">
        <v>0</v>
      </c>
      <c r="K2888" s="20">
        <v>44.88</v>
      </c>
      <c r="L2888" t="s">
        <v>794</v>
      </c>
      <c r="M2888">
        <f t="shared" si="45"/>
        <v>2025</v>
      </c>
    </row>
    <row r="2889" spans="1:13" ht="12.75" hidden="1" customHeight="1">
      <c r="A2889" t="s">
        <v>801</v>
      </c>
      <c r="B2889" t="s">
        <v>13</v>
      </c>
      <c r="C2889" t="s">
        <v>726</v>
      </c>
      <c r="D2889" t="s">
        <v>1311</v>
      </c>
      <c r="E2889" s="1">
        <v>45938</v>
      </c>
      <c r="F2889" s="1">
        <v>45945</v>
      </c>
      <c r="G2889" s="12">
        <v>6.12</v>
      </c>
      <c r="H2889" s="2">
        <v>0</v>
      </c>
      <c r="I2889" s="2">
        <v>0</v>
      </c>
      <c r="J2889" s="2">
        <v>0</v>
      </c>
      <c r="K2889" s="20">
        <v>6.12</v>
      </c>
      <c r="L2889" t="s">
        <v>794</v>
      </c>
      <c r="M2889">
        <f t="shared" si="45"/>
        <v>2025</v>
      </c>
    </row>
    <row r="2890" spans="1:13" ht="12.75" hidden="1" customHeight="1">
      <c r="A2890" t="s">
        <v>801</v>
      </c>
      <c r="B2890" t="s">
        <v>13</v>
      </c>
      <c r="C2890" t="s">
        <v>726</v>
      </c>
      <c r="D2890" t="s">
        <v>1311</v>
      </c>
      <c r="E2890" s="1">
        <v>45938</v>
      </c>
      <c r="F2890" s="1">
        <v>45945</v>
      </c>
      <c r="G2890" s="12">
        <v>79.56</v>
      </c>
      <c r="H2890" s="2">
        <v>0</v>
      </c>
      <c r="I2890" s="2">
        <v>0</v>
      </c>
      <c r="J2890" s="2">
        <v>0</v>
      </c>
      <c r="K2890" s="20">
        <v>79.56</v>
      </c>
      <c r="L2890" t="s">
        <v>794</v>
      </c>
      <c r="M2890">
        <f t="shared" si="45"/>
        <v>2025</v>
      </c>
    </row>
    <row r="2891" spans="1:13" ht="12.75" hidden="1" customHeight="1">
      <c r="A2891" t="s">
        <v>801</v>
      </c>
      <c r="B2891" t="s">
        <v>13</v>
      </c>
      <c r="C2891" t="s">
        <v>726</v>
      </c>
      <c r="D2891" t="s">
        <v>1311</v>
      </c>
      <c r="E2891" s="1">
        <v>45939</v>
      </c>
      <c r="F2891" s="1">
        <v>45945</v>
      </c>
      <c r="G2891" s="12">
        <v>16.32</v>
      </c>
      <c r="H2891" s="2">
        <v>0</v>
      </c>
      <c r="I2891" s="2">
        <v>0</v>
      </c>
      <c r="J2891" s="2">
        <v>0</v>
      </c>
      <c r="K2891" s="20">
        <v>16.32</v>
      </c>
      <c r="L2891" t="s">
        <v>794</v>
      </c>
      <c r="M2891">
        <f t="shared" si="45"/>
        <v>2025</v>
      </c>
    </row>
    <row r="2892" spans="1:13" ht="12.75" hidden="1" customHeight="1">
      <c r="A2892" t="s">
        <v>801</v>
      </c>
      <c r="B2892" t="s">
        <v>13</v>
      </c>
      <c r="C2892" t="s">
        <v>717</v>
      </c>
      <c r="D2892" t="s">
        <v>1311</v>
      </c>
      <c r="E2892" s="1">
        <v>45940</v>
      </c>
      <c r="F2892" s="1">
        <v>45945</v>
      </c>
      <c r="G2892" s="12">
        <v>862.92000000000007</v>
      </c>
      <c r="H2892" s="2">
        <v>0</v>
      </c>
      <c r="I2892" s="2">
        <v>0</v>
      </c>
      <c r="J2892" s="2">
        <v>0</v>
      </c>
      <c r="K2892" s="20">
        <v>862.92000000000007</v>
      </c>
      <c r="L2892" t="s">
        <v>794</v>
      </c>
      <c r="M2892">
        <f t="shared" si="45"/>
        <v>2025</v>
      </c>
    </row>
    <row r="2893" spans="1:13" ht="12.75" hidden="1" customHeight="1">
      <c r="A2893" t="s">
        <v>801</v>
      </c>
      <c r="B2893" t="s">
        <v>13</v>
      </c>
      <c r="C2893" t="s">
        <v>726</v>
      </c>
      <c r="D2893" t="s">
        <v>1311</v>
      </c>
      <c r="E2893" s="1">
        <v>45940</v>
      </c>
      <c r="F2893" s="1">
        <v>45945</v>
      </c>
      <c r="G2893" s="12">
        <v>75.48</v>
      </c>
      <c r="H2893" s="2">
        <v>0</v>
      </c>
      <c r="I2893" s="2">
        <v>0</v>
      </c>
      <c r="J2893" s="2">
        <v>0</v>
      </c>
      <c r="K2893" s="20">
        <v>75.48</v>
      </c>
      <c r="L2893" t="s">
        <v>794</v>
      </c>
      <c r="M2893">
        <f t="shared" si="45"/>
        <v>2025</v>
      </c>
    </row>
    <row r="2894" spans="1:13" ht="12.75" hidden="1" customHeight="1">
      <c r="A2894" t="s">
        <v>801</v>
      </c>
      <c r="B2894" t="s">
        <v>13</v>
      </c>
      <c r="C2894" t="s">
        <v>726</v>
      </c>
      <c r="D2894" t="s">
        <v>1311</v>
      </c>
      <c r="E2894" s="1">
        <v>45940</v>
      </c>
      <c r="F2894" s="1">
        <v>45945</v>
      </c>
      <c r="G2894" s="12">
        <v>71.400000000000006</v>
      </c>
      <c r="H2894" s="2">
        <v>0</v>
      </c>
      <c r="I2894" s="2">
        <v>0</v>
      </c>
      <c r="J2894" s="2">
        <v>0</v>
      </c>
      <c r="K2894" s="20">
        <v>71.400000000000006</v>
      </c>
      <c r="L2894" t="s">
        <v>794</v>
      </c>
      <c r="M2894">
        <f t="shared" si="45"/>
        <v>2025</v>
      </c>
    </row>
    <row r="2895" spans="1:13" ht="12.75" hidden="1" customHeight="1">
      <c r="A2895" t="s">
        <v>801</v>
      </c>
      <c r="B2895" t="s">
        <v>13</v>
      </c>
      <c r="C2895" t="s">
        <v>726</v>
      </c>
      <c r="D2895" t="s">
        <v>1311</v>
      </c>
      <c r="E2895" s="1">
        <v>45940</v>
      </c>
      <c r="F2895" s="1">
        <v>45945</v>
      </c>
      <c r="G2895" s="12">
        <v>4.08</v>
      </c>
      <c r="H2895" s="2">
        <v>0</v>
      </c>
      <c r="I2895" s="2">
        <v>0</v>
      </c>
      <c r="J2895" s="2">
        <v>0</v>
      </c>
      <c r="K2895" s="20">
        <v>4.08</v>
      </c>
      <c r="L2895" t="s">
        <v>794</v>
      </c>
      <c r="M2895">
        <f t="shared" si="45"/>
        <v>2025</v>
      </c>
    </row>
    <row r="2896" spans="1:13" ht="12.75" hidden="1" customHeight="1">
      <c r="A2896" t="s">
        <v>801</v>
      </c>
      <c r="B2896" t="s">
        <v>13</v>
      </c>
      <c r="C2896" t="s">
        <v>726</v>
      </c>
      <c r="D2896" t="s">
        <v>1311</v>
      </c>
      <c r="E2896" s="1">
        <v>45943</v>
      </c>
      <c r="F2896" s="1">
        <v>45945</v>
      </c>
      <c r="G2896" s="12">
        <v>2.04</v>
      </c>
      <c r="H2896" s="2">
        <v>0</v>
      </c>
      <c r="I2896" s="2">
        <v>0</v>
      </c>
      <c r="J2896" s="2">
        <v>0</v>
      </c>
      <c r="K2896" s="20">
        <v>2.04</v>
      </c>
      <c r="L2896" t="s">
        <v>794</v>
      </c>
      <c r="M2896">
        <f t="shared" si="45"/>
        <v>2025</v>
      </c>
    </row>
    <row r="2897" spans="1:13" ht="12.75" hidden="1" customHeight="1">
      <c r="A2897" t="s">
        <v>801</v>
      </c>
      <c r="B2897" t="s">
        <v>13</v>
      </c>
      <c r="C2897" t="s">
        <v>717</v>
      </c>
      <c r="D2897" t="s">
        <v>1311</v>
      </c>
      <c r="E2897" s="1">
        <v>45944</v>
      </c>
      <c r="F2897" s="1">
        <v>45945</v>
      </c>
      <c r="G2897" s="12">
        <v>246.78</v>
      </c>
      <c r="H2897" s="2">
        <v>0</v>
      </c>
      <c r="I2897" s="2">
        <v>0</v>
      </c>
      <c r="J2897" s="2">
        <v>0</v>
      </c>
      <c r="K2897" s="20">
        <v>246.78</v>
      </c>
      <c r="L2897" t="s">
        <v>794</v>
      </c>
      <c r="M2897">
        <f t="shared" si="45"/>
        <v>2025</v>
      </c>
    </row>
    <row r="2898" spans="1:13" ht="12.75" hidden="1" customHeight="1">
      <c r="A2898" t="s">
        <v>801</v>
      </c>
      <c r="B2898" t="s">
        <v>13</v>
      </c>
      <c r="C2898" t="s">
        <v>726</v>
      </c>
      <c r="D2898" t="s">
        <v>1311</v>
      </c>
      <c r="E2898" s="1">
        <v>45944</v>
      </c>
      <c r="F2898" s="1">
        <v>45945</v>
      </c>
      <c r="G2898" s="12">
        <v>12.24</v>
      </c>
      <c r="H2898" s="2">
        <v>0</v>
      </c>
      <c r="I2898" s="2">
        <v>0</v>
      </c>
      <c r="J2898" s="2">
        <v>0</v>
      </c>
      <c r="K2898" s="20">
        <v>12.24</v>
      </c>
      <c r="L2898" t="s">
        <v>794</v>
      </c>
      <c r="M2898">
        <f t="shared" si="45"/>
        <v>2025</v>
      </c>
    </row>
    <row r="2899" spans="1:13" ht="12.75" hidden="1" customHeight="1">
      <c r="A2899" t="s">
        <v>1332</v>
      </c>
      <c r="B2899" t="s">
        <v>343</v>
      </c>
      <c r="C2899" t="s">
        <v>99</v>
      </c>
      <c r="D2899" t="s">
        <v>1311</v>
      </c>
      <c r="E2899" s="1">
        <v>45945</v>
      </c>
      <c r="F2899" s="1">
        <v>45945</v>
      </c>
      <c r="G2899" s="12">
        <v>405</v>
      </c>
      <c r="H2899" s="2">
        <v>0</v>
      </c>
      <c r="I2899" s="2">
        <v>0</v>
      </c>
      <c r="J2899" s="2">
        <v>0</v>
      </c>
      <c r="K2899" s="20">
        <v>405</v>
      </c>
      <c r="L2899" t="s">
        <v>843</v>
      </c>
      <c r="M2899">
        <f t="shared" si="45"/>
        <v>2025</v>
      </c>
    </row>
    <row r="2900" spans="1:13" ht="12.75" hidden="1" customHeight="1">
      <c r="A2900" t="s">
        <v>1333</v>
      </c>
      <c r="B2900" t="s">
        <v>319</v>
      </c>
      <c r="C2900" t="s">
        <v>744</v>
      </c>
      <c r="D2900" t="s">
        <v>1311</v>
      </c>
      <c r="E2900" s="1">
        <v>45945</v>
      </c>
      <c r="F2900" s="1">
        <v>45945</v>
      </c>
      <c r="G2900" s="12">
        <v>504.14</v>
      </c>
      <c r="H2900" s="2">
        <v>0</v>
      </c>
      <c r="I2900" s="2">
        <v>0</v>
      </c>
      <c r="J2900" s="2">
        <v>0</v>
      </c>
      <c r="K2900" s="20">
        <v>504.14</v>
      </c>
      <c r="L2900" t="s">
        <v>794</v>
      </c>
      <c r="M2900">
        <f t="shared" si="45"/>
        <v>2025</v>
      </c>
    </row>
    <row r="2901" spans="1:13" ht="12.75" hidden="1" customHeight="1">
      <c r="A2901" t="s">
        <v>1221</v>
      </c>
      <c r="B2901" t="s">
        <v>100</v>
      </c>
      <c r="C2901" t="s">
        <v>183</v>
      </c>
      <c r="D2901" t="s">
        <v>1311</v>
      </c>
      <c r="E2901" s="1">
        <v>45945</v>
      </c>
      <c r="F2901" s="1">
        <v>45945</v>
      </c>
      <c r="G2901" s="12">
        <v>390</v>
      </c>
      <c r="H2901" s="2">
        <v>0</v>
      </c>
      <c r="I2901" s="2">
        <v>0</v>
      </c>
      <c r="J2901" s="2">
        <v>0</v>
      </c>
      <c r="K2901" s="20">
        <v>390</v>
      </c>
      <c r="L2901" t="s">
        <v>794</v>
      </c>
      <c r="M2901">
        <f t="shared" si="45"/>
        <v>2025</v>
      </c>
    </row>
    <row r="2902" spans="1:13" ht="12.75" hidden="1" customHeight="1">
      <c r="A2902" t="s">
        <v>894</v>
      </c>
      <c r="B2902" t="s">
        <v>50</v>
      </c>
      <c r="C2902" t="s">
        <v>152</v>
      </c>
      <c r="D2902" t="s">
        <v>1311</v>
      </c>
      <c r="E2902" s="1">
        <v>45945</v>
      </c>
      <c r="F2902" s="1">
        <v>45945</v>
      </c>
      <c r="G2902" s="12">
        <v>1518</v>
      </c>
      <c r="H2902" s="2">
        <v>0</v>
      </c>
      <c r="I2902" s="2">
        <v>0</v>
      </c>
      <c r="J2902" s="2">
        <v>0</v>
      </c>
      <c r="K2902" s="20">
        <v>1518</v>
      </c>
      <c r="L2902" t="s">
        <v>794</v>
      </c>
      <c r="M2902">
        <f t="shared" si="45"/>
        <v>2025</v>
      </c>
    </row>
    <row r="2903" spans="1:13" ht="12.75" hidden="1" customHeight="1">
      <c r="A2903" t="s">
        <v>941</v>
      </c>
      <c r="B2903" t="s">
        <v>52</v>
      </c>
      <c r="C2903" t="s">
        <v>672</v>
      </c>
      <c r="D2903" t="s">
        <v>1311</v>
      </c>
      <c r="E2903" s="1">
        <v>45945</v>
      </c>
      <c r="F2903" s="1">
        <v>45945</v>
      </c>
      <c r="G2903" s="12">
        <v>1518</v>
      </c>
      <c r="H2903" s="2">
        <v>0</v>
      </c>
      <c r="I2903" s="2">
        <v>0</v>
      </c>
      <c r="J2903" s="2">
        <v>0</v>
      </c>
      <c r="K2903" s="20">
        <v>1518</v>
      </c>
      <c r="L2903" t="s">
        <v>794</v>
      </c>
      <c r="M2903">
        <f t="shared" si="45"/>
        <v>2025</v>
      </c>
    </row>
    <row r="2904" spans="1:13" ht="12.75" hidden="1" customHeight="1">
      <c r="A2904" t="s">
        <v>792</v>
      </c>
      <c r="B2904" t="s">
        <v>35</v>
      </c>
      <c r="C2904" t="s">
        <v>206</v>
      </c>
      <c r="D2904" t="s">
        <v>1311</v>
      </c>
      <c r="E2904" s="1">
        <v>45945</v>
      </c>
      <c r="F2904" s="1">
        <v>45945</v>
      </c>
      <c r="G2904" s="12">
        <v>2125</v>
      </c>
      <c r="H2904" s="2">
        <v>0</v>
      </c>
      <c r="I2904" s="2">
        <v>0</v>
      </c>
      <c r="J2904" s="2">
        <v>0</v>
      </c>
      <c r="K2904" s="20">
        <v>2125</v>
      </c>
      <c r="L2904" t="s">
        <v>794</v>
      </c>
      <c r="M2904">
        <f t="shared" si="45"/>
        <v>2025</v>
      </c>
    </row>
    <row r="2905" spans="1:13" ht="12.75" hidden="1" customHeight="1">
      <c r="A2905" t="s">
        <v>800</v>
      </c>
      <c r="B2905" t="s">
        <v>85</v>
      </c>
      <c r="C2905" t="s">
        <v>734</v>
      </c>
      <c r="D2905" t="s">
        <v>1311</v>
      </c>
      <c r="E2905" s="1">
        <v>45945</v>
      </c>
      <c r="F2905" s="1">
        <v>45945</v>
      </c>
      <c r="G2905" s="12">
        <v>900</v>
      </c>
      <c r="H2905" s="2">
        <v>0</v>
      </c>
      <c r="I2905" s="2">
        <v>0</v>
      </c>
      <c r="J2905" s="2">
        <v>0</v>
      </c>
      <c r="K2905" s="20">
        <v>900</v>
      </c>
      <c r="L2905" t="s">
        <v>794</v>
      </c>
      <c r="M2905">
        <f t="shared" si="45"/>
        <v>2025</v>
      </c>
    </row>
    <row r="2906" spans="1:13" ht="12.75" hidden="1" customHeight="1">
      <c r="A2906" t="s">
        <v>797</v>
      </c>
      <c r="B2906" t="s">
        <v>25</v>
      </c>
      <c r="C2906" t="s">
        <v>206</v>
      </c>
      <c r="D2906" t="s">
        <v>1311</v>
      </c>
      <c r="E2906" s="1">
        <v>45945</v>
      </c>
      <c r="F2906" s="1">
        <v>45945</v>
      </c>
      <c r="G2906" s="12">
        <v>1374.1000000000001</v>
      </c>
      <c r="H2906" s="2">
        <v>0</v>
      </c>
      <c r="I2906" s="2">
        <v>0</v>
      </c>
      <c r="J2906" s="2">
        <v>0</v>
      </c>
      <c r="K2906" s="20">
        <v>1374.1000000000001</v>
      </c>
      <c r="L2906" t="s">
        <v>794</v>
      </c>
      <c r="M2906">
        <f t="shared" si="45"/>
        <v>2025</v>
      </c>
    </row>
    <row r="2907" spans="1:13" ht="12.75" hidden="1" customHeight="1">
      <c r="A2907" t="s">
        <v>792</v>
      </c>
      <c r="B2907" t="s">
        <v>35</v>
      </c>
      <c r="C2907" t="s">
        <v>206</v>
      </c>
      <c r="D2907" t="s">
        <v>1311</v>
      </c>
      <c r="E2907" s="1">
        <v>45945</v>
      </c>
      <c r="F2907" s="1">
        <v>45945</v>
      </c>
      <c r="G2907" s="12">
        <v>1214.8</v>
      </c>
      <c r="H2907" s="2">
        <v>0</v>
      </c>
      <c r="I2907" s="2">
        <v>0</v>
      </c>
      <c r="J2907" s="2">
        <v>0</v>
      </c>
      <c r="K2907" s="20">
        <v>1214.8</v>
      </c>
      <c r="L2907" t="s">
        <v>794</v>
      </c>
      <c r="M2907">
        <f t="shared" si="45"/>
        <v>2025</v>
      </c>
    </row>
    <row r="2908" spans="1:13" ht="12.75" hidden="1" customHeight="1">
      <c r="A2908" t="s">
        <v>797</v>
      </c>
      <c r="B2908" t="s">
        <v>25</v>
      </c>
      <c r="C2908" t="s">
        <v>206</v>
      </c>
      <c r="D2908" t="s">
        <v>1311</v>
      </c>
      <c r="E2908" s="1">
        <v>45945</v>
      </c>
      <c r="F2908" s="1">
        <v>45945</v>
      </c>
      <c r="G2908" s="12">
        <v>785.2</v>
      </c>
      <c r="H2908" s="2">
        <v>0</v>
      </c>
      <c r="I2908" s="2">
        <v>0</v>
      </c>
      <c r="J2908" s="2">
        <v>0</v>
      </c>
      <c r="K2908" s="20">
        <v>785.2</v>
      </c>
      <c r="L2908" t="s">
        <v>794</v>
      </c>
      <c r="M2908">
        <f t="shared" si="45"/>
        <v>2025</v>
      </c>
    </row>
    <row r="2909" spans="1:13" ht="12.75" hidden="1" customHeight="1">
      <c r="A2909" t="s">
        <v>891</v>
      </c>
      <c r="B2909" t="s">
        <v>102</v>
      </c>
      <c r="C2909" t="s">
        <v>710</v>
      </c>
      <c r="D2909" t="s">
        <v>1311</v>
      </c>
      <c r="E2909" s="1">
        <v>45945</v>
      </c>
      <c r="F2909" s="1">
        <v>45945</v>
      </c>
      <c r="G2909" s="12">
        <v>1000</v>
      </c>
      <c r="H2909" s="2">
        <v>0</v>
      </c>
      <c r="I2909" s="2">
        <v>0</v>
      </c>
      <c r="J2909" s="2">
        <v>0</v>
      </c>
      <c r="K2909" s="20">
        <v>1000</v>
      </c>
      <c r="L2909" t="s">
        <v>794</v>
      </c>
      <c r="M2909">
        <f t="shared" si="45"/>
        <v>2025</v>
      </c>
    </row>
    <row r="2910" spans="1:13" ht="12.75" hidden="1" customHeight="1">
      <c r="A2910" t="s">
        <v>888</v>
      </c>
      <c r="B2910" t="s">
        <v>16</v>
      </c>
      <c r="C2910" t="s">
        <v>716</v>
      </c>
      <c r="D2910" t="s">
        <v>1311</v>
      </c>
      <c r="E2910" s="1">
        <v>45945</v>
      </c>
      <c r="F2910" s="1">
        <v>45945</v>
      </c>
      <c r="G2910" s="12">
        <v>11020.9</v>
      </c>
      <c r="H2910" s="2">
        <v>0</v>
      </c>
      <c r="I2910" s="2">
        <v>0</v>
      </c>
      <c r="J2910" s="2">
        <v>0</v>
      </c>
      <c r="K2910" s="20">
        <v>11020.9</v>
      </c>
      <c r="L2910" t="s">
        <v>794</v>
      </c>
      <c r="M2910">
        <f t="shared" si="45"/>
        <v>2025</v>
      </c>
    </row>
    <row r="2911" spans="1:13" ht="12.75" hidden="1" customHeight="1">
      <c r="A2911" t="s">
        <v>886</v>
      </c>
      <c r="B2911" t="s">
        <v>194</v>
      </c>
      <c r="C2911" t="s">
        <v>743</v>
      </c>
      <c r="D2911" t="s">
        <v>1311</v>
      </c>
      <c r="E2911" s="1">
        <v>45945</v>
      </c>
      <c r="F2911" s="1">
        <v>45945</v>
      </c>
      <c r="G2911" s="12">
        <v>217.76</v>
      </c>
      <c r="H2911" s="2">
        <v>0</v>
      </c>
      <c r="I2911" s="2">
        <v>0</v>
      </c>
      <c r="J2911" s="2">
        <v>0</v>
      </c>
      <c r="K2911" s="20">
        <v>217.76</v>
      </c>
      <c r="L2911" t="s">
        <v>794</v>
      </c>
      <c r="M2911">
        <f t="shared" si="45"/>
        <v>2025</v>
      </c>
    </row>
    <row r="2912" spans="1:13" ht="12.75" hidden="1" customHeight="1">
      <c r="A2912" t="s">
        <v>893</v>
      </c>
      <c r="B2912" t="s">
        <v>212</v>
      </c>
      <c r="C2912" t="s">
        <v>746</v>
      </c>
      <c r="D2912" t="s">
        <v>1311</v>
      </c>
      <c r="E2912" s="1">
        <v>45945</v>
      </c>
      <c r="F2912" s="1">
        <v>45945</v>
      </c>
      <c r="G2912" s="12">
        <v>132</v>
      </c>
      <c r="H2912" s="2">
        <v>0</v>
      </c>
      <c r="I2912" s="2">
        <v>0</v>
      </c>
      <c r="J2912" s="2">
        <v>0</v>
      </c>
      <c r="K2912" s="20">
        <v>132</v>
      </c>
      <c r="L2912" t="s">
        <v>794</v>
      </c>
      <c r="M2912">
        <f t="shared" si="45"/>
        <v>2025</v>
      </c>
    </row>
    <row r="2913" spans="1:13" ht="12.75" hidden="1" customHeight="1">
      <c r="A2913" t="s">
        <v>879</v>
      </c>
      <c r="B2913" t="s">
        <v>23</v>
      </c>
      <c r="C2913" t="s">
        <v>713</v>
      </c>
      <c r="D2913" t="s">
        <v>1311</v>
      </c>
      <c r="E2913" s="1">
        <v>45945</v>
      </c>
      <c r="F2913" s="1">
        <v>45945</v>
      </c>
      <c r="G2913" s="12">
        <v>700</v>
      </c>
      <c r="H2913" s="2">
        <v>0</v>
      </c>
      <c r="I2913" s="2">
        <v>0</v>
      </c>
      <c r="J2913" s="2">
        <v>0</v>
      </c>
      <c r="K2913" s="20">
        <v>700</v>
      </c>
      <c r="L2913" t="s">
        <v>794</v>
      </c>
      <c r="M2913">
        <f t="shared" si="45"/>
        <v>2025</v>
      </c>
    </row>
    <row r="2914" spans="1:13" ht="12.75" hidden="1" customHeight="1">
      <c r="A2914" t="s">
        <v>805</v>
      </c>
      <c r="B2914" t="s">
        <v>17</v>
      </c>
      <c r="C2914" t="s">
        <v>713</v>
      </c>
      <c r="D2914" t="s">
        <v>1142</v>
      </c>
      <c r="E2914" s="1">
        <v>45810</v>
      </c>
      <c r="F2914" s="1">
        <v>45945</v>
      </c>
      <c r="G2914" s="12">
        <v>8600.94</v>
      </c>
      <c r="H2914" s="2">
        <v>0</v>
      </c>
      <c r="I2914" s="2">
        <v>0</v>
      </c>
      <c r="J2914" s="2">
        <v>0</v>
      </c>
      <c r="K2914" s="20">
        <v>8600.94</v>
      </c>
      <c r="L2914" t="s">
        <v>794</v>
      </c>
      <c r="M2914">
        <f t="shared" si="45"/>
        <v>2025</v>
      </c>
    </row>
    <row r="2915" spans="1:13" ht="12.75" hidden="1" customHeight="1">
      <c r="A2915" t="s">
        <v>879</v>
      </c>
      <c r="B2915" t="s">
        <v>23</v>
      </c>
      <c r="C2915" t="s">
        <v>716</v>
      </c>
      <c r="D2915" t="s">
        <v>1311</v>
      </c>
      <c r="E2915" s="1">
        <v>45945</v>
      </c>
      <c r="F2915" s="1">
        <v>45945</v>
      </c>
      <c r="G2915" s="12">
        <v>2352.16</v>
      </c>
      <c r="H2915" s="2">
        <v>0</v>
      </c>
      <c r="I2915" s="2">
        <v>0</v>
      </c>
      <c r="J2915" s="2">
        <v>0</v>
      </c>
      <c r="K2915" s="20">
        <v>2352.16</v>
      </c>
      <c r="L2915" t="s">
        <v>794</v>
      </c>
      <c r="M2915">
        <f t="shared" si="45"/>
        <v>2025</v>
      </c>
    </row>
    <row r="2916" spans="1:13" ht="12.75" hidden="1" customHeight="1">
      <c r="A2916" t="s">
        <v>1334</v>
      </c>
      <c r="B2916" t="s">
        <v>352</v>
      </c>
      <c r="C2916" t="s">
        <v>99</v>
      </c>
      <c r="D2916" t="s">
        <v>1311</v>
      </c>
      <c r="E2916" s="1">
        <v>45946</v>
      </c>
      <c r="F2916" s="1">
        <v>45946</v>
      </c>
      <c r="G2916" s="12">
        <v>370</v>
      </c>
      <c r="H2916" s="2">
        <v>0</v>
      </c>
      <c r="I2916" s="2">
        <v>0</v>
      </c>
      <c r="J2916" s="2">
        <v>0</v>
      </c>
      <c r="K2916" s="20">
        <v>370</v>
      </c>
      <c r="L2916" t="s">
        <v>843</v>
      </c>
      <c r="M2916">
        <f t="shared" si="45"/>
        <v>2025</v>
      </c>
    </row>
    <row r="2917" spans="1:13" ht="12.75" hidden="1" customHeight="1">
      <c r="A2917" t="s">
        <v>833</v>
      </c>
      <c r="B2917" t="s">
        <v>27</v>
      </c>
      <c r="C2917" t="s">
        <v>681</v>
      </c>
      <c r="D2917" t="s">
        <v>1311</v>
      </c>
      <c r="E2917" s="1">
        <v>45946</v>
      </c>
      <c r="F2917" s="1">
        <v>45950</v>
      </c>
      <c r="G2917" s="12">
        <v>109.9</v>
      </c>
      <c r="H2917" s="2">
        <v>0</v>
      </c>
      <c r="I2917" s="2">
        <v>0</v>
      </c>
      <c r="J2917" s="2">
        <v>0</v>
      </c>
      <c r="K2917" s="20">
        <v>109.9</v>
      </c>
      <c r="L2917" t="s">
        <v>794</v>
      </c>
      <c r="M2917">
        <f t="shared" si="45"/>
        <v>2025</v>
      </c>
    </row>
    <row r="2918" spans="1:13" ht="12.75" hidden="1" customHeight="1">
      <c r="A2918" t="s">
        <v>1248</v>
      </c>
      <c r="B2918" t="s">
        <v>111</v>
      </c>
      <c r="C2918" t="s">
        <v>183</v>
      </c>
      <c r="D2918" t="s">
        <v>1311</v>
      </c>
      <c r="E2918" s="1">
        <v>45940</v>
      </c>
      <c r="F2918" s="1">
        <v>45950</v>
      </c>
      <c r="G2918" s="12">
        <v>997.5</v>
      </c>
      <c r="H2918" s="2">
        <v>0</v>
      </c>
      <c r="I2918" s="2">
        <v>0</v>
      </c>
      <c r="J2918" s="2">
        <v>0</v>
      </c>
      <c r="K2918" s="20">
        <v>997.5</v>
      </c>
      <c r="L2918" t="s">
        <v>794</v>
      </c>
      <c r="M2918">
        <f t="shared" si="45"/>
        <v>2025</v>
      </c>
    </row>
    <row r="2919" spans="1:13" ht="12.75" hidden="1" customHeight="1">
      <c r="A2919" t="s">
        <v>801</v>
      </c>
      <c r="B2919" t="s">
        <v>13</v>
      </c>
      <c r="C2919" t="s">
        <v>717</v>
      </c>
      <c r="D2919" t="s">
        <v>1311</v>
      </c>
      <c r="E2919" s="1">
        <v>45950</v>
      </c>
      <c r="F2919" s="1">
        <v>45950</v>
      </c>
      <c r="G2919" s="12">
        <v>210.38</v>
      </c>
      <c r="H2919" s="2">
        <v>0</v>
      </c>
      <c r="I2919" s="2">
        <v>0</v>
      </c>
      <c r="J2919" s="2">
        <v>0</v>
      </c>
      <c r="K2919" s="20">
        <v>210.38</v>
      </c>
      <c r="L2919" t="s">
        <v>794</v>
      </c>
      <c r="M2919">
        <f t="shared" si="45"/>
        <v>2025</v>
      </c>
    </row>
    <row r="2920" spans="1:13" ht="12.75" hidden="1" customHeight="1">
      <c r="A2920" t="s">
        <v>1317</v>
      </c>
      <c r="B2920" t="s">
        <v>64</v>
      </c>
      <c r="C2920" t="s">
        <v>141</v>
      </c>
      <c r="D2920" t="s">
        <v>1311</v>
      </c>
      <c r="E2920" s="1">
        <v>45951</v>
      </c>
      <c r="F2920" s="1">
        <v>45951</v>
      </c>
      <c r="G2920" s="12">
        <v>36</v>
      </c>
      <c r="H2920" s="2">
        <v>0</v>
      </c>
      <c r="I2920" s="2">
        <v>0</v>
      </c>
      <c r="J2920" s="2">
        <v>0</v>
      </c>
      <c r="K2920" s="20">
        <v>36</v>
      </c>
      <c r="L2920" t="s">
        <v>794</v>
      </c>
      <c r="M2920">
        <f t="shared" si="45"/>
        <v>2025</v>
      </c>
    </row>
    <row r="2921" spans="1:13" ht="12.75" hidden="1" customHeight="1">
      <c r="A2921" t="s">
        <v>801</v>
      </c>
      <c r="B2921" t="s">
        <v>13</v>
      </c>
      <c r="C2921" t="s">
        <v>726</v>
      </c>
      <c r="D2921" t="s">
        <v>1311</v>
      </c>
      <c r="E2921" s="1">
        <v>45951</v>
      </c>
      <c r="F2921" s="1">
        <v>45951</v>
      </c>
      <c r="G2921" s="12">
        <v>6.12</v>
      </c>
      <c r="H2921" s="2">
        <v>0</v>
      </c>
      <c r="I2921" s="2">
        <v>0</v>
      </c>
      <c r="J2921" s="2">
        <v>0</v>
      </c>
      <c r="K2921" s="20">
        <v>6.12</v>
      </c>
      <c r="L2921" t="s">
        <v>794</v>
      </c>
      <c r="M2921">
        <f t="shared" si="45"/>
        <v>2025</v>
      </c>
    </row>
    <row r="2922" spans="1:13" ht="12.75" hidden="1" customHeight="1">
      <c r="A2922" t="s">
        <v>1278</v>
      </c>
      <c r="B2922" t="s">
        <v>190</v>
      </c>
      <c r="C2922" t="s">
        <v>729</v>
      </c>
      <c r="D2922" t="s">
        <v>1311</v>
      </c>
      <c r="E2922" s="1">
        <v>45951</v>
      </c>
      <c r="F2922" s="1">
        <v>45951</v>
      </c>
      <c r="G2922" s="12">
        <v>700</v>
      </c>
      <c r="H2922" s="2">
        <v>0</v>
      </c>
      <c r="I2922" s="2">
        <v>0</v>
      </c>
      <c r="J2922" s="2">
        <v>0</v>
      </c>
      <c r="K2922" s="20">
        <v>700</v>
      </c>
      <c r="L2922" t="s">
        <v>794</v>
      </c>
      <c r="M2922">
        <f t="shared" si="45"/>
        <v>2025</v>
      </c>
    </row>
    <row r="2923" spans="1:13" ht="12.75" hidden="1" customHeight="1">
      <c r="A2923" t="s">
        <v>1188</v>
      </c>
      <c r="B2923" t="s">
        <v>410</v>
      </c>
      <c r="C2923" t="s">
        <v>458</v>
      </c>
      <c r="D2923" t="s">
        <v>1311</v>
      </c>
      <c r="E2923" s="1">
        <v>45951</v>
      </c>
      <c r="F2923" s="1">
        <v>45951</v>
      </c>
      <c r="G2923" s="12">
        <v>37</v>
      </c>
      <c r="H2923" s="2">
        <v>0</v>
      </c>
      <c r="I2923" s="2">
        <v>0</v>
      </c>
      <c r="J2923" s="2">
        <v>0</v>
      </c>
      <c r="K2923" s="20">
        <v>37</v>
      </c>
      <c r="L2923" t="s">
        <v>794</v>
      </c>
      <c r="M2923">
        <f t="shared" si="45"/>
        <v>2025</v>
      </c>
    </row>
    <row r="2924" spans="1:13" ht="12.75" hidden="1" customHeight="1">
      <c r="A2924" t="s">
        <v>905</v>
      </c>
      <c r="B2924" t="s">
        <v>15</v>
      </c>
      <c r="C2924" t="s">
        <v>715</v>
      </c>
      <c r="D2924" t="s">
        <v>1311</v>
      </c>
      <c r="E2924" s="1">
        <v>45950</v>
      </c>
      <c r="F2924" s="1">
        <v>45951</v>
      </c>
      <c r="G2924" s="12">
        <v>18051.689999999999</v>
      </c>
      <c r="H2924" s="2">
        <v>0</v>
      </c>
      <c r="I2924" s="2">
        <v>0</v>
      </c>
      <c r="J2924" s="2">
        <v>0</v>
      </c>
      <c r="K2924" s="20">
        <v>18051.689999999999</v>
      </c>
      <c r="L2924" t="s">
        <v>794</v>
      </c>
      <c r="M2924">
        <f t="shared" si="45"/>
        <v>2025</v>
      </c>
    </row>
    <row r="2925" spans="1:13" ht="12.75" hidden="1" customHeight="1">
      <c r="A2925" t="s">
        <v>833</v>
      </c>
      <c r="B2925" t="s">
        <v>27</v>
      </c>
      <c r="C2925" t="s">
        <v>733</v>
      </c>
      <c r="D2925" t="s">
        <v>1311</v>
      </c>
      <c r="E2925" s="1">
        <v>45951</v>
      </c>
      <c r="F2925" s="1">
        <v>45951</v>
      </c>
      <c r="G2925" s="12">
        <v>25.84</v>
      </c>
      <c r="H2925" s="2">
        <v>0</v>
      </c>
      <c r="I2925" s="2">
        <v>0</v>
      </c>
      <c r="J2925" s="2">
        <v>0</v>
      </c>
      <c r="K2925" s="20">
        <v>25.84</v>
      </c>
      <c r="L2925" t="s">
        <v>794</v>
      </c>
      <c r="M2925">
        <f t="shared" si="45"/>
        <v>2025</v>
      </c>
    </row>
    <row r="2926" spans="1:13" ht="12.75" hidden="1" customHeight="1">
      <c r="A2926" t="s">
        <v>1181</v>
      </c>
      <c r="B2926" t="s">
        <v>75</v>
      </c>
      <c r="C2926" t="s">
        <v>141</v>
      </c>
      <c r="D2926" t="s">
        <v>1311</v>
      </c>
      <c r="E2926" s="1">
        <v>45951</v>
      </c>
      <c r="F2926" s="1">
        <v>45951</v>
      </c>
      <c r="G2926" s="12">
        <v>36</v>
      </c>
      <c r="H2926" s="2">
        <v>0</v>
      </c>
      <c r="I2926" s="2">
        <v>0</v>
      </c>
      <c r="J2926" s="2">
        <v>0</v>
      </c>
      <c r="K2926" s="20">
        <v>36</v>
      </c>
      <c r="L2926" t="s">
        <v>794</v>
      </c>
      <c r="M2926">
        <f t="shared" si="45"/>
        <v>2025</v>
      </c>
    </row>
    <row r="2927" spans="1:13" ht="12.75" hidden="1" customHeight="1">
      <c r="A2927" t="s">
        <v>810</v>
      </c>
      <c r="B2927" t="s">
        <v>54</v>
      </c>
      <c r="C2927" t="s">
        <v>141</v>
      </c>
      <c r="D2927" t="s">
        <v>1311</v>
      </c>
      <c r="E2927" s="1">
        <v>45951</v>
      </c>
      <c r="F2927" s="1">
        <v>45951</v>
      </c>
      <c r="G2927" s="12">
        <v>66</v>
      </c>
      <c r="H2927" s="2">
        <v>0</v>
      </c>
      <c r="I2927" s="2">
        <v>0</v>
      </c>
      <c r="J2927" s="2">
        <v>0</v>
      </c>
      <c r="K2927" s="20">
        <v>66</v>
      </c>
      <c r="L2927" t="s">
        <v>794</v>
      </c>
      <c r="M2927">
        <f t="shared" si="45"/>
        <v>2025</v>
      </c>
    </row>
    <row r="2928" spans="1:13" ht="12.75" hidden="1" customHeight="1">
      <c r="A2928" t="s">
        <v>849</v>
      </c>
      <c r="B2928" t="s">
        <v>283</v>
      </c>
      <c r="C2928" t="s">
        <v>722</v>
      </c>
      <c r="D2928" t="s">
        <v>1311</v>
      </c>
      <c r="E2928" s="1">
        <v>45947</v>
      </c>
      <c r="F2928" s="1">
        <v>45951</v>
      </c>
      <c r="G2928" s="12">
        <v>99</v>
      </c>
      <c r="H2928" s="2">
        <v>0</v>
      </c>
      <c r="I2928" s="2">
        <v>0</v>
      </c>
      <c r="J2928" s="2">
        <v>0</v>
      </c>
      <c r="K2928" s="20">
        <v>99</v>
      </c>
      <c r="L2928" t="s">
        <v>794</v>
      </c>
      <c r="M2928">
        <f t="shared" si="45"/>
        <v>2025</v>
      </c>
    </row>
    <row r="2929" spans="1:13" ht="12.75" hidden="1" customHeight="1">
      <c r="A2929" t="s">
        <v>948</v>
      </c>
      <c r="B2929" t="s">
        <v>89</v>
      </c>
      <c r="C2929" t="s">
        <v>725</v>
      </c>
      <c r="D2929" t="s">
        <v>1311</v>
      </c>
      <c r="E2929" s="1">
        <v>45945</v>
      </c>
      <c r="F2929" s="1">
        <v>45951</v>
      </c>
      <c r="G2929" s="12">
        <v>667</v>
      </c>
      <c r="H2929" s="2">
        <v>0</v>
      </c>
      <c r="I2929" s="2">
        <v>0</v>
      </c>
      <c r="J2929" s="2">
        <v>0</v>
      </c>
      <c r="K2929" s="20">
        <v>667</v>
      </c>
      <c r="L2929" t="s">
        <v>794</v>
      </c>
      <c r="M2929">
        <f t="shared" si="45"/>
        <v>2025</v>
      </c>
    </row>
    <row r="2930" spans="1:13" ht="12.75" hidden="1" customHeight="1">
      <c r="A2930" t="s">
        <v>839</v>
      </c>
      <c r="B2930" t="s">
        <v>44</v>
      </c>
      <c r="C2930" t="s">
        <v>722</v>
      </c>
      <c r="D2930" t="s">
        <v>1311</v>
      </c>
      <c r="E2930" s="1">
        <v>45950</v>
      </c>
      <c r="F2930" s="1">
        <v>45951</v>
      </c>
      <c r="G2930" s="12">
        <v>791.23</v>
      </c>
      <c r="H2930" s="2">
        <v>0</v>
      </c>
      <c r="I2930" s="2">
        <v>0</v>
      </c>
      <c r="J2930" s="2">
        <v>0</v>
      </c>
      <c r="K2930" s="20">
        <v>791.23</v>
      </c>
      <c r="L2930" t="s">
        <v>794</v>
      </c>
      <c r="M2930">
        <f t="shared" si="45"/>
        <v>2025</v>
      </c>
    </row>
    <row r="2931" spans="1:13" ht="12.75" hidden="1" customHeight="1">
      <c r="A2931" t="s">
        <v>839</v>
      </c>
      <c r="B2931" t="s">
        <v>44</v>
      </c>
      <c r="C2931" t="s">
        <v>722</v>
      </c>
      <c r="D2931" t="s">
        <v>1311</v>
      </c>
      <c r="E2931" s="1">
        <v>45950</v>
      </c>
      <c r="F2931" s="1">
        <v>45951</v>
      </c>
      <c r="G2931" s="12">
        <v>941.56000000000006</v>
      </c>
      <c r="H2931" s="2">
        <v>0</v>
      </c>
      <c r="I2931" s="2">
        <v>0</v>
      </c>
      <c r="J2931" s="2">
        <v>0</v>
      </c>
      <c r="K2931" s="20">
        <v>941.56000000000006</v>
      </c>
      <c r="L2931" t="s">
        <v>794</v>
      </c>
      <c r="M2931">
        <f t="shared" si="45"/>
        <v>2025</v>
      </c>
    </row>
    <row r="2932" spans="1:13" ht="12.75" hidden="1" customHeight="1">
      <c r="A2932" t="s">
        <v>1072</v>
      </c>
      <c r="B2932" t="s">
        <v>65</v>
      </c>
      <c r="C2932" t="s">
        <v>756</v>
      </c>
      <c r="D2932" t="s">
        <v>1311</v>
      </c>
      <c r="E2932" s="1">
        <v>45950</v>
      </c>
      <c r="F2932" s="1">
        <v>45951</v>
      </c>
      <c r="G2932" s="12">
        <v>71.320000000000007</v>
      </c>
      <c r="H2932" s="2">
        <v>0</v>
      </c>
      <c r="I2932" s="2">
        <v>0</v>
      </c>
      <c r="J2932" s="2">
        <v>0</v>
      </c>
      <c r="K2932" s="20">
        <v>71.320000000000007</v>
      </c>
      <c r="L2932" t="s">
        <v>794</v>
      </c>
      <c r="M2932">
        <f t="shared" si="45"/>
        <v>2025</v>
      </c>
    </row>
    <row r="2933" spans="1:13" ht="12.75" hidden="1" customHeight="1">
      <c r="A2933" t="s">
        <v>1069</v>
      </c>
      <c r="B2933" t="s">
        <v>147</v>
      </c>
      <c r="C2933" t="s">
        <v>738</v>
      </c>
      <c r="D2933" t="s">
        <v>1311</v>
      </c>
      <c r="E2933" s="1">
        <v>45950</v>
      </c>
      <c r="F2933" s="1">
        <v>45951</v>
      </c>
      <c r="G2933" s="12">
        <v>350</v>
      </c>
      <c r="H2933" s="2">
        <v>0</v>
      </c>
      <c r="I2933" s="2">
        <v>0</v>
      </c>
      <c r="J2933" s="2">
        <v>0</v>
      </c>
      <c r="K2933" s="20">
        <v>350</v>
      </c>
      <c r="L2933" t="s">
        <v>794</v>
      </c>
      <c r="M2933">
        <f t="shared" si="45"/>
        <v>2025</v>
      </c>
    </row>
    <row r="2934" spans="1:13" ht="12.75" hidden="1" customHeight="1">
      <c r="A2934" t="s">
        <v>905</v>
      </c>
      <c r="B2934" t="s">
        <v>15</v>
      </c>
      <c r="C2934" t="s">
        <v>727</v>
      </c>
      <c r="D2934" t="s">
        <v>1311</v>
      </c>
      <c r="E2934" s="1">
        <v>45950</v>
      </c>
      <c r="F2934" s="1">
        <v>45951</v>
      </c>
      <c r="G2934" s="12">
        <v>2478.41</v>
      </c>
      <c r="H2934" s="2">
        <v>0</v>
      </c>
      <c r="I2934" s="2">
        <v>0</v>
      </c>
      <c r="J2934" s="2">
        <v>0</v>
      </c>
      <c r="K2934" s="20">
        <v>2478.41</v>
      </c>
      <c r="L2934" t="s">
        <v>794</v>
      </c>
      <c r="M2934">
        <f t="shared" si="45"/>
        <v>2025</v>
      </c>
    </row>
    <row r="2935" spans="1:13" ht="12.75" hidden="1" customHeight="1">
      <c r="A2935" t="s">
        <v>1316</v>
      </c>
      <c r="B2935" t="s">
        <v>59</v>
      </c>
      <c r="C2935" t="s">
        <v>141</v>
      </c>
      <c r="D2935" t="s">
        <v>1311</v>
      </c>
      <c r="E2935" s="1">
        <v>45951</v>
      </c>
      <c r="F2935" s="1">
        <v>45951</v>
      </c>
      <c r="G2935" s="12">
        <v>40</v>
      </c>
      <c r="H2935" s="2">
        <v>0</v>
      </c>
      <c r="I2935" s="2">
        <v>0</v>
      </c>
      <c r="J2935" s="2">
        <v>0</v>
      </c>
      <c r="K2935" s="20">
        <v>40</v>
      </c>
      <c r="L2935" t="s">
        <v>794</v>
      </c>
      <c r="M2935">
        <f t="shared" si="45"/>
        <v>2025</v>
      </c>
    </row>
    <row r="2936" spans="1:13" ht="12.75" hidden="1" customHeight="1">
      <c r="A2936" t="s">
        <v>812</v>
      </c>
      <c r="B2936" t="s">
        <v>31</v>
      </c>
      <c r="C2936" t="s">
        <v>140</v>
      </c>
      <c r="D2936" t="s">
        <v>1311</v>
      </c>
      <c r="E2936" s="1">
        <v>45951</v>
      </c>
      <c r="F2936" s="1">
        <v>45951</v>
      </c>
      <c r="G2936" s="12">
        <v>1000</v>
      </c>
      <c r="H2936" s="2">
        <v>0</v>
      </c>
      <c r="I2936" s="2">
        <v>0</v>
      </c>
      <c r="J2936" s="2">
        <v>0</v>
      </c>
      <c r="K2936" s="20">
        <v>1000</v>
      </c>
      <c r="L2936" t="s">
        <v>794</v>
      </c>
      <c r="M2936">
        <f t="shared" si="45"/>
        <v>2025</v>
      </c>
    </row>
    <row r="2937" spans="1:13" ht="12.75" hidden="1" customHeight="1">
      <c r="A2937" t="s">
        <v>814</v>
      </c>
      <c r="B2937" t="s">
        <v>56</v>
      </c>
      <c r="C2937" t="s">
        <v>730</v>
      </c>
      <c r="D2937" t="s">
        <v>1311</v>
      </c>
      <c r="E2937" s="1">
        <v>45952</v>
      </c>
      <c r="F2937" s="1">
        <v>45953</v>
      </c>
      <c r="G2937" s="12">
        <v>2239.09</v>
      </c>
      <c r="H2937" s="2">
        <v>0</v>
      </c>
      <c r="I2937" s="2">
        <v>0</v>
      </c>
      <c r="J2937" s="2">
        <v>0</v>
      </c>
      <c r="K2937" s="20">
        <v>2239.09</v>
      </c>
      <c r="L2937" t="s">
        <v>794</v>
      </c>
      <c r="M2937">
        <f t="shared" si="45"/>
        <v>2025</v>
      </c>
    </row>
    <row r="2938" spans="1:13" ht="12.75" hidden="1" customHeight="1">
      <c r="A2938" t="s">
        <v>1210</v>
      </c>
      <c r="B2938" t="s">
        <v>22</v>
      </c>
      <c r="C2938" t="s">
        <v>717</v>
      </c>
      <c r="D2938" t="s">
        <v>1311</v>
      </c>
      <c r="E2938" s="1">
        <v>45950</v>
      </c>
      <c r="F2938" s="1">
        <v>45953</v>
      </c>
      <c r="G2938" s="12">
        <v>2890</v>
      </c>
      <c r="H2938" s="2">
        <v>0</v>
      </c>
      <c r="I2938" s="2">
        <v>0</v>
      </c>
      <c r="J2938" s="2">
        <v>0</v>
      </c>
      <c r="K2938" s="20">
        <v>2890</v>
      </c>
      <c r="L2938" t="s">
        <v>794</v>
      </c>
      <c r="M2938">
        <f t="shared" si="45"/>
        <v>2025</v>
      </c>
    </row>
    <row r="2939" spans="1:13" ht="12.75" hidden="1" customHeight="1">
      <c r="A2939" t="s">
        <v>1105</v>
      </c>
      <c r="B2939" t="s">
        <v>84</v>
      </c>
      <c r="C2939" t="s">
        <v>681</v>
      </c>
      <c r="D2939" t="s">
        <v>1311</v>
      </c>
      <c r="E2939" s="1">
        <v>45953</v>
      </c>
      <c r="F2939" s="1">
        <v>45953</v>
      </c>
      <c r="G2939" s="12">
        <v>10.38</v>
      </c>
      <c r="H2939" s="2">
        <v>0</v>
      </c>
      <c r="I2939" s="2">
        <v>0</v>
      </c>
      <c r="J2939" s="2">
        <v>0</v>
      </c>
      <c r="K2939" s="20">
        <v>10.38</v>
      </c>
      <c r="L2939" t="s">
        <v>794</v>
      </c>
      <c r="M2939">
        <f t="shared" si="45"/>
        <v>2025</v>
      </c>
    </row>
    <row r="2940" spans="1:13" ht="12.75" hidden="1" customHeight="1">
      <c r="A2940" t="s">
        <v>1296</v>
      </c>
      <c r="B2940" t="s">
        <v>42</v>
      </c>
      <c r="C2940" t="s">
        <v>728</v>
      </c>
      <c r="D2940" t="s">
        <v>1242</v>
      </c>
      <c r="E2940" s="1">
        <v>45930</v>
      </c>
      <c r="F2940" s="1">
        <v>45953</v>
      </c>
      <c r="G2940" s="12">
        <v>3974.58</v>
      </c>
      <c r="H2940" s="2">
        <v>0</v>
      </c>
      <c r="I2940" s="2">
        <v>0</v>
      </c>
      <c r="J2940" s="2">
        <v>0</v>
      </c>
      <c r="K2940" s="20">
        <v>3974.58</v>
      </c>
      <c r="L2940" t="s">
        <v>794</v>
      </c>
      <c r="M2940">
        <f t="shared" si="45"/>
        <v>2025</v>
      </c>
    </row>
    <row r="2941" spans="1:13" ht="12.75" hidden="1" customHeight="1">
      <c r="A2941" t="s">
        <v>1131</v>
      </c>
      <c r="B2941" t="s">
        <v>81</v>
      </c>
      <c r="C2941" t="s">
        <v>183</v>
      </c>
      <c r="D2941" t="s">
        <v>1311</v>
      </c>
      <c r="E2941" s="1">
        <v>45953</v>
      </c>
      <c r="F2941" s="1">
        <v>45953</v>
      </c>
      <c r="G2941" s="12">
        <v>980</v>
      </c>
      <c r="H2941" s="2">
        <v>0</v>
      </c>
      <c r="I2941" s="2">
        <v>0</v>
      </c>
      <c r="J2941" s="2">
        <v>0</v>
      </c>
      <c r="K2941" s="20">
        <v>980</v>
      </c>
      <c r="L2941" t="s">
        <v>794</v>
      </c>
      <c r="M2941">
        <f t="shared" si="45"/>
        <v>2025</v>
      </c>
    </row>
    <row r="2942" spans="1:13" ht="12.75" hidden="1" customHeight="1">
      <c r="A2942" t="s">
        <v>1335</v>
      </c>
      <c r="B2942" t="s">
        <v>574</v>
      </c>
      <c r="C2942" t="s">
        <v>452</v>
      </c>
      <c r="D2942" t="s">
        <v>1311</v>
      </c>
      <c r="E2942" s="1">
        <v>45957</v>
      </c>
      <c r="F2942" s="1">
        <v>45957</v>
      </c>
      <c r="G2942" s="12">
        <v>69</v>
      </c>
      <c r="H2942" s="2">
        <v>0</v>
      </c>
      <c r="I2942" s="2">
        <v>0</v>
      </c>
      <c r="J2942" s="2">
        <v>0</v>
      </c>
      <c r="K2942" s="20">
        <v>69</v>
      </c>
      <c r="L2942" t="s">
        <v>794</v>
      </c>
      <c r="M2942">
        <f t="shared" si="45"/>
        <v>2025</v>
      </c>
    </row>
    <row r="2943" spans="1:13" ht="12.75" hidden="1" customHeight="1">
      <c r="A2943" t="s">
        <v>1336</v>
      </c>
      <c r="B2943" t="s">
        <v>118</v>
      </c>
      <c r="C2943" t="s">
        <v>483</v>
      </c>
      <c r="D2943" t="s">
        <v>1311</v>
      </c>
      <c r="E2943" s="1">
        <v>45951</v>
      </c>
      <c r="F2943" s="1">
        <v>45957</v>
      </c>
      <c r="G2943" s="12">
        <v>1674.71</v>
      </c>
      <c r="H2943" s="2">
        <v>0</v>
      </c>
      <c r="I2943" s="2">
        <v>0</v>
      </c>
      <c r="J2943" s="2">
        <v>0</v>
      </c>
      <c r="K2943" s="20">
        <v>1674.71</v>
      </c>
      <c r="L2943" t="s">
        <v>794</v>
      </c>
      <c r="M2943">
        <f t="shared" si="45"/>
        <v>2025</v>
      </c>
    </row>
    <row r="2944" spans="1:13" ht="12.75" hidden="1" customHeight="1">
      <c r="A2944" t="s">
        <v>914</v>
      </c>
      <c r="B2944" t="s">
        <v>28</v>
      </c>
      <c r="C2944" t="s">
        <v>724</v>
      </c>
      <c r="D2944" t="s">
        <v>1311</v>
      </c>
      <c r="E2944" s="1">
        <v>45953</v>
      </c>
      <c r="F2944" s="1">
        <v>45957</v>
      </c>
      <c r="G2944" s="12">
        <v>3466.11</v>
      </c>
      <c r="H2944" s="2">
        <v>0</v>
      </c>
      <c r="I2944" s="2">
        <v>0</v>
      </c>
      <c r="J2944" s="2">
        <v>0</v>
      </c>
      <c r="K2944" s="20">
        <v>3466.11</v>
      </c>
      <c r="L2944" t="s">
        <v>794</v>
      </c>
      <c r="M2944">
        <f t="shared" si="45"/>
        <v>2025</v>
      </c>
    </row>
    <row r="2945" spans="1:13" ht="12.75" hidden="1" customHeight="1">
      <c r="A2945" t="s">
        <v>914</v>
      </c>
      <c r="B2945" t="s">
        <v>28</v>
      </c>
      <c r="C2945" t="s">
        <v>724</v>
      </c>
      <c r="D2945" t="s">
        <v>1311</v>
      </c>
      <c r="E2945" s="1">
        <v>45953</v>
      </c>
      <c r="F2945" s="1">
        <v>45957</v>
      </c>
      <c r="G2945" s="12">
        <v>548.09</v>
      </c>
      <c r="H2945" s="2">
        <v>0</v>
      </c>
      <c r="I2945" s="2">
        <v>0</v>
      </c>
      <c r="J2945" s="2">
        <v>0</v>
      </c>
      <c r="K2945" s="20">
        <v>548.09</v>
      </c>
      <c r="L2945" t="s">
        <v>794</v>
      </c>
      <c r="M2945">
        <f t="shared" si="45"/>
        <v>2025</v>
      </c>
    </row>
    <row r="2946" spans="1:13" ht="12.75" hidden="1" customHeight="1">
      <c r="A2946" t="s">
        <v>981</v>
      </c>
      <c r="B2946" t="s">
        <v>55</v>
      </c>
      <c r="C2946" t="s">
        <v>99</v>
      </c>
      <c r="D2946" t="s">
        <v>1311</v>
      </c>
      <c r="E2946" s="1">
        <v>45957</v>
      </c>
      <c r="F2946" s="1">
        <v>45957</v>
      </c>
      <c r="G2946" s="12">
        <v>2000</v>
      </c>
      <c r="H2946" s="2">
        <v>0</v>
      </c>
      <c r="I2946" s="2">
        <v>0</v>
      </c>
      <c r="J2946" s="2">
        <v>0</v>
      </c>
      <c r="K2946" s="20">
        <v>2000</v>
      </c>
      <c r="L2946" t="s">
        <v>843</v>
      </c>
      <c r="M2946">
        <f t="shared" si="45"/>
        <v>2025</v>
      </c>
    </row>
    <row r="2947" spans="1:13" ht="12.75" hidden="1" customHeight="1">
      <c r="A2947" t="s">
        <v>981</v>
      </c>
      <c r="B2947" t="s">
        <v>55</v>
      </c>
      <c r="C2947" t="s">
        <v>99</v>
      </c>
      <c r="D2947" t="s">
        <v>1311</v>
      </c>
      <c r="E2947" s="1">
        <v>45943</v>
      </c>
      <c r="F2947" s="1">
        <v>45957</v>
      </c>
      <c r="G2947" s="12">
        <v>2250</v>
      </c>
      <c r="H2947" s="2">
        <v>0</v>
      </c>
      <c r="I2947" s="2">
        <v>0</v>
      </c>
      <c r="J2947" s="2">
        <v>0</v>
      </c>
      <c r="K2947" s="20">
        <v>2250</v>
      </c>
      <c r="L2947" t="s">
        <v>843</v>
      </c>
      <c r="M2947">
        <f t="shared" ref="M2947:M3010" si="46">YEAR(F2947)</f>
        <v>2025</v>
      </c>
    </row>
    <row r="2948" spans="1:13" ht="12.75" hidden="1" customHeight="1">
      <c r="A2948" t="s">
        <v>1163</v>
      </c>
      <c r="B2948" t="s">
        <v>94</v>
      </c>
      <c r="C2948" t="s">
        <v>721</v>
      </c>
      <c r="D2948" t="s">
        <v>1311</v>
      </c>
      <c r="E2948" s="1">
        <v>45957</v>
      </c>
      <c r="F2948" s="1">
        <v>45957</v>
      </c>
      <c r="G2948" s="12">
        <v>1800</v>
      </c>
      <c r="H2948" s="2">
        <v>0</v>
      </c>
      <c r="I2948" s="2">
        <v>0</v>
      </c>
      <c r="J2948" s="2">
        <v>0</v>
      </c>
      <c r="K2948" s="20">
        <v>1800</v>
      </c>
      <c r="L2948" t="s">
        <v>794</v>
      </c>
      <c r="M2948">
        <f t="shared" si="46"/>
        <v>2025</v>
      </c>
    </row>
    <row r="2949" spans="1:13" ht="12.75" hidden="1" customHeight="1">
      <c r="A2949" t="s">
        <v>825</v>
      </c>
      <c r="B2949" t="s">
        <v>46</v>
      </c>
      <c r="C2949" t="s">
        <v>733</v>
      </c>
      <c r="D2949" t="s">
        <v>1311</v>
      </c>
      <c r="E2949" s="1">
        <v>45957</v>
      </c>
      <c r="F2949" s="1">
        <v>45957</v>
      </c>
      <c r="G2949" s="12">
        <v>30</v>
      </c>
      <c r="H2949" s="2">
        <v>0</v>
      </c>
      <c r="I2949" s="2">
        <v>0</v>
      </c>
      <c r="J2949" s="2">
        <v>0</v>
      </c>
      <c r="K2949" s="20">
        <v>30</v>
      </c>
      <c r="L2949" t="s">
        <v>794</v>
      </c>
      <c r="M2949">
        <f t="shared" si="46"/>
        <v>2025</v>
      </c>
    </row>
    <row r="2950" spans="1:13" ht="12.75" hidden="1" customHeight="1">
      <c r="A2950" t="s">
        <v>801</v>
      </c>
      <c r="B2950" t="s">
        <v>13</v>
      </c>
      <c r="C2950" t="s">
        <v>726</v>
      </c>
      <c r="D2950" t="s">
        <v>1311</v>
      </c>
      <c r="E2950" s="1">
        <v>45957</v>
      </c>
      <c r="F2950" s="1">
        <v>45957</v>
      </c>
      <c r="G2950" s="12">
        <v>2.04</v>
      </c>
      <c r="H2950" s="2">
        <v>0</v>
      </c>
      <c r="I2950" s="2">
        <v>0</v>
      </c>
      <c r="J2950" s="2">
        <v>0</v>
      </c>
      <c r="K2950" s="20">
        <v>2.04</v>
      </c>
      <c r="L2950" t="s">
        <v>794</v>
      </c>
      <c r="M2950">
        <f t="shared" si="46"/>
        <v>2025</v>
      </c>
    </row>
    <row r="2951" spans="1:13" ht="12.75" hidden="1" customHeight="1">
      <c r="A2951" t="s">
        <v>801</v>
      </c>
      <c r="B2951" t="s">
        <v>13</v>
      </c>
      <c r="C2951" t="s">
        <v>726</v>
      </c>
      <c r="D2951" t="s">
        <v>1311</v>
      </c>
      <c r="E2951" s="1">
        <v>45957</v>
      </c>
      <c r="F2951" s="1">
        <v>45957</v>
      </c>
      <c r="G2951" s="12">
        <v>4.08</v>
      </c>
      <c r="H2951" s="2">
        <v>0</v>
      </c>
      <c r="I2951" s="2">
        <v>0</v>
      </c>
      <c r="J2951" s="2">
        <v>0</v>
      </c>
      <c r="K2951" s="20">
        <v>4.08</v>
      </c>
      <c r="L2951" t="s">
        <v>794</v>
      </c>
      <c r="M2951">
        <f t="shared" si="46"/>
        <v>2025</v>
      </c>
    </row>
    <row r="2952" spans="1:13" ht="12.75" hidden="1" customHeight="1">
      <c r="A2952" t="s">
        <v>1332</v>
      </c>
      <c r="B2952" t="s">
        <v>343</v>
      </c>
      <c r="C2952" t="s">
        <v>99</v>
      </c>
      <c r="D2952" t="s">
        <v>1311</v>
      </c>
      <c r="E2952" s="1">
        <v>45957</v>
      </c>
      <c r="F2952" s="1">
        <v>45957</v>
      </c>
      <c r="G2952" s="12">
        <v>405</v>
      </c>
      <c r="H2952" s="2">
        <v>0</v>
      </c>
      <c r="I2952" s="2">
        <v>0</v>
      </c>
      <c r="J2952" s="2">
        <v>0</v>
      </c>
      <c r="K2952" s="20">
        <v>405</v>
      </c>
      <c r="L2952" t="s">
        <v>843</v>
      </c>
      <c r="M2952">
        <f t="shared" si="46"/>
        <v>2025</v>
      </c>
    </row>
    <row r="2953" spans="1:13" ht="12.75" hidden="1" customHeight="1">
      <c r="A2953" t="s">
        <v>935</v>
      </c>
      <c r="B2953" t="s">
        <v>158</v>
      </c>
      <c r="C2953" t="s">
        <v>741</v>
      </c>
      <c r="D2953" t="s">
        <v>1311</v>
      </c>
      <c r="E2953" s="1">
        <v>45955</v>
      </c>
      <c r="F2953" s="1">
        <v>45958</v>
      </c>
      <c r="G2953" s="12">
        <v>370</v>
      </c>
      <c r="H2953" s="2">
        <v>0</v>
      </c>
      <c r="I2953" s="2">
        <v>0</v>
      </c>
      <c r="J2953" s="2">
        <v>0</v>
      </c>
      <c r="K2953" s="20">
        <v>370</v>
      </c>
      <c r="L2953" t="s">
        <v>794</v>
      </c>
      <c r="M2953">
        <f t="shared" si="46"/>
        <v>2025</v>
      </c>
    </row>
    <row r="2954" spans="1:13" ht="12.75" hidden="1" customHeight="1">
      <c r="A2954" t="s">
        <v>895</v>
      </c>
      <c r="B2954" t="s">
        <v>155</v>
      </c>
      <c r="C2954" t="s">
        <v>384</v>
      </c>
      <c r="D2954" t="s">
        <v>1311</v>
      </c>
      <c r="E2954" s="1">
        <v>45955</v>
      </c>
      <c r="F2954" s="1">
        <v>45958</v>
      </c>
      <c r="G2954" s="12">
        <v>390</v>
      </c>
      <c r="H2954" s="2">
        <v>0</v>
      </c>
      <c r="I2954" s="2">
        <v>0</v>
      </c>
      <c r="J2954" s="2">
        <v>0</v>
      </c>
      <c r="K2954" s="20">
        <v>390</v>
      </c>
      <c r="L2954" t="s">
        <v>794</v>
      </c>
      <c r="M2954">
        <f t="shared" si="46"/>
        <v>2025</v>
      </c>
    </row>
    <row r="2955" spans="1:13" ht="12.75" hidden="1" customHeight="1">
      <c r="A2955" t="s">
        <v>1305</v>
      </c>
      <c r="B2955" t="s">
        <v>96</v>
      </c>
      <c r="C2955" t="s">
        <v>183</v>
      </c>
      <c r="D2955" t="s">
        <v>1311</v>
      </c>
      <c r="E2955" s="1">
        <v>45955</v>
      </c>
      <c r="F2955" s="1">
        <v>45958</v>
      </c>
      <c r="G2955" s="12">
        <v>1088.42</v>
      </c>
      <c r="H2955" s="2">
        <v>0</v>
      </c>
      <c r="I2955" s="2">
        <v>0</v>
      </c>
      <c r="J2955" s="2">
        <v>0</v>
      </c>
      <c r="K2955" s="20">
        <v>1088.42</v>
      </c>
      <c r="L2955" t="s">
        <v>794</v>
      </c>
      <c r="M2955">
        <f t="shared" si="46"/>
        <v>2025</v>
      </c>
    </row>
    <row r="2956" spans="1:13" ht="12.75" hidden="1" customHeight="1">
      <c r="A2956" t="s">
        <v>801</v>
      </c>
      <c r="B2956" t="s">
        <v>13</v>
      </c>
      <c r="C2956" t="s">
        <v>717</v>
      </c>
      <c r="D2956" t="s">
        <v>1311</v>
      </c>
      <c r="E2956" s="1">
        <v>45958</v>
      </c>
      <c r="F2956" s="1">
        <v>45958</v>
      </c>
      <c r="G2956" s="12">
        <v>1268.1200000000001</v>
      </c>
      <c r="H2956" s="2">
        <v>0</v>
      </c>
      <c r="I2956" s="2">
        <v>0</v>
      </c>
      <c r="J2956" s="2">
        <v>0</v>
      </c>
      <c r="K2956" s="20">
        <v>1268.1200000000001</v>
      </c>
      <c r="L2956" t="s">
        <v>794</v>
      </c>
      <c r="M2956">
        <f t="shared" si="46"/>
        <v>2025</v>
      </c>
    </row>
    <row r="2957" spans="1:13" ht="12.75" hidden="1" customHeight="1">
      <c r="A2957" t="s">
        <v>801</v>
      </c>
      <c r="B2957" t="s">
        <v>13</v>
      </c>
      <c r="C2957" t="s">
        <v>726</v>
      </c>
      <c r="D2957" t="s">
        <v>1311</v>
      </c>
      <c r="E2957" s="1">
        <v>45958</v>
      </c>
      <c r="F2957" s="1">
        <v>45958</v>
      </c>
      <c r="G2957" s="12">
        <v>6.12</v>
      </c>
      <c r="H2957" s="2">
        <v>0</v>
      </c>
      <c r="I2957" s="2">
        <v>0</v>
      </c>
      <c r="J2957" s="2">
        <v>0</v>
      </c>
      <c r="K2957" s="20">
        <v>6.12</v>
      </c>
      <c r="L2957" t="s">
        <v>794</v>
      </c>
      <c r="M2957">
        <f t="shared" si="46"/>
        <v>2025</v>
      </c>
    </row>
    <row r="2958" spans="1:13" ht="12.75" hidden="1" customHeight="1">
      <c r="A2958" t="s">
        <v>801</v>
      </c>
      <c r="B2958" t="s">
        <v>13</v>
      </c>
      <c r="C2958" t="s">
        <v>718</v>
      </c>
      <c r="D2958" t="s">
        <v>1311</v>
      </c>
      <c r="E2958" s="1">
        <v>45956</v>
      </c>
      <c r="F2958" s="1">
        <v>45958</v>
      </c>
      <c r="G2958" s="12">
        <v>10193.380000000001</v>
      </c>
      <c r="H2958" s="2">
        <v>0</v>
      </c>
      <c r="I2958" s="2">
        <v>0</v>
      </c>
      <c r="J2958" s="2">
        <v>0</v>
      </c>
      <c r="K2958" s="20">
        <v>10193.380000000001</v>
      </c>
      <c r="L2958" t="s">
        <v>794</v>
      </c>
      <c r="M2958">
        <f t="shared" si="46"/>
        <v>2025</v>
      </c>
    </row>
    <row r="2959" spans="1:13" ht="12.75" hidden="1" customHeight="1">
      <c r="A2959" t="s">
        <v>801</v>
      </c>
      <c r="B2959" t="s">
        <v>13</v>
      </c>
      <c r="C2959" t="s">
        <v>717</v>
      </c>
      <c r="D2959" t="s">
        <v>1311</v>
      </c>
      <c r="E2959" s="1">
        <v>45958</v>
      </c>
      <c r="F2959" s="1">
        <v>45958</v>
      </c>
      <c r="G2959" s="12">
        <v>1579.69</v>
      </c>
      <c r="H2959" s="2">
        <v>0</v>
      </c>
      <c r="I2959" s="2">
        <v>0</v>
      </c>
      <c r="J2959" s="2">
        <v>0</v>
      </c>
      <c r="K2959" s="20">
        <v>1579.69</v>
      </c>
      <c r="L2959" t="s">
        <v>794</v>
      </c>
      <c r="M2959">
        <f t="shared" si="46"/>
        <v>2025</v>
      </c>
    </row>
    <row r="2960" spans="1:13" ht="12.75" hidden="1" customHeight="1">
      <c r="A2960" t="s">
        <v>810</v>
      </c>
      <c r="B2960" t="s">
        <v>54</v>
      </c>
      <c r="C2960" t="s">
        <v>141</v>
      </c>
      <c r="D2960" t="s">
        <v>1311</v>
      </c>
      <c r="E2960" s="1">
        <v>45958</v>
      </c>
      <c r="F2960" s="1">
        <v>45958</v>
      </c>
      <c r="G2960" s="12">
        <v>40</v>
      </c>
      <c r="H2960" s="2">
        <v>0</v>
      </c>
      <c r="I2960" s="2">
        <v>0</v>
      </c>
      <c r="J2960" s="2">
        <v>0</v>
      </c>
      <c r="K2960" s="20">
        <v>40</v>
      </c>
      <c r="L2960" t="s">
        <v>794</v>
      </c>
      <c r="M2960">
        <f t="shared" si="46"/>
        <v>2025</v>
      </c>
    </row>
    <row r="2961" spans="1:13" ht="12.75" hidden="1" customHeight="1">
      <c r="A2961" t="s">
        <v>1316</v>
      </c>
      <c r="B2961" t="s">
        <v>59</v>
      </c>
      <c r="C2961" t="s">
        <v>141</v>
      </c>
      <c r="D2961" t="s">
        <v>1311</v>
      </c>
      <c r="E2961" s="1">
        <v>45958</v>
      </c>
      <c r="F2961" s="1">
        <v>45958</v>
      </c>
      <c r="G2961" s="12">
        <v>40</v>
      </c>
      <c r="H2961" s="2">
        <v>0</v>
      </c>
      <c r="I2961" s="2">
        <v>0</v>
      </c>
      <c r="J2961" s="2">
        <v>0</v>
      </c>
      <c r="K2961" s="20">
        <v>40</v>
      </c>
      <c r="L2961" t="s">
        <v>794</v>
      </c>
      <c r="M2961">
        <f t="shared" si="46"/>
        <v>2025</v>
      </c>
    </row>
    <row r="2962" spans="1:13" ht="12.75" hidden="1" customHeight="1">
      <c r="A2962" t="s">
        <v>833</v>
      </c>
      <c r="B2962" t="s">
        <v>27</v>
      </c>
      <c r="C2962" t="s">
        <v>733</v>
      </c>
      <c r="D2962" t="s">
        <v>1311</v>
      </c>
      <c r="E2962" s="1">
        <v>45958</v>
      </c>
      <c r="F2962" s="1">
        <v>45958</v>
      </c>
      <c r="G2962" s="12">
        <v>138.44</v>
      </c>
      <c r="H2962" s="2">
        <v>0</v>
      </c>
      <c r="I2962" s="2">
        <v>0</v>
      </c>
      <c r="J2962" s="2">
        <v>0</v>
      </c>
      <c r="K2962" s="20">
        <v>138.44</v>
      </c>
      <c r="L2962" t="s">
        <v>794</v>
      </c>
      <c r="M2962">
        <f t="shared" si="46"/>
        <v>2025</v>
      </c>
    </row>
    <row r="2963" spans="1:13" ht="12.75" hidden="1" customHeight="1">
      <c r="A2963" t="s">
        <v>818</v>
      </c>
      <c r="B2963" t="s">
        <v>30</v>
      </c>
      <c r="C2963" t="s">
        <v>141</v>
      </c>
      <c r="D2963" t="s">
        <v>1311</v>
      </c>
      <c r="E2963" s="1">
        <v>45958</v>
      </c>
      <c r="F2963" s="1">
        <v>45958</v>
      </c>
      <c r="G2963" s="12">
        <v>40</v>
      </c>
      <c r="H2963" s="2">
        <v>0</v>
      </c>
      <c r="I2963" s="2">
        <v>0</v>
      </c>
      <c r="J2963" s="2">
        <v>0</v>
      </c>
      <c r="K2963" s="20">
        <v>40</v>
      </c>
      <c r="L2963" t="s">
        <v>794</v>
      </c>
      <c r="M2963">
        <f t="shared" si="46"/>
        <v>2025</v>
      </c>
    </row>
    <row r="2964" spans="1:13" ht="12.75" hidden="1" customHeight="1">
      <c r="A2964" t="s">
        <v>1181</v>
      </c>
      <c r="B2964" t="s">
        <v>75</v>
      </c>
      <c r="C2964" t="s">
        <v>141</v>
      </c>
      <c r="D2964" t="s">
        <v>1311</v>
      </c>
      <c r="E2964" s="1">
        <v>45958</v>
      </c>
      <c r="F2964" s="1">
        <v>45958</v>
      </c>
      <c r="G2964" s="12">
        <v>72</v>
      </c>
      <c r="H2964" s="2">
        <v>0</v>
      </c>
      <c r="I2964" s="2">
        <v>0</v>
      </c>
      <c r="J2964" s="2">
        <v>0</v>
      </c>
      <c r="K2964" s="20">
        <v>72</v>
      </c>
      <c r="L2964" t="s">
        <v>794</v>
      </c>
      <c r="M2964">
        <f t="shared" si="46"/>
        <v>2025</v>
      </c>
    </row>
    <row r="2965" spans="1:13" ht="12.75" hidden="1" customHeight="1">
      <c r="A2965" t="s">
        <v>801</v>
      </c>
      <c r="B2965" t="s">
        <v>13</v>
      </c>
      <c r="C2965" t="s">
        <v>726</v>
      </c>
      <c r="D2965" t="s">
        <v>1311</v>
      </c>
      <c r="E2965" s="1">
        <v>45960</v>
      </c>
      <c r="F2965" s="1">
        <v>45960</v>
      </c>
      <c r="G2965" s="12">
        <v>6.12</v>
      </c>
      <c r="H2965" s="2">
        <v>0</v>
      </c>
      <c r="I2965" s="2">
        <v>0</v>
      </c>
      <c r="J2965" s="2">
        <v>0</v>
      </c>
      <c r="K2965" s="20">
        <v>6.12</v>
      </c>
      <c r="L2965" t="s">
        <v>794</v>
      </c>
      <c r="M2965">
        <f t="shared" si="46"/>
        <v>2025</v>
      </c>
    </row>
    <row r="2966" spans="1:13" ht="12.75" hidden="1" customHeight="1">
      <c r="A2966" t="s">
        <v>801</v>
      </c>
      <c r="B2966" t="s">
        <v>13</v>
      </c>
      <c r="C2966" t="s">
        <v>726</v>
      </c>
      <c r="D2966" t="s">
        <v>1311</v>
      </c>
      <c r="E2966" s="1">
        <v>45960</v>
      </c>
      <c r="F2966" s="1">
        <v>45960</v>
      </c>
      <c r="G2966" s="12">
        <v>2.04</v>
      </c>
      <c r="H2966" s="2">
        <v>0</v>
      </c>
      <c r="I2966" s="2">
        <v>0</v>
      </c>
      <c r="J2966" s="2">
        <v>0</v>
      </c>
      <c r="K2966" s="20">
        <v>2.04</v>
      </c>
      <c r="L2966" t="s">
        <v>794</v>
      </c>
      <c r="M2966">
        <f t="shared" si="46"/>
        <v>2025</v>
      </c>
    </row>
    <row r="2967" spans="1:13" ht="12.75" hidden="1" customHeight="1">
      <c r="A2967" t="s">
        <v>905</v>
      </c>
      <c r="B2967" t="s">
        <v>15</v>
      </c>
      <c r="C2967" t="s">
        <v>715</v>
      </c>
      <c r="D2967" t="s">
        <v>1311</v>
      </c>
      <c r="E2967" s="1">
        <v>45961</v>
      </c>
      <c r="F2967" s="1">
        <v>45961</v>
      </c>
      <c r="G2967" s="12">
        <v>708.80000000000007</v>
      </c>
      <c r="H2967" s="2">
        <v>0</v>
      </c>
      <c r="I2967" s="2">
        <v>0</v>
      </c>
      <c r="J2967" s="2">
        <v>0</v>
      </c>
      <c r="K2967" s="20">
        <v>708.80000000000007</v>
      </c>
      <c r="L2967" t="s">
        <v>794</v>
      </c>
      <c r="M2967">
        <f t="shared" si="46"/>
        <v>2025</v>
      </c>
    </row>
    <row r="2968" spans="1:13" ht="12.75" hidden="1" customHeight="1">
      <c r="A2968" t="s">
        <v>841</v>
      </c>
      <c r="B2968" t="s">
        <v>164</v>
      </c>
      <c r="C2968" t="s">
        <v>722</v>
      </c>
      <c r="D2968" t="s">
        <v>1311</v>
      </c>
      <c r="E2968" s="1">
        <v>45960</v>
      </c>
      <c r="F2968" s="1">
        <v>45961</v>
      </c>
      <c r="G2968" s="12">
        <v>380.03000000000003</v>
      </c>
      <c r="H2968" s="2">
        <v>0</v>
      </c>
      <c r="I2968" s="2">
        <v>0</v>
      </c>
      <c r="J2968" s="2">
        <v>0</v>
      </c>
      <c r="K2968" s="20">
        <v>380.03000000000003</v>
      </c>
      <c r="L2968" t="s">
        <v>794</v>
      </c>
      <c r="M2968">
        <f t="shared" si="46"/>
        <v>2025</v>
      </c>
    </row>
    <row r="2969" spans="1:13" ht="12.75" hidden="1" customHeight="1">
      <c r="A2969" t="s">
        <v>801</v>
      </c>
      <c r="B2969" t="s">
        <v>13</v>
      </c>
      <c r="C2969" t="s">
        <v>726</v>
      </c>
      <c r="D2969" t="s">
        <v>1311</v>
      </c>
      <c r="E2969" s="1">
        <v>45961</v>
      </c>
      <c r="F2969" s="1">
        <v>45961</v>
      </c>
      <c r="G2969" s="12">
        <v>4.08</v>
      </c>
      <c r="H2969" s="2">
        <v>0</v>
      </c>
      <c r="I2969" s="2">
        <v>0</v>
      </c>
      <c r="J2969" s="2">
        <v>0</v>
      </c>
      <c r="K2969" s="20">
        <v>4.08</v>
      </c>
      <c r="L2969" t="s">
        <v>794</v>
      </c>
      <c r="M2969">
        <f t="shared" si="46"/>
        <v>2025</v>
      </c>
    </row>
    <row r="2970" spans="1:13" ht="12.75" hidden="1" customHeight="1">
      <c r="A2970" t="s">
        <v>1333</v>
      </c>
      <c r="B2970" t="s">
        <v>319</v>
      </c>
      <c r="C2970" t="s">
        <v>744</v>
      </c>
      <c r="D2970" t="s">
        <v>1311</v>
      </c>
      <c r="E2970" s="1">
        <v>45960</v>
      </c>
      <c r="F2970" s="1">
        <v>45961</v>
      </c>
      <c r="G2970" s="12">
        <v>554.23</v>
      </c>
      <c r="H2970" s="2">
        <v>0</v>
      </c>
      <c r="I2970" s="2">
        <v>0</v>
      </c>
      <c r="J2970" s="2">
        <v>0</v>
      </c>
      <c r="K2970" s="20">
        <v>554.23</v>
      </c>
      <c r="L2970" t="s">
        <v>794</v>
      </c>
      <c r="M2970">
        <f t="shared" si="46"/>
        <v>2025</v>
      </c>
    </row>
    <row r="2971" spans="1:13" ht="12.75" hidden="1" customHeight="1">
      <c r="A2971" t="s">
        <v>806</v>
      </c>
      <c r="B2971" t="s">
        <v>435</v>
      </c>
      <c r="C2971" t="s">
        <v>733</v>
      </c>
      <c r="D2971" t="s">
        <v>1311</v>
      </c>
      <c r="E2971" s="1">
        <v>45937</v>
      </c>
      <c r="F2971" s="1">
        <v>45937</v>
      </c>
      <c r="G2971" s="12">
        <v>18.900000000000002</v>
      </c>
      <c r="H2971" s="2">
        <v>0</v>
      </c>
      <c r="I2971" s="2">
        <v>0</v>
      </c>
      <c r="J2971" s="2">
        <v>0</v>
      </c>
      <c r="K2971" s="20">
        <v>18.900000000000002</v>
      </c>
      <c r="L2971" t="s">
        <v>794</v>
      </c>
      <c r="M2971">
        <f t="shared" si="46"/>
        <v>2025</v>
      </c>
    </row>
    <row r="2972" spans="1:13" ht="12.75" hidden="1" customHeight="1">
      <c r="A2972" t="s">
        <v>809</v>
      </c>
      <c r="B2972" t="s">
        <v>1145</v>
      </c>
      <c r="C2972" t="s">
        <v>733</v>
      </c>
      <c r="D2972" t="s">
        <v>1311</v>
      </c>
      <c r="E2972" s="1">
        <v>45937</v>
      </c>
      <c r="F2972" s="1">
        <v>45937</v>
      </c>
      <c r="G2972" s="12">
        <v>57.9</v>
      </c>
      <c r="H2972" s="2">
        <v>0</v>
      </c>
      <c r="I2972" s="2">
        <v>0</v>
      </c>
      <c r="J2972" s="2">
        <v>0</v>
      </c>
      <c r="K2972" s="20">
        <v>57.9</v>
      </c>
      <c r="L2972" t="s">
        <v>794</v>
      </c>
      <c r="M2972">
        <f t="shared" si="46"/>
        <v>2025</v>
      </c>
    </row>
    <row r="2973" spans="1:13" ht="12.75" hidden="1" customHeight="1">
      <c r="A2973" t="s">
        <v>927</v>
      </c>
      <c r="B2973" t="s">
        <v>66</v>
      </c>
      <c r="C2973" t="s">
        <v>139</v>
      </c>
      <c r="D2973" t="s">
        <v>1311</v>
      </c>
      <c r="E2973" s="1">
        <v>45943</v>
      </c>
      <c r="F2973" s="1">
        <v>45943</v>
      </c>
      <c r="G2973" s="12">
        <v>387.6</v>
      </c>
      <c r="H2973" s="2">
        <v>0</v>
      </c>
      <c r="I2973" s="2">
        <v>0</v>
      </c>
      <c r="J2973" s="2">
        <v>0</v>
      </c>
      <c r="K2973" s="20">
        <v>387.6</v>
      </c>
      <c r="L2973" t="s">
        <v>794</v>
      </c>
      <c r="M2973">
        <f t="shared" si="46"/>
        <v>2025</v>
      </c>
    </row>
    <row r="2974" spans="1:13" ht="12.75" hidden="1" customHeight="1">
      <c r="A2974" t="s">
        <v>864</v>
      </c>
      <c r="B2974" t="s">
        <v>918</v>
      </c>
      <c r="C2974" t="s">
        <v>141</v>
      </c>
      <c r="D2974" t="s">
        <v>1311</v>
      </c>
      <c r="E2974" s="1">
        <v>45943</v>
      </c>
      <c r="F2974" s="1">
        <v>45943</v>
      </c>
      <c r="G2974" s="12">
        <v>100</v>
      </c>
      <c r="H2974" s="2">
        <v>0</v>
      </c>
      <c r="I2974" s="2">
        <v>0</v>
      </c>
      <c r="J2974" s="2">
        <v>0</v>
      </c>
      <c r="K2974" s="20">
        <v>100</v>
      </c>
      <c r="L2974" t="s">
        <v>794</v>
      </c>
      <c r="M2974">
        <f t="shared" si="46"/>
        <v>2025</v>
      </c>
    </row>
    <row r="2975" spans="1:13" ht="12.75" hidden="1" customHeight="1">
      <c r="A2975" t="s">
        <v>922</v>
      </c>
      <c r="B2975" t="s">
        <v>149</v>
      </c>
      <c r="C2975" t="s">
        <v>141</v>
      </c>
      <c r="D2975" t="s">
        <v>1311</v>
      </c>
      <c r="E2975" s="1">
        <v>45943</v>
      </c>
      <c r="F2975" s="1">
        <v>45943</v>
      </c>
      <c r="G2975" s="12">
        <v>40</v>
      </c>
      <c r="H2975" s="2">
        <v>0</v>
      </c>
      <c r="I2975" s="2">
        <v>0</v>
      </c>
      <c r="J2975" s="2">
        <v>0</v>
      </c>
      <c r="K2975" s="20">
        <v>40</v>
      </c>
      <c r="L2975" t="s">
        <v>794</v>
      </c>
      <c r="M2975">
        <f t="shared" si="46"/>
        <v>2025</v>
      </c>
    </row>
    <row r="2976" spans="1:13" ht="12.75" hidden="1" customHeight="1">
      <c r="A2976" t="s">
        <v>1072</v>
      </c>
      <c r="B2976" t="s">
        <v>177</v>
      </c>
      <c r="C2976" t="s">
        <v>141</v>
      </c>
      <c r="D2976" t="s">
        <v>1311</v>
      </c>
      <c r="E2976" s="1">
        <v>45943</v>
      </c>
      <c r="F2976" s="1">
        <v>45943</v>
      </c>
      <c r="G2976" s="12">
        <v>98</v>
      </c>
      <c r="H2976" s="2">
        <v>0</v>
      </c>
      <c r="I2976" s="2">
        <v>0</v>
      </c>
      <c r="J2976" s="2">
        <v>0</v>
      </c>
      <c r="K2976" s="20">
        <v>98</v>
      </c>
      <c r="L2976" t="s">
        <v>794</v>
      </c>
      <c r="M2976">
        <f t="shared" si="46"/>
        <v>2025</v>
      </c>
    </row>
    <row r="2977" spans="1:13" ht="12.75" hidden="1" customHeight="1">
      <c r="A2977" t="s">
        <v>827</v>
      </c>
      <c r="B2977" t="s">
        <v>53</v>
      </c>
      <c r="C2977" t="s">
        <v>733</v>
      </c>
      <c r="D2977" t="s">
        <v>1311</v>
      </c>
      <c r="E2977" s="1">
        <v>45944</v>
      </c>
      <c r="F2977" s="1">
        <v>45944</v>
      </c>
      <c r="G2977" s="12">
        <v>128</v>
      </c>
      <c r="H2977" s="2">
        <v>0</v>
      </c>
      <c r="I2977" s="2">
        <v>0</v>
      </c>
      <c r="J2977" s="2">
        <v>0</v>
      </c>
      <c r="K2977" s="20">
        <v>128</v>
      </c>
      <c r="L2977" t="s">
        <v>794</v>
      </c>
      <c r="M2977">
        <f t="shared" si="46"/>
        <v>2025</v>
      </c>
    </row>
    <row r="2978" spans="1:13" ht="12.75" hidden="1" customHeight="1">
      <c r="A2978" t="s">
        <v>1337</v>
      </c>
      <c r="B2978" t="s">
        <v>393</v>
      </c>
      <c r="C2978" t="s">
        <v>733</v>
      </c>
      <c r="D2978" t="s">
        <v>1311</v>
      </c>
      <c r="E2978" s="1">
        <v>45945</v>
      </c>
      <c r="F2978" s="1">
        <v>45945</v>
      </c>
      <c r="G2978" s="12">
        <v>100.88</v>
      </c>
      <c r="H2978" s="2">
        <v>0</v>
      </c>
      <c r="I2978" s="2">
        <v>0</v>
      </c>
      <c r="J2978" s="2">
        <v>0</v>
      </c>
      <c r="K2978" s="20">
        <v>100.88</v>
      </c>
      <c r="L2978" t="s">
        <v>794</v>
      </c>
      <c r="M2978">
        <f t="shared" si="46"/>
        <v>2025</v>
      </c>
    </row>
    <row r="2979" spans="1:13" ht="12.75" hidden="1" customHeight="1">
      <c r="A2979" t="s">
        <v>1337</v>
      </c>
      <c r="B2979" t="s">
        <v>393</v>
      </c>
      <c r="C2979" t="s">
        <v>681</v>
      </c>
      <c r="D2979" t="s">
        <v>1311</v>
      </c>
      <c r="E2979" s="1">
        <v>45945</v>
      </c>
      <c r="F2979" s="1">
        <v>45945</v>
      </c>
      <c r="G2979" s="12">
        <v>62.65</v>
      </c>
      <c r="H2979" s="2">
        <v>0</v>
      </c>
      <c r="I2979" s="2">
        <v>0</v>
      </c>
      <c r="J2979" s="2">
        <v>0</v>
      </c>
      <c r="K2979" s="20">
        <v>62.65</v>
      </c>
      <c r="L2979" t="s">
        <v>794</v>
      </c>
      <c r="M2979">
        <f t="shared" si="46"/>
        <v>2025</v>
      </c>
    </row>
    <row r="2980" spans="1:13" ht="12.75" hidden="1" customHeight="1">
      <c r="A2980" t="s">
        <v>1337</v>
      </c>
      <c r="B2980" t="s">
        <v>393</v>
      </c>
      <c r="C2980" t="s">
        <v>681</v>
      </c>
      <c r="D2980" t="s">
        <v>1311</v>
      </c>
      <c r="E2980" s="1">
        <v>45945</v>
      </c>
      <c r="F2980" s="1">
        <v>45945</v>
      </c>
      <c r="G2980" s="12">
        <v>199.5</v>
      </c>
      <c r="H2980" s="2">
        <v>0</v>
      </c>
      <c r="I2980" s="2">
        <v>0</v>
      </c>
      <c r="J2980" s="2">
        <v>0</v>
      </c>
      <c r="K2980" s="20">
        <v>199.5</v>
      </c>
      <c r="L2980" t="s">
        <v>794</v>
      </c>
      <c r="M2980">
        <f t="shared" si="46"/>
        <v>2025</v>
      </c>
    </row>
    <row r="2981" spans="1:13" ht="12.75" hidden="1" customHeight="1">
      <c r="A2981" t="s">
        <v>894</v>
      </c>
      <c r="B2981" t="s">
        <v>443</v>
      </c>
      <c r="C2981" t="s">
        <v>483</v>
      </c>
      <c r="D2981" t="s">
        <v>1311</v>
      </c>
      <c r="E2981" s="1">
        <v>45945</v>
      </c>
      <c r="F2981" s="1">
        <v>45945</v>
      </c>
      <c r="G2981" s="12">
        <v>34.980000000000004</v>
      </c>
      <c r="H2981" s="2">
        <v>0</v>
      </c>
      <c r="I2981" s="2">
        <v>0</v>
      </c>
      <c r="J2981" s="2">
        <v>0</v>
      </c>
      <c r="K2981" s="20">
        <v>34.980000000000004</v>
      </c>
      <c r="L2981" t="s">
        <v>794</v>
      </c>
      <c r="M2981">
        <f t="shared" si="46"/>
        <v>2025</v>
      </c>
    </row>
    <row r="2982" spans="1:13" ht="12.75" hidden="1" customHeight="1">
      <c r="A2982" t="s">
        <v>944</v>
      </c>
      <c r="B2982" t="s">
        <v>700</v>
      </c>
      <c r="C2982" t="s">
        <v>483</v>
      </c>
      <c r="D2982" t="s">
        <v>1311</v>
      </c>
      <c r="E2982" s="1">
        <v>45947</v>
      </c>
      <c r="F2982" s="1">
        <v>45947</v>
      </c>
      <c r="G2982" s="12">
        <v>13</v>
      </c>
      <c r="H2982" s="2">
        <v>0</v>
      </c>
      <c r="I2982" s="2">
        <v>0</v>
      </c>
      <c r="J2982" s="2">
        <v>0</v>
      </c>
      <c r="K2982" s="20">
        <v>13</v>
      </c>
      <c r="L2982" t="s">
        <v>794</v>
      </c>
      <c r="M2982">
        <f t="shared" si="46"/>
        <v>2025</v>
      </c>
    </row>
    <row r="2983" spans="1:13" ht="12.75" hidden="1" customHeight="1">
      <c r="A2983" t="s">
        <v>900</v>
      </c>
      <c r="B2983" t="s">
        <v>566</v>
      </c>
      <c r="C2983" t="s">
        <v>142</v>
      </c>
      <c r="D2983" t="s">
        <v>1311</v>
      </c>
      <c r="E2983" s="1">
        <v>45951</v>
      </c>
      <c r="F2983" s="1">
        <v>45951</v>
      </c>
      <c r="G2983" s="12">
        <v>35</v>
      </c>
      <c r="H2983" s="2">
        <v>0</v>
      </c>
      <c r="I2983" s="2">
        <v>0</v>
      </c>
      <c r="J2983" s="2">
        <v>0</v>
      </c>
      <c r="K2983" s="20">
        <v>35</v>
      </c>
      <c r="L2983" t="s">
        <v>794</v>
      </c>
      <c r="M2983">
        <f t="shared" si="46"/>
        <v>2025</v>
      </c>
    </row>
    <row r="2984" spans="1:13" ht="12.75" hidden="1" customHeight="1">
      <c r="A2984" t="s">
        <v>981</v>
      </c>
      <c r="B2984" t="s">
        <v>55</v>
      </c>
      <c r="C2984" t="s">
        <v>99</v>
      </c>
      <c r="D2984" t="s">
        <v>1311</v>
      </c>
      <c r="E2984" s="1">
        <v>45952</v>
      </c>
      <c r="F2984" s="1">
        <v>45952</v>
      </c>
      <c r="G2984" s="12">
        <v>150</v>
      </c>
      <c r="H2984" s="2">
        <v>0</v>
      </c>
      <c r="I2984" s="2">
        <v>0</v>
      </c>
      <c r="J2984" s="2">
        <v>0</v>
      </c>
      <c r="K2984" s="20">
        <v>150</v>
      </c>
      <c r="L2984" t="s">
        <v>794</v>
      </c>
      <c r="M2984">
        <f t="shared" si="46"/>
        <v>2025</v>
      </c>
    </row>
    <row r="2985" spans="1:13" ht="12.75" hidden="1" customHeight="1">
      <c r="A2985" t="s">
        <v>819</v>
      </c>
      <c r="B2985" t="s">
        <v>38</v>
      </c>
      <c r="C2985" t="s">
        <v>733</v>
      </c>
      <c r="D2985" t="s">
        <v>1338</v>
      </c>
      <c r="E2985" s="17">
        <v>45962</v>
      </c>
      <c r="F2985" s="17">
        <v>45962</v>
      </c>
      <c r="G2985" s="13">
        <v>82</v>
      </c>
      <c r="H2985" s="14">
        <v>0</v>
      </c>
      <c r="I2985" s="14">
        <v>0</v>
      </c>
      <c r="J2985" s="14">
        <v>0</v>
      </c>
      <c r="K2985" s="22">
        <v>82</v>
      </c>
      <c r="L2985" t="s">
        <v>794</v>
      </c>
      <c r="M2985">
        <f t="shared" si="46"/>
        <v>2025</v>
      </c>
    </row>
    <row r="2986" spans="1:13" ht="12.75" hidden="1" customHeight="1">
      <c r="A2986" t="s">
        <v>1316</v>
      </c>
      <c r="B2986" t="s">
        <v>59</v>
      </c>
      <c r="C2986" t="s">
        <v>141</v>
      </c>
      <c r="D2986" t="s">
        <v>1338</v>
      </c>
      <c r="E2986" s="17">
        <v>45964</v>
      </c>
      <c r="F2986" s="17">
        <v>45964</v>
      </c>
      <c r="G2986" s="13">
        <v>80</v>
      </c>
      <c r="H2986" s="14">
        <v>0</v>
      </c>
      <c r="I2986" s="14">
        <v>0</v>
      </c>
      <c r="J2986" s="14">
        <v>0</v>
      </c>
      <c r="K2986" s="22">
        <v>80</v>
      </c>
      <c r="L2986" t="s">
        <v>794</v>
      </c>
      <c r="M2986">
        <f t="shared" si="46"/>
        <v>2025</v>
      </c>
    </row>
    <row r="2987" spans="1:13" ht="12.75" hidden="1" customHeight="1">
      <c r="A2987" t="s">
        <v>818</v>
      </c>
      <c r="B2987" t="s">
        <v>30</v>
      </c>
      <c r="C2987" t="s">
        <v>141</v>
      </c>
      <c r="D2987" t="s">
        <v>1338</v>
      </c>
      <c r="E2987" s="17">
        <v>45964</v>
      </c>
      <c r="F2987" s="17">
        <v>45964</v>
      </c>
      <c r="G2987" s="13">
        <v>66</v>
      </c>
      <c r="H2987" s="14">
        <v>0</v>
      </c>
      <c r="I2987" s="14">
        <v>0</v>
      </c>
      <c r="J2987" s="14">
        <v>0</v>
      </c>
      <c r="K2987" s="22">
        <v>66</v>
      </c>
      <c r="L2987" t="s">
        <v>794</v>
      </c>
      <c r="M2987">
        <f t="shared" si="46"/>
        <v>2025</v>
      </c>
    </row>
    <row r="2988" spans="1:13" ht="12.75" hidden="1" customHeight="1">
      <c r="A2988" t="s">
        <v>1313</v>
      </c>
      <c r="B2988" t="s">
        <v>362</v>
      </c>
      <c r="C2988" t="s">
        <v>558</v>
      </c>
      <c r="D2988" t="s">
        <v>1338</v>
      </c>
      <c r="E2988" s="17">
        <v>45964</v>
      </c>
      <c r="F2988" s="17">
        <v>45964</v>
      </c>
      <c r="G2988" s="13">
        <v>32.85</v>
      </c>
      <c r="H2988" s="14">
        <v>0</v>
      </c>
      <c r="I2988" s="14">
        <v>0</v>
      </c>
      <c r="J2988" s="14">
        <v>0</v>
      </c>
      <c r="K2988" s="22">
        <v>32.85</v>
      </c>
      <c r="L2988" t="s">
        <v>794</v>
      </c>
      <c r="M2988">
        <f t="shared" si="46"/>
        <v>2025</v>
      </c>
    </row>
    <row r="2989" spans="1:13" ht="12.75" hidden="1" customHeight="1">
      <c r="A2989" t="s">
        <v>1339</v>
      </c>
      <c r="B2989" t="s">
        <v>66</v>
      </c>
      <c r="C2989" t="s">
        <v>139</v>
      </c>
      <c r="D2989" t="s">
        <v>1338</v>
      </c>
      <c r="E2989" s="17">
        <v>45964</v>
      </c>
      <c r="F2989" s="17">
        <v>45964</v>
      </c>
      <c r="G2989" s="13">
        <v>409.40000000000003</v>
      </c>
      <c r="H2989" s="14">
        <v>0</v>
      </c>
      <c r="I2989" s="14">
        <v>0</v>
      </c>
      <c r="J2989" s="14">
        <v>0</v>
      </c>
      <c r="K2989" s="22">
        <v>409.40000000000003</v>
      </c>
      <c r="L2989" t="s">
        <v>794</v>
      </c>
      <c r="M2989">
        <f t="shared" si="46"/>
        <v>2025</v>
      </c>
    </row>
    <row r="2990" spans="1:13" ht="12.75" hidden="1" customHeight="1">
      <c r="A2990" t="s">
        <v>1340</v>
      </c>
      <c r="B2990" t="s">
        <v>340</v>
      </c>
      <c r="C2990" t="s">
        <v>139</v>
      </c>
      <c r="D2990" t="s">
        <v>1338</v>
      </c>
      <c r="E2990" s="17">
        <v>45965</v>
      </c>
      <c r="F2990" s="17">
        <v>45965</v>
      </c>
      <c r="G2990" s="13">
        <v>232</v>
      </c>
      <c r="H2990" s="14">
        <v>0</v>
      </c>
      <c r="I2990" s="14">
        <v>0</v>
      </c>
      <c r="J2990" s="14">
        <v>0</v>
      </c>
      <c r="K2990" s="22">
        <v>232</v>
      </c>
      <c r="L2990" t="s">
        <v>794</v>
      </c>
      <c r="M2990">
        <f t="shared" si="46"/>
        <v>2025</v>
      </c>
    </row>
    <row r="2991" spans="1:13" ht="12.75" hidden="1" customHeight="1">
      <c r="A2991" t="s">
        <v>852</v>
      </c>
      <c r="B2991" t="s">
        <v>342</v>
      </c>
      <c r="C2991" t="s">
        <v>483</v>
      </c>
      <c r="D2991" t="s">
        <v>1338</v>
      </c>
      <c r="E2991" s="17">
        <v>45965</v>
      </c>
      <c r="F2991" s="17">
        <v>45965</v>
      </c>
      <c r="G2991" s="13">
        <v>13.47</v>
      </c>
      <c r="H2991" s="14">
        <v>0</v>
      </c>
      <c r="I2991" s="14">
        <v>0</v>
      </c>
      <c r="J2991" s="14">
        <v>0</v>
      </c>
      <c r="K2991" s="22">
        <v>13.47</v>
      </c>
      <c r="L2991" t="s">
        <v>794</v>
      </c>
      <c r="M2991">
        <f t="shared" si="46"/>
        <v>2025</v>
      </c>
    </row>
    <row r="2992" spans="1:13" ht="12.75" hidden="1" customHeight="1">
      <c r="A2992" t="s">
        <v>1121</v>
      </c>
      <c r="B2992" t="s">
        <v>295</v>
      </c>
      <c r="C2992" t="s">
        <v>142</v>
      </c>
      <c r="D2992" t="s">
        <v>1338</v>
      </c>
      <c r="E2992" s="17">
        <v>45965</v>
      </c>
      <c r="F2992" s="17">
        <v>45965</v>
      </c>
      <c r="G2992" s="13">
        <v>35</v>
      </c>
      <c r="H2992" s="14">
        <v>0</v>
      </c>
      <c r="I2992" s="14">
        <v>0</v>
      </c>
      <c r="J2992" s="14">
        <v>0</v>
      </c>
      <c r="K2992" s="22">
        <v>35</v>
      </c>
      <c r="L2992" t="s">
        <v>794</v>
      </c>
      <c r="M2992">
        <f t="shared" si="46"/>
        <v>2025</v>
      </c>
    </row>
    <row r="2993" spans="1:13" ht="12.75" hidden="1" customHeight="1">
      <c r="A2993" t="s">
        <v>1144</v>
      </c>
      <c r="B2993" t="s">
        <v>389</v>
      </c>
      <c r="C2993" t="s">
        <v>491</v>
      </c>
      <c r="D2993" t="s">
        <v>1338</v>
      </c>
      <c r="E2993" s="17">
        <v>45965</v>
      </c>
      <c r="F2993" s="17">
        <v>45965</v>
      </c>
      <c r="G2993" s="13">
        <v>54</v>
      </c>
      <c r="H2993" s="14">
        <v>0</v>
      </c>
      <c r="I2993" s="14">
        <v>0</v>
      </c>
      <c r="J2993" s="14">
        <v>0</v>
      </c>
      <c r="K2993" s="22">
        <v>54</v>
      </c>
      <c r="L2993" t="s">
        <v>794</v>
      </c>
      <c r="M2993">
        <f t="shared" si="46"/>
        <v>2025</v>
      </c>
    </row>
    <row r="2994" spans="1:13" ht="12.75" hidden="1" customHeight="1">
      <c r="A2994" t="s">
        <v>1313</v>
      </c>
      <c r="B2994" t="s">
        <v>362</v>
      </c>
      <c r="C2994" t="s">
        <v>483</v>
      </c>
      <c r="D2994" t="s">
        <v>1338</v>
      </c>
      <c r="E2994" s="17">
        <v>45965</v>
      </c>
      <c r="F2994" s="17">
        <v>45965</v>
      </c>
      <c r="G2994" s="13">
        <v>8.25</v>
      </c>
      <c r="H2994" s="14">
        <v>0</v>
      </c>
      <c r="I2994" s="14">
        <v>0</v>
      </c>
      <c r="J2994" s="14">
        <v>0</v>
      </c>
      <c r="K2994" s="22">
        <v>8.25</v>
      </c>
      <c r="L2994" t="s">
        <v>794</v>
      </c>
      <c r="M2994">
        <f t="shared" si="46"/>
        <v>2025</v>
      </c>
    </row>
    <row r="2995" spans="1:13" ht="12.75" hidden="1" customHeight="1">
      <c r="A2995" t="s">
        <v>981</v>
      </c>
      <c r="B2995" t="s">
        <v>55</v>
      </c>
      <c r="C2995" t="s">
        <v>99</v>
      </c>
      <c r="D2995" t="s">
        <v>1338</v>
      </c>
      <c r="E2995" s="17">
        <v>45966</v>
      </c>
      <c r="F2995" s="17">
        <v>45966</v>
      </c>
      <c r="G2995" s="13">
        <v>700</v>
      </c>
      <c r="H2995" s="14">
        <v>0</v>
      </c>
      <c r="I2995" s="14">
        <v>0</v>
      </c>
      <c r="J2995" s="14">
        <v>0</v>
      </c>
      <c r="K2995" s="22">
        <v>700</v>
      </c>
      <c r="L2995" t="s">
        <v>794</v>
      </c>
      <c r="M2995">
        <f t="shared" si="46"/>
        <v>2025</v>
      </c>
    </row>
    <row r="2996" spans="1:13" ht="12.75" hidden="1" customHeight="1">
      <c r="A2996" t="s">
        <v>808</v>
      </c>
      <c r="B2996" t="s">
        <v>154</v>
      </c>
      <c r="C2996" t="s">
        <v>693</v>
      </c>
      <c r="D2996" t="s">
        <v>1338</v>
      </c>
      <c r="E2996" s="17">
        <v>45966</v>
      </c>
      <c r="F2996" s="17">
        <v>45966</v>
      </c>
      <c r="G2996" s="13">
        <v>550</v>
      </c>
      <c r="H2996" s="14">
        <v>0</v>
      </c>
      <c r="I2996" s="14">
        <v>0</v>
      </c>
      <c r="J2996" s="14">
        <v>0</v>
      </c>
      <c r="K2996" s="22">
        <v>550</v>
      </c>
      <c r="L2996" t="s">
        <v>794</v>
      </c>
      <c r="M2996">
        <f t="shared" si="46"/>
        <v>2025</v>
      </c>
    </row>
    <row r="2997" spans="1:13" ht="12.75" hidden="1" customHeight="1">
      <c r="A2997" t="s">
        <v>1341</v>
      </c>
      <c r="B2997" t="s">
        <v>160</v>
      </c>
      <c r="C2997" t="s">
        <v>201</v>
      </c>
      <c r="D2997" t="s">
        <v>1338</v>
      </c>
      <c r="E2997" s="17">
        <v>45971</v>
      </c>
      <c r="F2997" s="17">
        <v>45971</v>
      </c>
      <c r="G2997" s="13">
        <v>1440</v>
      </c>
      <c r="H2997" s="14">
        <v>0</v>
      </c>
      <c r="I2997" s="14">
        <v>0</v>
      </c>
      <c r="J2997" s="14">
        <v>0</v>
      </c>
      <c r="K2997" s="22">
        <v>1440</v>
      </c>
      <c r="L2997" t="s">
        <v>794</v>
      </c>
      <c r="M2997">
        <f t="shared" si="46"/>
        <v>2025</v>
      </c>
    </row>
    <row r="2998" spans="1:13" ht="12.75" hidden="1" customHeight="1">
      <c r="A2998" t="s">
        <v>906</v>
      </c>
      <c r="B2998" t="s">
        <v>289</v>
      </c>
      <c r="C2998" t="s">
        <v>681</v>
      </c>
      <c r="D2998" t="s">
        <v>1338</v>
      </c>
      <c r="E2998" s="17">
        <v>45971</v>
      </c>
      <c r="F2998" s="17">
        <v>45971</v>
      </c>
      <c r="G2998" s="13">
        <v>47</v>
      </c>
      <c r="H2998" s="14">
        <v>0</v>
      </c>
      <c r="I2998" s="14">
        <v>0</v>
      </c>
      <c r="J2998" s="14">
        <v>0</v>
      </c>
      <c r="K2998" s="22">
        <v>47</v>
      </c>
      <c r="L2998" t="s">
        <v>794</v>
      </c>
      <c r="M2998">
        <f t="shared" si="46"/>
        <v>2025</v>
      </c>
    </row>
    <row r="2999" spans="1:13" ht="12.75" hidden="1" customHeight="1">
      <c r="A2999" t="s">
        <v>1009</v>
      </c>
      <c r="B2999" t="s">
        <v>62</v>
      </c>
      <c r="C2999" t="s">
        <v>141</v>
      </c>
      <c r="D2999" t="s">
        <v>1338</v>
      </c>
      <c r="E2999" s="17">
        <v>45971</v>
      </c>
      <c r="F2999" s="17">
        <v>45971</v>
      </c>
      <c r="G2999" s="13">
        <v>186</v>
      </c>
      <c r="H2999" s="14">
        <v>0</v>
      </c>
      <c r="I2999" s="14">
        <v>0</v>
      </c>
      <c r="J2999" s="14">
        <v>0</v>
      </c>
      <c r="K2999" s="22">
        <v>186</v>
      </c>
      <c r="L2999" t="s">
        <v>794</v>
      </c>
      <c r="M2999">
        <f t="shared" si="46"/>
        <v>2025</v>
      </c>
    </row>
    <row r="3000" spans="1:13" ht="12.75" hidden="1" customHeight="1">
      <c r="A3000" t="s">
        <v>810</v>
      </c>
      <c r="B3000" t="s">
        <v>54</v>
      </c>
      <c r="C3000" t="s">
        <v>141</v>
      </c>
      <c r="D3000" t="s">
        <v>1338</v>
      </c>
      <c r="E3000" s="17">
        <v>45971</v>
      </c>
      <c r="F3000" s="17">
        <v>45971</v>
      </c>
      <c r="G3000" s="13">
        <v>400</v>
      </c>
      <c r="H3000" s="14">
        <v>0</v>
      </c>
      <c r="I3000" s="14">
        <v>0</v>
      </c>
      <c r="J3000" s="14">
        <v>0</v>
      </c>
      <c r="K3000" s="22">
        <v>400</v>
      </c>
      <c r="L3000" t="s">
        <v>794</v>
      </c>
      <c r="M3000">
        <f t="shared" si="46"/>
        <v>2025</v>
      </c>
    </row>
    <row r="3001" spans="1:13" ht="12.75" hidden="1" customHeight="1">
      <c r="A3001" t="s">
        <v>1009</v>
      </c>
      <c r="B3001" t="s">
        <v>62</v>
      </c>
      <c r="C3001" t="s">
        <v>141</v>
      </c>
      <c r="D3001" t="s">
        <v>1338</v>
      </c>
      <c r="E3001" s="17">
        <v>45971</v>
      </c>
      <c r="F3001" s="17">
        <v>45971</v>
      </c>
      <c r="G3001" s="13">
        <v>160</v>
      </c>
      <c r="H3001" s="14">
        <v>0</v>
      </c>
      <c r="I3001" s="14">
        <v>0</v>
      </c>
      <c r="J3001" s="14">
        <v>0</v>
      </c>
      <c r="K3001" s="22">
        <v>160</v>
      </c>
      <c r="L3001" t="s">
        <v>794</v>
      </c>
      <c r="M3001">
        <f t="shared" si="46"/>
        <v>2025</v>
      </c>
    </row>
    <row r="3002" spans="1:13" ht="12.75" hidden="1" customHeight="1">
      <c r="A3002" t="s">
        <v>1181</v>
      </c>
      <c r="B3002" t="s">
        <v>75</v>
      </c>
      <c r="C3002" t="s">
        <v>141</v>
      </c>
      <c r="D3002" t="s">
        <v>1338</v>
      </c>
      <c r="E3002" s="17">
        <v>45971</v>
      </c>
      <c r="F3002" s="17">
        <v>45971</v>
      </c>
      <c r="G3002" s="13">
        <v>36</v>
      </c>
      <c r="H3002" s="14">
        <v>0</v>
      </c>
      <c r="I3002" s="14">
        <v>0</v>
      </c>
      <c r="J3002" s="14">
        <v>0</v>
      </c>
      <c r="K3002" s="22">
        <v>36</v>
      </c>
      <c r="L3002" t="s">
        <v>794</v>
      </c>
      <c r="M3002">
        <f t="shared" si="46"/>
        <v>2025</v>
      </c>
    </row>
    <row r="3003" spans="1:13" ht="12.75" hidden="1" customHeight="1">
      <c r="A3003" t="s">
        <v>1181</v>
      </c>
      <c r="B3003" t="s">
        <v>75</v>
      </c>
      <c r="C3003" t="s">
        <v>141</v>
      </c>
      <c r="D3003" t="s">
        <v>1338</v>
      </c>
      <c r="E3003" s="17">
        <v>45971</v>
      </c>
      <c r="F3003" s="17">
        <v>45971</v>
      </c>
      <c r="G3003" s="13">
        <v>320</v>
      </c>
      <c r="H3003" s="14">
        <v>0</v>
      </c>
      <c r="I3003" s="14">
        <v>0</v>
      </c>
      <c r="J3003" s="14">
        <v>0</v>
      </c>
      <c r="K3003" s="22">
        <v>320</v>
      </c>
      <c r="L3003" t="s">
        <v>794</v>
      </c>
      <c r="M3003">
        <f t="shared" si="46"/>
        <v>2025</v>
      </c>
    </row>
    <row r="3004" spans="1:13" ht="12.75" hidden="1" customHeight="1">
      <c r="A3004" t="s">
        <v>818</v>
      </c>
      <c r="B3004" t="s">
        <v>30</v>
      </c>
      <c r="C3004" t="s">
        <v>141</v>
      </c>
      <c r="D3004" t="s">
        <v>1338</v>
      </c>
      <c r="E3004" s="17">
        <v>45971</v>
      </c>
      <c r="F3004" s="17">
        <v>45971</v>
      </c>
      <c r="G3004" s="13">
        <v>560</v>
      </c>
      <c r="H3004" s="14">
        <v>0</v>
      </c>
      <c r="I3004" s="14">
        <v>0</v>
      </c>
      <c r="J3004" s="14">
        <v>0</v>
      </c>
      <c r="K3004" s="22">
        <v>560</v>
      </c>
      <c r="L3004" t="s">
        <v>794</v>
      </c>
      <c r="M3004">
        <f t="shared" si="46"/>
        <v>2025</v>
      </c>
    </row>
    <row r="3005" spans="1:13" ht="12.75" hidden="1" customHeight="1">
      <c r="A3005" t="s">
        <v>957</v>
      </c>
      <c r="B3005" t="s">
        <v>236</v>
      </c>
      <c r="C3005" t="s">
        <v>141</v>
      </c>
      <c r="D3005" t="s">
        <v>1338</v>
      </c>
      <c r="E3005" s="17">
        <v>45971</v>
      </c>
      <c r="F3005" s="17">
        <v>45971</v>
      </c>
      <c r="G3005" s="13">
        <v>170</v>
      </c>
      <c r="H3005" s="14">
        <v>0</v>
      </c>
      <c r="I3005" s="14">
        <v>0</v>
      </c>
      <c r="J3005" s="14">
        <v>0</v>
      </c>
      <c r="K3005" s="22">
        <v>170</v>
      </c>
      <c r="L3005" t="s">
        <v>794</v>
      </c>
      <c r="M3005">
        <f t="shared" si="46"/>
        <v>2025</v>
      </c>
    </row>
    <row r="3006" spans="1:13" ht="12.75" hidden="1" customHeight="1">
      <c r="A3006" t="s">
        <v>1342</v>
      </c>
      <c r="B3006" t="s">
        <v>492</v>
      </c>
      <c r="C3006" t="s">
        <v>200</v>
      </c>
      <c r="D3006" t="s">
        <v>1338</v>
      </c>
      <c r="E3006" s="17">
        <v>45971</v>
      </c>
      <c r="F3006" s="17">
        <v>45971</v>
      </c>
      <c r="G3006" s="13">
        <v>150</v>
      </c>
      <c r="H3006" s="14">
        <v>0</v>
      </c>
      <c r="I3006" s="14">
        <v>0</v>
      </c>
      <c r="J3006" s="14">
        <v>0</v>
      </c>
      <c r="K3006" s="22">
        <v>150</v>
      </c>
      <c r="L3006" t="s">
        <v>794</v>
      </c>
      <c r="M3006">
        <f t="shared" si="46"/>
        <v>2025</v>
      </c>
    </row>
    <row r="3007" spans="1:13" ht="12.75" hidden="1" customHeight="1">
      <c r="A3007" t="s">
        <v>836</v>
      </c>
      <c r="B3007" t="s">
        <v>37</v>
      </c>
      <c r="C3007" t="s">
        <v>141</v>
      </c>
      <c r="D3007" t="s">
        <v>1338</v>
      </c>
      <c r="E3007" s="17">
        <v>45971</v>
      </c>
      <c r="F3007" s="17">
        <v>45971</v>
      </c>
      <c r="G3007" s="13">
        <v>100</v>
      </c>
      <c r="H3007" s="14">
        <v>0</v>
      </c>
      <c r="I3007" s="14">
        <v>0</v>
      </c>
      <c r="J3007" s="14">
        <v>0</v>
      </c>
      <c r="K3007" s="22">
        <v>100</v>
      </c>
      <c r="L3007" t="s">
        <v>794</v>
      </c>
      <c r="M3007">
        <f t="shared" si="46"/>
        <v>2025</v>
      </c>
    </row>
    <row r="3008" spans="1:13" ht="12.75" hidden="1" customHeight="1">
      <c r="A3008" t="s">
        <v>1105</v>
      </c>
      <c r="B3008" t="s">
        <v>84</v>
      </c>
      <c r="C3008" t="s">
        <v>141</v>
      </c>
      <c r="D3008" t="s">
        <v>1338</v>
      </c>
      <c r="E3008" s="17">
        <v>45971</v>
      </c>
      <c r="F3008" s="17">
        <v>45971</v>
      </c>
      <c r="G3008" s="13">
        <v>100</v>
      </c>
      <c r="H3008" s="14">
        <v>0</v>
      </c>
      <c r="I3008" s="14">
        <v>0</v>
      </c>
      <c r="J3008" s="14">
        <v>0</v>
      </c>
      <c r="K3008" s="22">
        <v>100</v>
      </c>
      <c r="L3008" t="s">
        <v>794</v>
      </c>
      <c r="M3008">
        <f t="shared" si="46"/>
        <v>2025</v>
      </c>
    </row>
    <row r="3009" spans="1:13" ht="12.75" hidden="1" customHeight="1">
      <c r="A3009" t="s">
        <v>961</v>
      </c>
      <c r="B3009" t="s">
        <v>41</v>
      </c>
      <c r="C3009" t="s">
        <v>141</v>
      </c>
      <c r="D3009" t="s">
        <v>1338</v>
      </c>
      <c r="E3009" s="17">
        <v>45971</v>
      </c>
      <c r="F3009" s="17">
        <v>45971</v>
      </c>
      <c r="G3009" s="13">
        <v>100</v>
      </c>
      <c r="H3009" s="14">
        <v>0</v>
      </c>
      <c r="I3009" s="14">
        <v>0</v>
      </c>
      <c r="J3009" s="14">
        <v>0</v>
      </c>
      <c r="K3009" s="22">
        <v>100</v>
      </c>
      <c r="L3009" t="s">
        <v>794</v>
      </c>
      <c r="M3009">
        <f t="shared" si="46"/>
        <v>2025</v>
      </c>
    </row>
    <row r="3010" spans="1:13" ht="12.75" hidden="1" customHeight="1">
      <c r="A3010" t="s">
        <v>1112</v>
      </c>
      <c r="B3010" t="s">
        <v>68</v>
      </c>
      <c r="C3010" t="s">
        <v>141</v>
      </c>
      <c r="D3010" t="s">
        <v>1338</v>
      </c>
      <c r="E3010" s="17">
        <v>45971</v>
      </c>
      <c r="F3010" s="17">
        <v>45971</v>
      </c>
      <c r="G3010" s="13">
        <v>150</v>
      </c>
      <c r="H3010" s="14">
        <v>0</v>
      </c>
      <c r="I3010" s="14">
        <v>0</v>
      </c>
      <c r="J3010" s="14">
        <v>0</v>
      </c>
      <c r="K3010" s="22">
        <v>150</v>
      </c>
      <c r="L3010" t="s">
        <v>794</v>
      </c>
      <c r="M3010">
        <f t="shared" si="46"/>
        <v>2025</v>
      </c>
    </row>
    <row r="3011" spans="1:13" ht="12.75" hidden="1" customHeight="1">
      <c r="A3011" t="s">
        <v>1343</v>
      </c>
      <c r="B3011" t="s">
        <v>92</v>
      </c>
      <c r="C3011" t="s">
        <v>201</v>
      </c>
      <c r="D3011" t="s">
        <v>1338</v>
      </c>
      <c r="E3011" s="17">
        <v>45971</v>
      </c>
      <c r="F3011" s="17">
        <v>45971</v>
      </c>
      <c r="G3011" s="13">
        <v>1440</v>
      </c>
      <c r="H3011" s="14">
        <v>0</v>
      </c>
      <c r="I3011" s="14">
        <v>0</v>
      </c>
      <c r="J3011" s="14">
        <v>0</v>
      </c>
      <c r="K3011" s="22">
        <v>1440</v>
      </c>
      <c r="L3011" t="s">
        <v>794</v>
      </c>
      <c r="M3011">
        <f t="shared" ref="M3011:M3074" si="47">YEAR(F3011)</f>
        <v>2025</v>
      </c>
    </row>
    <row r="3012" spans="1:13" ht="12.75" hidden="1" customHeight="1">
      <c r="A3012" t="s">
        <v>818</v>
      </c>
      <c r="B3012" t="s">
        <v>30</v>
      </c>
      <c r="C3012" t="s">
        <v>141</v>
      </c>
      <c r="D3012" t="s">
        <v>1338</v>
      </c>
      <c r="E3012" s="17">
        <v>45971</v>
      </c>
      <c r="F3012" s="17">
        <v>45971</v>
      </c>
      <c r="G3012" s="13">
        <v>60</v>
      </c>
      <c r="H3012" s="14">
        <v>0</v>
      </c>
      <c r="I3012" s="14">
        <v>0</v>
      </c>
      <c r="J3012" s="14">
        <v>0</v>
      </c>
      <c r="K3012" s="22">
        <v>60</v>
      </c>
      <c r="L3012" t="s">
        <v>794</v>
      </c>
      <c r="M3012">
        <f t="shared" si="47"/>
        <v>2025</v>
      </c>
    </row>
    <row r="3013" spans="1:13" ht="12.75" hidden="1" customHeight="1">
      <c r="A3013" t="s">
        <v>957</v>
      </c>
      <c r="B3013" t="s">
        <v>236</v>
      </c>
      <c r="C3013" t="s">
        <v>141</v>
      </c>
      <c r="D3013" t="s">
        <v>1338</v>
      </c>
      <c r="E3013" s="17">
        <v>45971</v>
      </c>
      <c r="F3013" s="17">
        <v>45971</v>
      </c>
      <c r="G3013" s="13">
        <v>30</v>
      </c>
      <c r="H3013" s="14">
        <v>0</v>
      </c>
      <c r="I3013" s="14">
        <v>0</v>
      </c>
      <c r="J3013" s="14">
        <v>0</v>
      </c>
      <c r="K3013" s="22">
        <v>30</v>
      </c>
      <c r="L3013" t="s">
        <v>794</v>
      </c>
      <c r="M3013">
        <f t="shared" si="47"/>
        <v>2025</v>
      </c>
    </row>
    <row r="3014" spans="1:13" ht="12.75" hidden="1" customHeight="1">
      <c r="A3014" t="s">
        <v>1196</v>
      </c>
      <c r="B3014" t="s">
        <v>1197</v>
      </c>
      <c r="C3014" t="s">
        <v>141</v>
      </c>
      <c r="D3014" t="s">
        <v>1338</v>
      </c>
      <c r="E3014" s="17">
        <v>45971</v>
      </c>
      <c r="F3014" s="17">
        <v>45971</v>
      </c>
      <c r="G3014" s="13">
        <v>500</v>
      </c>
      <c r="H3014" s="14">
        <v>0</v>
      </c>
      <c r="I3014" s="14">
        <v>0</v>
      </c>
      <c r="J3014" s="14">
        <v>0</v>
      </c>
      <c r="K3014" s="22">
        <v>500</v>
      </c>
      <c r="L3014" t="s">
        <v>794</v>
      </c>
      <c r="M3014">
        <f t="shared" si="47"/>
        <v>2025</v>
      </c>
    </row>
    <row r="3015" spans="1:13" ht="12.75" hidden="1" customHeight="1">
      <c r="A3015" t="s">
        <v>924</v>
      </c>
      <c r="B3015" t="s">
        <v>87</v>
      </c>
      <c r="C3015" t="s">
        <v>141</v>
      </c>
      <c r="D3015" t="s">
        <v>1338</v>
      </c>
      <c r="E3015" s="17">
        <v>45972</v>
      </c>
      <c r="F3015" s="17">
        <v>45972</v>
      </c>
      <c r="G3015" s="13">
        <v>80</v>
      </c>
      <c r="H3015" s="14">
        <v>0</v>
      </c>
      <c r="I3015" s="14">
        <v>0</v>
      </c>
      <c r="J3015" s="14">
        <v>0</v>
      </c>
      <c r="K3015" s="22">
        <v>80</v>
      </c>
      <c r="L3015" t="s">
        <v>794</v>
      </c>
      <c r="M3015">
        <f t="shared" si="47"/>
        <v>2025</v>
      </c>
    </row>
    <row r="3016" spans="1:13" ht="12.75" hidden="1" customHeight="1">
      <c r="A3016" t="s">
        <v>907</v>
      </c>
      <c r="B3016" t="s">
        <v>291</v>
      </c>
      <c r="C3016" t="s">
        <v>681</v>
      </c>
      <c r="D3016" t="s">
        <v>1338</v>
      </c>
      <c r="E3016" s="17">
        <v>45972</v>
      </c>
      <c r="F3016" s="17">
        <v>45972</v>
      </c>
      <c r="G3016" s="13">
        <v>13.99</v>
      </c>
      <c r="H3016" s="14">
        <v>0</v>
      </c>
      <c r="I3016" s="14">
        <v>0</v>
      </c>
      <c r="J3016" s="14">
        <v>0</v>
      </c>
      <c r="K3016" s="22">
        <v>13.99</v>
      </c>
      <c r="L3016" t="s">
        <v>794</v>
      </c>
      <c r="M3016">
        <f t="shared" si="47"/>
        <v>2025</v>
      </c>
    </row>
    <row r="3017" spans="1:13" ht="12.75" hidden="1" customHeight="1">
      <c r="A3017" t="s">
        <v>819</v>
      </c>
      <c r="B3017" t="s">
        <v>38</v>
      </c>
      <c r="C3017" t="s">
        <v>141</v>
      </c>
      <c r="D3017" t="s">
        <v>1338</v>
      </c>
      <c r="E3017" s="17">
        <v>45972</v>
      </c>
      <c r="F3017" s="17">
        <v>45972</v>
      </c>
      <c r="G3017" s="13">
        <v>200</v>
      </c>
      <c r="H3017" s="14">
        <v>0</v>
      </c>
      <c r="I3017" s="14">
        <v>0</v>
      </c>
      <c r="J3017" s="14">
        <v>0</v>
      </c>
      <c r="K3017" s="22">
        <v>200</v>
      </c>
      <c r="L3017" t="s">
        <v>794</v>
      </c>
      <c r="M3017">
        <f t="shared" si="47"/>
        <v>2025</v>
      </c>
    </row>
    <row r="3018" spans="1:13" ht="12.75" hidden="1" customHeight="1">
      <c r="A3018" t="s">
        <v>998</v>
      </c>
      <c r="B3018" t="s">
        <v>368</v>
      </c>
      <c r="C3018" t="s">
        <v>733</v>
      </c>
      <c r="D3018" t="s">
        <v>1338</v>
      </c>
      <c r="E3018" s="17">
        <v>45972</v>
      </c>
      <c r="F3018" s="17">
        <v>45972</v>
      </c>
      <c r="G3018" s="13">
        <v>70</v>
      </c>
      <c r="H3018" s="14">
        <v>0</v>
      </c>
      <c r="I3018" s="14">
        <v>0</v>
      </c>
      <c r="J3018" s="14">
        <v>0</v>
      </c>
      <c r="K3018" s="22">
        <v>70</v>
      </c>
      <c r="L3018" t="s">
        <v>794</v>
      </c>
      <c r="M3018">
        <f t="shared" si="47"/>
        <v>2025</v>
      </c>
    </row>
    <row r="3019" spans="1:13" ht="12.75" hidden="1" customHeight="1">
      <c r="A3019" t="s">
        <v>1272</v>
      </c>
      <c r="B3019" t="s">
        <v>132</v>
      </c>
      <c r="C3019" t="s">
        <v>141</v>
      </c>
      <c r="D3019" t="s">
        <v>1338</v>
      </c>
      <c r="E3019" s="17">
        <v>45972</v>
      </c>
      <c r="F3019" s="17">
        <v>45972</v>
      </c>
      <c r="G3019" s="13">
        <v>400</v>
      </c>
      <c r="H3019" s="14">
        <v>0</v>
      </c>
      <c r="I3019" s="14">
        <v>0</v>
      </c>
      <c r="J3019" s="14">
        <v>0</v>
      </c>
      <c r="K3019" s="22">
        <v>400</v>
      </c>
      <c r="L3019" t="s">
        <v>794</v>
      </c>
      <c r="M3019">
        <f t="shared" si="47"/>
        <v>2025</v>
      </c>
    </row>
    <row r="3020" spans="1:13" ht="12.75" hidden="1" customHeight="1">
      <c r="A3020" t="s">
        <v>1104</v>
      </c>
      <c r="B3020" t="s">
        <v>53</v>
      </c>
      <c r="C3020" t="s">
        <v>483</v>
      </c>
      <c r="D3020" t="s">
        <v>1338</v>
      </c>
      <c r="E3020" s="17">
        <v>45972</v>
      </c>
      <c r="F3020" s="17">
        <v>45972</v>
      </c>
      <c r="G3020" s="13">
        <v>10</v>
      </c>
      <c r="H3020" s="14">
        <v>0</v>
      </c>
      <c r="I3020" s="14">
        <v>0</v>
      </c>
      <c r="J3020" s="14">
        <v>0</v>
      </c>
      <c r="K3020" s="22">
        <v>10</v>
      </c>
      <c r="L3020" t="s">
        <v>794</v>
      </c>
      <c r="M3020">
        <f t="shared" si="47"/>
        <v>2025</v>
      </c>
    </row>
    <row r="3021" spans="1:13" ht="12.75" hidden="1" customHeight="1">
      <c r="A3021" t="s">
        <v>1317</v>
      </c>
      <c r="B3021" t="s">
        <v>64</v>
      </c>
      <c r="C3021" t="s">
        <v>141</v>
      </c>
      <c r="D3021" t="s">
        <v>1338</v>
      </c>
      <c r="E3021" s="17">
        <v>45972</v>
      </c>
      <c r="F3021" s="17">
        <v>45972</v>
      </c>
      <c r="G3021" s="13">
        <v>60</v>
      </c>
      <c r="H3021" s="14">
        <v>0</v>
      </c>
      <c r="I3021" s="14">
        <v>0</v>
      </c>
      <c r="J3021" s="14">
        <v>0</v>
      </c>
      <c r="K3021" s="22">
        <v>60</v>
      </c>
      <c r="L3021" t="s">
        <v>794</v>
      </c>
      <c r="M3021">
        <f t="shared" si="47"/>
        <v>2025</v>
      </c>
    </row>
    <row r="3022" spans="1:13" ht="12.75" hidden="1" customHeight="1">
      <c r="A3022" t="s">
        <v>896</v>
      </c>
      <c r="B3022" t="s">
        <v>293</v>
      </c>
      <c r="C3022" t="s">
        <v>733</v>
      </c>
      <c r="D3022" t="s">
        <v>1338</v>
      </c>
      <c r="E3022" s="17">
        <v>45973</v>
      </c>
      <c r="F3022" s="17">
        <v>45973</v>
      </c>
      <c r="G3022" s="13">
        <v>33.660000000000004</v>
      </c>
      <c r="H3022" s="14">
        <v>0</v>
      </c>
      <c r="I3022" s="14">
        <v>0</v>
      </c>
      <c r="J3022" s="14">
        <v>0</v>
      </c>
      <c r="K3022" s="22">
        <v>33.660000000000004</v>
      </c>
      <c r="L3022" t="s">
        <v>794</v>
      </c>
      <c r="M3022">
        <f t="shared" si="47"/>
        <v>2025</v>
      </c>
    </row>
    <row r="3023" spans="1:13" ht="12.75" hidden="1" customHeight="1">
      <c r="A3023" t="s">
        <v>833</v>
      </c>
      <c r="B3023" t="s">
        <v>27</v>
      </c>
      <c r="C3023" t="s">
        <v>483</v>
      </c>
      <c r="D3023" t="s">
        <v>1338</v>
      </c>
      <c r="E3023" s="17">
        <v>45973</v>
      </c>
      <c r="F3023" s="17">
        <v>45973</v>
      </c>
      <c r="G3023" s="13">
        <v>60</v>
      </c>
      <c r="H3023" s="14">
        <v>0</v>
      </c>
      <c r="I3023" s="14">
        <v>0</v>
      </c>
      <c r="J3023" s="14">
        <v>0</v>
      </c>
      <c r="K3023" s="22">
        <v>60</v>
      </c>
      <c r="L3023" t="s">
        <v>794</v>
      </c>
      <c r="M3023">
        <f t="shared" si="47"/>
        <v>2025</v>
      </c>
    </row>
    <row r="3024" spans="1:13" ht="12.75" hidden="1" customHeight="1">
      <c r="A3024" t="s">
        <v>855</v>
      </c>
      <c r="B3024" t="s">
        <v>20</v>
      </c>
      <c r="C3024" t="s">
        <v>140</v>
      </c>
      <c r="D3024" t="s">
        <v>1338</v>
      </c>
      <c r="E3024" s="17">
        <v>45973</v>
      </c>
      <c r="F3024" s="17">
        <v>45973</v>
      </c>
      <c r="G3024" s="13">
        <v>500</v>
      </c>
      <c r="H3024" s="14">
        <v>0</v>
      </c>
      <c r="I3024" s="14">
        <v>0</v>
      </c>
      <c r="J3024" s="14">
        <v>0</v>
      </c>
      <c r="K3024" s="22">
        <v>500</v>
      </c>
      <c r="L3024" t="s">
        <v>794</v>
      </c>
      <c r="M3024">
        <f t="shared" si="47"/>
        <v>2025</v>
      </c>
    </row>
    <row r="3025" spans="1:13" ht="12.75" hidden="1" customHeight="1">
      <c r="A3025" t="s">
        <v>855</v>
      </c>
      <c r="B3025" t="s">
        <v>20</v>
      </c>
      <c r="C3025" t="s">
        <v>458</v>
      </c>
      <c r="D3025" t="s">
        <v>1338</v>
      </c>
      <c r="E3025" s="17">
        <v>45973</v>
      </c>
      <c r="F3025" s="17">
        <v>45973</v>
      </c>
      <c r="G3025" s="13">
        <v>261.98</v>
      </c>
      <c r="H3025" s="14">
        <v>0</v>
      </c>
      <c r="I3025" s="14">
        <v>0</v>
      </c>
      <c r="J3025" s="14">
        <v>0</v>
      </c>
      <c r="K3025" s="22">
        <v>261.98</v>
      </c>
      <c r="L3025" t="s">
        <v>794</v>
      </c>
      <c r="M3025">
        <f t="shared" si="47"/>
        <v>2025</v>
      </c>
    </row>
    <row r="3026" spans="1:13" ht="12.75" hidden="1" customHeight="1">
      <c r="A3026" t="s">
        <v>1316</v>
      </c>
      <c r="B3026" t="s">
        <v>59</v>
      </c>
      <c r="C3026" t="s">
        <v>141</v>
      </c>
      <c r="D3026" t="s">
        <v>1338</v>
      </c>
      <c r="E3026" s="17">
        <v>45973</v>
      </c>
      <c r="F3026" s="17">
        <v>45973</v>
      </c>
      <c r="G3026" s="13">
        <v>106</v>
      </c>
      <c r="H3026" s="14">
        <v>0</v>
      </c>
      <c r="I3026" s="14">
        <v>0</v>
      </c>
      <c r="J3026" s="14">
        <v>0</v>
      </c>
      <c r="K3026" s="22">
        <v>106</v>
      </c>
      <c r="L3026" t="s">
        <v>794</v>
      </c>
      <c r="M3026">
        <f t="shared" si="47"/>
        <v>2025</v>
      </c>
    </row>
    <row r="3027" spans="1:13" ht="12.75" hidden="1" customHeight="1">
      <c r="A3027" t="s">
        <v>1206</v>
      </c>
      <c r="B3027" t="s">
        <v>153</v>
      </c>
      <c r="C3027" t="s">
        <v>200</v>
      </c>
      <c r="D3027" t="s">
        <v>1338</v>
      </c>
      <c r="E3027" s="17">
        <v>45972</v>
      </c>
      <c r="F3027" s="17">
        <v>45974</v>
      </c>
      <c r="G3027" s="13">
        <v>800</v>
      </c>
      <c r="H3027" s="14">
        <v>0</v>
      </c>
      <c r="I3027" s="14">
        <v>0</v>
      </c>
      <c r="J3027" s="14">
        <v>0</v>
      </c>
      <c r="K3027" s="22">
        <v>800</v>
      </c>
      <c r="L3027" t="s">
        <v>794</v>
      </c>
      <c r="M3027">
        <f t="shared" si="47"/>
        <v>2025</v>
      </c>
    </row>
    <row r="3028" spans="1:13" ht="12.75" hidden="1" customHeight="1">
      <c r="A3028" t="s">
        <v>992</v>
      </c>
      <c r="B3028" t="s">
        <v>277</v>
      </c>
      <c r="C3028" t="s">
        <v>483</v>
      </c>
      <c r="D3028" t="s">
        <v>1338</v>
      </c>
      <c r="E3028" s="17">
        <v>45974</v>
      </c>
      <c r="F3028" s="17">
        <v>45974</v>
      </c>
      <c r="G3028" s="13">
        <v>39.9</v>
      </c>
      <c r="H3028" s="14">
        <v>0</v>
      </c>
      <c r="I3028" s="14">
        <v>0</v>
      </c>
      <c r="J3028" s="14">
        <v>0</v>
      </c>
      <c r="K3028" s="22">
        <v>39.9</v>
      </c>
      <c r="L3028" t="s">
        <v>794</v>
      </c>
      <c r="M3028">
        <f t="shared" si="47"/>
        <v>2025</v>
      </c>
    </row>
    <row r="3029" spans="1:13" ht="12.75" hidden="1" customHeight="1">
      <c r="A3029" t="s">
        <v>921</v>
      </c>
      <c r="B3029" t="s">
        <v>184</v>
      </c>
      <c r="C3029" t="s">
        <v>483</v>
      </c>
      <c r="D3029" t="s">
        <v>1338</v>
      </c>
      <c r="E3029" s="17">
        <v>45975</v>
      </c>
      <c r="F3029" s="17">
        <v>45975</v>
      </c>
      <c r="G3029" s="13">
        <v>24</v>
      </c>
      <c r="H3029" s="14">
        <v>0</v>
      </c>
      <c r="I3029" s="14">
        <v>0</v>
      </c>
      <c r="J3029" s="14">
        <v>0</v>
      </c>
      <c r="K3029" s="22">
        <v>24</v>
      </c>
      <c r="L3029" t="s">
        <v>794</v>
      </c>
      <c r="M3029">
        <f t="shared" si="47"/>
        <v>2025</v>
      </c>
    </row>
    <row r="3030" spans="1:13" ht="12.75" hidden="1" customHeight="1">
      <c r="A3030" t="s">
        <v>906</v>
      </c>
      <c r="B3030" t="s">
        <v>289</v>
      </c>
      <c r="C3030" t="s">
        <v>681</v>
      </c>
      <c r="D3030" t="s">
        <v>1338</v>
      </c>
      <c r="E3030" s="17">
        <v>45975</v>
      </c>
      <c r="F3030" s="17">
        <v>45975</v>
      </c>
      <c r="G3030" s="13">
        <v>38</v>
      </c>
      <c r="H3030" s="14">
        <v>0</v>
      </c>
      <c r="I3030" s="14">
        <v>0</v>
      </c>
      <c r="J3030" s="14">
        <v>0</v>
      </c>
      <c r="K3030" s="22">
        <v>38</v>
      </c>
      <c r="L3030" t="s">
        <v>794</v>
      </c>
      <c r="M3030">
        <f t="shared" si="47"/>
        <v>2025</v>
      </c>
    </row>
    <row r="3031" spans="1:13" ht="12.75" hidden="1" customHeight="1">
      <c r="A3031" t="s">
        <v>1344</v>
      </c>
      <c r="B3031" t="s">
        <v>1345</v>
      </c>
      <c r="C3031" t="s">
        <v>599</v>
      </c>
      <c r="D3031" t="s">
        <v>1338</v>
      </c>
      <c r="E3031" s="17">
        <v>45978</v>
      </c>
      <c r="F3031" s="17">
        <v>45978</v>
      </c>
      <c r="G3031" s="13">
        <v>50</v>
      </c>
      <c r="H3031" s="14">
        <v>0</v>
      </c>
      <c r="I3031" s="14">
        <v>0</v>
      </c>
      <c r="J3031" s="14">
        <v>0</v>
      </c>
      <c r="K3031" s="22">
        <v>50</v>
      </c>
      <c r="L3031" t="s">
        <v>794</v>
      </c>
      <c r="M3031">
        <f t="shared" si="47"/>
        <v>2025</v>
      </c>
    </row>
    <row r="3032" spans="1:13" ht="12.75" hidden="1" customHeight="1">
      <c r="A3032" t="s">
        <v>921</v>
      </c>
      <c r="B3032" t="s">
        <v>184</v>
      </c>
      <c r="C3032" t="s">
        <v>483</v>
      </c>
      <c r="D3032" t="s">
        <v>1338</v>
      </c>
      <c r="E3032" s="17">
        <v>45978</v>
      </c>
      <c r="F3032" s="17">
        <v>45978</v>
      </c>
      <c r="G3032" s="13">
        <v>29.8</v>
      </c>
      <c r="H3032" s="14">
        <v>0</v>
      </c>
      <c r="I3032" s="14">
        <v>0</v>
      </c>
      <c r="J3032" s="14">
        <v>0</v>
      </c>
      <c r="K3032" s="22">
        <v>29.8</v>
      </c>
      <c r="L3032" t="s">
        <v>794</v>
      </c>
      <c r="M3032">
        <f t="shared" si="47"/>
        <v>2025</v>
      </c>
    </row>
    <row r="3033" spans="1:13" ht="12.75" hidden="1" customHeight="1">
      <c r="A3033" t="s">
        <v>883</v>
      </c>
      <c r="B3033" t="s">
        <v>325</v>
      </c>
      <c r="C3033" t="s">
        <v>99</v>
      </c>
      <c r="D3033" t="s">
        <v>1338</v>
      </c>
      <c r="E3033" s="17">
        <v>45978</v>
      </c>
      <c r="F3033" s="17">
        <v>45978</v>
      </c>
      <c r="G3033" s="13">
        <v>18.98</v>
      </c>
      <c r="H3033" s="14">
        <v>0</v>
      </c>
      <c r="I3033" s="14">
        <v>0</v>
      </c>
      <c r="J3033" s="14">
        <v>0</v>
      </c>
      <c r="K3033" s="22">
        <v>18.98</v>
      </c>
      <c r="L3033" t="s">
        <v>794</v>
      </c>
      <c r="M3033">
        <f t="shared" si="47"/>
        <v>2025</v>
      </c>
    </row>
    <row r="3034" spans="1:13" ht="12.75" hidden="1" customHeight="1">
      <c r="A3034" t="s">
        <v>907</v>
      </c>
      <c r="B3034" t="s">
        <v>291</v>
      </c>
      <c r="C3034" t="s">
        <v>681</v>
      </c>
      <c r="D3034" t="s">
        <v>1338</v>
      </c>
      <c r="E3034" s="17">
        <v>45978</v>
      </c>
      <c r="F3034" s="17">
        <v>45978</v>
      </c>
      <c r="G3034" s="13">
        <v>4.9000000000000004</v>
      </c>
      <c r="H3034" s="14">
        <v>0</v>
      </c>
      <c r="I3034" s="14">
        <v>0</v>
      </c>
      <c r="J3034" s="14">
        <v>0</v>
      </c>
      <c r="K3034" s="22">
        <v>4.9000000000000004</v>
      </c>
      <c r="L3034" t="s">
        <v>794</v>
      </c>
      <c r="M3034">
        <f t="shared" si="47"/>
        <v>2025</v>
      </c>
    </row>
    <row r="3035" spans="1:13" ht="12.75" hidden="1" customHeight="1">
      <c r="A3035" t="s">
        <v>1346</v>
      </c>
      <c r="B3035" t="s">
        <v>699</v>
      </c>
      <c r="C3035" t="s">
        <v>483</v>
      </c>
      <c r="D3035" t="s">
        <v>1338</v>
      </c>
      <c r="E3035" s="17">
        <v>45978</v>
      </c>
      <c r="F3035" s="17">
        <v>45978</v>
      </c>
      <c r="G3035" s="13">
        <v>13.07</v>
      </c>
      <c r="H3035" s="14">
        <v>0</v>
      </c>
      <c r="I3035" s="14">
        <v>0</v>
      </c>
      <c r="J3035" s="14">
        <v>0</v>
      </c>
      <c r="K3035" s="22">
        <v>13.07</v>
      </c>
      <c r="L3035" t="s">
        <v>794</v>
      </c>
      <c r="M3035">
        <f t="shared" si="47"/>
        <v>2025</v>
      </c>
    </row>
    <row r="3036" spans="1:13" ht="12.75" hidden="1" customHeight="1">
      <c r="A3036" t="s">
        <v>1347</v>
      </c>
      <c r="B3036" t="s">
        <v>518</v>
      </c>
      <c r="C3036" t="s">
        <v>599</v>
      </c>
      <c r="D3036" t="s">
        <v>1338</v>
      </c>
      <c r="E3036" s="17">
        <v>45978</v>
      </c>
      <c r="F3036" s="17">
        <v>45978</v>
      </c>
      <c r="G3036" s="13">
        <v>100</v>
      </c>
      <c r="H3036" s="14">
        <v>0</v>
      </c>
      <c r="I3036" s="14">
        <v>0</v>
      </c>
      <c r="J3036" s="14">
        <v>0</v>
      </c>
      <c r="K3036" s="22">
        <v>100</v>
      </c>
      <c r="L3036" t="s">
        <v>794</v>
      </c>
      <c r="M3036">
        <f t="shared" si="47"/>
        <v>2025</v>
      </c>
    </row>
    <row r="3037" spans="1:13" ht="12.75" hidden="1" customHeight="1">
      <c r="A3037" t="s">
        <v>1167</v>
      </c>
      <c r="B3037" t="s">
        <v>47</v>
      </c>
      <c r="C3037" t="s">
        <v>141</v>
      </c>
      <c r="D3037" t="s">
        <v>1338</v>
      </c>
      <c r="E3037" s="17">
        <v>45978</v>
      </c>
      <c r="F3037" s="17">
        <v>45978</v>
      </c>
      <c r="G3037" s="13">
        <v>50</v>
      </c>
      <c r="H3037" s="14">
        <v>0</v>
      </c>
      <c r="I3037" s="14">
        <v>0</v>
      </c>
      <c r="J3037" s="14">
        <v>0</v>
      </c>
      <c r="K3037" s="22">
        <v>50</v>
      </c>
      <c r="L3037" t="s">
        <v>794</v>
      </c>
      <c r="M3037">
        <f t="shared" si="47"/>
        <v>2025</v>
      </c>
    </row>
    <row r="3038" spans="1:13" ht="12.75" hidden="1" customHeight="1">
      <c r="A3038" t="s">
        <v>1348</v>
      </c>
      <c r="B3038" t="s">
        <v>686</v>
      </c>
      <c r="C3038" t="s">
        <v>470</v>
      </c>
      <c r="D3038" t="s">
        <v>1338</v>
      </c>
      <c r="E3038" s="17">
        <v>45978</v>
      </c>
      <c r="F3038" s="17">
        <v>45978</v>
      </c>
      <c r="G3038" s="13">
        <v>16</v>
      </c>
      <c r="H3038" s="14">
        <v>0</v>
      </c>
      <c r="I3038" s="14">
        <v>0</v>
      </c>
      <c r="J3038" s="14">
        <v>0</v>
      </c>
      <c r="K3038" s="22">
        <v>16</v>
      </c>
      <c r="L3038" t="s">
        <v>794</v>
      </c>
      <c r="M3038">
        <f t="shared" si="47"/>
        <v>2025</v>
      </c>
    </row>
    <row r="3039" spans="1:13" ht="12.75" hidden="1" customHeight="1">
      <c r="A3039" t="s">
        <v>1295</v>
      </c>
      <c r="B3039" t="s">
        <v>418</v>
      </c>
      <c r="C3039" t="s">
        <v>470</v>
      </c>
      <c r="D3039" t="s">
        <v>1338</v>
      </c>
      <c r="E3039" s="17">
        <v>45978</v>
      </c>
      <c r="F3039" s="17">
        <v>45978</v>
      </c>
      <c r="G3039" s="13">
        <v>129.1</v>
      </c>
      <c r="H3039" s="14">
        <v>0</v>
      </c>
      <c r="I3039" s="14">
        <v>0</v>
      </c>
      <c r="J3039" s="14">
        <v>0</v>
      </c>
      <c r="K3039" s="22">
        <v>129.1</v>
      </c>
      <c r="L3039" t="s">
        <v>794</v>
      </c>
      <c r="M3039">
        <f t="shared" si="47"/>
        <v>2025</v>
      </c>
    </row>
    <row r="3040" spans="1:13" ht="12.75" hidden="1" customHeight="1">
      <c r="A3040" t="s">
        <v>1144</v>
      </c>
      <c r="B3040" t="s">
        <v>389</v>
      </c>
      <c r="C3040" t="s">
        <v>491</v>
      </c>
      <c r="D3040" t="s">
        <v>1338</v>
      </c>
      <c r="E3040" s="17">
        <v>45978</v>
      </c>
      <c r="F3040" s="17">
        <v>45978</v>
      </c>
      <c r="G3040" s="13">
        <v>25</v>
      </c>
      <c r="H3040" s="14">
        <v>0</v>
      </c>
      <c r="I3040" s="14">
        <v>0</v>
      </c>
      <c r="J3040" s="14">
        <v>0</v>
      </c>
      <c r="K3040" s="22">
        <v>25</v>
      </c>
      <c r="L3040" t="s">
        <v>794</v>
      </c>
      <c r="M3040">
        <f t="shared" si="47"/>
        <v>2025</v>
      </c>
    </row>
    <row r="3041" spans="1:13" ht="12.75" hidden="1" customHeight="1">
      <c r="A3041" t="s">
        <v>1349</v>
      </c>
      <c r="B3041" t="s">
        <v>615</v>
      </c>
      <c r="C3041" t="s">
        <v>599</v>
      </c>
      <c r="D3041" t="s">
        <v>1338</v>
      </c>
      <c r="E3041" s="17">
        <v>45979</v>
      </c>
      <c r="F3041" s="17">
        <v>45979</v>
      </c>
      <c r="G3041" s="13">
        <v>50</v>
      </c>
      <c r="H3041" s="14">
        <v>0</v>
      </c>
      <c r="I3041" s="14">
        <v>0</v>
      </c>
      <c r="J3041" s="14">
        <v>0</v>
      </c>
      <c r="K3041" s="22">
        <v>50</v>
      </c>
      <c r="L3041" t="s">
        <v>794</v>
      </c>
      <c r="M3041">
        <f t="shared" si="47"/>
        <v>2025</v>
      </c>
    </row>
    <row r="3042" spans="1:13" ht="12.75" hidden="1" customHeight="1">
      <c r="A3042" t="s">
        <v>1350</v>
      </c>
      <c r="B3042" t="s">
        <v>624</v>
      </c>
      <c r="C3042" t="s">
        <v>599</v>
      </c>
      <c r="D3042" t="s">
        <v>1338</v>
      </c>
      <c r="E3042" s="17">
        <v>45979</v>
      </c>
      <c r="F3042" s="17">
        <v>45979</v>
      </c>
      <c r="G3042" s="13">
        <v>50</v>
      </c>
      <c r="H3042" s="14">
        <v>0</v>
      </c>
      <c r="I3042" s="14">
        <v>0</v>
      </c>
      <c r="J3042" s="14">
        <v>0</v>
      </c>
      <c r="K3042" s="22">
        <v>50</v>
      </c>
      <c r="L3042" t="s">
        <v>794</v>
      </c>
      <c r="M3042">
        <f t="shared" si="47"/>
        <v>2025</v>
      </c>
    </row>
    <row r="3043" spans="1:13" ht="12.75" hidden="1" customHeight="1">
      <c r="A3043" t="s">
        <v>1272</v>
      </c>
      <c r="B3043" t="s">
        <v>132</v>
      </c>
      <c r="C3043" t="s">
        <v>141</v>
      </c>
      <c r="D3043" t="s">
        <v>1338</v>
      </c>
      <c r="E3043" s="17">
        <v>45979</v>
      </c>
      <c r="F3043" s="17">
        <v>45979</v>
      </c>
      <c r="G3043" s="13">
        <v>30</v>
      </c>
      <c r="H3043" s="14">
        <v>0</v>
      </c>
      <c r="I3043" s="14">
        <v>0</v>
      </c>
      <c r="J3043" s="14">
        <v>0</v>
      </c>
      <c r="K3043" s="22">
        <v>30</v>
      </c>
      <c r="L3043" t="s">
        <v>794</v>
      </c>
      <c r="M3043">
        <f t="shared" si="47"/>
        <v>2025</v>
      </c>
    </row>
    <row r="3044" spans="1:13" ht="12.75" hidden="1" customHeight="1">
      <c r="A3044" t="s">
        <v>878</v>
      </c>
      <c r="B3044" t="s">
        <v>32</v>
      </c>
      <c r="C3044" t="s">
        <v>599</v>
      </c>
      <c r="D3044" t="s">
        <v>1338</v>
      </c>
      <c r="E3044" s="17">
        <v>45979</v>
      </c>
      <c r="F3044" s="17">
        <v>45979</v>
      </c>
      <c r="G3044" s="13">
        <v>350</v>
      </c>
      <c r="H3044" s="14">
        <v>0</v>
      </c>
      <c r="I3044" s="14">
        <v>0</v>
      </c>
      <c r="J3044" s="14">
        <v>0</v>
      </c>
      <c r="K3044" s="22">
        <v>350</v>
      </c>
      <c r="L3044" t="s">
        <v>794</v>
      </c>
      <c r="M3044">
        <f t="shared" si="47"/>
        <v>2025</v>
      </c>
    </row>
    <row r="3045" spans="1:13" ht="12.75" hidden="1" customHeight="1">
      <c r="A3045" t="s">
        <v>1351</v>
      </c>
      <c r="B3045" t="s">
        <v>603</v>
      </c>
      <c r="C3045" t="s">
        <v>599</v>
      </c>
      <c r="D3045" t="s">
        <v>1338</v>
      </c>
      <c r="E3045" s="17">
        <v>45979</v>
      </c>
      <c r="F3045" s="17">
        <v>45979</v>
      </c>
      <c r="G3045" s="13">
        <v>50</v>
      </c>
      <c r="H3045" s="14">
        <v>0</v>
      </c>
      <c r="I3045" s="14">
        <v>0</v>
      </c>
      <c r="J3045" s="14">
        <v>0</v>
      </c>
      <c r="K3045" s="22">
        <v>50</v>
      </c>
      <c r="L3045" t="s">
        <v>794</v>
      </c>
      <c r="M3045">
        <f t="shared" si="47"/>
        <v>2025</v>
      </c>
    </row>
    <row r="3046" spans="1:13" ht="12.75" hidden="1" customHeight="1">
      <c r="A3046" t="s">
        <v>1144</v>
      </c>
      <c r="B3046" t="s">
        <v>389</v>
      </c>
      <c r="C3046" t="s">
        <v>491</v>
      </c>
      <c r="D3046" t="s">
        <v>1338</v>
      </c>
      <c r="E3046" s="17">
        <v>45982</v>
      </c>
      <c r="F3046" s="17">
        <v>45982</v>
      </c>
      <c r="G3046" s="13">
        <v>50</v>
      </c>
      <c r="H3046" s="14">
        <v>0</v>
      </c>
      <c r="I3046" s="14">
        <v>0</v>
      </c>
      <c r="J3046" s="14">
        <v>0</v>
      </c>
      <c r="K3046" s="22">
        <v>50</v>
      </c>
      <c r="L3046" t="s">
        <v>794</v>
      </c>
      <c r="M3046">
        <f t="shared" si="47"/>
        <v>2025</v>
      </c>
    </row>
    <row r="3047" spans="1:13" ht="12.75" hidden="1" customHeight="1">
      <c r="A3047" t="s">
        <v>907</v>
      </c>
      <c r="B3047" t="s">
        <v>291</v>
      </c>
      <c r="C3047" t="s">
        <v>681</v>
      </c>
      <c r="D3047" t="s">
        <v>1338</v>
      </c>
      <c r="E3047" s="17">
        <v>45985</v>
      </c>
      <c r="F3047" s="17">
        <v>45985</v>
      </c>
      <c r="G3047" s="13">
        <v>14.99</v>
      </c>
      <c r="H3047" s="14">
        <v>0</v>
      </c>
      <c r="I3047" s="14">
        <v>0</v>
      </c>
      <c r="J3047" s="14">
        <v>0</v>
      </c>
      <c r="K3047" s="22">
        <v>14.99</v>
      </c>
      <c r="L3047" t="s">
        <v>794</v>
      </c>
      <c r="M3047">
        <f t="shared" si="47"/>
        <v>2025</v>
      </c>
    </row>
    <row r="3048" spans="1:13" ht="12.75" hidden="1" customHeight="1">
      <c r="A3048" t="s">
        <v>1313</v>
      </c>
      <c r="B3048" t="s">
        <v>362</v>
      </c>
      <c r="C3048" t="s">
        <v>558</v>
      </c>
      <c r="D3048" t="s">
        <v>1338</v>
      </c>
      <c r="E3048" s="17">
        <v>45985</v>
      </c>
      <c r="F3048" s="17">
        <v>45985</v>
      </c>
      <c r="G3048" s="13">
        <v>23.8</v>
      </c>
      <c r="H3048" s="14">
        <v>0</v>
      </c>
      <c r="I3048" s="14">
        <v>0</v>
      </c>
      <c r="J3048" s="14">
        <v>0</v>
      </c>
      <c r="K3048" s="22">
        <v>23.8</v>
      </c>
      <c r="L3048" t="s">
        <v>794</v>
      </c>
      <c r="M3048">
        <f t="shared" si="47"/>
        <v>2025</v>
      </c>
    </row>
    <row r="3049" spans="1:13" ht="12.75" hidden="1" customHeight="1">
      <c r="A3049" t="s">
        <v>818</v>
      </c>
      <c r="B3049" t="s">
        <v>30</v>
      </c>
      <c r="C3049" t="s">
        <v>141</v>
      </c>
      <c r="D3049" t="s">
        <v>1338</v>
      </c>
      <c r="E3049" s="17">
        <v>45985</v>
      </c>
      <c r="F3049" s="17">
        <v>45985</v>
      </c>
      <c r="G3049" s="13">
        <v>80</v>
      </c>
      <c r="H3049" s="14">
        <v>0</v>
      </c>
      <c r="I3049" s="14">
        <v>0</v>
      </c>
      <c r="J3049" s="14">
        <v>0</v>
      </c>
      <c r="K3049" s="22">
        <v>80</v>
      </c>
      <c r="L3049" t="s">
        <v>794</v>
      </c>
      <c r="M3049">
        <f t="shared" si="47"/>
        <v>2025</v>
      </c>
    </row>
    <row r="3050" spans="1:13" ht="12.75" hidden="1" customHeight="1">
      <c r="A3050" t="s">
        <v>1317</v>
      </c>
      <c r="B3050" t="s">
        <v>64</v>
      </c>
      <c r="C3050" t="s">
        <v>141</v>
      </c>
      <c r="D3050" t="s">
        <v>1338</v>
      </c>
      <c r="E3050" s="17">
        <v>45985</v>
      </c>
      <c r="F3050" s="17">
        <v>45985</v>
      </c>
      <c r="G3050" s="13">
        <v>212</v>
      </c>
      <c r="H3050" s="14">
        <v>0</v>
      </c>
      <c r="I3050" s="14">
        <v>0</v>
      </c>
      <c r="J3050" s="14">
        <v>0</v>
      </c>
      <c r="K3050" s="22">
        <v>212</v>
      </c>
      <c r="L3050" t="s">
        <v>794</v>
      </c>
      <c r="M3050">
        <f t="shared" si="47"/>
        <v>2025</v>
      </c>
    </row>
    <row r="3051" spans="1:13" ht="12.75" hidden="1" customHeight="1">
      <c r="A3051" t="s">
        <v>1352</v>
      </c>
      <c r="B3051" t="s">
        <v>657</v>
      </c>
      <c r="C3051" t="s">
        <v>491</v>
      </c>
      <c r="D3051" t="s">
        <v>1338</v>
      </c>
      <c r="E3051" s="17">
        <v>45986</v>
      </c>
      <c r="F3051" s="17">
        <v>45986</v>
      </c>
      <c r="G3051" s="13">
        <v>35</v>
      </c>
      <c r="H3051" s="14">
        <v>0</v>
      </c>
      <c r="I3051" s="14">
        <v>0</v>
      </c>
      <c r="J3051" s="14">
        <v>0</v>
      </c>
      <c r="K3051" s="22">
        <v>35</v>
      </c>
      <c r="L3051" t="s">
        <v>794</v>
      </c>
      <c r="M3051">
        <f t="shared" si="47"/>
        <v>2025</v>
      </c>
    </row>
    <row r="3052" spans="1:13" ht="12.75" hidden="1" customHeight="1">
      <c r="A3052" t="s">
        <v>898</v>
      </c>
      <c r="B3052" t="s">
        <v>353</v>
      </c>
      <c r="C3052" t="s">
        <v>761</v>
      </c>
      <c r="D3052" t="s">
        <v>1338</v>
      </c>
      <c r="E3052" s="17">
        <v>45986</v>
      </c>
      <c r="F3052" s="17">
        <v>45986</v>
      </c>
      <c r="G3052" s="13">
        <v>28.830000000000002</v>
      </c>
      <c r="H3052" s="14">
        <v>0</v>
      </c>
      <c r="I3052" s="14">
        <v>0</v>
      </c>
      <c r="J3052" s="14">
        <v>0</v>
      </c>
      <c r="K3052" s="22">
        <v>28.830000000000002</v>
      </c>
      <c r="L3052" t="s">
        <v>794</v>
      </c>
      <c r="M3052">
        <f t="shared" si="47"/>
        <v>2025</v>
      </c>
    </row>
    <row r="3053" spans="1:13" ht="12.75" hidden="1" customHeight="1">
      <c r="A3053" t="s">
        <v>883</v>
      </c>
      <c r="B3053" t="s">
        <v>325</v>
      </c>
      <c r="C3053" t="s">
        <v>99</v>
      </c>
      <c r="D3053" t="s">
        <v>1338</v>
      </c>
      <c r="E3053" s="17">
        <v>45986</v>
      </c>
      <c r="F3053" s="17">
        <v>45986</v>
      </c>
      <c r="G3053" s="13">
        <v>63.870000000000005</v>
      </c>
      <c r="H3053" s="14">
        <v>0</v>
      </c>
      <c r="I3053" s="14">
        <v>0</v>
      </c>
      <c r="J3053" s="14">
        <v>0</v>
      </c>
      <c r="K3053" s="22">
        <v>63.870000000000005</v>
      </c>
      <c r="L3053" t="s">
        <v>794</v>
      </c>
      <c r="M3053">
        <f t="shared" si="47"/>
        <v>2025</v>
      </c>
    </row>
    <row r="3054" spans="1:13" ht="12.75" hidden="1" customHeight="1">
      <c r="A3054" t="s">
        <v>1009</v>
      </c>
      <c r="B3054" t="s">
        <v>62</v>
      </c>
      <c r="C3054" t="s">
        <v>137</v>
      </c>
      <c r="D3054" t="s">
        <v>1338</v>
      </c>
      <c r="E3054" s="17">
        <v>45986</v>
      </c>
      <c r="F3054" s="17">
        <v>45986</v>
      </c>
      <c r="G3054" s="13">
        <v>175</v>
      </c>
      <c r="H3054" s="14">
        <v>0</v>
      </c>
      <c r="I3054" s="14">
        <v>0</v>
      </c>
      <c r="J3054" s="14">
        <v>0</v>
      </c>
      <c r="K3054" s="22">
        <v>175</v>
      </c>
      <c r="L3054" t="s">
        <v>794</v>
      </c>
      <c r="M3054">
        <f t="shared" si="47"/>
        <v>2025</v>
      </c>
    </row>
    <row r="3055" spans="1:13" ht="12.75" hidden="1" customHeight="1">
      <c r="A3055" t="s">
        <v>981</v>
      </c>
      <c r="B3055" t="s">
        <v>55</v>
      </c>
      <c r="C3055" t="s">
        <v>99</v>
      </c>
      <c r="D3055" t="s">
        <v>1338</v>
      </c>
      <c r="E3055" s="17">
        <v>45986</v>
      </c>
      <c r="F3055" s="17">
        <v>45986</v>
      </c>
      <c r="G3055" s="13">
        <v>300</v>
      </c>
      <c r="H3055" s="14">
        <v>0</v>
      </c>
      <c r="I3055" s="14">
        <v>0</v>
      </c>
      <c r="J3055" s="14">
        <v>0</v>
      </c>
      <c r="K3055" s="22">
        <v>300</v>
      </c>
      <c r="L3055" t="s">
        <v>794</v>
      </c>
      <c r="M3055">
        <f t="shared" si="47"/>
        <v>2025</v>
      </c>
    </row>
    <row r="3056" spans="1:13" ht="12.75" hidden="1" customHeight="1">
      <c r="A3056" t="s">
        <v>1313</v>
      </c>
      <c r="B3056" t="s">
        <v>362</v>
      </c>
      <c r="C3056" t="s">
        <v>558</v>
      </c>
      <c r="D3056" t="s">
        <v>1338</v>
      </c>
      <c r="E3056" s="17">
        <v>45987</v>
      </c>
      <c r="F3056" s="17">
        <v>45987</v>
      </c>
      <c r="G3056" s="13">
        <v>11</v>
      </c>
      <c r="H3056" s="14">
        <v>0</v>
      </c>
      <c r="I3056" s="14">
        <v>0</v>
      </c>
      <c r="J3056" s="14">
        <v>0</v>
      </c>
      <c r="K3056" s="22">
        <v>11</v>
      </c>
      <c r="L3056" t="s">
        <v>794</v>
      </c>
      <c r="M3056">
        <f t="shared" si="47"/>
        <v>2025</v>
      </c>
    </row>
    <row r="3057" spans="1:13" ht="12.75" hidden="1" customHeight="1">
      <c r="A3057" t="s">
        <v>883</v>
      </c>
      <c r="B3057" t="s">
        <v>325</v>
      </c>
      <c r="C3057" t="s">
        <v>99</v>
      </c>
      <c r="D3057" t="s">
        <v>1338</v>
      </c>
      <c r="E3057" s="17">
        <v>45989</v>
      </c>
      <c r="F3057" s="17">
        <v>45989</v>
      </c>
      <c r="G3057" s="13">
        <v>16.990000000000002</v>
      </c>
      <c r="H3057" s="14">
        <v>0</v>
      </c>
      <c r="I3057" s="14">
        <v>0</v>
      </c>
      <c r="J3057" s="14">
        <v>0</v>
      </c>
      <c r="K3057" s="22">
        <v>16.990000000000002</v>
      </c>
      <c r="L3057" t="s">
        <v>794</v>
      </c>
      <c r="M3057">
        <f t="shared" si="47"/>
        <v>2025</v>
      </c>
    </row>
    <row r="3058" spans="1:13" ht="12.75" hidden="1" customHeight="1">
      <c r="A3058" t="s">
        <v>1313</v>
      </c>
      <c r="B3058" t="s">
        <v>362</v>
      </c>
      <c r="C3058" t="s">
        <v>558</v>
      </c>
      <c r="D3058" t="s">
        <v>1338</v>
      </c>
      <c r="E3058" s="17">
        <v>45989</v>
      </c>
      <c r="F3058" s="17">
        <v>45989</v>
      </c>
      <c r="G3058" s="13">
        <v>23.8</v>
      </c>
      <c r="H3058" s="14">
        <v>0</v>
      </c>
      <c r="I3058" s="14">
        <v>0</v>
      </c>
      <c r="J3058" s="14">
        <v>0</v>
      </c>
      <c r="K3058" s="22">
        <v>23.8</v>
      </c>
      <c r="L3058" t="s">
        <v>794</v>
      </c>
      <c r="M3058">
        <f t="shared" si="47"/>
        <v>2025</v>
      </c>
    </row>
    <row r="3059" spans="1:13" ht="12.75" hidden="1" customHeight="1">
      <c r="A3059" t="s">
        <v>833</v>
      </c>
      <c r="B3059" t="s">
        <v>27</v>
      </c>
      <c r="C3059" t="s">
        <v>139</v>
      </c>
      <c r="D3059" t="s">
        <v>1338</v>
      </c>
      <c r="E3059" s="17">
        <v>45962</v>
      </c>
      <c r="F3059" s="17">
        <v>45965</v>
      </c>
      <c r="G3059" s="13">
        <v>387.8</v>
      </c>
      <c r="H3059" s="14">
        <v>0</v>
      </c>
      <c r="I3059" s="14">
        <v>0</v>
      </c>
      <c r="J3059" s="14">
        <v>0</v>
      </c>
      <c r="K3059" s="22">
        <v>387.8</v>
      </c>
      <c r="L3059" t="s">
        <v>794</v>
      </c>
      <c r="M3059">
        <f t="shared" si="47"/>
        <v>2025</v>
      </c>
    </row>
    <row r="3060" spans="1:13" ht="12.75" hidden="1" customHeight="1">
      <c r="A3060" t="s">
        <v>836</v>
      </c>
      <c r="B3060" t="s">
        <v>37</v>
      </c>
      <c r="C3060" t="s">
        <v>139</v>
      </c>
      <c r="D3060" t="s">
        <v>1338</v>
      </c>
      <c r="E3060" s="17">
        <v>45962</v>
      </c>
      <c r="F3060" s="17">
        <v>45965</v>
      </c>
      <c r="G3060" s="13">
        <v>444.6</v>
      </c>
      <c r="H3060" s="14">
        <v>0</v>
      </c>
      <c r="I3060" s="14">
        <v>0</v>
      </c>
      <c r="J3060" s="14">
        <v>0</v>
      </c>
      <c r="K3060" s="22">
        <v>444.6</v>
      </c>
      <c r="L3060" t="s">
        <v>794</v>
      </c>
      <c r="M3060">
        <f t="shared" si="47"/>
        <v>2025</v>
      </c>
    </row>
    <row r="3061" spans="1:13" ht="12.75" hidden="1" customHeight="1">
      <c r="A3061" t="s">
        <v>1141</v>
      </c>
      <c r="B3061" t="s">
        <v>69</v>
      </c>
      <c r="C3061" t="s">
        <v>139</v>
      </c>
      <c r="D3061" t="s">
        <v>1338</v>
      </c>
      <c r="E3061" s="17">
        <v>45962</v>
      </c>
      <c r="F3061" s="17">
        <v>45965</v>
      </c>
      <c r="G3061" s="13">
        <v>255.20000000000002</v>
      </c>
      <c r="H3061" s="14">
        <v>0</v>
      </c>
      <c r="I3061" s="14">
        <v>0</v>
      </c>
      <c r="J3061" s="14">
        <v>0</v>
      </c>
      <c r="K3061" s="22">
        <v>255.20000000000002</v>
      </c>
      <c r="L3061" t="s">
        <v>794</v>
      </c>
      <c r="M3061">
        <f t="shared" si="47"/>
        <v>2025</v>
      </c>
    </row>
    <row r="3062" spans="1:13" ht="12.75" hidden="1" customHeight="1">
      <c r="A3062" t="s">
        <v>825</v>
      </c>
      <c r="B3062" t="s">
        <v>46</v>
      </c>
      <c r="C3062" t="s">
        <v>139</v>
      </c>
      <c r="D3062" t="s">
        <v>1338</v>
      </c>
      <c r="E3062" s="17">
        <v>45962</v>
      </c>
      <c r="F3062" s="17">
        <v>45965</v>
      </c>
      <c r="G3062" s="13">
        <v>255.20000000000002</v>
      </c>
      <c r="H3062" s="14">
        <v>0</v>
      </c>
      <c r="I3062" s="14">
        <v>0</v>
      </c>
      <c r="J3062" s="14">
        <v>0</v>
      </c>
      <c r="K3062" s="22">
        <v>255.20000000000002</v>
      </c>
      <c r="L3062" t="s">
        <v>794</v>
      </c>
      <c r="M3062">
        <f t="shared" si="47"/>
        <v>2025</v>
      </c>
    </row>
    <row r="3063" spans="1:13" ht="12.75" hidden="1" customHeight="1">
      <c r="A3063" t="s">
        <v>924</v>
      </c>
      <c r="B3063" t="s">
        <v>87</v>
      </c>
      <c r="C3063" t="s">
        <v>139</v>
      </c>
      <c r="D3063" t="s">
        <v>1338</v>
      </c>
      <c r="E3063" s="17">
        <v>45962</v>
      </c>
      <c r="F3063" s="17">
        <v>45965</v>
      </c>
      <c r="G3063" s="13">
        <v>469.2</v>
      </c>
      <c r="H3063" s="14">
        <v>0</v>
      </c>
      <c r="I3063" s="14">
        <v>0</v>
      </c>
      <c r="J3063" s="14">
        <v>0</v>
      </c>
      <c r="K3063" s="22">
        <v>469.2</v>
      </c>
      <c r="L3063" t="s">
        <v>794</v>
      </c>
      <c r="M3063">
        <f t="shared" si="47"/>
        <v>2025</v>
      </c>
    </row>
    <row r="3064" spans="1:13" ht="12.75" hidden="1" customHeight="1">
      <c r="A3064" t="s">
        <v>1315</v>
      </c>
      <c r="B3064" t="s">
        <v>378</v>
      </c>
      <c r="C3064" t="s">
        <v>139</v>
      </c>
      <c r="D3064" t="s">
        <v>1338</v>
      </c>
      <c r="E3064" s="17">
        <v>45965</v>
      </c>
      <c r="F3064" s="17">
        <v>45965</v>
      </c>
      <c r="G3064" s="13">
        <v>220.4</v>
      </c>
      <c r="H3064" s="14">
        <v>0</v>
      </c>
      <c r="I3064" s="14">
        <v>0</v>
      </c>
      <c r="J3064" s="14">
        <v>0</v>
      </c>
      <c r="K3064" s="22">
        <v>220.4</v>
      </c>
      <c r="L3064" t="s">
        <v>794</v>
      </c>
      <c r="M3064">
        <f t="shared" si="47"/>
        <v>2025</v>
      </c>
    </row>
    <row r="3065" spans="1:13" ht="12.75" hidden="1" customHeight="1">
      <c r="A3065" t="s">
        <v>1004</v>
      </c>
      <c r="B3065" t="s">
        <v>57</v>
      </c>
      <c r="C3065" t="s">
        <v>139</v>
      </c>
      <c r="D3065" t="s">
        <v>1338</v>
      </c>
      <c r="E3065" s="17">
        <v>45962</v>
      </c>
      <c r="F3065" s="17">
        <v>45965</v>
      </c>
      <c r="G3065" s="13">
        <v>255.20000000000002</v>
      </c>
      <c r="H3065" s="14">
        <v>0</v>
      </c>
      <c r="I3065" s="14">
        <v>0</v>
      </c>
      <c r="J3065" s="14">
        <v>0</v>
      </c>
      <c r="K3065" s="22">
        <v>255.20000000000002</v>
      </c>
      <c r="L3065" t="s">
        <v>794</v>
      </c>
      <c r="M3065">
        <f t="shared" si="47"/>
        <v>2025</v>
      </c>
    </row>
    <row r="3066" spans="1:13" ht="12.75" hidden="1" customHeight="1">
      <c r="A3066" t="s">
        <v>819</v>
      </c>
      <c r="B3066" t="s">
        <v>38</v>
      </c>
      <c r="C3066" t="s">
        <v>139</v>
      </c>
      <c r="D3066" t="s">
        <v>1338</v>
      </c>
      <c r="E3066" s="17">
        <v>45962</v>
      </c>
      <c r="F3066" s="17">
        <v>45965</v>
      </c>
      <c r="G3066" s="13">
        <v>428.40000000000003</v>
      </c>
      <c r="H3066" s="14">
        <v>0</v>
      </c>
      <c r="I3066" s="14">
        <v>0</v>
      </c>
      <c r="J3066" s="14">
        <v>0</v>
      </c>
      <c r="K3066" s="22">
        <v>428.40000000000003</v>
      </c>
      <c r="L3066" t="s">
        <v>794</v>
      </c>
      <c r="M3066">
        <f t="shared" si="47"/>
        <v>2025</v>
      </c>
    </row>
    <row r="3067" spans="1:13" ht="12.75" hidden="1" customHeight="1">
      <c r="A3067" t="s">
        <v>1112</v>
      </c>
      <c r="B3067" t="s">
        <v>68</v>
      </c>
      <c r="C3067" t="s">
        <v>139</v>
      </c>
      <c r="D3067" t="s">
        <v>1338</v>
      </c>
      <c r="E3067" s="17">
        <v>45962</v>
      </c>
      <c r="F3067" s="17">
        <v>45965</v>
      </c>
      <c r="G3067" s="13">
        <v>243.6</v>
      </c>
      <c r="H3067" s="14">
        <v>0</v>
      </c>
      <c r="I3067" s="14">
        <v>0</v>
      </c>
      <c r="J3067" s="14">
        <v>0</v>
      </c>
      <c r="K3067" s="22">
        <v>243.6</v>
      </c>
      <c r="L3067" t="s">
        <v>794</v>
      </c>
      <c r="M3067">
        <f t="shared" si="47"/>
        <v>2025</v>
      </c>
    </row>
    <row r="3068" spans="1:13" ht="12.75" hidden="1" customHeight="1">
      <c r="A3068" t="s">
        <v>799</v>
      </c>
      <c r="B3068" t="s">
        <v>24</v>
      </c>
      <c r="C3068" t="s">
        <v>139</v>
      </c>
      <c r="D3068" t="s">
        <v>1338</v>
      </c>
      <c r="E3068" s="17">
        <v>45962</v>
      </c>
      <c r="F3068" s="17">
        <v>45965</v>
      </c>
      <c r="G3068" s="13">
        <v>5075.2</v>
      </c>
      <c r="H3068" s="14">
        <v>0</v>
      </c>
      <c r="I3068" s="14">
        <v>0</v>
      </c>
      <c r="J3068" s="14">
        <v>0</v>
      </c>
      <c r="K3068" s="22">
        <v>5075.2</v>
      </c>
      <c r="L3068" t="s">
        <v>794</v>
      </c>
      <c r="M3068">
        <f t="shared" si="47"/>
        <v>2025</v>
      </c>
    </row>
    <row r="3069" spans="1:13" ht="12.75" hidden="1" customHeight="1">
      <c r="A3069" t="s">
        <v>806</v>
      </c>
      <c r="B3069" t="s">
        <v>19</v>
      </c>
      <c r="C3069" t="s">
        <v>720</v>
      </c>
      <c r="D3069" t="s">
        <v>1338</v>
      </c>
      <c r="E3069" s="17">
        <v>45965</v>
      </c>
      <c r="F3069" s="17">
        <v>45965</v>
      </c>
      <c r="G3069" s="13">
        <v>6000</v>
      </c>
      <c r="H3069" s="14">
        <v>0</v>
      </c>
      <c r="I3069" s="14">
        <v>0</v>
      </c>
      <c r="J3069" s="14">
        <v>0</v>
      </c>
      <c r="K3069" s="22">
        <v>6000</v>
      </c>
      <c r="L3069" t="s">
        <v>794</v>
      </c>
      <c r="M3069">
        <f t="shared" si="47"/>
        <v>2025</v>
      </c>
    </row>
    <row r="3070" spans="1:13" ht="12.75" hidden="1" customHeight="1">
      <c r="A3070" t="s">
        <v>1316</v>
      </c>
      <c r="B3070" t="s">
        <v>59</v>
      </c>
      <c r="C3070" t="s">
        <v>137</v>
      </c>
      <c r="D3070" t="s">
        <v>1338</v>
      </c>
      <c r="E3070" s="17">
        <v>45967</v>
      </c>
      <c r="F3070" s="17">
        <v>45967</v>
      </c>
      <c r="G3070" s="13">
        <v>58.76</v>
      </c>
      <c r="H3070" s="14">
        <v>0</v>
      </c>
      <c r="I3070" s="14">
        <v>0</v>
      </c>
      <c r="J3070" s="14">
        <v>0</v>
      </c>
      <c r="K3070" s="22">
        <v>58.76</v>
      </c>
      <c r="L3070" t="s">
        <v>794</v>
      </c>
      <c r="M3070">
        <f t="shared" si="47"/>
        <v>2025</v>
      </c>
    </row>
    <row r="3071" spans="1:13" ht="12.75" hidden="1" customHeight="1">
      <c r="A3071" t="s">
        <v>1316</v>
      </c>
      <c r="B3071" t="s">
        <v>59</v>
      </c>
      <c r="C3071" t="s">
        <v>137</v>
      </c>
      <c r="D3071" t="s">
        <v>1338</v>
      </c>
      <c r="E3071" s="17">
        <v>45967</v>
      </c>
      <c r="F3071" s="17">
        <v>45967</v>
      </c>
      <c r="G3071" s="13">
        <v>509</v>
      </c>
      <c r="H3071" s="14">
        <v>0</v>
      </c>
      <c r="I3071" s="14">
        <v>0</v>
      </c>
      <c r="J3071" s="14">
        <v>0</v>
      </c>
      <c r="K3071" s="22">
        <v>509</v>
      </c>
      <c r="L3071" t="s">
        <v>794</v>
      </c>
      <c r="M3071">
        <f t="shared" si="47"/>
        <v>2025</v>
      </c>
    </row>
    <row r="3072" spans="1:13" ht="12.75" hidden="1" customHeight="1">
      <c r="A3072" t="s">
        <v>1316</v>
      </c>
      <c r="B3072" t="s">
        <v>59</v>
      </c>
      <c r="C3072" t="s">
        <v>137</v>
      </c>
      <c r="D3072" t="s">
        <v>1338</v>
      </c>
      <c r="E3072" s="17">
        <v>45967</v>
      </c>
      <c r="F3072" s="17">
        <v>45967</v>
      </c>
      <c r="G3072" s="13">
        <v>587.62</v>
      </c>
      <c r="H3072" s="14">
        <v>0</v>
      </c>
      <c r="I3072" s="14">
        <v>0</v>
      </c>
      <c r="J3072" s="14">
        <v>0</v>
      </c>
      <c r="K3072" s="22">
        <v>587.62</v>
      </c>
      <c r="L3072" t="s">
        <v>794</v>
      </c>
      <c r="M3072">
        <f t="shared" si="47"/>
        <v>2025</v>
      </c>
    </row>
    <row r="3073" spans="1:13" ht="12.75" hidden="1" customHeight="1">
      <c r="A3073" t="s">
        <v>1317</v>
      </c>
      <c r="B3073" t="s">
        <v>64</v>
      </c>
      <c r="C3073" t="s">
        <v>137</v>
      </c>
      <c r="D3073" t="s">
        <v>1338</v>
      </c>
      <c r="E3073" s="17">
        <v>45967</v>
      </c>
      <c r="F3073" s="17">
        <v>45967</v>
      </c>
      <c r="G3073" s="13">
        <v>458</v>
      </c>
      <c r="H3073" s="14">
        <v>0</v>
      </c>
      <c r="I3073" s="14">
        <v>0</v>
      </c>
      <c r="J3073" s="14">
        <v>0</v>
      </c>
      <c r="K3073" s="22">
        <v>458</v>
      </c>
      <c r="L3073" t="s">
        <v>794</v>
      </c>
      <c r="M3073">
        <f t="shared" si="47"/>
        <v>2025</v>
      </c>
    </row>
    <row r="3074" spans="1:13" ht="12.75" hidden="1" customHeight="1">
      <c r="A3074" t="s">
        <v>1317</v>
      </c>
      <c r="B3074" t="s">
        <v>64</v>
      </c>
      <c r="C3074" t="s">
        <v>137</v>
      </c>
      <c r="D3074" t="s">
        <v>1338</v>
      </c>
      <c r="E3074" s="17">
        <v>45967</v>
      </c>
      <c r="F3074" s="17">
        <v>45967</v>
      </c>
      <c r="G3074" s="13">
        <v>646.36</v>
      </c>
      <c r="H3074" s="14">
        <v>0</v>
      </c>
      <c r="I3074" s="14">
        <v>0</v>
      </c>
      <c r="J3074" s="14">
        <v>0</v>
      </c>
      <c r="K3074" s="22">
        <v>646.36</v>
      </c>
      <c r="L3074" t="s">
        <v>794</v>
      </c>
      <c r="M3074">
        <f t="shared" si="47"/>
        <v>2025</v>
      </c>
    </row>
    <row r="3075" spans="1:13" ht="12.75" hidden="1" customHeight="1">
      <c r="A3075" t="s">
        <v>1317</v>
      </c>
      <c r="B3075" t="s">
        <v>64</v>
      </c>
      <c r="C3075" t="s">
        <v>137</v>
      </c>
      <c r="D3075" t="s">
        <v>1338</v>
      </c>
      <c r="E3075" s="17">
        <v>45967</v>
      </c>
      <c r="F3075" s="17">
        <v>45967</v>
      </c>
      <c r="G3075" s="13">
        <v>58.76</v>
      </c>
      <c r="H3075" s="14">
        <v>0</v>
      </c>
      <c r="I3075" s="14">
        <v>0</v>
      </c>
      <c r="J3075" s="14">
        <v>0</v>
      </c>
      <c r="K3075" s="22">
        <v>58.76</v>
      </c>
      <c r="L3075" t="s">
        <v>794</v>
      </c>
      <c r="M3075">
        <f t="shared" ref="M3075:M3138" si="48">YEAR(F3075)</f>
        <v>2025</v>
      </c>
    </row>
    <row r="3076" spans="1:13" ht="12.75" hidden="1" customHeight="1">
      <c r="A3076" t="s">
        <v>833</v>
      </c>
      <c r="B3076" t="s">
        <v>27</v>
      </c>
      <c r="C3076" t="s">
        <v>137</v>
      </c>
      <c r="D3076" t="s">
        <v>1338</v>
      </c>
      <c r="E3076" s="17">
        <v>45967</v>
      </c>
      <c r="F3076" s="17">
        <v>45967</v>
      </c>
      <c r="G3076" s="13">
        <v>1814</v>
      </c>
      <c r="H3076" s="14">
        <v>0</v>
      </c>
      <c r="I3076" s="14">
        <v>0</v>
      </c>
      <c r="J3076" s="14">
        <v>0</v>
      </c>
      <c r="K3076" s="22">
        <v>1814</v>
      </c>
      <c r="L3076" t="s">
        <v>794</v>
      </c>
      <c r="M3076">
        <f t="shared" si="48"/>
        <v>2025</v>
      </c>
    </row>
    <row r="3077" spans="1:13" ht="12.75" hidden="1" customHeight="1">
      <c r="A3077" t="s">
        <v>833</v>
      </c>
      <c r="B3077" t="s">
        <v>27</v>
      </c>
      <c r="C3077" t="s">
        <v>140</v>
      </c>
      <c r="D3077" t="s">
        <v>1338</v>
      </c>
      <c r="E3077" s="17">
        <v>45967</v>
      </c>
      <c r="F3077" s="17">
        <v>45967</v>
      </c>
      <c r="G3077" s="13">
        <v>1000</v>
      </c>
      <c r="H3077" s="14">
        <v>0</v>
      </c>
      <c r="I3077" s="14">
        <v>0</v>
      </c>
      <c r="J3077" s="14">
        <v>0</v>
      </c>
      <c r="K3077" s="22">
        <v>1000</v>
      </c>
      <c r="L3077" t="s">
        <v>794</v>
      </c>
      <c r="M3077">
        <f t="shared" si="48"/>
        <v>2025</v>
      </c>
    </row>
    <row r="3078" spans="1:13" ht="12.75" hidden="1" customHeight="1">
      <c r="A3078" t="s">
        <v>826</v>
      </c>
      <c r="B3078" t="s">
        <v>21</v>
      </c>
      <c r="C3078" t="s">
        <v>137</v>
      </c>
      <c r="D3078" t="s">
        <v>1338</v>
      </c>
      <c r="E3078" s="17">
        <v>45967</v>
      </c>
      <c r="F3078" s="17">
        <v>45967</v>
      </c>
      <c r="G3078" s="13">
        <v>2262</v>
      </c>
      <c r="H3078" s="14">
        <v>0</v>
      </c>
      <c r="I3078" s="14">
        <v>0</v>
      </c>
      <c r="J3078" s="14">
        <v>0</v>
      </c>
      <c r="K3078" s="22">
        <v>2262</v>
      </c>
      <c r="L3078" t="s">
        <v>794</v>
      </c>
      <c r="M3078">
        <f t="shared" si="48"/>
        <v>2025</v>
      </c>
    </row>
    <row r="3079" spans="1:13" ht="12.75" hidden="1" customHeight="1">
      <c r="A3079" t="s">
        <v>825</v>
      </c>
      <c r="B3079" t="s">
        <v>46</v>
      </c>
      <c r="C3079" t="s">
        <v>137</v>
      </c>
      <c r="D3079" t="s">
        <v>1338</v>
      </c>
      <c r="E3079" s="17">
        <v>45967</v>
      </c>
      <c r="F3079" s="17">
        <v>45967</v>
      </c>
      <c r="G3079" s="13">
        <v>1058</v>
      </c>
      <c r="H3079" s="14">
        <v>0</v>
      </c>
      <c r="I3079" s="14">
        <v>0</v>
      </c>
      <c r="J3079" s="14">
        <v>0</v>
      </c>
      <c r="K3079" s="22">
        <v>1058</v>
      </c>
      <c r="L3079" t="s">
        <v>794</v>
      </c>
      <c r="M3079">
        <f t="shared" si="48"/>
        <v>2025</v>
      </c>
    </row>
    <row r="3080" spans="1:13" ht="12.75" hidden="1" customHeight="1">
      <c r="A3080" t="s">
        <v>924</v>
      </c>
      <c r="B3080" t="s">
        <v>87</v>
      </c>
      <c r="C3080" t="s">
        <v>137</v>
      </c>
      <c r="D3080" t="s">
        <v>1338</v>
      </c>
      <c r="E3080" s="17">
        <v>45967</v>
      </c>
      <c r="F3080" s="17">
        <v>45967</v>
      </c>
      <c r="G3080" s="13">
        <v>750</v>
      </c>
      <c r="H3080" s="14">
        <v>0</v>
      </c>
      <c r="I3080" s="14">
        <v>0</v>
      </c>
      <c r="J3080" s="14">
        <v>0</v>
      </c>
      <c r="K3080" s="22">
        <v>750</v>
      </c>
      <c r="L3080" t="s">
        <v>794</v>
      </c>
      <c r="M3080">
        <f t="shared" si="48"/>
        <v>2025</v>
      </c>
    </row>
    <row r="3081" spans="1:13" ht="12.75" hidden="1" customHeight="1">
      <c r="A3081" t="s">
        <v>1173</v>
      </c>
      <c r="B3081" t="s">
        <v>45</v>
      </c>
      <c r="C3081" t="s">
        <v>137</v>
      </c>
      <c r="D3081" t="s">
        <v>1338</v>
      </c>
      <c r="E3081" s="17">
        <v>45967</v>
      </c>
      <c r="F3081" s="17">
        <v>45967</v>
      </c>
      <c r="G3081" s="13">
        <v>1821.63</v>
      </c>
      <c r="H3081" s="14">
        <v>0</v>
      </c>
      <c r="I3081" s="14">
        <v>0</v>
      </c>
      <c r="J3081" s="14">
        <v>0</v>
      </c>
      <c r="K3081" s="22">
        <v>1821.63</v>
      </c>
      <c r="L3081" t="s">
        <v>794</v>
      </c>
      <c r="M3081">
        <f t="shared" si="48"/>
        <v>2025</v>
      </c>
    </row>
    <row r="3082" spans="1:13" ht="12.75" hidden="1" customHeight="1">
      <c r="A3082" t="s">
        <v>818</v>
      </c>
      <c r="B3082" t="s">
        <v>30</v>
      </c>
      <c r="C3082" t="s">
        <v>137</v>
      </c>
      <c r="D3082" t="s">
        <v>1338</v>
      </c>
      <c r="E3082" s="17">
        <v>45967</v>
      </c>
      <c r="F3082" s="17">
        <v>45967</v>
      </c>
      <c r="G3082" s="13">
        <v>1571</v>
      </c>
      <c r="H3082" s="14">
        <v>0</v>
      </c>
      <c r="I3082" s="14">
        <v>0</v>
      </c>
      <c r="J3082" s="14">
        <v>0</v>
      </c>
      <c r="K3082" s="22">
        <v>1571</v>
      </c>
      <c r="L3082" t="s">
        <v>794</v>
      </c>
      <c r="M3082">
        <f t="shared" si="48"/>
        <v>2025</v>
      </c>
    </row>
    <row r="3083" spans="1:13" ht="12.75" hidden="1" customHeight="1">
      <c r="A3083" t="s">
        <v>1112</v>
      </c>
      <c r="B3083" t="s">
        <v>68</v>
      </c>
      <c r="C3083" t="s">
        <v>137</v>
      </c>
      <c r="D3083" t="s">
        <v>1338</v>
      </c>
      <c r="E3083" s="17">
        <v>45967</v>
      </c>
      <c r="F3083" s="17">
        <v>45967</v>
      </c>
      <c r="G3083" s="13">
        <v>900</v>
      </c>
      <c r="H3083" s="14">
        <v>0</v>
      </c>
      <c r="I3083" s="14">
        <v>0</v>
      </c>
      <c r="J3083" s="14">
        <v>0</v>
      </c>
      <c r="K3083" s="22">
        <v>900</v>
      </c>
      <c r="L3083" t="s">
        <v>794</v>
      </c>
      <c r="M3083">
        <f t="shared" si="48"/>
        <v>2025</v>
      </c>
    </row>
    <row r="3084" spans="1:13" ht="12.75" hidden="1" customHeight="1">
      <c r="A3084" t="s">
        <v>1196</v>
      </c>
      <c r="B3084" t="s">
        <v>1197</v>
      </c>
      <c r="C3084" t="s">
        <v>137</v>
      </c>
      <c r="D3084" t="s">
        <v>1338</v>
      </c>
      <c r="E3084" s="17">
        <v>45967</v>
      </c>
      <c r="F3084" s="17">
        <v>45967</v>
      </c>
      <c r="G3084" s="13">
        <v>1371</v>
      </c>
      <c r="H3084" s="14">
        <v>0</v>
      </c>
      <c r="I3084" s="14">
        <v>0</v>
      </c>
      <c r="J3084" s="14">
        <v>0</v>
      </c>
      <c r="K3084" s="22">
        <v>1371</v>
      </c>
      <c r="L3084" t="s">
        <v>794</v>
      </c>
      <c r="M3084">
        <f t="shared" si="48"/>
        <v>2025</v>
      </c>
    </row>
    <row r="3085" spans="1:13" ht="12.75" hidden="1" customHeight="1">
      <c r="A3085" t="s">
        <v>1272</v>
      </c>
      <c r="B3085" t="s">
        <v>132</v>
      </c>
      <c r="C3085" t="s">
        <v>137</v>
      </c>
      <c r="D3085" t="s">
        <v>1338</v>
      </c>
      <c r="E3085" s="17">
        <v>45967</v>
      </c>
      <c r="F3085" s="17">
        <v>45967</v>
      </c>
      <c r="G3085" s="13">
        <v>1702</v>
      </c>
      <c r="H3085" s="14">
        <v>0</v>
      </c>
      <c r="I3085" s="14">
        <v>0</v>
      </c>
      <c r="J3085" s="14">
        <v>0</v>
      </c>
      <c r="K3085" s="22">
        <v>1702</v>
      </c>
      <c r="L3085" t="s">
        <v>794</v>
      </c>
      <c r="M3085">
        <f t="shared" si="48"/>
        <v>2025</v>
      </c>
    </row>
    <row r="3086" spans="1:13" ht="12.75" hidden="1" customHeight="1">
      <c r="A3086" t="s">
        <v>810</v>
      </c>
      <c r="B3086" t="s">
        <v>54</v>
      </c>
      <c r="C3086" t="s">
        <v>137</v>
      </c>
      <c r="D3086" t="s">
        <v>1338</v>
      </c>
      <c r="E3086" s="17">
        <v>45967</v>
      </c>
      <c r="F3086" s="17">
        <v>45967</v>
      </c>
      <c r="G3086" s="13">
        <v>1152</v>
      </c>
      <c r="H3086" s="14">
        <v>0</v>
      </c>
      <c r="I3086" s="14">
        <v>0</v>
      </c>
      <c r="J3086" s="14">
        <v>0</v>
      </c>
      <c r="K3086" s="22">
        <v>1152</v>
      </c>
      <c r="L3086" t="s">
        <v>794</v>
      </c>
      <c r="M3086">
        <f t="shared" si="48"/>
        <v>2025</v>
      </c>
    </row>
    <row r="3087" spans="1:13" ht="12.75" hidden="1" customHeight="1">
      <c r="A3087" t="s">
        <v>1004</v>
      </c>
      <c r="B3087" t="s">
        <v>57</v>
      </c>
      <c r="C3087" t="s">
        <v>137</v>
      </c>
      <c r="D3087" t="s">
        <v>1338</v>
      </c>
      <c r="E3087" s="17">
        <v>45967</v>
      </c>
      <c r="F3087" s="17">
        <v>45967</v>
      </c>
      <c r="G3087" s="13">
        <v>1701</v>
      </c>
      <c r="H3087" s="14">
        <v>0</v>
      </c>
      <c r="I3087" s="14">
        <v>0</v>
      </c>
      <c r="J3087" s="14">
        <v>0</v>
      </c>
      <c r="K3087" s="22">
        <v>1701</v>
      </c>
      <c r="L3087" t="s">
        <v>794</v>
      </c>
      <c r="M3087">
        <f t="shared" si="48"/>
        <v>2025</v>
      </c>
    </row>
    <row r="3088" spans="1:13" ht="12.75" hidden="1" customHeight="1">
      <c r="A3088" t="s">
        <v>1167</v>
      </c>
      <c r="B3088" t="s">
        <v>47</v>
      </c>
      <c r="C3088" t="s">
        <v>137</v>
      </c>
      <c r="D3088" t="s">
        <v>1338</v>
      </c>
      <c r="E3088" s="17">
        <v>45967</v>
      </c>
      <c r="F3088" s="17">
        <v>45967</v>
      </c>
      <c r="G3088" s="13">
        <v>1814</v>
      </c>
      <c r="H3088" s="14">
        <v>0</v>
      </c>
      <c r="I3088" s="14">
        <v>0</v>
      </c>
      <c r="J3088" s="14">
        <v>0</v>
      </c>
      <c r="K3088" s="22">
        <v>1814</v>
      </c>
      <c r="L3088" t="s">
        <v>794</v>
      </c>
      <c r="M3088">
        <f t="shared" si="48"/>
        <v>2025</v>
      </c>
    </row>
    <row r="3089" spans="1:13" ht="12.75" hidden="1" customHeight="1">
      <c r="A3089" t="s">
        <v>961</v>
      </c>
      <c r="B3089" t="s">
        <v>41</v>
      </c>
      <c r="C3089" t="s">
        <v>137</v>
      </c>
      <c r="D3089" t="s">
        <v>1338</v>
      </c>
      <c r="E3089" s="17">
        <v>45967</v>
      </c>
      <c r="F3089" s="17">
        <v>45967</v>
      </c>
      <c r="G3089" s="13">
        <v>1571</v>
      </c>
      <c r="H3089" s="14">
        <v>0</v>
      </c>
      <c r="I3089" s="14">
        <v>0</v>
      </c>
      <c r="J3089" s="14">
        <v>0</v>
      </c>
      <c r="K3089" s="22">
        <v>1571</v>
      </c>
      <c r="L3089" t="s">
        <v>794</v>
      </c>
      <c r="M3089">
        <f t="shared" si="48"/>
        <v>2025</v>
      </c>
    </row>
    <row r="3090" spans="1:13" ht="12.75" hidden="1" customHeight="1">
      <c r="A3090" t="s">
        <v>814</v>
      </c>
      <c r="B3090" t="s">
        <v>56</v>
      </c>
      <c r="C3090" t="s">
        <v>137</v>
      </c>
      <c r="D3090" t="s">
        <v>1338</v>
      </c>
      <c r="E3090" s="17">
        <v>45967</v>
      </c>
      <c r="F3090" s="17">
        <v>45967</v>
      </c>
      <c r="G3090" s="13">
        <v>1302</v>
      </c>
      <c r="H3090" s="14">
        <v>0</v>
      </c>
      <c r="I3090" s="14">
        <v>0</v>
      </c>
      <c r="J3090" s="14">
        <v>0</v>
      </c>
      <c r="K3090" s="22">
        <v>1302</v>
      </c>
      <c r="L3090" t="s">
        <v>794</v>
      </c>
      <c r="M3090">
        <f t="shared" si="48"/>
        <v>2025</v>
      </c>
    </row>
    <row r="3091" spans="1:13" ht="12.75" hidden="1" customHeight="1">
      <c r="A3091" t="s">
        <v>1141</v>
      </c>
      <c r="B3091" t="s">
        <v>69</v>
      </c>
      <c r="C3091" t="s">
        <v>137</v>
      </c>
      <c r="D3091" t="s">
        <v>1338</v>
      </c>
      <c r="E3091" s="17">
        <v>45967</v>
      </c>
      <c r="F3091" s="17">
        <v>45967</v>
      </c>
      <c r="G3091" s="13">
        <v>1535</v>
      </c>
      <c r="H3091" s="14">
        <v>0</v>
      </c>
      <c r="I3091" s="14">
        <v>0</v>
      </c>
      <c r="J3091" s="14">
        <v>0</v>
      </c>
      <c r="K3091" s="22">
        <v>1535</v>
      </c>
      <c r="L3091" t="s">
        <v>794</v>
      </c>
      <c r="M3091">
        <f t="shared" si="48"/>
        <v>2025</v>
      </c>
    </row>
    <row r="3092" spans="1:13" ht="12.75" hidden="1" customHeight="1">
      <c r="A3092" t="s">
        <v>1105</v>
      </c>
      <c r="B3092" t="s">
        <v>84</v>
      </c>
      <c r="C3092" t="s">
        <v>137</v>
      </c>
      <c r="D3092" t="s">
        <v>1338</v>
      </c>
      <c r="E3092" s="17">
        <v>45967</v>
      </c>
      <c r="F3092" s="17">
        <v>45967</v>
      </c>
      <c r="G3092" s="13">
        <v>1571</v>
      </c>
      <c r="H3092" s="14">
        <v>0</v>
      </c>
      <c r="I3092" s="14">
        <v>0</v>
      </c>
      <c r="J3092" s="14">
        <v>0</v>
      </c>
      <c r="K3092" s="22">
        <v>1571</v>
      </c>
      <c r="L3092" t="s">
        <v>794</v>
      </c>
      <c r="M3092">
        <f t="shared" si="48"/>
        <v>2025</v>
      </c>
    </row>
    <row r="3093" spans="1:13" ht="12.75" hidden="1" customHeight="1">
      <c r="A3093" t="s">
        <v>1104</v>
      </c>
      <c r="B3093" t="s">
        <v>53</v>
      </c>
      <c r="C3093" t="s">
        <v>137</v>
      </c>
      <c r="D3093" t="s">
        <v>1338</v>
      </c>
      <c r="E3093" s="17">
        <v>45967</v>
      </c>
      <c r="F3093" s="17">
        <v>45967</v>
      </c>
      <c r="G3093" s="13">
        <v>1637</v>
      </c>
      <c r="H3093" s="14">
        <v>0</v>
      </c>
      <c r="I3093" s="14">
        <v>0</v>
      </c>
      <c r="J3093" s="14">
        <v>0</v>
      </c>
      <c r="K3093" s="22">
        <v>1637</v>
      </c>
      <c r="L3093" t="s">
        <v>794</v>
      </c>
      <c r="M3093">
        <f t="shared" si="48"/>
        <v>2025</v>
      </c>
    </row>
    <row r="3094" spans="1:13" ht="12.75" hidden="1" customHeight="1">
      <c r="A3094" t="s">
        <v>1181</v>
      </c>
      <c r="B3094" t="s">
        <v>75</v>
      </c>
      <c r="C3094" t="s">
        <v>137</v>
      </c>
      <c r="D3094" t="s">
        <v>1338</v>
      </c>
      <c r="E3094" s="17">
        <v>45967</v>
      </c>
      <c r="F3094" s="17">
        <v>45967</v>
      </c>
      <c r="G3094" s="13">
        <v>1000</v>
      </c>
      <c r="H3094" s="14">
        <v>0</v>
      </c>
      <c r="I3094" s="14">
        <v>0</v>
      </c>
      <c r="J3094" s="14">
        <v>0</v>
      </c>
      <c r="K3094" s="22">
        <v>1000</v>
      </c>
      <c r="L3094" t="s">
        <v>794</v>
      </c>
      <c r="M3094">
        <f t="shared" si="48"/>
        <v>2025</v>
      </c>
    </row>
    <row r="3095" spans="1:13" ht="12.75" hidden="1" customHeight="1">
      <c r="A3095" t="s">
        <v>1134</v>
      </c>
      <c r="B3095" t="s">
        <v>33</v>
      </c>
      <c r="C3095" t="s">
        <v>137</v>
      </c>
      <c r="D3095" t="s">
        <v>1338</v>
      </c>
      <c r="E3095" s="17">
        <v>45967</v>
      </c>
      <c r="F3095" s="17">
        <v>45967</v>
      </c>
      <c r="G3095" s="13">
        <v>1571</v>
      </c>
      <c r="H3095" s="14">
        <v>0</v>
      </c>
      <c r="I3095" s="14">
        <v>0</v>
      </c>
      <c r="J3095" s="14">
        <v>0</v>
      </c>
      <c r="K3095" s="22">
        <v>1571</v>
      </c>
      <c r="L3095" t="s">
        <v>794</v>
      </c>
      <c r="M3095">
        <f t="shared" si="48"/>
        <v>2025</v>
      </c>
    </row>
    <row r="3096" spans="1:13" ht="12.75" hidden="1" customHeight="1">
      <c r="A3096" t="s">
        <v>811</v>
      </c>
      <c r="B3096" t="s">
        <v>39</v>
      </c>
      <c r="C3096" t="s">
        <v>137</v>
      </c>
      <c r="D3096" t="s">
        <v>1338</v>
      </c>
      <c r="E3096" s="17">
        <v>45967</v>
      </c>
      <c r="F3096" s="17">
        <v>45967</v>
      </c>
      <c r="G3096" s="13">
        <v>1571</v>
      </c>
      <c r="H3096" s="14">
        <v>0</v>
      </c>
      <c r="I3096" s="14">
        <v>0</v>
      </c>
      <c r="J3096" s="14">
        <v>0</v>
      </c>
      <c r="K3096" s="22">
        <v>1571</v>
      </c>
      <c r="L3096" t="s">
        <v>794</v>
      </c>
      <c r="M3096">
        <f t="shared" si="48"/>
        <v>2025</v>
      </c>
    </row>
    <row r="3097" spans="1:13" ht="12.75" hidden="1" customHeight="1">
      <c r="A3097" t="s">
        <v>801</v>
      </c>
      <c r="B3097" t="s">
        <v>13</v>
      </c>
      <c r="C3097" t="s">
        <v>717</v>
      </c>
      <c r="D3097" t="s">
        <v>1338</v>
      </c>
      <c r="E3097" s="17">
        <v>45968</v>
      </c>
      <c r="F3097" s="17">
        <v>45968</v>
      </c>
      <c r="G3097" s="13">
        <v>13.63</v>
      </c>
      <c r="H3097" s="14">
        <v>0</v>
      </c>
      <c r="I3097" s="14">
        <v>0</v>
      </c>
      <c r="J3097" s="14">
        <v>0</v>
      </c>
      <c r="K3097" s="22">
        <v>13.63</v>
      </c>
      <c r="L3097" t="s">
        <v>794</v>
      </c>
      <c r="M3097">
        <f t="shared" si="48"/>
        <v>2025</v>
      </c>
    </row>
    <row r="3098" spans="1:13" ht="12.75" hidden="1" customHeight="1">
      <c r="A3098" t="s">
        <v>801</v>
      </c>
      <c r="B3098" t="s">
        <v>13</v>
      </c>
      <c r="C3098" t="s">
        <v>726</v>
      </c>
      <c r="D3098" t="s">
        <v>1338</v>
      </c>
      <c r="E3098" s="17">
        <v>45968</v>
      </c>
      <c r="F3098" s="17">
        <v>45968</v>
      </c>
      <c r="G3098" s="13">
        <v>12.24</v>
      </c>
      <c r="H3098" s="14">
        <v>0</v>
      </c>
      <c r="I3098" s="14">
        <v>0</v>
      </c>
      <c r="J3098" s="14">
        <v>0</v>
      </c>
      <c r="K3098" s="22">
        <v>12.24</v>
      </c>
      <c r="L3098" t="s">
        <v>794</v>
      </c>
      <c r="M3098">
        <f t="shared" si="48"/>
        <v>2025</v>
      </c>
    </row>
    <row r="3099" spans="1:13" ht="12.75" hidden="1" customHeight="1">
      <c r="A3099" t="s">
        <v>801</v>
      </c>
      <c r="B3099" t="s">
        <v>13</v>
      </c>
      <c r="C3099" t="s">
        <v>726</v>
      </c>
      <c r="D3099" t="s">
        <v>1338</v>
      </c>
      <c r="E3099" s="17">
        <v>45968</v>
      </c>
      <c r="F3099" s="17">
        <v>45968</v>
      </c>
      <c r="G3099" s="13">
        <v>40.800000000000004</v>
      </c>
      <c r="H3099" s="14">
        <v>0</v>
      </c>
      <c r="I3099" s="14">
        <v>0</v>
      </c>
      <c r="J3099" s="14">
        <v>0</v>
      </c>
      <c r="K3099" s="22">
        <v>40.800000000000004</v>
      </c>
      <c r="L3099" t="s">
        <v>794</v>
      </c>
      <c r="M3099">
        <f t="shared" si="48"/>
        <v>2025</v>
      </c>
    </row>
    <row r="3100" spans="1:13" ht="12.75" hidden="1" customHeight="1">
      <c r="A3100" t="s">
        <v>801</v>
      </c>
      <c r="B3100" t="s">
        <v>13</v>
      </c>
      <c r="C3100" t="s">
        <v>726</v>
      </c>
      <c r="D3100" t="s">
        <v>1338</v>
      </c>
      <c r="E3100" s="17">
        <v>45968</v>
      </c>
      <c r="F3100" s="17">
        <v>45968</v>
      </c>
      <c r="G3100" s="13">
        <v>34.68</v>
      </c>
      <c r="H3100" s="14">
        <v>0</v>
      </c>
      <c r="I3100" s="14">
        <v>0</v>
      </c>
      <c r="J3100" s="14">
        <v>0</v>
      </c>
      <c r="K3100" s="22">
        <v>34.68</v>
      </c>
      <c r="L3100" t="s">
        <v>794</v>
      </c>
      <c r="M3100">
        <f t="shared" si="48"/>
        <v>2025</v>
      </c>
    </row>
    <row r="3101" spans="1:13" ht="12.75" hidden="1" customHeight="1">
      <c r="A3101" t="s">
        <v>801</v>
      </c>
      <c r="B3101" t="s">
        <v>13</v>
      </c>
      <c r="C3101" t="s">
        <v>726</v>
      </c>
      <c r="D3101" t="s">
        <v>1338</v>
      </c>
      <c r="E3101" s="17">
        <v>45968</v>
      </c>
      <c r="F3101" s="17">
        <v>45968</v>
      </c>
      <c r="G3101" s="13">
        <v>69.36</v>
      </c>
      <c r="H3101" s="14">
        <v>0</v>
      </c>
      <c r="I3101" s="14">
        <v>0</v>
      </c>
      <c r="J3101" s="14">
        <v>0</v>
      </c>
      <c r="K3101" s="22">
        <v>69.36</v>
      </c>
      <c r="L3101" t="s">
        <v>794</v>
      </c>
      <c r="M3101">
        <f t="shared" si="48"/>
        <v>2025</v>
      </c>
    </row>
    <row r="3102" spans="1:13" ht="12.75" hidden="1" customHeight="1">
      <c r="A3102" t="s">
        <v>801</v>
      </c>
      <c r="B3102" t="s">
        <v>13</v>
      </c>
      <c r="C3102" t="s">
        <v>726</v>
      </c>
      <c r="D3102" t="s">
        <v>1338</v>
      </c>
      <c r="E3102" s="17">
        <v>45968</v>
      </c>
      <c r="F3102" s="17">
        <v>45968</v>
      </c>
      <c r="G3102" s="13">
        <v>793.56000000000006</v>
      </c>
      <c r="H3102" s="14">
        <v>0</v>
      </c>
      <c r="I3102" s="14">
        <v>0</v>
      </c>
      <c r="J3102" s="14">
        <v>0</v>
      </c>
      <c r="K3102" s="22">
        <v>793.56000000000006</v>
      </c>
      <c r="L3102" t="s">
        <v>794</v>
      </c>
      <c r="M3102">
        <f t="shared" si="48"/>
        <v>2025</v>
      </c>
    </row>
    <row r="3103" spans="1:13" ht="12.75" hidden="1" customHeight="1">
      <c r="A3103" t="s">
        <v>801</v>
      </c>
      <c r="B3103" t="s">
        <v>13</v>
      </c>
      <c r="C3103" t="s">
        <v>726</v>
      </c>
      <c r="D3103" t="s">
        <v>1338</v>
      </c>
      <c r="E3103" s="17">
        <v>45968</v>
      </c>
      <c r="F3103" s="17">
        <v>45968</v>
      </c>
      <c r="G3103" s="13">
        <v>10.200000000000001</v>
      </c>
      <c r="H3103" s="14">
        <v>0</v>
      </c>
      <c r="I3103" s="14">
        <v>0</v>
      </c>
      <c r="J3103" s="14">
        <v>0</v>
      </c>
      <c r="K3103" s="22">
        <v>10.200000000000001</v>
      </c>
      <c r="L3103" t="s">
        <v>794</v>
      </c>
      <c r="M3103">
        <f t="shared" si="48"/>
        <v>2025</v>
      </c>
    </row>
    <row r="3104" spans="1:13" ht="12.75" hidden="1" customHeight="1">
      <c r="A3104" t="s">
        <v>801</v>
      </c>
      <c r="B3104" t="s">
        <v>13</v>
      </c>
      <c r="C3104" t="s">
        <v>740</v>
      </c>
      <c r="D3104" t="s">
        <v>1338</v>
      </c>
      <c r="E3104" s="17">
        <v>45968</v>
      </c>
      <c r="F3104" s="17">
        <v>45968</v>
      </c>
      <c r="G3104" s="13">
        <v>170.44</v>
      </c>
      <c r="H3104" s="14">
        <v>0</v>
      </c>
      <c r="I3104" s="14">
        <v>0</v>
      </c>
      <c r="J3104" s="14">
        <v>0</v>
      </c>
      <c r="K3104" s="22">
        <v>170.44</v>
      </c>
      <c r="L3104" t="s">
        <v>794</v>
      </c>
      <c r="M3104">
        <f t="shared" si="48"/>
        <v>2025</v>
      </c>
    </row>
    <row r="3105" spans="1:13" ht="12.75" hidden="1" customHeight="1">
      <c r="A3105" t="s">
        <v>801</v>
      </c>
      <c r="B3105" t="s">
        <v>13</v>
      </c>
      <c r="C3105" t="s">
        <v>740</v>
      </c>
      <c r="D3105" t="s">
        <v>1338</v>
      </c>
      <c r="E3105" s="17">
        <v>45968</v>
      </c>
      <c r="F3105" s="17">
        <v>45968</v>
      </c>
      <c r="G3105" s="13">
        <v>203.36</v>
      </c>
      <c r="H3105" s="14">
        <v>0</v>
      </c>
      <c r="I3105" s="14">
        <v>0</v>
      </c>
      <c r="J3105" s="14">
        <v>0</v>
      </c>
      <c r="K3105" s="22">
        <v>203.36</v>
      </c>
      <c r="L3105" t="s">
        <v>794</v>
      </c>
      <c r="M3105">
        <f t="shared" si="48"/>
        <v>2025</v>
      </c>
    </row>
    <row r="3106" spans="1:13" ht="12.75" hidden="1" customHeight="1">
      <c r="A3106" t="s">
        <v>1278</v>
      </c>
      <c r="B3106" t="s">
        <v>190</v>
      </c>
      <c r="C3106" t="s">
        <v>729</v>
      </c>
      <c r="D3106" t="s">
        <v>1338</v>
      </c>
      <c r="E3106" s="17">
        <v>45962</v>
      </c>
      <c r="F3106" s="17">
        <v>45968</v>
      </c>
      <c r="G3106" s="13">
        <v>550</v>
      </c>
      <c r="H3106" s="14">
        <v>0</v>
      </c>
      <c r="I3106" s="14">
        <v>0</v>
      </c>
      <c r="J3106" s="14">
        <v>0</v>
      </c>
      <c r="K3106" s="22">
        <v>550</v>
      </c>
      <c r="L3106" t="s">
        <v>794</v>
      </c>
      <c r="M3106">
        <f t="shared" si="48"/>
        <v>2025</v>
      </c>
    </row>
    <row r="3107" spans="1:13" ht="12.75" hidden="1" customHeight="1">
      <c r="A3107" t="s">
        <v>801</v>
      </c>
      <c r="B3107" t="s">
        <v>13</v>
      </c>
      <c r="C3107" t="s">
        <v>739</v>
      </c>
      <c r="D3107" t="s">
        <v>1338</v>
      </c>
      <c r="E3107" s="17">
        <v>45965</v>
      </c>
      <c r="F3107" s="17">
        <v>45968</v>
      </c>
      <c r="G3107" s="13">
        <v>206.04</v>
      </c>
      <c r="H3107" s="14">
        <v>0</v>
      </c>
      <c r="I3107" s="14">
        <v>0</v>
      </c>
      <c r="J3107" s="14">
        <v>0</v>
      </c>
      <c r="K3107" s="22">
        <v>206.04</v>
      </c>
      <c r="L3107" t="s">
        <v>794</v>
      </c>
      <c r="M3107">
        <f t="shared" si="48"/>
        <v>2025</v>
      </c>
    </row>
    <row r="3108" spans="1:13" ht="12.75" hidden="1" customHeight="1">
      <c r="A3108" t="s">
        <v>801</v>
      </c>
      <c r="B3108" t="s">
        <v>13</v>
      </c>
      <c r="C3108" t="s">
        <v>726</v>
      </c>
      <c r="D3108" t="s">
        <v>1338</v>
      </c>
      <c r="E3108" s="17">
        <v>45967</v>
      </c>
      <c r="F3108" s="17">
        <v>45968</v>
      </c>
      <c r="G3108" s="13">
        <v>44.88</v>
      </c>
      <c r="H3108" s="14">
        <v>0</v>
      </c>
      <c r="I3108" s="14">
        <v>0</v>
      </c>
      <c r="J3108" s="14">
        <v>0</v>
      </c>
      <c r="K3108" s="22">
        <v>44.88</v>
      </c>
      <c r="L3108" t="s">
        <v>794</v>
      </c>
      <c r="M3108">
        <f t="shared" si="48"/>
        <v>2025</v>
      </c>
    </row>
    <row r="3109" spans="1:13" ht="12.75" hidden="1" customHeight="1">
      <c r="A3109" t="s">
        <v>833</v>
      </c>
      <c r="B3109" t="s">
        <v>27</v>
      </c>
      <c r="C3109" t="s">
        <v>138</v>
      </c>
      <c r="D3109" t="s">
        <v>1338</v>
      </c>
      <c r="E3109" s="17">
        <v>45962</v>
      </c>
      <c r="F3109" s="17">
        <v>45968</v>
      </c>
      <c r="G3109" s="13">
        <v>255.42000000000002</v>
      </c>
      <c r="H3109" s="14">
        <v>0</v>
      </c>
      <c r="I3109" s="14">
        <v>0</v>
      </c>
      <c r="J3109" s="14">
        <v>0</v>
      </c>
      <c r="K3109" s="22">
        <v>255.42000000000002</v>
      </c>
      <c r="L3109" t="s">
        <v>794</v>
      </c>
      <c r="M3109">
        <f t="shared" si="48"/>
        <v>2025</v>
      </c>
    </row>
    <row r="3110" spans="1:13" ht="12.75" hidden="1" customHeight="1">
      <c r="A3110" t="s">
        <v>819</v>
      </c>
      <c r="B3110" t="s">
        <v>38</v>
      </c>
      <c r="C3110" t="s">
        <v>138</v>
      </c>
      <c r="D3110" t="s">
        <v>1338</v>
      </c>
      <c r="E3110" s="17">
        <v>45962</v>
      </c>
      <c r="F3110" s="17">
        <v>45968</v>
      </c>
      <c r="G3110" s="13">
        <v>255.42000000000002</v>
      </c>
      <c r="H3110" s="14">
        <v>0</v>
      </c>
      <c r="I3110" s="14">
        <v>0</v>
      </c>
      <c r="J3110" s="14">
        <v>0</v>
      </c>
      <c r="K3110" s="22">
        <v>255.42000000000002</v>
      </c>
      <c r="L3110" t="s">
        <v>794</v>
      </c>
      <c r="M3110">
        <f t="shared" si="48"/>
        <v>2025</v>
      </c>
    </row>
    <row r="3111" spans="1:13" ht="12.75" hidden="1" customHeight="1">
      <c r="A3111" t="s">
        <v>799</v>
      </c>
      <c r="B3111" t="s">
        <v>24</v>
      </c>
      <c r="C3111" t="s">
        <v>138</v>
      </c>
      <c r="D3111" t="s">
        <v>1338</v>
      </c>
      <c r="E3111" s="17">
        <v>45962</v>
      </c>
      <c r="F3111" s="17">
        <v>45968</v>
      </c>
      <c r="G3111" s="13">
        <v>5142.96</v>
      </c>
      <c r="H3111" s="14">
        <v>0</v>
      </c>
      <c r="I3111" s="14">
        <v>0</v>
      </c>
      <c r="J3111" s="14">
        <v>0</v>
      </c>
      <c r="K3111" s="22">
        <v>5142.96</v>
      </c>
      <c r="L3111" t="s">
        <v>794</v>
      </c>
      <c r="M3111">
        <f t="shared" si="48"/>
        <v>2025</v>
      </c>
    </row>
    <row r="3112" spans="1:13" ht="12.75" hidden="1" customHeight="1">
      <c r="A3112" t="s">
        <v>1296</v>
      </c>
      <c r="B3112" t="s">
        <v>42</v>
      </c>
      <c r="C3112" t="s">
        <v>728</v>
      </c>
      <c r="D3112" t="s">
        <v>1311</v>
      </c>
      <c r="E3112" s="17">
        <v>45960</v>
      </c>
      <c r="F3112" s="17">
        <v>45968</v>
      </c>
      <c r="G3112" s="13">
        <v>3871.08</v>
      </c>
      <c r="H3112" s="14">
        <v>0</v>
      </c>
      <c r="I3112" s="14">
        <v>0</v>
      </c>
      <c r="J3112" s="14">
        <v>0</v>
      </c>
      <c r="K3112" s="22">
        <v>3871.08</v>
      </c>
      <c r="L3112" t="s">
        <v>794</v>
      </c>
      <c r="M3112">
        <f t="shared" si="48"/>
        <v>2025</v>
      </c>
    </row>
    <row r="3113" spans="1:13" ht="12.75" hidden="1" customHeight="1">
      <c r="A3113" t="s">
        <v>797</v>
      </c>
      <c r="B3113" t="s">
        <v>25</v>
      </c>
      <c r="C3113" t="s">
        <v>206</v>
      </c>
      <c r="D3113" t="s">
        <v>1338</v>
      </c>
      <c r="E3113" s="17">
        <v>45964</v>
      </c>
      <c r="F3113" s="17">
        <v>45968</v>
      </c>
      <c r="G3113" s="13">
        <v>1520</v>
      </c>
      <c r="H3113" s="14">
        <v>0</v>
      </c>
      <c r="I3113" s="14">
        <v>0</v>
      </c>
      <c r="J3113" s="14">
        <v>0</v>
      </c>
      <c r="K3113" s="22">
        <v>1520</v>
      </c>
      <c r="L3113" t="s">
        <v>794</v>
      </c>
      <c r="M3113">
        <f t="shared" si="48"/>
        <v>2025</v>
      </c>
    </row>
    <row r="3114" spans="1:13" ht="12.75" hidden="1" customHeight="1">
      <c r="A3114" t="s">
        <v>792</v>
      </c>
      <c r="B3114" t="s">
        <v>35</v>
      </c>
      <c r="C3114" t="s">
        <v>206</v>
      </c>
      <c r="D3114" t="s">
        <v>1338</v>
      </c>
      <c r="E3114" s="17">
        <v>45964</v>
      </c>
      <c r="F3114" s="17">
        <v>45968</v>
      </c>
      <c r="G3114" s="13">
        <v>2280</v>
      </c>
      <c r="H3114" s="14">
        <v>0</v>
      </c>
      <c r="I3114" s="14">
        <v>0</v>
      </c>
      <c r="J3114" s="14">
        <v>0</v>
      </c>
      <c r="K3114" s="22">
        <v>2280</v>
      </c>
      <c r="L3114" t="s">
        <v>794</v>
      </c>
      <c r="M3114">
        <f t="shared" si="48"/>
        <v>2025</v>
      </c>
    </row>
    <row r="3115" spans="1:13" ht="12.75" hidden="1" customHeight="1">
      <c r="A3115" t="s">
        <v>797</v>
      </c>
      <c r="B3115" t="s">
        <v>25</v>
      </c>
      <c r="C3115" t="s">
        <v>206</v>
      </c>
      <c r="D3115" t="s">
        <v>1338</v>
      </c>
      <c r="E3115" s="17">
        <v>45964</v>
      </c>
      <c r="F3115" s="17">
        <v>45968</v>
      </c>
      <c r="G3115" s="13">
        <v>1200</v>
      </c>
      <c r="H3115" s="14">
        <v>0</v>
      </c>
      <c r="I3115" s="14">
        <v>0</v>
      </c>
      <c r="J3115" s="14">
        <v>0</v>
      </c>
      <c r="K3115" s="22">
        <v>1200</v>
      </c>
      <c r="L3115" t="s">
        <v>794</v>
      </c>
      <c r="M3115">
        <f t="shared" si="48"/>
        <v>2025</v>
      </c>
    </row>
    <row r="3116" spans="1:13" ht="12.75" hidden="1" customHeight="1">
      <c r="A3116" t="s">
        <v>792</v>
      </c>
      <c r="B3116" t="s">
        <v>35</v>
      </c>
      <c r="C3116" t="s">
        <v>206</v>
      </c>
      <c r="D3116" t="s">
        <v>1338</v>
      </c>
      <c r="E3116" s="17">
        <v>45964</v>
      </c>
      <c r="F3116" s="17">
        <v>45968</v>
      </c>
      <c r="G3116" s="13">
        <v>1800</v>
      </c>
      <c r="H3116" s="14">
        <v>0</v>
      </c>
      <c r="I3116" s="14">
        <v>0</v>
      </c>
      <c r="J3116" s="14">
        <v>0</v>
      </c>
      <c r="K3116" s="22">
        <v>1800</v>
      </c>
      <c r="L3116" t="s">
        <v>794</v>
      </c>
      <c r="M3116">
        <f t="shared" si="48"/>
        <v>2025</v>
      </c>
    </row>
    <row r="3117" spans="1:13" ht="12.75" hidden="1" customHeight="1">
      <c r="A3117" t="s">
        <v>1353</v>
      </c>
      <c r="B3117" t="s">
        <v>642</v>
      </c>
      <c r="C3117" t="s">
        <v>776</v>
      </c>
      <c r="D3117" t="s">
        <v>1338</v>
      </c>
      <c r="E3117" s="17">
        <v>45965</v>
      </c>
      <c r="F3117" s="17">
        <v>45968</v>
      </c>
      <c r="G3117" s="13">
        <v>39.9</v>
      </c>
      <c r="H3117" s="14">
        <v>0</v>
      </c>
      <c r="I3117" s="14">
        <v>0</v>
      </c>
      <c r="J3117" s="14">
        <v>0</v>
      </c>
      <c r="K3117" s="22">
        <v>39.9</v>
      </c>
      <c r="L3117" t="s">
        <v>794</v>
      </c>
      <c r="M3117">
        <f t="shared" si="48"/>
        <v>2025</v>
      </c>
    </row>
    <row r="3118" spans="1:13" ht="12.75" hidden="1" customHeight="1">
      <c r="A3118" t="s">
        <v>821</v>
      </c>
      <c r="B3118" t="s">
        <v>72</v>
      </c>
      <c r="C3118" t="s">
        <v>722</v>
      </c>
      <c r="D3118" t="s">
        <v>1338</v>
      </c>
      <c r="E3118" s="17">
        <v>45965</v>
      </c>
      <c r="F3118" s="17">
        <v>45968</v>
      </c>
      <c r="G3118" s="13">
        <v>1381.38</v>
      </c>
      <c r="H3118" s="14">
        <v>0</v>
      </c>
      <c r="I3118" s="14">
        <v>0</v>
      </c>
      <c r="J3118" s="14">
        <v>0</v>
      </c>
      <c r="K3118" s="22">
        <v>1381.38</v>
      </c>
      <c r="L3118" t="s">
        <v>794</v>
      </c>
      <c r="M3118">
        <f t="shared" si="48"/>
        <v>2025</v>
      </c>
    </row>
    <row r="3119" spans="1:13" ht="12.75" hidden="1" customHeight="1">
      <c r="A3119" t="s">
        <v>801</v>
      </c>
      <c r="B3119" t="s">
        <v>13</v>
      </c>
      <c r="C3119" t="s">
        <v>717</v>
      </c>
      <c r="D3119" t="s">
        <v>1338</v>
      </c>
      <c r="E3119" s="17">
        <v>45964</v>
      </c>
      <c r="F3119" s="17">
        <v>45968</v>
      </c>
      <c r="G3119" s="13">
        <v>4408.46</v>
      </c>
      <c r="H3119" s="14">
        <v>0</v>
      </c>
      <c r="I3119" s="14">
        <v>0</v>
      </c>
      <c r="J3119" s="14">
        <v>0</v>
      </c>
      <c r="K3119" s="22">
        <v>4408.46</v>
      </c>
      <c r="L3119" t="s">
        <v>794</v>
      </c>
      <c r="M3119">
        <f t="shared" si="48"/>
        <v>2025</v>
      </c>
    </row>
    <row r="3120" spans="1:13" ht="12.75" hidden="1" customHeight="1">
      <c r="A3120" t="s">
        <v>1210</v>
      </c>
      <c r="B3120" t="s">
        <v>22</v>
      </c>
      <c r="C3120" t="s">
        <v>717</v>
      </c>
      <c r="D3120" t="s">
        <v>1338</v>
      </c>
      <c r="E3120" s="17">
        <v>45966</v>
      </c>
      <c r="F3120" s="17">
        <v>45968</v>
      </c>
      <c r="G3120" s="13">
        <v>2890</v>
      </c>
      <c r="H3120" s="14">
        <v>0</v>
      </c>
      <c r="I3120" s="14">
        <v>0</v>
      </c>
      <c r="J3120" s="14">
        <v>0</v>
      </c>
      <c r="K3120" s="22">
        <v>2890</v>
      </c>
      <c r="L3120" t="s">
        <v>794</v>
      </c>
      <c r="M3120">
        <f t="shared" si="48"/>
        <v>2025</v>
      </c>
    </row>
    <row r="3121" spans="1:13" ht="12.75" hidden="1" customHeight="1">
      <c r="A3121" t="s">
        <v>801</v>
      </c>
      <c r="B3121" t="s">
        <v>13</v>
      </c>
      <c r="C3121" t="s">
        <v>718</v>
      </c>
      <c r="D3121" t="s">
        <v>1338</v>
      </c>
      <c r="E3121" s="17">
        <v>45966</v>
      </c>
      <c r="F3121" s="17">
        <v>45968</v>
      </c>
      <c r="G3121" s="13">
        <v>1019.35</v>
      </c>
      <c r="H3121" s="14">
        <v>0</v>
      </c>
      <c r="I3121" s="14">
        <v>0</v>
      </c>
      <c r="J3121" s="14">
        <v>0</v>
      </c>
      <c r="K3121" s="22">
        <v>1019.35</v>
      </c>
      <c r="L3121" t="s">
        <v>794</v>
      </c>
      <c r="M3121">
        <f t="shared" si="48"/>
        <v>2025</v>
      </c>
    </row>
    <row r="3122" spans="1:13" ht="12.75" hidden="1" customHeight="1">
      <c r="A3122" t="s">
        <v>837</v>
      </c>
      <c r="B3122" t="s">
        <v>58</v>
      </c>
      <c r="C3122" t="s">
        <v>206</v>
      </c>
      <c r="D3122" t="s">
        <v>1338</v>
      </c>
      <c r="E3122" s="17">
        <v>45966</v>
      </c>
      <c r="F3122" s="17">
        <v>45968</v>
      </c>
      <c r="G3122" s="13">
        <v>1877.16</v>
      </c>
      <c r="H3122" s="14">
        <v>0</v>
      </c>
      <c r="I3122" s="14">
        <v>0</v>
      </c>
      <c r="J3122" s="14">
        <v>0</v>
      </c>
      <c r="K3122" s="22">
        <v>1877.16</v>
      </c>
      <c r="L3122" t="s">
        <v>794</v>
      </c>
      <c r="M3122">
        <f t="shared" si="48"/>
        <v>2025</v>
      </c>
    </row>
    <row r="3123" spans="1:13" ht="12.75" hidden="1" customHeight="1">
      <c r="A3123" t="s">
        <v>801</v>
      </c>
      <c r="B3123" t="s">
        <v>13</v>
      </c>
      <c r="C3123" t="s">
        <v>740</v>
      </c>
      <c r="D3123" t="s">
        <v>1338</v>
      </c>
      <c r="E3123" s="17">
        <v>45965</v>
      </c>
      <c r="F3123" s="17">
        <v>45968</v>
      </c>
      <c r="G3123" s="13">
        <v>209.06</v>
      </c>
      <c r="H3123" s="14">
        <v>0</v>
      </c>
      <c r="I3123" s="14">
        <v>0</v>
      </c>
      <c r="J3123" s="14">
        <v>0</v>
      </c>
      <c r="K3123" s="22">
        <v>209.06</v>
      </c>
      <c r="L3123" t="s">
        <v>794</v>
      </c>
      <c r="M3123">
        <f t="shared" si="48"/>
        <v>2025</v>
      </c>
    </row>
    <row r="3124" spans="1:13" ht="12.75" hidden="1" customHeight="1">
      <c r="A3124" t="s">
        <v>801</v>
      </c>
      <c r="B3124" t="s">
        <v>13</v>
      </c>
      <c r="C3124" t="s">
        <v>739</v>
      </c>
      <c r="D3124" t="s">
        <v>1338</v>
      </c>
      <c r="E3124" s="17">
        <v>45965</v>
      </c>
      <c r="F3124" s="17">
        <v>45968</v>
      </c>
      <c r="G3124" s="13">
        <v>549.75</v>
      </c>
      <c r="H3124" s="14">
        <v>0</v>
      </c>
      <c r="I3124" s="14">
        <v>0</v>
      </c>
      <c r="J3124" s="14">
        <v>0</v>
      </c>
      <c r="K3124" s="22">
        <v>549.75</v>
      </c>
      <c r="L3124" t="s">
        <v>794</v>
      </c>
      <c r="M3124">
        <f t="shared" si="48"/>
        <v>2025</v>
      </c>
    </row>
    <row r="3125" spans="1:13" ht="12.75" hidden="1" customHeight="1">
      <c r="A3125" t="s">
        <v>801</v>
      </c>
      <c r="B3125" t="s">
        <v>13</v>
      </c>
      <c r="C3125" t="s">
        <v>739</v>
      </c>
      <c r="D3125" t="s">
        <v>1338</v>
      </c>
      <c r="E3125" s="17">
        <v>45965</v>
      </c>
      <c r="F3125" s="17">
        <v>45968</v>
      </c>
      <c r="G3125" s="13">
        <v>3.65</v>
      </c>
      <c r="H3125" s="14">
        <v>0</v>
      </c>
      <c r="I3125" s="14">
        <v>0</v>
      </c>
      <c r="J3125" s="14">
        <v>0</v>
      </c>
      <c r="K3125" s="22">
        <v>3.65</v>
      </c>
      <c r="L3125" t="s">
        <v>794</v>
      </c>
      <c r="M3125">
        <f t="shared" si="48"/>
        <v>2025</v>
      </c>
    </row>
    <row r="3126" spans="1:13" ht="12.75" hidden="1" customHeight="1">
      <c r="A3126" t="s">
        <v>801</v>
      </c>
      <c r="B3126" t="s">
        <v>13</v>
      </c>
      <c r="C3126" t="s">
        <v>726</v>
      </c>
      <c r="D3126" t="s">
        <v>1338</v>
      </c>
      <c r="E3126" s="17">
        <v>45966</v>
      </c>
      <c r="F3126" s="17">
        <v>45968</v>
      </c>
      <c r="G3126" s="13">
        <v>4.08</v>
      </c>
      <c r="H3126" s="14">
        <v>0</v>
      </c>
      <c r="I3126" s="14">
        <v>0</v>
      </c>
      <c r="J3126" s="14">
        <v>0</v>
      </c>
      <c r="K3126" s="22">
        <v>4.08</v>
      </c>
      <c r="L3126" t="s">
        <v>794</v>
      </c>
      <c r="M3126">
        <f t="shared" si="48"/>
        <v>2025</v>
      </c>
    </row>
    <row r="3127" spans="1:13" ht="12.75" hidden="1" customHeight="1">
      <c r="A3127" t="s">
        <v>801</v>
      </c>
      <c r="B3127" t="s">
        <v>13</v>
      </c>
      <c r="C3127" t="s">
        <v>726</v>
      </c>
      <c r="D3127" t="s">
        <v>1338</v>
      </c>
      <c r="E3127" s="17">
        <v>45965</v>
      </c>
      <c r="F3127" s="17">
        <v>45968</v>
      </c>
      <c r="G3127" s="13">
        <v>4.08</v>
      </c>
      <c r="H3127" s="14">
        <v>0</v>
      </c>
      <c r="I3127" s="14">
        <v>0</v>
      </c>
      <c r="J3127" s="14">
        <v>0</v>
      </c>
      <c r="K3127" s="22">
        <v>4.08</v>
      </c>
      <c r="L3127" t="s">
        <v>794</v>
      </c>
      <c r="M3127">
        <f t="shared" si="48"/>
        <v>2025</v>
      </c>
    </row>
    <row r="3128" spans="1:13" ht="12.75" hidden="1" customHeight="1">
      <c r="A3128" t="s">
        <v>801</v>
      </c>
      <c r="B3128" t="s">
        <v>13</v>
      </c>
      <c r="C3128" t="s">
        <v>726</v>
      </c>
      <c r="D3128" t="s">
        <v>1338</v>
      </c>
      <c r="E3128" s="17">
        <v>45964</v>
      </c>
      <c r="F3128" s="17">
        <v>45968</v>
      </c>
      <c r="G3128" s="13">
        <v>2.04</v>
      </c>
      <c r="H3128" s="14">
        <v>0</v>
      </c>
      <c r="I3128" s="14">
        <v>0</v>
      </c>
      <c r="J3128" s="14">
        <v>0</v>
      </c>
      <c r="K3128" s="22">
        <v>2.04</v>
      </c>
      <c r="L3128" t="s">
        <v>794</v>
      </c>
      <c r="M3128">
        <f t="shared" si="48"/>
        <v>2025</v>
      </c>
    </row>
    <row r="3129" spans="1:13" ht="12.75" hidden="1" customHeight="1">
      <c r="A3129" t="s">
        <v>801</v>
      </c>
      <c r="B3129" t="s">
        <v>13</v>
      </c>
      <c r="C3129" t="s">
        <v>717</v>
      </c>
      <c r="D3129" t="s">
        <v>1338</v>
      </c>
      <c r="E3129" s="17">
        <v>45966</v>
      </c>
      <c r="F3129" s="17">
        <v>45968</v>
      </c>
      <c r="G3129" s="13">
        <v>135.52000000000001</v>
      </c>
      <c r="H3129" s="14">
        <v>0</v>
      </c>
      <c r="I3129" s="14">
        <v>0</v>
      </c>
      <c r="J3129" s="14">
        <v>0</v>
      </c>
      <c r="K3129" s="22">
        <v>135.52000000000001</v>
      </c>
      <c r="L3129" t="s">
        <v>794</v>
      </c>
      <c r="M3129">
        <f t="shared" si="48"/>
        <v>2025</v>
      </c>
    </row>
    <row r="3130" spans="1:13" ht="12.75" hidden="1" customHeight="1">
      <c r="A3130" t="s">
        <v>1053</v>
      </c>
      <c r="B3130" t="s">
        <v>349</v>
      </c>
      <c r="C3130" t="s">
        <v>758</v>
      </c>
      <c r="D3130" t="s">
        <v>1311</v>
      </c>
      <c r="E3130" s="17">
        <v>45964</v>
      </c>
      <c r="F3130" s="17">
        <v>45968</v>
      </c>
      <c r="G3130" s="13">
        <v>260.09000000000003</v>
      </c>
      <c r="H3130" s="14">
        <v>0</v>
      </c>
      <c r="I3130" s="14">
        <v>0</v>
      </c>
      <c r="J3130" s="14">
        <v>0</v>
      </c>
      <c r="K3130" s="22">
        <v>260.09000000000003</v>
      </c>
      <c r="L3130" t="s">
        <v>794</v>
      </c>
      <c r="M3130">
        <f t="shared" si="48"/>
        <v>2025</v>
      </c>
    </row>
    <row r="3131" spans="1:13" ht="12.75" hidden="1" customHeight="1">
      <c r="A3131" t="s">
        <v>914</v>
      </c>
      <c r="B3131" t="s">
        <v>28</v>
      </c>
      <c r="C3131" t="s">
        <v>732</v>
      </c>
      <c r="D3131" t="s">
        <v>1338</v>
      </c>
      <c r="E3131" s="17">
        <v>45971</v>
      </c>
      <c r="F3131" s="17">
        <v>45971</v>
      </c>
      <c r="G3131" s="13">
        <v>2855.73</v>
      </c>
      <c r="H3131" s="14">
        <v>0</v>
      </c>
      <c r="I3131" s="14">
        <v>0</v>
      </c>
      <c r="J3131" s="14">
        <v>0</v>
      </c>
      <c r="K3131" s="22">
        <v>2855.73</v>
      </c>
      <c r="L3131" t="s">
        <v>794</v>
      </c>
      <c r="M3131">
        <f t="shared" si="48"/>
        <v>2025</v>
      </c>
    </row>
    <row r="3132" spans="1:13" ht="12.75" hidden="1" customHeight="1">
      <c r="A3132" t="s">
        <v>801</v>
      </c>
      <c r="B3132" t="s">
        <v>13</v>
      </c>
      <c r="C3132" t="s">
        <v>726</v>
      </c>
      <c r="D3132" t="s">
        <v>1338</v>
      </c>
      <c r="E3132" s="17">
        <v>45971</v>
      </c>
      <c r="F3132" s="17">
        <v>45971</v>
      </c>
      <c r="G3132" s="13">
        <v>22.44</v>
      </c>
      <c r="H3132" s="14">
        <v>0</v>
      </c>
      <c r="I3132" s="14">
        <v>0</v>
      </c>
      <c r="J3132" s="14">
        <v>0</v>
      </c>
      <c r="K3132" s="22">
        <v>22.44</v>
      </c>
      <c r="L3132" t="s">
        <v>794</v>
      </c>
      <c r="M3132">
        <f t="shared" si="48"/>
        <v>2025</v>
      </c>
    </row>
    <row r="3133" spans="1:13" ht="12.75" hidden="1" customHeight="1">
      <c r="A3133" t="s">
        <v>887</v>
      </c>
      <c r="B3133" t="s">
        <v>61</v>
      </c>
      <c r="C3133" t="s">
        <v>201</v>
      </c>
      <c r="D3133" t="s">
        <v>1338</v>
      </c>
      <c r="E3133" s="17">
        <v>45971</v>
      </c>
      <c r="F3133" s="17">
        <v>45971</v>
      </c>
      <c r="G3133" s="13">
        <v>1280</v>
      </c>
      <c r="H3133" s="14">
        <v>0</v>
      </c>
      <c r="I3133" s="14">
        <v>0</v>
      </c>
      <c r="J3133" s="14">
        <v>0</v>
      </c>
      <c r="K3133" s="22">
        <v>1280</v>
      </c>
      <c r="L3133" t="s">
        <v>794</v>
      </c>
      <c r="M3133">
        <f t="shared" si="48"/>
        <v>2025</v>
      </c>
    </row>
    <row r="3134" spans="1:13" ht="12.75" hidden="1" customHeight="1">
      <c r="A3134" t="s">
        <v>875</v>
      </c>
      <c r="B3134" t="s">
        <v>115</v>
      </c>
      <c r="C3134" t="s">
        <v>201</v>
      </c>
      <c r="D3134" t="s">
        <v>1338</v>
      </c>
      <c r="E3134" s="17">
        <v>45971</v>
      </c>
      <c r="F3134" s="17">
        <v>45971</v>
      </c>
      <c r="G3134" s="13">
        <v>160</v>
      </c>
      <c r="H3134" s="14">
        <v>0</v>
      </c>
      <c r="I3134" s="14">
        <v>0</v>
      </c>
      <c r="J3134" s="14">
        <v>0</v>
      </c>
      <c r="K3134" s="22">
        <v>160</v>
      </c>
      <c r="L3134" t="s">
        <v>794</v>
      </c>
      <c r="M3134">
        <f t="shared" si="48"/>
        <v>2025</v>
      </c>
    </row>
    <row r="3135" spans="1:13" ht="12.75" hidden="1" customHeight="1">
      <c r="A3135" t="s">
        <v>1045</v>
      </c>
      <c r="B3135" t="s">
        <v>71</v>
      </c>
      <c r="C3135" t="s">
        <v>201</v>
      </c>
      <c r="D3135" t="s">
        <v>1338</v>
      </c>
      <c r="E3135" s="17">
        <v>45971</v>
      </c>
      <c r="F3135" s="17">
        <v>45971</v>
      </c>
      <c r="G3135" s="13">
        <v>1440</v>
      </c>
      <c r="H3135" s="14">
        <v>0</v>
      </c>
      <c r="I3135" s="14">
        <v>0</v>
      </c>
      <c r="J3135" s="14">
        <v>0</v>
      </c>
      <c r="K3135" s="22">
        <v>1440</v>
      </c>
      <c r="L3135" t="s">
        <v>794</v>
      </c>
      <c r="M3135">
        <f t="shared" si="48"/>
        <v>2025</v>
      </c>
    </row>
    <row r="3136" spans="1:13" ht="12.75" hidden="1" customHeight="1">
      <c r="A3136" t="s">
        <v>1011</v>
      </c>
      <c r="B3136" t="s">
        <v>77</v>
      </c>
      <c r="C3136" t="s">
        <v>201</v>
      </c>
      <c r="D3136" t="s">
        <v>1338</v>
      </c>
      <c r="E3136" s="17">
        <v>45971</v>
      </c>
      <c r="F3136" s="17">
        <v>45971</v>
      </c>
      <c r="G3136" s="13">
        <v>1440</v>
      </c>
      <c r="H3136" s="14">
        <v>0</v>
      </c>
      <c r="I3136" s="14">
        <v>0</v>
      </c>
      <c r="J3136" s="14">
        <v>0</v>
      </c>
      <c r="K3136" s="22">
        <v>1440</v>
      </c>
      <c r="L3136" t="s">
        <v>794</v>
      </c>
      <c r="M3136">
        <f t="shared" si="48"/>
        <v>2025</v>
      </c>
    </row>
    <row r="3137" spans="1:13" ht="12.75" hidden="1" customHeight="1">
      <c r="A3137" t="s">
        <v>882</v>
      </c>
      <c r="B3137" t="s">
        <v>34</v>
      </c>
      <c r="C3137" t="s">
        <v>201</v>
      </c>
      <c r="D3137" t="s">
        <v>1338</v>
      </c>
      <c r="E3137" s="17">
        <v>45971</v>
      </c>
      <c r="F3137" s="17">
        <v>45971</v>
      </c>
      <c r="G3137" s="13">
        <v>240</v>
      </c>
      <c r="H3137" s="14">
        <v>0</v>
      </c>
      <c r="I3137" s="14">
        <v>0</v>
      </c>
      <c r="J3137" s="14">
        <v>0</v>
      </c>
      <c r="K3137" s="22">
        <v>240</v>
      </c>
      <c r="L3137" t="s">
        <v>794</v>
      </c>
      <c r="M3137">
        <f t="shared" si="48"/>
        <v>2025</v>
      </c>
    </row>
    <row r="3138" spans="1:13" ht="12.75" hidden="1" customHeight="1">
      <c r="A3138" t="s">
        <v>801</v>
      </c>
      <c r="B3138" t="s">
        <v>13</v>
      </c>
      <c r="C3138" t="s">
        <v>726</v>
      </c>
      <c r="D3138" t="s">
        <v>1338</v>
      </c>
      <c r="E3138" s="17">
        <v>45971</v>
      </c>
      <c r="F3138" s="17">
        <v>45971</v>
      </c>
      <c r="G3138" s="13">
        <v>63.24</v>
      </c>
      <c r="H3138" s="14">
        <v>0</v>
      </c>
      <c r="I3138" s="14">
        <v>0</v>
      </c>
      <c r="J3138" s="14">
        <v>0</v>
      </c>
      <c r="K3138" s="22">
        <v>63.24</v>
      </c>
      <c r="L3138" t="s">
        <v>794</v>
      </c>
      <c r="M3138">
        <f t="shared" si="48"/>
        <v>2025</v>
      </c>
    </row>
    <row r="3139" spans="1:13" ht="12.75" hidden="1" customHeight="1">
      <c r="A3139" t="s">
        <v>1216</v>
      </c>
      <c r="B3139" t="s">
        <v>109</v>
      </c>
      <c r="C3139" t="s">
        <v>201</v>
      </c>
      <c r="D3139" t="s">
        <v>1338</v>
      </c>
      <c r="E3139" s="17">
        <v>45971</v>
      </c>
      <c r="F3139" s="17">
        <v>45971</v>
      </c>
      <c r="G3139" s="13">
        <v>800</v>
      </c>
      <c r="H3139" s="14">
        <v>0</v>
      </c>
      <c r="I3139" s="14">
        <v>0</v>
      </c>
      <c r="J3139" s="14">
        <v>0</v>
      </c>
      <c r="K3139" s="22">
        <v>800</v>
      </c>
      <c r="L3139" t="s">
        <v>794</v>
      </c>
      <c r="M3139">
        <f t="shared" ref="M3139:M3202" si="49">YEAR(F3139)</f>
        <v>2025</v>
      </c>
    </row>
    <row r="3140" spans="1:13" ht="12.75" hidden="1" customHeight="1">
      <c r="A3140" t="s">
        <v>1158</v>
      </c>
      <c r="B3140" t="s">
        <v>60</v>
      </c>
      <c r="C3140" t="s">
        <v>201</v>
      </c>
      <c r="D3140" t="s">
        <v>1338</v>
      </c>
      <c r="E3140" s="17">
        <v>45971</v>
      </c>
      <c r="F3140" s="17">
        <v>45971</v>
      </c>
      <c r="G3140" s="13">
        <v>80</v>
      </c>
      <c r="H3140" s="14">
        <v>0</v>
      </c>
      <c r="I3140" s="14">
        <v>0</v>
      </c>
      <c r="J3140" s="14">
        <v>0</v>
      </c>
      <c r="K3140" s="22">
        <v>80</v>
      </c>
      <c r="L3140" t="s">
        <v>794</v>
      </c>
      <c r="M3140">
        <f t="shared" si="49"/>
        <v>2025</v>
      </c>
    </row>
    <row r="3141" spans="1:13" ht="12.75" hidden="1" customHeight="1">
      <c r="A3141" t="s">
        <v>1215</v>
      </c>
      <c r="B3141" t="s">
        <v>172</v>
      </c>
      <c r="C3141" t="s">
        <v>201</v>
      </c>
      <c r="D3141" t="s">
        <v>1338</v>
      </c>
      <c r="E3141" s="17">
        <v>45971</v>
      </c>
      <c r="F3141" s="17">
        <v>45971</v>
      </c>
      <c r="G3141" s="13">
        <v>640</v>
      </c>
      <c r="H3141" s="14">
        <v>0</v>
      </c>
      <c r="I3141" s="14">
        <v>0</v>
      </c>
      <c r="J3141" s="14">
        <v>0</v>
      </c>
      <c r="K3141" s="22">
        <v>640</v>
      </c>
      <c r="L3141" t="s">
        <v>794</v>
      </c>
      <c r="M3141">
        <f t="shared" si="49"/>
        <v>2025</v>
      </c>
    </row>
    <row r="3142" spans="1:13" ht="12.75" hidden="1" customHeight="1">
      <c r="A3142" t="s">
        <v>864</v>
      </c>
      <c r="B3142" t="s">
        <v>36</v>
      </c>
      <c r="C3142" t="s">
        <v>201</v>
      </c>
      <c r="D3142" t="s">
        <v>1338</v>
      </c>
      <c r="E3142" s="17">
        <v>45971</v>
      </c>
      <c r="F3142" s="17">
        <v>45971</v>
      </c>
      <c r="G3142" s="13">
        <v>3600</v>
      </c>
      <c r="H3142" s="14">
        <v>0</v>
      </c>
      <c r="I3142" s="14">
        <v>0</v>
      </c>
      <c r="J3142" s="14">
        <v>0</v>
      </c>
      <c r="K3142" s="22">
        <v>3600</v>
      </c>
      <c r="L3142" t="s">
        <v>794</v>
      </c>
      <c r="M3142">
        <f t="shared" si="49"/>
        <v>2025</v>
      </c>
    </row>
    <row r="3143" spans="1:13" ht="12.75" hidden="1" customHeight="1">
      <c r="A3143" t="s">
        <v>1155</v>
      </c>
      <c r="B3143" t="s">
        <v>88</v>
      </c>
      <c r="C3143" t="s">
        <v>201</v>
      </c>
      <c r="D3143" t="s">
        <v>1338</v>
      </c>
      <c r="E3143" s="17">
        <v>45971</v>
      </c>
      <c r="F3143" s="17">
        <v>45971</v>
      </c>
      <c r="G3143" s="13">
        <v>1520</v>
      </c>
      <c r="H3143" s="14">
        <v>0</v>
      </c>
      <c r="I3143" s="14">
        <v>0</v>
      </c>
      <c r="J3143" s="14">
        <v>0</v>
      </c>
      <c r="K3143" s="22">
        <v>1520</v>
      </c>
      <c r="L3143" t="s">
        <v>794</v>
      </c>
      <c r="M3143">
        <f t="shared" si="49"/>
        <v>2025</v>
      </c>
    </row>
    <row r="3144" spans="1:13" ht="12.75" hidden="1" customHeight="1">
      <c r="A3144" t="s">
        <v>854</v>
      </c>
      <c r="B3144" t="s">
        <v>79</v>
      </c>
      <c r="C3144" t="s">
        <v>201</v>
      </c>
      <c r="D3144" t="s">
        <v>1338</v>
      </c>
      <c r="E3144" s="17">
        <v>45971</v>
      </c>
      <c r="F3144" s="17">
        <v>45971</v>
      </c>
      <c r="G3144" s="13">
        <v>2240</v>
      </c>
      <c r="H3144" s="14">
        <v>0</v>
      </c>
      <c r="I3144" s="14">
        <v>0</v>
      </c>
      <c r="J3144" s="14">
        <v>0</v>
      </c>
      <c r="K3144" s="22">
        <v>2240</v>
      </c>
      <c r="L3144" t="s">
        <v>794</v>
      </c>
      <c r="M3144">
        <f t="shared" si="49"/>
        <v>2025</v>
      </c>
    </row>
    <row r="3145" spans="1:13" ht="12.75" hidden="1" customHeight="1">
      <c r="A3145" t="s">
        <v>1354</v>
      </c>
      <c r="B3145" t="s">
        <v>113</v>
      </c>
      <c r="C3145" t="s">
        <v>201</v>
      </c>
      <c r="D3145" t="s">
        <v>1338</v>
      </c>
      <c r="E3145" s="17">
        <v>45971</v>
      </c>
      <c r="F3145" s="17">
        <v>45971</v>
      </c>
      <c r="G3145" s="13">
        <v>2540</v>
      </c>
      <c r="H3145" s="14">
        <v>0</v>
      </c>
      <c r="I3145" s="14">
        <v>0</v>
      </c>
      <c r="J3145" s="14">
        <v>0</v>
      </c>
      <c r="K3145" s="22">
        <v>2540</v>
      </c>
      <c r="L3145" t="s">
        <v>794</v>
      </c>
      <c r="M3145">
        <f t="shared" si="49"/>
        <v>2025</v>
      </c>
    </row>
    <row r="3146" spans="1:13" ht="12.75" hidden="1" customHeight="1">
      <c r="A3146" t="s">
        <v>1196</v>
      </c>
      <c r="B3146" t="s">
        <v>1197</v>
      </c>
      <c r="C3146" t="s">
        <v>141</v>
      </c>
      <c r="D3146" t="s">
        <v>1338</v>
      </c>
      <c r="E3146" s="17">
        <v>45971</v>
      </c>
      <c r="F3146" s="17">
        <v>45971</v>
      </c>
      <c r="G3146" s="13">
        <v>75</v>
      </c>
      <c r="H3146" s="14">
        <v>0</v>
      </c>
      <c r="I3146" s="14">
        <v>0</v>
      </c>
      <c r="J3146" s="14">
        <v>0</v>
      </c>
      <c r="K3146" s="22">
        <v>75</v>
      </c>
      <c r="L3146" t="s">
        <v>794</v>
      </c>
      <c r="M3146">
        <f t="shared" si="49"/>
        <v>2025</v>
      </c>
    </row>
    <row r="3147" spans="1:13" ht="12.75" hidden="1" customHeight="1">
      <c r="A3147" t="s">
        <v>1094</v>
      </c>
      <c r="B3147" t="s">
        <v>80</v>
      </c>
      <c r="C3147" t="s">
        <v>201</v>
      </c>
      <c r="D3147" t="s">
        <v>1338</v>
      </c>
      <c r="E3147" s="17">
        <v>45971</v>
      </c>
      <c r="F3147" s="17">
        <v>45971</v>
      </c>
      <c r="G3147" s="13">
        <v>540</v>
      </c>
      <c r="H3147" s="14">
        <v>0</v>
      </c>
      <c r="I3147" s="14">
        <v>0</v>
      </c>
      <c r="J3147" s="14">
        <v>0</v>
      </c>
      <c r="K3147" s="22">
        <v>540</v>
      </c>
      <c r="L3147" t="s">
        <v>794</v>
      </c>
      <c r="M3147">
        <f t="shared" si="49"/>
        <v>2025</v>
      </c>
    </row>
    <row r="3148" spans="1:13" ht="12.75" hidden="1" customHeight="1">
      <c r="A3148" t="s">
        <v>812</v>
      </c>
      <c r="B3148" t="s">
        <v>31</v>
      </c>
      <c r="C3148" t="s">
        <v>204</v>
      </c>
      <c r="D3148" t="s">
        <v>1338</v>
      </c>
      <c r="E3148" s="17">
        <v>45971</v>
      </c>
      <c r="F3148" s="17">
        <v>45971</v>
      </c>
      <c r="G3148" s="13">
        <v>7625.6100000000006</v>
      </c>
      <c r="H3148" s="14">
        <v>0</v>
      </c>
      <c r="I3148" s="14">
        <v>0</v>
      </c>
      <c r="J3148" s="14">
        <v>0</v>
      </c>
      <c r="K3148" s="22">
        <v>7625.6100000000006</v>
      </c>
      <c r="L3148" t="s">
        <v>794</v>
      </c>
      <c r="M3148">
        <f t="shared" si="49"/>
        <v>2025</v>
      </c>
    </row>
    <row r="3149" spans="1:13" ht="12.75" hidden="1" customHeight="1">
      <c r="A3149" t="s">
        <v>1202</v>
      </c>
      <c r="B3149" t="s">
        <v>70</v>
      </c>
      <c r="C3149" t="s">
        <v>201</v>
      </c>
      <c r="D3149" t="s">
        <v>1338</v>
      </c>
      <c r="E3149" s="17">
        <v>45971</v>
      </c>
      <c r="F3149" s="17">
        <v>45971</v>
      </c>
      <c r="G3149" s="13">
        <v>1440</v>
      </c>
      <c r="H3149" s="14">
        <v>0</v>
      </c>
      <c r="I3149" s="14">
        <v>0</v>
      </c>
      <c r="J3149" s="14">
        <v>0</v>
      </c>
      <c r="K3149" s="22">
        <v>1440</v>
      </c>
      <c r="L3149" t="s">
        <v>794</v>
      </c>
      <c r="M3149">
        <f t="shared" si="49"/>
        <v>2025</v>
      </c>
    </row>
    <row r="3150" spans="1:13" ht="12.75" hidden="1" customHeight="1">
      <c r="A3150" t="s">
        <v>1287</v>
      </c>
      <c r="B3150" t="s">
        <v>83</v>
      </c>
      <c r="C3150" t="s">
        <v>201</v>
      </c>
      <c r="D3150" t="s">
        <v>1338</v>
      </c>
      <c r="E3150" s="17">
        <v>45971</v>
      </c>
      <c r="F3150" s="17">
        <v>45971</v>
      </c>
      <c r="G3150" s="13">
        <v>3680</v>
      </c>
      <c r="H3150" s="14">
        <v>0</v>
      </c>
      <c r="I3150" s="14">
        <v>0</v>
      </c>
      <c r="J3150" s="14">
        <v>0</v>
      </c>
      <c r="K3150" s="22">
        <v>3680</v>
      </c>
      <c r="L3150" t="s">
        <v>794</v>
      </c>
      <c r="M3150">
        <f t="shared" si="49"/>
        <v>2025</v>
      </c>
    </row>
    <row r="3151" spans="1:13" ht="12.75" hidden="1" customHeight="1">
      <c r="A3151" t="s">
        <v>1199</v>
      </c>
      <c r="B3151" t="s">
        <v>107</v>
      </c>
      <c r="C3151" t="s">
        <v>201</v>
      </c>
      <c r="D3151" t="s">
        <v>1338</v>
      </c>
      <c r="E3151" s="17">
        <v>45971</v>
      </c>
      <c r="F3151" s="17">
        <v>45971</v>
      </c>
      <c r="G3151" s="13">
        <v>1840</v>
      </c>
      <c r="H3151" s="14">
        <v>0</v>
      </c>
      <c r="I3151" s="14">
        <v>0</v>
      </c>
      <c r="J3151" s="14">
        <v>0</v>
      </c>
      <c r="K3151" s="22">
        <v>1840</v>
      </c>
      <c r="L3151" t="s">
        <v>794</v>
      </c>
      <c r="M3151">
        <f t="shared" si="49"/>
        <v>2025</v>
      </c>
    </row>
    <row r="3152" spans="1:13" ht="12.75" hidden="1" customHeight="1">
      <c r="A3152" t="s">
        <v>1134</v>
      </c>
      <c r="B3152" t="s">
        <v>33</v>
      </c>
      <c r="C3152" t="s">
        <v>200</v>
      </c>
      <c r="D3152" t="s">
        <v>1338</v>
      </c>
      <c r="E3152" s="17">
        <v>45972</v>
      </c>
      <c r="F3152" s="17">
        <v>45971</v>
      </c>
      <c r="G3152" s="13">
        <v>2160</v>
      </c>
      <c r="H3152" s="14">
        <v>0</v>
      </c>
      <c r="I3152" s="14">
        <v>0</v>
      </c>
      <c r="J3152" s="14">
        <v>0</v>
      </c>
      <c r="K3152" s="22">
        <v>2160</v>
      </c>
      <c r="L3152" t="s">
        <v>794</v>
      </c>
      <c r="M3152">
        <f t="shared" si="49"/>
        <v>2025</v>
      </c>
    </row>
    <row r="3153" spans="1:13" ht="12.75" hidden="1" customHeight="1">
      <c r="A3153" t="s">
        <v>874</v>
      </c>
      <c r="B3153" t="s">
        <v>116</v>
      </c>
      <c r="C3153" t="s">
        <v>200</v>
      </c>
      <c r="D3153" t="s">
        <v>1338</v>
      </c>
      <c r="E3153" s="17">
        <v>45972</v>
      </c>
      <c r="F3153" s="17">
        <v>45971</v>
      </c>
      <c r="G3153" s="13">
        <v>800</v>
      </c>
      <c r="H3153" s="14">
        <v>0</v>
      </c>
      <c r="I3153" s="14">
        <v>0</v>
      </c>
      <c r="J3153" s="14">
        <v>0</v>
      </c>
      <c r="K3153" s="22">
        <v>800</v>
      </c>
      <c r="L3153" t="s">
        <v>794</v>
      </c>
      <c r="M3153">
        <f t="shared" si="49"/>
        <v>2025</v>
      </c>
    </row>
    <row r="3154" spans="1:13" ht="12.75" hidden="1" customHeight="1">
      <c r="A3154" t="s">
        <v>1355</v>
      </c>
      <c r="B3154" t="s">
        <v>161</v>
      </c>
      <c r="C3154" t="s">
        <v>200</v>
      </c>
      <c r="D3154" t="s">
        <v>1338</v>
      </c>
      <c r="E3154" s="17">
        <v>45972</v>
      </c>
      <c r="F3154" s="17">
        <v>45971</v>
      </c>
      <c r="G3154" s="13">
        <v>1120</v>
      </c>
      <c r="H3154" s="14">
        <v>0</v>
      </c>
      <c r="I3154" s="14">
        <v>0</v>
      </c>
      <c r="J3154" s="14">
        <v>0</v>
      </c>
      <c r="K3154" s="22">
        <v>1120</v>
      </c>
      <c r="L3154" t="s">
        <v>794</v>
      </c>
      <c r="M3154">
        <f t="shared" si="49"/>
        <v>2025</v>
      </c>
    </row>
    <row r="3155" spans="1:13" ht="12.75" hidden="1" customHeight="1">
      <c r="A3155" t="s">
        <v>1176</v>
      </c>
      <c r="B3155" t="s">
        <v>106</v>
      </c>
      <c r="C3155" t="s">
        <v>200</v>
      </c>
      <c r="D3155" t="s">
        <v>1338</v>
      </c>
      <c r="E3155" s="17">
        <v>45972</v>
      </c>
      <c r="F3155" s="17">
        <v>45971</v>
      </c>
      <c r="G3155" s="13">
        <v>1120</v>
      </c>
      <c r="H3155" s="14">
        <v>0</v>
      </c>
      <c r="I3155" s="14">
        <v>0</v>
      </c>
      <c r="J3155" s="14">
        <v>0</v>
      </c>
      <c r="K3155" s="22">
        <v>1120</v>
      </c>
      <c r="L3155" t="s">
        <v>794</v>
      </c>
      <c r="M3155">
        <f t="shared" si="49"/>
        <v>2025</v>
      </c>
    </row>
    <row r="3156" spans="1:13" ht="12.75" hidden="1" customHeight="1">
      <c r="A3156" t="s">
        <v>1170</v>
      </c>
      <c r="B3156" t="s">
        <v>117</v>
      </c>
      <c r="C3156" t="s">
        <v>200</v>
      </c>
      <c r="D3156" t="s">
        <v>1338</v>
      </c>
      <c r="E3156" s="17">
        <v>45972</v>
      </c>
      <c r="F3156" s="17">
        <v>45971</v>
      </c>
      <c r="G3156" s="13">
        <v>1440</v>
      </c>
      <c r="H3156" s="14">
        <v>0</v>
      </c>
      <c r="I3156" s="14">
        <v>0</v>
      </c>
      <c r="J3156" s="14">
        <v>0</v>
      </c>
      <c r="K3156" s="22">
        <v>1440</v>
      </c>
      <c r="L3156" t="s">
        <v>794</v>
      </c>
      <c r="M3156">
        <f t="shared" si="49"/>
        <v>2025</v>
      </c>
    </row>
    <row r="3157" spans="1:13" ht="12.75" hidden="1" customHeight="1">
      <c r="A3157" t="s">
        <v>878</v>
      </c>
      <c r="B3157" t="s">
        <v>32</v>
      </c>
      <c r="C3157" t="s">
        <v>200</v>
      </c>
      <c r="D3157" t="s">
        <v>1338</v>
      </c>
      <c r="E3157" s="17">
        <v>45972</v>
      </c>
      <c r="F3157" s="17">
        <v>45971</v>
      </c>
      <c r="G3157" s="13">
        <v>2720</v>
      </c>
      <c r="H3157" s="14">
        <v>0</v>
      </c>
      <c r="I3157" s="14">
        <v>0</v>
      </c>
      <c r="J3157" s="14">
        <v>0</v>
      </c>
      <c r="K3157" s="22">
        <v>2720</v>
      </c>
      <c r="L3157" t="s">
        <v>794</v>
      </c>
      <c r="M3157">
        <f t="shared" si="49"/>
        <v>2025</v>
      </c>
    </row>
    <row r="3158" spans="1:13" ht="12.75" hidden="1" customHeight="1">
      <c r="A3158" t="s">
        <v>1264</v>
      </c>
      <c r="B3158" t="s">
        <v>344</v>
      </c>
      <c r="C3158" t="s">
        <v>200</v>
      </c>
      <c r="D3158" t="s">
        <v>1338</v>
      </c>
      <c r="E3158" s="17">
        <v>45972</v>
      </c>
      <c r="F3158" s="17">
        <v>45971</v>
      </c>
      <c r="G3158" s="13">
        <v>400</v>
      </c>
      <c r="H3158" s="14">
        <v>0</v>
      </c>
      <c r="I3158" s="14">
        <v>0</v>
      </c>
      <c r="J3158" s="14">
        <v>0</v>
      </c>
      <c r="K3158" s="22">
        <v>400</v>
      </c>
      <c r="L3158" t="s">
        <v>794</v>
      </c>
      <c r="M3158">
        <f t="shared" si="49"/>
        <v>2025</v>
      </c>
    </row>
    <row r="3159" spans="1:13" ht="12.75" hidden="1" customHeight="1">
      <c r="A3159" t="s">
        <v>1158</v>
      </c>
      <c r="B3159" t="s">
        <v>60</v>
      </c>
      <c r="C3159" t="s">
        <v>200</v>
      </c>
      <c r="D3159" t="s">
        <v>1338</v>
      </c>
      <c r="E3159" s="17">
        <v>45972</v>
      </c>
      <c r="F3159" s="17">
        <v>45971</v>
      </c>
      <c r="G3159" s="13">
        <v>2920</v>
      </c>
      <c r="H3159" s="14">
        <v>0</v>
      </c>
      <c r="I3159" s="14">
        <v>0</v>
      </c>
      <c r="J3159" s="14">
        <v>0</v>
      </c>
      <c r="K3159" s="22">
        <v>2920</v>
      </c>
      <c r="L3159" t="s">
        <v>794</v>
      </c>
      <c r="M3159">
        <f t="shared" si="49"/>
        <v>2025</v>
      </c>
    </row>
    <row r="3160" spans="1:13" ht="12.75" hidden="1" customHeight="1">
      <c r="A3160" t="s">
        <v>1216</v>
      </c>
      <c r="B3160" t="s">
        <v>109</v>
      </c>
      <c r="C3160" t="s">
        <v>200</v>
      </c>
      <c r="D3160" t="s">
        <v>1338</v>
      </c>
      <c r="E3160" s="17">
        <v>45972</v>
      </c>
      <c r="F3160" s="17">
        <v>45971</v>
      </c>
      <c r="G3160" s="13">
        <v>1160</v>
      </c>
      <c r="H3160" s="14">
        <v>0</v>
      </c>
      <c r="I3160" s="14">
        <v>0</v>
      </c>
      <c r="J3160" s="14">
        <v>0</v>
      </c>
      <c r="K3160" s="22">
        <v>1160</v>
      </c>
      <c r="L3160" t="s">
        <v>794</v>
      </c>
      <c r="M3160">
        <f t="shared" si="49"/>
        <v>2025</v>
      </c>
    </row>
    <row r="3161" spans="1:13" ht="12.75" hidden="1" customHeight="1">
      <c r="A3161" t="s">
        <v>1308</v>
      </c>
      <c r="B3161" t="s">
        <v>133</v>
      </c>
      <c r="C3161" t="s">
        <v>200</v>
      </c>
      <c r="D3161" t="s">
        <v>1338</v>
      </c>
      <c r="E3161" s="17">
        <v>45972</v>
      </c>
      <c r="F3161" s="17">
        <v>45971</v>
      </c>
      <c r="G3161" s="13">
        <v>880</v>
      </c>
      <c r="H3161" s="14">
        <v>0</v>
      </c>
      <c r="I3161" s="14">
        <v>0</v>
      </c>
      <c r="J3161" s="14">
        <v>0</v>
      </c>
      <c r="K3161" s="22">
        <v>880</v>
      </c>
      <c r="L3161" t="s">
        <v>794</v>
      </c>
      <c r="M3161">
        <f t="shared" si="49"/>
        <v>2025</v>
      </c>
    </row>
    <row r="3162" spans="1:13" ht="12.75" hidden="1" customHeight="1">
      <c r="A3162" t="s">
        <v>1245</v>
      </c>
      <c r="B3162" t="s">
        <v>156</v>
      </c>
      <c r="C3162" t="s">
        <v>200</v>
      </c>
      <c r="D3162" t="s">
        <v>1338</v>
      </c>
      <c r="E3162" s="17">
        <v>45972</v>
      </c>
      <c r="F3162" s="17">
        <v>45971</v>
      </c>
      <c r="G3162" s="13">
        <v>1520</v>
      </c>
      <c r="H3162" s="14">
        <v>0</v>
      </c>
      <c r="I3162" s="14">
        <v>0</v>
      </c>
      <c r="J3162" s="14">
        <v>0</v>
      </c>
      <c r="K3162" s="22">
        <v>1520</v>
      </c>
      <c r="L3162" t="s">
        <v>794</v>
      </c>
      <c r="M3162">
        <f t="shared" si="49"/>
        <v>2025</v>
      </c>
    </row>
    <row r="3163" spans="1:13" ht="12.75" hidden="1" customHeight="1">
      <c r="A3163" t="s">
        <v>1331</v>
      </c>
      <c r="B3163" t="s">
        <v>168</v>
      </c>
      <c r="C3163" t="s">
        <v>200</v>
      </c>
      <c r="D3163" t="s">
        <v>1338</v>
      </c>
      <c r="E3163" s="17">
        <v>45972</v>
      </c>
      <c r="F3163" s="17">
        <v>45971</v>
      </c>
      <c r="G3163" s="13">
        <v>800</v>
      </c>
      <c r="H3163" s="14">
        <v>0</v>
      </c>
      <c r="I3163" s="14">
        <v>0</v>
      </c>
      <c r="J3163" s="14">
        <v>0</v>
      </c>
      <c r="K3163" s="22">
        <v>800</v>
      </c>
      <c r="L3163" t="s">
        <v>794</v>
      </c>
      <c r="M3163">
        <f t="shared" si="49"/>
        <v>2025</v>
      </c>
    </row>
    <row r="3164" spans="1:13" ht="12.75" hidden="1" customHeight="1">
      <c r="A3164" t="s">
        <v>961</v>
      </c>
      <c r="B3164" t="s">
        <v>41</v>
      </c>
      <c r="C3164" t="s">
        <v>200</v>
      </c>
      <c r="D3164" t="s">
        <v>1338</v>
      </c>
      <c r="E3164" s="17">
        <v>45972</v>
      </c>
      <c r="F3164" s="17">
        <v>45971</v>
      </c>
      <c r="G3164" s="13">
        <v>1280</v>
      </c>
      <c r="H3164" s="14">
        <v>0</v>
      </c>
      <c r="I3164" s="14">
        <v>0</v>
      </c>
      <c r="J3164" s="14">
        <v>0</v>
      </c>
      <c r="K3164" s="22">
        <v>1280</v>
      </c>
      <c r="L3164" t="s">
        <v>794</v>
      </c>
      <c r="M3164">
        <f t="shared" si="49"/>
        <v>2025</v>
      </c>
    </row>
    <row r="3165" spans="1:13" ht="12.75" hidden="1" customHeight="1">
      <c r="A3165" t="s">
        <v>1330</v>
      </c>
      <c r="B3165" t="s">
        <v>175</v>
      </c>
      <c r="C3165" t="s">
        <v>200</v>
      </c>
      <c r="D3165" t="s">
        <v>1338</v>
      </c>
      <c r="E3165" s="17">
        <v>45972</v>
      </c>
      <c r="F3165" s="17">
        <v>45971</v>
      </c>
      <c r="G3165" s="13">
        <v>400</v>
      </c>
      <c r="H3165" s="14">
        <v>0</v>
      </c>
      <c r="I3165" s="14">
        <v>0</v>
      </c>
      <c r="J3165" s="14">
        <v>0</v>
      </c>
      <c r="K3165" s="22">
        <v>400</v>
      </c>
      <c r="L3165" t="s">
        <v>794</v>
      </c>
      <c r="M3165">
        <f t="shared" si="49"/>
        <v>2025</v>
      </c>
    </row>
    <row r="3166" spans="1:13" ht="12.75" hidden="1" customHeight="1">
      <c r="A3166" t="s">
        <v>882</v>
      </c>
      <c r="B3166" t="s">
        <v>34</v>
      </c>
      <c r="C3166" t="s">
        <v>200</v>
      </c>
      <c r="D3166" t="s">
        <v>1338</v>
      </c>
      <c r="E3166" s="17">
        <v>45972</v>
      </c>
      <c r="F3166" s="17">
        <v>45971</v>
      </c>
      <c r="G3166" s="13">
        <v>3280</v>
      </c>
      <c r="H3166" s="14">
        <v>0</v>
      </c>
      <c r="I3166" s="14">
        <v>0</v>
      </c>
      <c r="J3166" s="14">
        <v>0</v>
      </c>
      <c r="K3166" s="22">
        <v>3280</v>
      </c>
      <c r="L3166" t="s">
        <v>794</v>
      </c>
      <c r="M3166">
        <f t="shared" si="49"/>
        <v>2025</v>
      </c>
    </row>
    <row r="3167" spans="1:13" ht="12.75" hidden="1" customHeight="1">
      <c r="A3167" t="s">
        <v>855</v>
      </c>
      <c r="B3167" t="s">
        <v>20</v>
      </c>
      <c r="C3167" t="s">
        <v>200</v>
      </c>
      <c r="D3167" t="s">
        <v>1338</v>
      </c>
      <c r="E3167" s="17">
        <v>45972</v>
      </c>
      <c r="F3167" s="17">
        <v>45971</v>
      </c>
      <c r="G3167" s="13">
        <v>1360</v>
      </c>
      <c r="H3167" s="14">
        <v>0</v>
      </c>
      <c r="I3167" s="14">
        <v>0</v>
      </c>
      <c r="J3167" s="14">
        <v>0</v>
      </c>
      <c r="K3167" s="22">
        <v>1360</v>
      </c>
      <c r="L3167" t="s">
        <v>794</v>
      </c>
      <c r="M3167">
        <f t="shared" si="49"/>
        <v>2025</v>
      </c>
    </row>
    <row r="3168" spans="1:13" ht="12.75" hidden="1" customHeight="1">
      <c r="A3168" t="s">
        <v>1215</v>
      </c>
      <c r="B3168" t="s">
        <v>172</v>
      </c>
      <c r="C3168" t="s">
        <v>200</v>
      </c>
      <c r="D3168" t="s">
        <v>1338</v>
      </c>
      <c r="E3168" s="17">
        <v>45972</v>
      </c>
      <c r="F3168" s="17">
        <v>45971</v>
      </c>
      <c r="G3168" s="13">
        <v>720</v>
      </c>
      <c r="H3168" s="14">
        <v>0</v>
      </c>
      <c r="I3168" s="14">
        <v>0</v>
      </c>
      <c r="J3168" s="14">
        <v>0</v>
      </c>
      <c r="K3168" s="22">
        <v>720</v>
      </c>
      <c r="L3168" t="s">
        <v>794</v>
      </c>
      <c r="M3168">
        <f t="shared" si="49"/>
        <v>2025</v>
      </c>
    </row>
    <row r="3169" spans="1:13" ht="12.75" hidden="1" customHeight="1">
      <c r="A3169" t="s">
        <v>878</v>
      </c>
      <c r="B3169" t="s">
        <v>32</v>
      </c>
      <c r="C3169" t="s">
        <v>721</v>
      </c>
      <c r="D3169" t="s">
        <v>1338</v>
      </c>
      <c r="E3169" s="17">
        <v>45971</v>
      </c>
      <c r="F3169" s="17">
        <v>45971</v>
      </c>
      <c r="G3169" s="13">
        <v>1360</v>
      </c>
      <c r="H3169" s="14">
        <v>0</v>
      </c>
      <c r="I3169" s="14">
        <v>0</v>
      </c>
      <c r="J3169" s="14">
        <v>0</v>
      </c>
      <c r="K3169" s="22">
        <v>1360</v>
      </c>
      <c r="L3169" t="s">
        <v>794</v>
      </c>
      <c r="M3169">
        <f t="shared" si="49"/>
        <v>2025</v>
      </c>
    </row>
    <row r="3170" spans="1:13" ht="12.75" hidden="1" customHeight="1">
      <c r="A3170" t="s">
        <v>1317</v>
      </c>
      <c r="B3170" t="s">
        <v>64</v>
      </c>
      <c r="C3170" t="s">
        <v>141</v>
      </c>
      <c r="D3170" t="s">
        <v>1338</v>
      </c>
      <c r="E3170" s="17">
        <v>45971</v>
      </c>
      <c r="F3170" s="17">
        <v>45971</v>
      </c>
      <c r="G3170" s="13">
        <v>280</v>
      </c>
      <c r="H3170" s="14">
        <v>0</v>
      </c>
      <c r="I3170" s="14">
        <v>0</v>
      </c>
      <c r="J3170" s="14">
        <v>0</v>
      </c>
      <c r="K3170" s="22">
        <v>280</v>
      </c>
      <c r="L3170" t="s">
        <v>794</v>
      </c>
      <c r="M3170">
        <f t="shared" si="49"/>
        <v>2025</v>
      </c>
    </row>
    <row r="3171" spans="1:13" ht="12.75" hidden="1" customHeight="1">
      <c r="A3171" t="s">
        <v>826</v>
      </c>
      <c r="B3171" t="s">
        <v>21</v>
      </c>
      <c r="C3171" t="s">
        <v>141</v>
      </c>
      <c r="D3171" t="s">
        <v>1338</v>
      </c>
      <c r="E3171" s="17">
        <v>45971</v>
      </c>
      <c r="F3171" s="17">
        <v>45971</v>
      </c>
      <c r="G3171" s="13">
        <v>1830</v>
      </c>
      <c r="H3171" s="14">
        <v>0</v>
      </c>
      <c r="I3171" s="14">
        <v>0</v>
      </c>
      <c r="J3171" s="14">
        <v>0</v>
      </c>
      <c r="K3171" s="22">
        <v>1830</v>
      </c>
      <c r="L3171" t="s">
        <v>794</v>
      </c>
      <c r="M3171">
        <f t="shared" si="49"/>
        <v>2025</v>
      </c>
    </row>
    <row r="3172" spans="1:13" ht="12.75" hidden="1" customHeight="1">
      <c r="A3172" t="s">
        <v>1288</v>
      </c>
      <c r="B3172" t="s">
        <v>300</v>
      </c>
      <c r="C3172" t="s">
        <v>200</v>
      </c>
      <c r="D3172" t="s">
        <v>1338</v>
      </c>
      <c r="E3172" s="17">
        <v>45972</v>
      </c>
      <c r="F3172" s="17">
        <v>45971</v>
      </c>
      <c r="G3172" s="13">
        <v>240</v>
      </c>
      <c r="H3172" s="14">
        <v>0</v>
      </c>
      <c r="I3172" s="14">
        <v>0</v>
      </c>
      <c r="J3172" s="14">
        <v>0</v>
      </c>
      <c r="K3172" s="22">
        <v>240</v>
      </c>
      <c r="L3172" t="s">
        <v>794</v>
      </c>
      <c r="M3172">
        <f t="shared" si="49"/>
        <v>2025</v>
      </c>
    </row>
    <row r="3173" spans="1:13" ht="12.75" hidden="1" customHeight="1">
      <c r="A3173" t="s">
        <v>1354</v>
      </c>
      <c r="B3173" t="s">
        <v>113</v>
      </c>
      <c r="C3173" t="s">
        <v>200</v>
      </c>
      <c r="D3173" t="s">
        <v>1338</v>
      </c>
      <c r="E3173" s="17">
        <v>45972</v>
      </c>
      <c r="F3173" s="17">
        <v>45971</v>
      </c>
      <c r="G3173" s="13">
        <v>320</v>
      </c>
      <c r="H3173" s="14">
        <v>0</v>
      </c>
      <c r="I3173" s="14">
        <v>0</v>
      </c>
      <c r="J3173" s="14">
        <v>0</v>
      </c>
      <c r="K3173" s="22">
        <v>320</v>
      </c>
      <c r="L3173" t="s">
        <v>794</v>
      </c>
      <c r="M3173">
        <f t="shared" si="49"/>
        <v>2025</v>
      </c>
    </row>
    <row r="3174" spans="1:13" ht="12.75" hidden="1" customHeight="1">
      <c r="A3174" t="s">
        <v>957</v>
      </c>
      <c r="B3174" t="s">
        <v>236</v>
      </c>
      <c r="C3174" t="s">
        <v>141</v>
      </c>
      <c r="D3174" t="s">
        <v>1338</v>
      </c>
      <c r="E3174" s="17">
        <v>45971</v>
      </c>
      <c r="F3174" s="17">
        <v>45971</v>
      </c>
      <c r="G3174" s="13">
        <v>6</v>
      </c>
      <c r="H3174" s="14">
        <v>0</v>
      </c>
      <c r="I3174" s="14">
        <v>0</v>
      </c>
      <c r="J3174" s="14">
        <v>0</v>
      </c>
      <c r="K3174" s="22">
        <v>6</v>
      </c>
      <c r="L3174" t="s">
        <v>794</v>
      </c>
      <c r="M3174">
        <f t="shared" si="49"/>
        <v>2025</v>
      </c>
    </row>
    <row r="3175" spans="1:13" ht="12.75" hidden="1" customHeight="1">
      <c r="A3175" t="s">
        <v>818</v>
      </c>
      <c r="B3175" t="s">
        <v>30</v>
      </c>
      <c r="C3175" t="s">
        <v>141</v>
      </c>
      <c r="D3175" t="s">
        <v>1338</v>
      </c>
      <c r="E3175" s="17">
        <v>45971</v>
      </c>
      <c r="F3175" s="17">
        <v>45971</v>
      </c>
      <c r="G3175" s="13">
        <v>6</v>
      </c>
      <c r="H3175" s="14">
        <v>0</v>
      </c>
      <c r="I3175" s="14">
        <v>0</v>
      </c>
      <c r="J3175" s="14">
        <v>0</v>
      </c>
      <c r="K3175" s="22">
        <v>6</v>
      </c>
      <c r="L3175" t="s">
        <v>794</v>
      </c>
      <c r="M3175">
        <f t="shared" si="49"/>
        <v>2025</v>
      </c>
    </row>
    <row r="3176" spans="1:13" ht="12.75" hidden="1" customHeight="1">
      <c r="A3176" t="s">
        <v>810</v>
      </c>
      <c r="B3176" t="s">
        <v>54</v>
      </c>
      <c r="C3176" t="s">
        <v>141</v>
      </c>
      <c r="D3176" t="s">
        <v>1338</v>
      </c>
      <c r="E3176" s="17">
        <v>45971</v>
      </c>
      <c r="F3176" s="17">
        <v>45971</v>
      </c>
      <c r="G3176" s="13">
        <v>40</v>
      </c>
      <c r="H3176" s="14">
        <v>0</v>
      </c>
      <c r="I3176" s="14">
        <v>0</v>
      </c>
      <c r="J3176" s="14">
        <v>0</v>
      </c>
      <c r="K3176" s="22">
        <v>40</v>
      </c>
      <c r="L3176" t="s">
        <v>794</v>
      </c>
      <c r="M3176">
        <f t="shared" si="49"/>
        <v>2025</v>
      </c>
    </row>
    <row r="3177" spans="1:13" ht="12.75" hidden="1" customHeight="1">
      <c r="A3177" t="s">
        <v>1356</v>
      </c>
      <c r="B3177" t="s">
        <v>20</v>
      </c>
      <c r="C3177" t="s">
        <v>721</v>
      </c>
      <c r="D3177" t="s">
        <v>1338</v>
      </c>
      <c r="E3177" s="17">
        <v>45967</v>
      </c>
      <c r="F3177" s="17">
        <v>45972</v>
      </c>
      <c r="G3177" s="13">
        <v>5000</v>
      </c>
      <c r="H3177" s="14">
        <v>0</v>
      </c>
      <c r="I3177" s="14">
        <v>0</v>
      </c>
      <c r="J3177" s="14">
        <v>0</v>
      </c>
      <c r="K3177" s="22">
        <v>5000</v>
      </c>
      <c r="L3177" t="s">
        <v>794</v>
      </c>
      <c r="M3177">
        <f t="shared" si="49"/>
        <v>2025</v>
      </c>
    </row>
    <row r="3178" spans="1:13" ht="12.75" hidden="1" customHeight="1">
      <c r="A3178" t="s">
        <v>1356</v>
      </c>
      <c r="B3178" t="s">
        <v>20</v>
      </c>
      <c r="C3178" t="s">
        <v>721</v>
      </c>
      <c r="D3178" t="s">
        <v>1338</v>
      </c>
      <c r="E3178" s="17">
        <v>45967</v>
      </c>
      <c r="F3178" s="17">
        <v>45972</v>
      </c>
      <c r="G3178" s="13">
        <v>1000</v>
      </c>
      <c r="H3178" s="14">
        <v>0</v>
      </c>
      <c r="I3178" s="14">
        <v>0</v>
      </c>
      <c r="J3178" s="14">
        <v>0</v>
      </c>
      <c r="K3178" s="22">
        <v>1000</v>
      </c>
      <c r="L3178" t="s">
        <v>794</v>
      </c>
      <c r="M3178">
        <f t="shared" si="49"/>
        <v>2025</v>
      </c>
    </row>
    <row r="3179" spans="1:13" ht="12.75" hidden="1" customHeight="1">
      <c r="A3179" t="s">
        <v>1009</v>
      </c>
      <c r="B3179" t="s">
        <v>62</v>
      </c>
      <c r="C3179" t="s">
        <v>137</v>
      </c>
      <c r="D3179" t="s">
        <v>1338</v>
      </c>
      <c r="E3179" s="17">
        <v>45967</v>
      </c>
      <c r="F3179" s="17">
        <v>45972</v>
      </c>
      <c r="G3179" s="13">
        <v>1212</v>
      </c>
      <c r="H3179" s="14">
        <v>0</v>
      </c>
      <c r="I3179" s="14">
        <v>0</v>
      </c>
      <c r="J3179" s="14">
        <v>0</v>
      </c>
      <c r="K3179" s="22">
        <v>1212</v>
      </c>
      <c r="L3179" t="s">
        <v>794</v>
      </c>
      <c r="M3179">
        <f t="shared" si="49"/>
        <v>2025</v>
      </c>
    </row>
    <row r="3180" spans="1:13" ht="12.75" hidden="1" customHeight="1">
      <c r="A3180" t="s">
        <v>819</v>
      </c>
      <c r="B3180" t="s">
        <v>38</v>
      </c>
      <c r="C3180" t="s">
        <v>137</v>
      </c>
      <c r="D3180" t="s">
        <v>1338</v>
      </c>
      <c r="E3180" s="17">
        <v>45967</v>
      </c>
      <c r="F3180" s="17">
        <v>45972</v>
      </c>
      <c r="G3180" s="13">
        <v>1636</v>
      </c>
      <c r="H3180" s="14">
        <v>0</v>
      </c>
      <c r="I3180" s="14">
        <v>0</v>
      </c>
      <c r="J3180" s="14">
        <v>0</v>
      </c>
      <c r="K3180" s="22">
        <v>1636</v>
      </c>
      <c r="L3180" t="s">
        <v>794</v>
      </c>
      <c r="M3180">
        <f t="shared" si="49"/>
        <v>2025</v>
      </c>
    </row>
    <row r="3181" spans="1:13" ht="12.75" hidden="1" customHeight="1">
      <c r="A3181" t="s">
        <v>836</v>
      </c>
      <c r="B3181" t="s">
        <v>37</v>
      </c>
      <c r="C3181" t="s">
        <v>137</v>
      </c>
      <c r="D3181" t="s">
        <v>1338</v>
      </c>
      <c r="E3181" s="17">
        <v>45967</v>
      </c>
      <c r="F3181" s="17">
        <v>45972</v>
      </c>
      <c r="G3181" s="13">
        <v>1572</v>
      </c>
      <c r="H3181" s="14">
        <v>0</v>
      </c>
      <c r="I3181" s="14">
        <v>0</v>
      </c>
      <c r="J3181" s="14">
        <v>0</v>
      </c>
      <c r="K3181" s="22">
        <v>1572</v>
      </c>
      <c r="L3181" t="s">
        <v>794</v>
      </c>
      <c r="M3181">
        <f t="shared" si="49"/>
        <v>2025</v>
      </c>
    </row>
    <row r="3182" spans="1:13" ht="12.75" hidden="1" customHeight="1">
      <c r="A3182" t="s">
        <v>948</v>
      </c>
      <c r="B3182" t="s">
        <v>89</v>
      </c>
      <c r="C3182" t="s">
        <v>742</v>
      </c>
      <c r="D3182" t="s">
        <v>1338</v>
      </c>
      <c r="E3182" s="17">
        <v>45972</v>
      </c>
      <c r="F3182" s="17">
        <v>45972</v>
      </c>
      <c r="G3182" s="13">
        <v>666</v>
      </c>
      <c r="H3182" s="14">
        <v>0</v>
      </c>
      <c r="I3182" s="14">
        <v>0</v>
      </c>
      <c r="J3182" s="14">
        <v>0</v>
      </c>
      <c r="K3182" s="22">
        <v>666</v>
      </c>
      <c r="L3182" t="s">
        <v>794</v>
      </c>
      <c r="M3182">
        <f t="shared" si="49"/>
        <v>2025</v>
      </c>
    </row>
    <row r="3183" spans="1:13" ht="12.75" hidden="1" customHeight="1">
      <c r="A3183" t="s">
        <v>801</v>
      </c>
      <c r="B3183" t="s">
        <v>13</v>
      </c>
      <c r="C3183" t="s">
        <v>726</v>
      </c>
      <c r="D3183" t="s">
        <v>1338</v>
      </c>
      <c r="E3183" s="17">
        <v>45972</v>
      </c>
      <c r="F3183" s="17">
        <v>45972</v>
      </c>
      <c r="G3183" s="13">
        <v>14.280000000000001</v>
      </c>
      <c r="H3183" s="14">
        <v>0</v>
      </c>
      <c r="I3183" s="14">
        <v>0</v>
      </c>
      <c r="J3183" s="14">
        <v>0</v>
      </c>
      <c r="K3183" s="22">
        <v>14.280000000000001</v>
      </c>
      <c r="L3183" t="s">
        <v>794</v>
      </c>
      <c r="M3183">
        <f t="shared" si="49"/>
        <v>2025</v>
      </c>
    </row>
    <row r="3184" spans="1:13" ht="12.75" hidden="1" customHeight="1">
      <c r="A3184" t="s">
        <v>1104</v>
      </c>
      <c r="B3184" t="s">
        <v>53</v>
      </c>
      <c r="C3184" t="s">
        <v>458</v>
      </c>
      <c r="D3184" t="s">
        <v>1338</v>
      </c>
      <c r="E3184" s="17">
        <v>45972</v>
      </c>
      <c r="F3184" s="17">
        <v>45972</v>
      </c>
      <c r="G3184" s="13">
        <v>119.03</v>
      </c>
      <c r="H3184" s="14">
        <v>0</v>
      </c>
      <c r="I3184" s="14">
        <v>0</v>
      </c>
      <c r="J3184" s="14">
        <v>0</v>
      </c>
      <c r="K3184" s="22">
        <v>119.03</v>
      </c>
      <c r="L3184" t="s">
        <v>794</v>
      </c>
      <c r="M3184">
        <f t="shared" si="49"/>
        <v>2025</v>
      </c>
    </row>
    <row r="3185" spans="1:13" ht="12.75" hidden="1" customHeight="1">
      <c r="A3185" t="s">
        <v>848</v>
      </c>
      <c r="B3185" t="s">
        <v>14</v>
      </c>
      <c r="C3185" t="s">
        <v>714</v>
      </c>
      <c r="D3185" t="s">
        <v>1338</v>
      </c>
      <c r="E3185" s="17">
        <v>45971</v>
      </c>
      <c r="F3185" s="17">
        <v>45972</v>
      </c>
      <c r="G3185" s="13">
        <v>29955.31</v>
      </c>
      <c r="H3185" s="14">
        <v>0</v>
      </c>
      <c r="I3185" s="14">
        <v>0</v>
      </c>
      <c r="J3185" s="14">
        <v>0</v>
      </c>
      <c r="K3185" s="22">
        <v>29955.31</v>
      </c>
      <c r="L3185" t="s">
        <v>794</v>
      </c>
      <c r="M3185">
        <f t="shared" si="49"/>
        <v>2025</v>
      </c>
    </row>
    <row r="3186" spans="1:13" ht="12.75" hidden="1" customHeight="1">
      <c r="A3186" t="s">
        <v>995</v>
      </c>
      <c r="B3186" t="s">
        <v>122</v>
      </c>
      <c r="C3186" t="s">
        <v>735</v>
      </c>
      <c r="D3186" t="s">
        <v>1338</v>
      </c>
      <c r="E3186" s="17">
        <v>45971</v>
      </c>
      <c r="F3186" s="17">
        <v>45972</v>
      </c>
      <c r="G3186" s="13">
        <v>605</v>
      </c>
      <c r="H3186" s="14">
        <v>0</v>
      </c>
      <c r="I3186" s="14">
        <v>0</v>
      </c>
      <c r="J3186" s="14">
        <v>0</v>
      </c>
      <c r="K3186" s="22">
        <v>605</v>
      </c>
      <c r="L3186" t="s">
        <v>794</v>
      </c>
      <c r="M3186">
        <f t="shared" si="49"/>
        <v>2025</v>
      </c>
    </row>
    <row r="3187" spans="1:13" ht="12.75" hidden="1" customHeight="1">
      <c r="A3187" t="s">
        <v>1248</v>
      </c>
      <c r="B3187" t="s">
        <v>111</v>
      </c>
      <c r="C3187" t="s">
        <v>183</v>
      </c>
      <c r="D3187" t="s">
        <v>1338</v>
      </c>
      <c r="E3187" s="17">
        <v>45971</v>
      </c>
      <c r="F3187" s="17">
        <v>45972</v>
      </c>
      <c r="G3187" s="13">
        <v>997.5</v>
      </c>
      <c r="H3187" s="14">
        <v>0</v>
      </c>
      <c r="I3187" s="14">
        <v>0</v>
      </c>
      <c r="J3187" s="14">
        <v>0</v>
      </c>
      <c r="K3187" s="22">
        <v>997.5</v>
      </c>
      <c r="L3187" t="s">
        <v>794</v>
      </c>
      <c r="M3187">
        <f t="shared" si="49"/>
        <v>2025</v>
      </c>
    </row>
    <row r="3188" spans="1:13" ht="12.75" hidden="1" customHeight="1">
      <c r="A3188" t="s">
        <v>847</v>
      </c>
      <c r="B3188" t="s">
        <v>169</v>
      </c>
      <c r="C3188" t="s">
        <v>722</v>
      </c>
      <c r="D3188" t="s">
        <v>1338</v>
      </c>
      <c r="E3188" s="17">
        <v>45971</v>
      </c>
      <c r="F3188" s="17">
        <v>45972</v>
      </c>
      <c r="G3188" s="13">
        <v>276.60000000000002</v>
      </c>
      <c r="H3188" s="14">
        <v>0</v>
      </c>
      <c r="I3188" s="14">
        <v>0</v>
      </c>
      <c r="J3188" s="14">
        <v>0</v>
      </c>
      <c r="K3188" s="22">
        <v>276.60000000000002</v>
      </c>
      <c r="L3188" t="s">
        <v>794</v>
      </c>
      <c r="M3188">
        <f t="shared" si="49"/>
        <v>2025</v>
      </c>
    </row>
    <row r="3189" spans="1:13" ht="12.75" hidden="1" customHeight="1">
      <c r="A3189" t="s">
        <v>1222</v>
      </c>
      <c r="B3189" t="s">
        <v>176</v>
      </c>
      <c r="C3189" t="s">
        <v>723</v>
      </c>
      <c r="D3189" t="s">
        <v>1338</v>
      </c>
      <c r="E3189" s="17">
        <v>45971</v>
      </c>
      <c r="F3189" s="17">
        <v>45972</v>
      </c>
      <c r="G3189" s="13">
        <v>475.32</v>
      </c>
      <c r="H3189" s="14">
        <v>0</v>
      </c>
      <c r="I3189" s="14">
        <v>0</v>
      </c>
      <c r="J3189" s="14">
        <v>0</v>
      </c>
      <c r="K3189" s="22">
        <v>475.32</v>
      </c>
      <c r="L3189" t="s">
        <v>794</v>
      </c>
      <c r="M3189">
        <f t="shared" si="49"/>
        <v>2025</v>
      </c>
    </row>
    <row r="3190" spans="1:13" ht="12.75" hidden="1" customHeight="1">
      <c r="A3190" t="s">
        <v>879</v>
      </c>
      <c r="B3190" t="s">
        <v>23</v>
      </c>
      <c r="C3190" t="s">
        <v>713</v>
      </c>
      <c r="D3190" t="s">
        <v>1338</v>
      </c>
      <c r="E3190" s="17">
        <v>45971</v>
      </c>
      <c r="F3190" s="17">
        <v>45972</v>
      </c>
      <c r="G3190" s="13">
        <v>1259.83</v>
      </c>
      <c r="H3190" s="14">
        <v>0</v>
      </c>
      <c r="I3190" s="14">
        <v>0</v>
      </c>
      <c r="J3190" s="14">
        <v>0</v>
      </c>
      <c r="K3190" s="22">
        <v>1259.83</v>
      </c>
      <c r="L3190" t="s">
        <v>794</v>
      </c>
      <c r="M3190">
        <f t="shared" si="49"/>
        <v>2025</v>
      </c>
    </row>
    <row r="3191" spans="1:13" ht="12.75" hidden="1" customHeight="1">
      <c r="A3191" t="s">
        <v>844</v>
      </c>
      <c r="B3191" t="s">
        <v>18</v>
      </c>
      <c r="C3191" t="s">
        <v>719</v>
      </c>
      <c r="D3191" t="s">
        <v>1338</v>
      </c>
      <c r="E3191" s="17">
        <v>45971</v>
      </c>
      <c r="F3191" s="17">
        <v>45972</v>
      </c>
      <c r="G3191" s="13">
        <v>10765.82</v>
      </c>
      <c r="H3191" s="14">
        <v>0</v>
      </c>
      <c r="I3191" s="14">
        <v>0</v>
      </c>
      <c r="J3191" s="14">
        <v>0</v>
      </c>
      <c r="K3191" s="22">
        <v>10765.82</v>
      </c>
      <c r="L3191" t="s">
        <v>794</v>
      </c>
      <c r="M3191">
        <f t="shared" si="49"/>
        <v>2025</v>
      </c>
    </row>
    <row r="3192" spans="1:13" ht="12.75" hidden="1" customHeight="1">
      <c r="A3192" t="s">
        <v>801</v>
      </c>
      <c r="B3192" t="s">
        <v>13</v>
      </c>
      <c r="C3192" t="s">
        <v>717</v>
      </c>
      <c r="D3192" t="s">
        <v>1338</v>
      </c>
      <c r="E3192" s="17">
        <v>45965</v>
      </c>
      <c r="F3192" s="17">
        <v>45972</v>
      </c>
      <c r="G3192" s="13">
        <v>5832</v>
      </c>
      <c r="H3192" s="14">
        <v>0</v>
      </c>
      <c r="I3192" s="14">
        <v>0</v>
      </c>
      <c r="J3192" s="14">
        <v>0</v>
      </c>
      <c r="K3192" s="22">
        <v>5832</v>
      </c>
      <c r="L3192" t="s">
        <v>794</v>
      </c>
      <c r="M3192">
        <f t="shared" si="49"/>
        <v>2025</v>
      </c>
    </row>
    <row r="3193" spans="1:13" ht="12.75" hidden="1" customHeight="1">
      <c r="A3193" t="s">
        <v>801</v>
      </c>
      <c r="B3193" t="s">
        <v>13</v>
      </c>
      <c r="C3193" t="s">
        <v>726</v>
      </c>
      <c r="D3193" t="s">
        <v>1357</v>
      </c>
      <c r="E3193" s="17">
        <v>40858</v>
      </c>
      <c r="F3193" s="17">
        <v>45972</v>
      </c>
      <c r="G3193" s="13">
        <v>40.800000000000004</v>
      </c>
      <c r="H3193" s="14">
        <v>0</v>
      </c>
      <c r="I3193" s="14">
        <v>0</v>
      </c>
      <c r="J3193" s="14">
        <v>0</v>
      </c>
      <c r="K3193" s="22">
        <v>40.800000000000004</v>
      </c>
      <c r="L3193" t="s">
        <v>794</v>
      </c>
      <c r="M3193">
        <f t="shared" si="49"/>
        <v>2025</v>
      </c>
    </row>
    <row r="3194" spans="1:13" ht="12.75" hidden="1" customHeight="1">
      <c r="A3194" t="s">
        <v>1358</v>
      </c>
      <c r="B3194" t="s">
        <v>441</v>
      </c>
      <c r="C3194" t="s">
        <v>99</v>
      </c>
      <c r="D3194" t="s">
        <v>1338</v>
      </c>
      <c r="E3194" s="17">
        <v>45972</v>
      </c>
      <c r="F3194" s="17">
        <v>45972</v>
      </c>
      <c r="G3194" s="13">
        <v>278.11</v>
      </c>
      <c r="H3194" s="14">
        <v>0</v>
      </c>
      <c r="I3194" s="14">
        <v>0</v>
      </c>
      <c r="J3194" s="14">
        <v>0</v>
      </c>
      <c r="K3194" s="22">
        <v>278.11</v>
      </c>
      <c r="L3194" t="s">
        <v>843</v>
      </c>
      <c r="M3194">
        <f t="shared" si="49"/>
        <v>2025</v>
      </c>
    </row>
    <row r="3195" spans="1:13" ht="12.75" hidden="1" customHeight="1">
      <c r="A3195" t="s">
        <v>822</v>
      </c>
      <c r="B3195" t="s">
        <v>101</v>
      </c>
      <c r="C3195" t="s">
        <v>201</v>
      </c>
      <c r="D3195" t="s">
        <v>1338</v>
      </c>
      <c r="E3195" s="17">
        <v>45971</v>
      </c>
      <c r="F3195" s="17">
        <v>45972</v>
      </c>
      <c r="G3195" s="13">
        <v>800</v>
      </c>
      <c r="H3195" s="14">
        <v>0</v>
      </c>
      <c r="I3195" s="14">
        <v>0</v>
      </c>
      <c r="J3195" s="14">
        <v>0</v>
      </c>
      <c r="K3195" s="22">
        <v>800</v>
      </c>
      <c r="L3195" t="s">
        <v>794</v>
      </c>
      <c r="M3195">
        <f t="shared" si="49"/>
        <v>2025</v>
      </c>
    </row>
    <row r="3196" spans="1:13" ht="12.75" hidden="1" customHeight="1">
      <c r="A3196" t="s">
        <v>1246</v>
      </c>
      <c r="B3196" t="s">
        <v>63</v>
      </c>
      <c r="C3196" t="s">
        <v>201</v>
      </c>
      <c r="D3196" t="s">
        <v>1338</v>
      </c>
      <c r="E3196" s="17">
        <v>45971</v>
      </c>
      <c r="F3196" s="17">
        <v>45972</v>
      </c>
      <c r="G3196" s="13">
        <v>100</v>
      </c>
      <c r="H3196" s="14">
        <v>0</v>
      </c>
      <c r="I3196" s="14">
        <v>0</v>
      </c>
      <c r="J3196" s="14">
        <v>0</v>
      </c>
      <c r="K3196" s="22">
        <v>100</v>
      </c>
      <c r="L3196" t="s">
        <v>794</v>
      </c>
      <c r="M3196">
        <f t="shared" si="49"/>
        <v>2025</v>
      </c>
    </row>
    <row r="3197" spans="1:13" ht="12.75" hidden="1" customHeight="1">
      <c r="A3197" t="s">
        <v>1243</v>
      </c>
      <c r="B3197" t="s">
        <v>233</v>
      </c>
      <c r="C3197" t="s">
        <v>200</v>
      </c>
      <c r="D3197" t="s">
        <v>1338</v>
      </c>
      <c r="E3197" s="17">
        <v>45972</v>
      </c>
      <c r="F3197" s="17">
        <v>45972</v>
      </c>
      <c r="G3197" s="13">
        <v>640</v>
      </c>
      <c r="H3197" s="14">
        <v>0</v>
      </c>
      <c r="I3197" s="14">
        <v>0</v>
      </c>
      <c r="J3197" s="14">
        <v>0</v>
      </c>
      <c r="K3197" s="22">
        <v>640</v>
      </c>
      <c r="L3197" t="s">
        <v>794</v>
      </c>
      <c r="M3197">
        <f t="shared" si="49"/>
        <v>2025</v>
      </c>
    </row>
    <row r="3198" spans="1:13" ht="12.75" hidden="1" customHeight="1">
      <c r="A3198" t="s">
        <v>826</v>
      </c>
      <c r="B3198" t="s">
        <v>21</v>
      </c>
      <c r="C3198" t="s">
        <v>141</v>
      </c>
      <c r="D3198" t="s">
        <v>1338</v>
      </c>
      <c r="E3198" s="17">
        <v>45971</v>
      </c>
      <c r="F3198" s="17">
        <v>45972</v>
      </c>
      <c r="G3198" s="13">
        <v>180</v>
      </c>
      <c r="H3198" s="14">
        <v>0</v>
      </c>
      <c r="I3198" s="14">
        <v>0</v>
      </c>
      <c r="J3198" s="14">
        <v>0</v>
      </c>
      <c r="K3198" s="22">
        <v>180</v>
      </c>
      <c r="L3198" t="s">
        <v>794</v>
      </c>
      <c r="M3198">
        <f t="shared" si="49"/>
        <v>2025</v>
      </c>
    </row>
    <row r="3199" spans="1:13" ht="12.75" hidden="1" customHeight="1">
      <c r="A3199" t="s">
        <v>1316</v>
      </c>
      <c r="B3199" t="s">
        <v>59</v>
      </c>
      <c r="C3199" t="s">
        <v>141</v>
      </c>
      <c r="D3199" t="s">
        <v>1338</v>
      </c>
      <c r="E3199" s="17">
        <v>45971</v>
      </c>
      <c r="F3199" s="17">
        <v>45972</v>
      </c>
      <c r="G3199" s="13">
        <v>360</v>
      </c>
      <c r="H3199" s="14">
        <v>0</v>
      </c>
      <c r="I3199" s="14">
        <v>0</v>
      </c>
      <c r="J3199" s="14">
        <v>0</v>
      </c>
      <c r="K3199" s="22">
        <v>360</v>
      </c>
      <c r="L3199" t="s">
        <v>794</v>
      </c>
      <c r="M3199">
        <f t="shared" si="49"/>
        <v>2025</v>
      </c>
    </row>
    <row r="3200" spans="1:13" ht="12.75" hidden="1" customHeight="1">
      <c r="A3200" t="s">
        <v>855</v>
      </c>
      <c r="B3200" t="s">
        <v>20</v>
      </c>
      <c r="C3200" t="s">
        <v>141</v>
      </c>
      <c r="D3200" t="s">
        <v>1338</v>
      </c>
      <c r="E3200" s="17">
        <v>45971</v>
      </c>
      <c r="F3200" s="17">
        <v>45972</v>
      </c>
      <c r="G3200" s="13">
        <v>225</v>
      </c>
      <c r="H3200" s="14">
        <v>0</v>
      </c>
      <c r="I3200" s="14">
        <v>0</v>
      </c>
      <c r="J3200" s="14">
        <v>0</v>
      </c>
      <c r="K3200" s="22">
        <v>225</v>
      </c>
      <c r="L3200" t="s">
        <v>794</v>
      </c>
      <c r="M3200">
        <f t="shared" si="49"/>
        <v>2025</v>
      </c>
    </row>
    <row r="3201" spans="1:13" ht="12.75" hidden="1" customHeight="1">
      <c r="A3201" t="s">
        <v>1173</v>
      </c>
      <c r="B3201" t="s">
        <v>45</v>
      </c>
      <c r="C3201" t="s">
        <v>200</v>
      </c>
      <c r="D3201" t="s">
        <v>1338</v>
      </c>
      <c r="E3201" s="17">
        <v>45972</v>
      </c>
      <c r="F3201" s="17">
        <v>45972</v>
      </c>
      <c r="G3201" s="13">
        <v>1220</v>
      </c>
      <c r="H3201" s="14">
        <v>0</v>
      </c>
      <c r="I3201" s="14">
        <v>0</v>
      </c>
      <c r="J3201" s="14">
        <v>0</v>
      </c>
      <c r="K3201" s="22">
        <v>1220</v>
      </c>
      <c r="L3201" t="s">
        <v>794</v>
      </c>
      <c r="M3201">
        <f t="shared" si="49"/>
        <v>2025</v>
      </c>
    </row>
    <row r="3202" spans="1:13" ht="12.75" hidden="1" customHeight="1">
      <c r="A3202" t="s">
        <v>864</v>
      </c>
      <c r="B3202" t="s">
        <v>36</v>
      </c>
      <c r="C3202" t="s">
        <v>200</v>
      </c>
      <c r="D3202" t="s">
        <v>1338</v>
      </c>
      <c r="E3202" s="17">
        <v>45972</v>
      </c>
      <c r="F3202" s="17">
        <v>45972</v>
      </c>
      <c r="G3202" s="13">
        <v>1040</v>
      </c>
      <c r="H3202" s="14">
        <v>0</v>
      </c>
      <c r="I3202" s="14">
        <v>0</v>
      </c>
      <c r="J3202" s="14">
        <v>0</v>
      </c>
      <c r="K3202" s="22">
        <v>1040</v>
      </c>
      <c r="L3202" t="s">
        <v>794</v>
      </c>
      <c r="M3202">
        <f t="shared" si="49"/>
        <v>2025</v>
      </c>
    </row>
    <row r="3203" spans="1:13" ht="12.75" hidden="1" customHeight="1">
      <c r="A3203" t="s">
        <v>1339</v>
      </c>
      <c r="B3203" t="s">
        <v>66</v>
      </c>
      <c r="C3203" t="s">
        <v>200</v>
      </c>
      <c r="D3203" t="s">
        <v>1338</v>
      </c>
      <c r="E3203" s="17">
        <v>45972</v>
      </c>
      <c r="F3203" s="17">
        <v>45972</v>
      </c>
      <c r="G3203" s="13">
        <v>2320</v>
      </c>
      <c r="H3203" s="14">
        <v>0</v>
      </c>
      <c r="I3203" s="14">
        <v>0</v>
      </c>
      <c r="J3203" s="14">
        <v>0</v>
      </c>
      <c r="K3203" s="22">
        <v>2320</v>
      </c>
      <c r="L3203" t="s">
        <v>794</v>
      </c>
      <c r="M3203">
        <f t="shared" ref="M3203:M3266" si="50">YEAR(F3203)</f>
        <v>2025</v>
      </c>
    </row>
    <row r="3204" spans="1:13" ht="12.75" hidden="1" customHeight="1">
      <c r="A3204" t="s">
        <v>1316</v>
      </c>
      <c r="B3204" t="s">
        <v>59</v>
      </c>
      <c r="C3204" t="s">
        <v>141</v>
      </c>
      <c r="D3204" t="s">
        <v>1338</v>
      </c>
      <c r="E3204" s="17">
        <v>45972</v>
      </c>
      <c r="F3204" s="17">
        <v>45972</v>
      </c>
      <c r="G3204" s="13">
        <v>80</v>
      </c>
      <c r="H3204" s="14">
        <v>0</v>
      </c>
      <c r="I3204" s="14">
        <v>0</v>
      </c>
      <c r="J3204" s="14">
        <v>0</v>
      </c>
      <c r="K3204" s="22">
        <v>80</v>
      </c>
      <c r="L3204" t="s">
        <v>794</v>
      </c>
      <c r="M3204">
        <f t="shared" si="50"/>
        <v>2025</v>
      </c>
    </row>
    <row r="3205" spans="1:13" ht="12.75" hidden="1" customHeight="1">
      <c r="A3205" t="s">
        <v>845</v>
      </c>
      <c r="B3205" t="s">
        <v>67</v>
      </c>
      <c r="C3205" t="s">
        <v>729</v>
      </c>
      <c r="D3205" t="s">
        <v>1338</v>
      </c>
      <c r="E3205" s="17">
        <v>45971</v>
      </c>
      <c r="F3205" s="17">
        <v>45973</v>
      </c>
      <c r="G3205" s="13">
        <v>173.52</v>
      </c>
      <c r="H3205" s="14">
        <v>0</v>
      </c>
      <c r="I3205" s="14">
        <v>0</v>
      </c>
      <c r="J3205" s="14">
        <v>0</v>
      </c>
      <c r="K3205" s="22">
        <v>173.52</v>
      </c>
      <c r="L3205" t="s">
        <v>794</v>
      </c>
      <c r="M3205">
        <f t="shared" si="50"/>
        <v>2025</v>
      </c>
    </row>
    <row r="3206" spans="1:13" ht="12.75" hidden="1" customHeight="1">
      <c r="A3206" t="s">
        <v>845</v>
      </c>
      <c r="B3206" t="s">
        <v>67</v>
      </c>
      <c r="C3206" t="s">
        <v>729</v>
      </c>
      <c r="D3206" t="s">
        <v>1311</v>
      </c>
      <c r="E3206" s="17">
        <v>45940</v>
      </c>
      <c r="F3206" s="17">
        <v>45973</v>
      </c>
      <c r="G3206" s="13">
        <v>899.11</v>
      </c>
      <c r="H3206" s="14">
        <v>0</v>
      </c>
      <c r="I3206" s="14">
        <v>0</v>
      </c>
      <c r="J3206" s="14">
        <v>0</v>
      </c>
      <c r="K3206" s="22">
        <v>899.11</v>
      </c>
      <c r="L3206" t="s">
        <v>794</v>
      </c>
      <c r="M3206">
        <f t="shared" si="50"/>
        <v>2025</v>
      </c>
    </row>
    <row r="3207" spans="1:13" ht="12.75" hidden="1" customHeight="1">
      <c r="A3207" t="s">
        <v>845</v>
      </c>
      <c r="B3207" t="s">
        <v>67</v>
      </c>
      <c r="C3207" t="s">
        <v>729</v>
      </c>
      <c r="D3207" t="s">
        <v>1311</v>
      </c>
      <c r="E3207" s="17">
        <v>45940</v>
      </c>
      <c r="F3207" s="17">
        <v>45973</v>
      </c>
      <c r="G3207" s="13">
        <v>287.49</v>
      </c>
      <c r="H3207" s="14">
        <v>0</v>
      </c>
      <c r="I3207" s="14">
        <v>0</v>
      </c>
      <c r="J3207" s="14">
        <v>0</v>
      </c>
      <c r="K3207" s="22">
        <v>287.49</v>
      </c>
      <c r="L3207" t="s">
        <v>794</v>
      </c>
      <c r="M3207">
        <f t="shared" si="50"/>
        <v>2025</v>
      </c>
    </row>
    <row r="3208" spans="1:13" ht="12.75" hidden="1" customHeight="1">
      <c r="A3208" t="s">
        <v>801</v>
      </c>
      <c r="B3208" t="s">
        <v>13</v>
      </c>
      <c r="C3208" t="s">
        <v>726</v>
      </c>
      <c r="D3208" t="s">
        <v>1338</v>
      </c>
      <c r="E3208" s="17">
        <v>45973</v>
      </c>
      <c r="F3208" s="17">
        <v>45973</v>
      </c>
      <c r="G3208" s="13">
        <v>2.04</v>
      </c>
      <c r="H3208" s="14">
        <v>0</v>
      </c>
      <c r="I3208" s="14">
        <v>0</v>
      </c>
      <c r="J3208" s="14">
        <v>0</v>
      </c>
      <c r="K3208" s="22">
        <v>2.04</v>
      </c>
      <c r="L3208" t="s">
        <v>794</v>
      </c>
      <c r="M3208">
        <f t="shared" si="50"/>
        <v>2025</v>
      </c>
    </row>
    <row r="3209" spans="1:13" ht="12.75" hidden="1" customHeight="1">
      <c r="A3209" t="s">
        <v>801</v>
      </c>
      <c r="B3209" t="s">
        <v>13</v>
      </c>
      <c r="C3209" t="s">
        <v>726</v>
      </c>
      <c r="D3209" t="s">
        <v>1338</v>
      </c>
      <c r="E3209" s="17">
        <v>45974</v>
      </c>
      <c r="F3209" s="17">
        <v>45974</v>
      </c>
      <c r="G3209" s="13">
        <v>914</v>
      </c>
      <c r="H3209" s="14">
        <v>0</v>
      </c>
      <c r="I3209" s="14">
        <v>0</v>
      </c>
      <c r="J3209" s="14">
        <v>0</v>
      </c>
      <c r="K3209" s="22">
        <v>914</v>
      </c>
      <c r="L3209" t="s">
        <v>794</v>
      </c>
      <c r="M3209">
        <f t="shared" si="50"/>
        <v>2025</v>
      </c>
    </row>
    <row r="3210" spans="1:13" ht="12.75" hidden="1" customHeight="1">
      <c r="A3210" t="s">
        <v>801</v>
      </c>
      <c r="B3210" t="s">
        <v>13</v>
      </c>
      <c r="C3210" t="s">
        <v>726</v>
      </c>
      <c r="D3210" t="s">
        <v>1338</v>
      </c>
      <c r="E3210" s="17">
        <v>45974</v>
      </c>
      <c r="F3210" s="17">
        <v>45974</v>
      </c>
      <c r="G3210" s="13">
        <v>2.04</v>
      </c>
      <c r="H3210" s="14">
        <v>0</v>
      </c>
      <c r="I3210" s="14">
        <v>0</v>
      </c>
      <c r="J3210" s="14">
        <v>0</v>
      </c>
      <c r="K3210" s="22">
        <v>2.04</v>
      </c>
      <c r="L3210" t="s">
        <v>794</v>
      </c>
      <c r="M3210">
        <f t="shared" si="50"/>
        <v>2025</v>
      </c>
    </row>
    <row r="3211" spans="1:13" ht="12.75" hidden="1" customHeight="1">
      <c r="A3211" t="s">
        <v>948</v>
      </c>
      <c r="B3211" t="s">
        <v>89</v>
      </c>
      <c r="C3211" t="s">
        <v>725</v>
      </c>
      <c r="D3211" t="s">
        <v>1338</v>
      </c>
      <c r="E3211" s="17">
        <v>45975</v>
      </c>
      <c r="F3211" s="17">
        <v>45975</v>
      </c>
      <c r="G3211" s="13">
        <v>666</v>
      </c>
      <c r="H3211" s="14">
        <v>0</v>
      </c>
      <c r="I3211" s="14">
        <v>0</v>
      </c>
      <c r="J3211" s="14">
        <v>0</v>
      </c>
      <c r="K3211" s="22">
        <v>666</v>
      </c>
      <c r="L3211" t="s">
        <v>794</v>
      </c>
      <c r="M3211">
        <f t="shared" si="50"/>
        <v>2025</v>
      </c>
    </row>
    <row r="3212" spans="1:13" ht="12.75" hidden="1" customHeight="1">
      <c r="A3212" t="s">
        <v>833</v>
      </c>
      <c r="B3212" t="s">
        <v>27</v>
      </c>
      <c r="C3212" t="s">
        <v>141</v>
      </c>
      <c r="D3212" t="s">
        <v>1338</v>
      </c>
      <c r="E3212" s="17">
        <v>45971</v>
      </c>
      <c r="F3212" s="17">
        <v>45978</v>
      </c>
      <c r="G3212" s="13">
        <v>900</v>
      </c>
      <c r="H3212" s="14">
        <v>0</v>
      </c>
      <c r="I3212" s="14">
        <v>0</v>
      </c>
      <c r="J3212" s="14">
        <v>0</v>
      </c>
      <c r="K3212" s="22">
        <v>900</v>
      </c>
      <c r="L3212" t="s">
        <v>794</v>
      </c>
      <c r="M3212">
        <f t="shared" si="50"/>
        <v>2025</v>
      </c>
    </row>
    <row r="3213" spans="1:13" ht="12.75" hidden="1" customHeight="1">
      <c r="A3213" t="s">
        <v>1211</v>
      </c>
      <c r="B3213" t="s">
        <v>73</v>
      </c>
      <c r="C3213" t="s">
        <v>721</v>
      </c>
      <c r="D3213" t="s">
        <v>1338</v>
      </c>
      <c r="E3213" s="17">
        <v>45976</v>
      </c>
      <c r="F3213" s="17">
        <v>45978</v>
      </c>
      <c r="G3213" s="13">
        <v>1500</v>
      </c>
      <c r="H3213" s="14">
        <v>0</v>
      </c>
      <c r="I3213" s="14">
        <v>0</v>
      </c>
      <c r="J3213" s="14">
        <v>0</v>
      </c>
      <c r="K3213" s="22">
        <v>1500</v>
      </c>
      <c r="L3213" t="s">
        <v>794</v>
      </c>
      <c r="M3213">
        <f t="shared" si="50"/>
        <v>2025</v>
      </c>
    </row>
    <row r="3214" spans="1:13" ht="12.75" hidden="1" customHeight="1">
      <c r="A3214" t="s">
        <v>849</v>
      </c>
      <c r="B3214" t="s">
        <v>283</v>
      </c>
      <c r="C3214" t="s">
        <v>722</v>
      </c>
      <c r="D3214" t="s">
        <v>1338</v>
      </c>
      <c r="E3214" s="17">
        <v>45973</v>
      </c>
      <c r="F3214" s="17">
        <v>45978</v>
      </c>
      <c r="G3214" s="13">
        <v>99</v>
      </c>
      <c r="H3214" s="14">
        <v>0</v>
      </c>
      <c r="I3214" s="14">
        <v>0</v>
      </c>
      <c r="J3214" s="14">
        <v>0</v>
      </c>
      <c r="K3214" s="22">
        <v>99</v>
      </c>
      <c r="L3214" t="s">
        <v>794</v>
      </c>
      <c r="M3214">
        <f t="shared" si="50"/>
        <v>2025</v>
      </c>
    </row>
    <row r="3215" spans="1:13" ht="12.75" hidden="1" customHeight="1">
      <c r="A3215" t="s">
        <v>1359</v>
      </c>
      <c r="B3215" t="s">
        <v>497</v>
      </c>
      <c r="C3215" t="s">
        <v>458</v>
      </c>
      <c r="D3215" t="s">
        <v>1338</v>
      </c>
      <c r="E3215" s="17">
        <v>45974</v>
      </c>
      <c r="F3215" s="17">
        <v>45978</v>
      </c>
      <c r="G3215" s="13">
        <v>44.89</v>
      </c>
      <c r="H3215" s="14">
        <v>0</v>
      </c>
      <c r="I3215" s="14">
        <v>0</v>
      </c>
      <c r="J3215" s="14">
        <v>0</v>
      </c>
      <c r="K3215" s="22">
        <v>44.89</v>
      </c>
      <c r="L3215" t="s">
        <v>794</v>
      </c>
      <c r="M3215">
        <f t="shared" si="50"/>
        <v>2025</v>
      </c>
    </row>
    <row r="3216" spans="1:13" ht="12.75" hidden="1" customHeight="1">
      <c r="A3216" t="s">
        <v>805</v>
      </c>
      <c r="B3216" t="s">
        <v>17</v>
      </c>
      <c r="C3216" t="s">
        <v>713</v>
      </c>
      <c r="D3216" t="s">
        <v>1178</v>
      </c>
      <c r="E3216" s="17">
        <v>45840</v>
      </c>
      <c r="F3216" s="17">
        <v>45978</v>
      </c>
      <c r="G3216" s="13">
        <v>8603.52</v>
      </c>
      <c r="H3216" s="14">
        <v>0</v>
      </c>
      <c r="I3216" s="14">
        <v>0</v>
      </c>
      <c r="J3216" s="14">
        <v>0</v>
      </c>
      <c r="K3216" s="22">
        <v>8603.52</v>
      </c>
      <c r="L3216" t="s">
        <v>794</v>
      </c>
      <c r="M3216">
        <f t="shared" si="50"/>
        <v>2025</v>
      </c>
    </row>
    <row r="3217" spans="1:13" ht="12.75" hidden="1" customHeight="1">
      <c r="A3217" t="s">
        <v>1214</v>
      </c>
      <c r="B3217" t="s">
        <v>229</v>
      </c>
      <c r="C3217" t="s">
        <v>183</v>
      </c>
      <c r="D3217" t="s">
        <v>1338</v>
      </c>
      <c r="E3217" s="17">
        <v>45978</v>
      </c>
      <c r="F3217" s="17">
        <v>45978</v>
      </c>
      <c r="G3217" s="13">
        <v>300</v>
      </c>
      <c r="H3217" s="14">
        <v>0</v>
      </c>
      <c r="I3217" s="14">
        <v>0</v>
      </c>
      <c r="J3217" s="14">
        <v>0</v>
      </c>
      <c r="K3217" s="22">
        <v>300</v>
      </c>
      <c r="L3217" t="s">
        <v>794</v>
      </c>
      <c r="M3217">
        <f t="shared" si="50"/>
        <v>2025</v>
      </c>
    </row>
    <row r="3218" spans="1:13" ht="12.75" hidden="1" customHeight="1">
      <c r="A3218" t="s">
        <v>1221</v>
      </c>
      <c r="B3218" t="s">
        <v>100</v>
      </c>
      <c r="C3218" t="s">
        <v>183</v>
      </c>
      <c r="D3218" t="s">
        <v>1338</v>
      </c>
      <c r="E3218" s="17">
        <v>45978</v>
      </c>
      <c r="F3218" s="17">
        <v>45978</v>
      </c>
      <c r="G3218" s="13">
        <v>340</v>
      </c>
      <c r="H3218" s="14">
        <v>0</v>
      </c>
      <c r="I3218" s="14">
        <v>0</v>
      </c>
      <c r="J3218" s="14">
        <v>0</v>
      </c>
      <c r="K3218" s="22">
        <v>340</v>
      </c>
      <c r="L3218" t="s">
        <v>794</v>
      </c>
      <c r="M3218">
        <f t="shared" si="50"/>
        <v>2025</v>
      </c>
    </row>
    <row r="3219" spans="1:13" ht="12.75" hidden="1" customHeight="1">
      <c r="A3219" t="s">
        <v>1131</v>
      </c>
      <c r="B3219" t="s">
        <v>81</v>
      </c>
      <c r="C3219" t="s">
        <v>183</v>
      </c>
      <c r="D3219" t="s">
        <v>1338</v>
      </c>
      <c r="E3219" s="17">
        <v>45978</v>
      </c>
      <c r="F3219" s="17">
        <v>45978</v>
      </c>
      <c r="G3219" s="13">
        <v>910</v>
      </c>
      <c r="H3219" s="14">
        <v>0</v>
      </c>
      <c r="I3219" s="14">
        <v>0</v>
      </c>
      <c r="J3219" s="14">
        <v>0</v>
      </c>
      <c r="K3219" s="22">
        <v>910</v>
      </c>
      <c r="L3219" t="s">
        <v>794</v>
      </c>
      <c r="M3219">
        <f t="shared" si="50"/>
        <v>2025</v>
      </c>
    </row>
    <row r="3220" spans="1:13" ht="12.75" hidden="1" customHeight="1">
      <c r="A3220" t="s">
        <v>792</v>
      </c>
      <c r="B3220" t="s">
        <v>35</v>
      </c>
      <c r="C3220" t="s">
        <v>206</v>
      </c>
      <c r="D3220" t="s">
        <v>1338</v>
      </c>
      <c r="E3220" s="17">
        <v>45978</v>
      </c>
      <c r="F3220" s="17">
        <v>45978</v>
      </c>
      <c r="G3220" s="13">
        <v>1334</v>
      </c>
      <c r="H3220" s="14">
        <v>0</v>
      </c>
      <c r="I3220" s="14">
        <v>0</v>
      </c>
      <c r="J3220" s="14">
        <v>0</v>
      </c>
      <c r="K3220" s="22">
        <v>1334</v>
      </c>
      <c r="L3220" t="s">
        <v>794</v>
      </c>
      <c r="M3220">
        <f t="shared" si="50"/>
        <v>2025</v>
      </c>
    </row>
    <row r="3221" spans="1:13" ht="12.75" hidden="1" customHeight="1">
      <c r="A3221" t="s">
        <v>797</v>
      </c>
      <c r="B3221" t="s">
        <v>25</v>
      </c>
      <c r="C3221" t="s">
        <v>206</v>
      </c>
      <c r="D3221" t="s">
        <v>1338</v>
      </c>
      <c r="E3221" s="17">
        <v>45978</v>
      </c>
      <c r="F3221" s="17">
        <v>45978</v>
      </c>
      <c r="G3221" s="13">
        <v>1166</v>
      </c>
      <c r="H3221" s="14">
        <v>0</v>
      </c>
      <c r="I3221" s="14">
        <v>0</v>
      </c>
      <c r="J3221" s="14">
        <v>0</v>
      </c>
      <c r="K3221" s="22">
        <v>1166</v>
      </c>
      <c r="L3221" t="s">
        <v>794</v>
      </c>
      <c r="M3221">
        <f t="shared" si="50"/>
        <v>2025</v>
      </c>
    </row>
    <row r="3222" spans="1:13" ht="12.75" hidden="1" customHeight="1">
      <c r="A3222" t="s">
        <v>792</v>
      </c>
      <c r="B3222" t="s">
        <v>35</v>
      </c>
      <c r="C3222" t="s">
        <v>206</v>
      </c>
      <c r="D3222" t="s">
        <v>1338</v>
      </c>
      <c r="E3222" s="17">
        <v>45978</v>
      </c>
      <c r="F3222" s="17">
        <v>45978</v>
      </c>
      <c r="G3222" s="13">
        <v>1685</v>
      </c>
      <c r="H3222" s="14">
        <v>0</v>
      </c>
      <c r="I3222" s="14">
        <v>0</v>
      </c>
      <c r="J3222" s="14">
        <v>0</v>
      </c>
      <c r="K3222" s="22">
        <v>1685</v>
      </c>
      <c r="L3222" t="s">
        <v>794</v>
      </c>
      <c r="M3222">
        <f t="shared" si="50"/>
        <v>2025</v>
      </c>
    </row>
    <row r="3223" spans="1:13" ht="12.75" hidden="1" customHeight="1">
      <c r="A3223" t="s">
        <v>797</v>
      </c>
      <c r="B3223" t="s">
        <v>25</v>
      </c>
      <c r="C3223" t="s">
        <v>206</v>
      </c>
      <c r="D3223" t="s">
        <v>1338</v>
      </c>
      <c r="E3223" s="17">
        <v>45978</v>
      </c>
      <c r="F3223" s="17">
        <v>45978</v>
      </c>
      <c r="G3223" s="13">
        <v>1514.24</v>
      </c>
      <c r="H3223" s="14">
        <v>0</v>
      </c>
      <c r="I3223" s="14">
        <v>0</v>
      </c>
      <c r="J3223" s="14">
        <v>0</v>
      </c>
      <c r="K3223" s="22">
        <v>1514.24</v>
      </c>
      <c r="L3223" t="s">
        <v>794</v>
      </c>
      <c r="M3223">
        <f t="shared" si="50"/>
        <v>2025</v>
      </c>
    </row>
    <row r="3224" spans="1:13" ht="12.75" hidden="1" customHeight="1">
      <c r="A3224" t="s">
        <v>801</v>
      </c>
      <c r="B3224" t="s">
        <v>13</v>
      </c>
      <c r="C3224" t="s">
        <v>726</v>
      </c>
      <c r="D3224" t="s">
        <v>1338</v>
      </c>
      <c r="E3224" s="17">
        <v>45975</v>
      </c>
      <c r="F3224" s="17">
        <v>45978</v>
      </c>
      <c r="G3224" s="13">
        <v>12.24</v>
      </c>
      <c r="H3224" s="14">
        <v>0</v>
      </c>
      <c r="I3224" s="14">
        <v>0</v>
      </c>
      <c r="J3224" s="14">
        <v>0</v>
      </c>
      <c r="K3224" s="22">
        <v>12.24</v>
      </c>
      <c r="L3224" t="s">
        <v>794</v>
      </c>
      <c r="M3224">
        <f t="shared" si="50"/>
        <v>2025</v>
      </c>
    </row>
    <row r="3225" spans="1:13" ht="12.75" hidden="1" customHeight="1">
      <c r="A3225" t="s">
        <v>801</v>
      </c>
      <c r="B3225" t="s">
        <v>13</v>
      </c>
      <c r="C3225" t="s">
        <v>726</v>
      </c>
      <c r="D3225" t="s">
        <v>1338</v>
      </c>
      <c r="E3225" s="17">
        <v>45978</v>
      </c>
      <c r="F3225" s="17">
        <v>45978</v>
      </c>
      <c r="G3225" s="13">
        <v>2.04</v>
      </c>
      <c r="H3225" s="14">
        <v>0</v>
      </c>
      <c r="I3225" s="14">
        <v>0</v>
      </c>
      <c r="J3225" s="14">
        <v>0</v>
      </c>
      <c r="K3225" s="22">
        <v>2.04</v>
      </c>
      <c r="L3225" t="s">
        <v>794</v>
      </c>
      <c r="M3225">
        <f t="shared" si="50"/>
        <v>2025</v>
      </c>
    </row>
    <row r="3226" spans="1:13" ht="12.75" hidden="1" customHeight="1">
      <c r="A3226" t="s">
        <v>801</v>
      </c>
      <c r="B3226" t="s">
        <v>13</v>
      </c>
      <c r="C3226" t="s">
        <v>717</v>
      </c>
      <c r="D3226" t="s">
        <v>1338</v>
      </c>
      <c r="E3226" s="17">
        <v>45978</v>
      </c>
      <c r="F3226" s="17">
        <v>45978</v>
      </c>
      <c r="G3226" s="13">
        <v>210.38</v>
      </c>
      <c r="H3226" s="14">
        <v>0</v>
      </c>
      <c r="I3226" s="14">
        <v>0</v>
      </c>
      <c r="J3226" s="14">
        <v>0</v>
      </c>
      <c r="K3226" s="22">
        <v>210.38</v>
      </c>
      <c r="L3226" t="s">
        <v>794</v>
      </c>
      <c r="M3226">
        <f t="shared" si="50"/>
        <v>2025</v>
      </c>
    </row>
    <row r="3227" spans="1:13" ht="12.75" hidden="1" customHeight="1">
      <c r="A3227" t="s">
        <v>891</v>
      </c>
      <c r="B3227" t="s">
        <v>102</v>
      </c>
      <c r="C3227" t="s">
        <v>722</v>
      </c>
      <c r="D3227" t="s">
        <v>1338</v>
      </c>
      <c r="E3227" s="17">
        <v>45976</v>
      </c>
      <c r="F3227" s="17">
        <v>45978</v>
      </c>
      <c r="G3227" s="13">
        <v>745</v>
      </c>
      <c r="H3227" s="14">
        <v>0</v>
      </c>
      <c r="I3227" s="14">
        <v>0</v>
      </c>
      <c r="J3227" s="14">
        <v>0</v>
      </c>
      <c r="K3227" s="22">
        <v>745</v>
      </c>
      <c r="L3227" t="s">
        <v>794</v>
      </c>
      <c r="M3227">
        <f t="shared" si="50"/>
        <v>2025</v>
      </c>
    </row>
    <row r="3228" spans="1:13" ht="12.75" hidden="1" customHeight="1">
      <c r="A3228" t="s">
        <v>894</v>
      </c>
      <c r="B3228" t="s">
        <v>50</v>
      </c>
      <c r="C3228" t="s">
        <v>152</v>
      </c>
      <c r="D3228" t="s">
        <v>1338</v>
      </c>
      <c r="E3228" s="17">
        <v>45976</v>
      </c>
      <c r="F3228" s="17">
        <v>45978</v>
      </c>
      <c r="G3228" s="13">
        <v>1518</v>
      </c>
      <c r="H3228" s="14">
        <v>0</v>
      </c>
      <c r="I3228" s="14">
        <v>0</v>
      </c>
      <c r="J3228" s="14">
        <v>0</v>
      </c>
      <c r="K3228" s="22">
        <v>1518</v>
      </c>
      <c r="L3228" t="s">
        <v>794</v>
      </c>
      <c r="M3228">
        <f t="shared" si="50"/>
        <v>2025</v>
      </c>
    </row>
    <row r="3229" spans="1:13" ht="12.75" hidden="1" customHeight="1">
      <c r="A3229" t="s">
        <v>941</v>
      </c>
      <c r="B3229" t="s">
        <v>52</v>
      </c>
      <c r="C3229" t="s">
        <v>672</v>
      </c>
      <c r="D3229" t="s">
        <v>1338</v>
      </c>
      <c r="E3229" s="17">
        <v>45976</v>
      </c>
      <c r="F3229" s="17">
        <v>45978</v>
      </c>
      <c r="G3229" s="13">
        <v>1518</v>
      </c>
      <c r="H3229" s="14">
        <v>0</v>
      </c>
      <c r="I3229" s="14">
        <v>0</v>
      </c>
      <c r="J3229" s="14">
        <v>0</v>
      </c>
      <c r="K3229" s="22">
        <v>1518</v>
      </c>
      <c r="L3229" t="s">
        <v>794</v>
      </c>
      <c r="M3229">
        <f t="shared" si="50"/>
        <v>2025</v>
      </c>
    </row>
    <row r="3230" spans="1:13" ht="12.75" hidden="1" customHeight="1">
      <c r="A3230" t="s">
        <v>886</v>
      </c>
      <c r="B3230" t="s">
        <v>194</v>
      </c>
      <c r="C3230" t="s">
        <v>743</v>
      </c>
      <c r="D3230" t="s">
        <v>1338</v>
      </c>
      <c r="E3230" s="17">
        <v>45976</v>
      </c>
      <c r="F3230" s="17">
        <v>45978</v>
      </c>
      <c r="G3230" s="13">
        <v>217.76</v>
      </c>
      <c r="H3230" s="14">
        <v>0</v>
      </c>
      <c r="I3230" s="14">
        <v>0</v>
      </c>
      <c r="J3230" s="14">
        <v>0</v>
      </c>
      <c r="K3230" s="22">
        <v>217.76</v>
      </c>
      <c r="L3230" t="s">
        <v>794</v>
      </c>
      <c r="M3230">
        <f t="shared" si="50"/>
        <v>2025</v>
      </c>
    </row>
    <row r="3231" spans="1:13" ht="12.75" hidden="1" customHeight="1">
      <c r="A3231" t="s">
        <v>879</v>
      </c>
      <c r="B3231" t="s">
        <v>23</v>
      </c>
      <c r="C3231" t="s">
        <v>713</v>
      </c>
      <c r="D3231" t="s">
        <v>1338</v>
      </c>
      <c r="E3231" s="17">
        <v>45976</v>
      </c>
      <c r="F3231" s="17">
        <v>45978</v>
      </c>
      <c r="G3231" s="13">
        <v>700</v>
      </c>
      <c r="H3231" s="14">
        <v>0</v>
      </c>
      <c r="I3231" s="14">
        <v>0</v>
      </c>
      <c r="J3231" s="14">
        <v>0</v>
      </c>
      <c r="K3231" s="22">
        <v>700</v>
      </c>
      <c r="L3231" t="s">
        <v>794</v>
      </c>
      <c r="M3231">
        <f t="shared" si="50"/>
        <v>2025</v>
      </c>
    </row>
    <row r="3232" spans="1:13" ht="12.75" hidden="1" customHeight="1">
      <c r="A3232" t="s">
        <v>879</v>
      </c>
      <c r="B3232" t="s">
        <v>23</v>
      </c>
      <c r="C3232" t="s">
        <v>713</v>
      </c>
      <c r="D3232" t="s">
        <v>1311</v>
      </c>
      <c r="E3232" s="17">
        <v>45954</v>
      </c>
      <c r="F3232" s="17">
        <v>45978</v>
      </c>
      <c r="G3232" s="13">
        <v>2897.44</v>
      </c>
      <c r="H3232" s="14">
        <v>0</v>
      </c>
      <c r="I3232" s="14">
        <v>0</v>
      </c>
      <c r="J3232" s="14">
        <v>0</v>
      </c>
      <c r="K3232" s="22">
        <v>2897.44</v>
      </c>
      <c r="L3232" t="s">
        <v>794</v>
      </c>
      <c r="M3232">
        <f t="shared" si="50"/>
        <v>2025</v>
      </c>
    </row>
    <row r="3233" spans="1:13" ht="12.75" hidden="1" customHeight="1">
      <c r="A3233" t="s">
        <v>879</v>
      </c>
      <c r="B3233" t="s">
        <v>23</v>
      </c>
      <c r="C3233" t="s">
        <v>713</v>
      </c>
      <c r="D3233" t="s">
        <v>1338</v>
      </c>
      <c r="E3233" s="17">
        <v>45976</v>
      </c>
      <c r="F3233" s="17">
        <v>45978</v>
      </c>
      <c r="G3233" s="13">
        <v>2519.67</v>
      </c>
      <c r="H3233" s="14">
        <v>0</v>
      </c>
      <c r="I3233" s="14">
        <v>0</v>
      </c>
      <c r="J3233" s="14">
        <v>0</v>
      </c>
      <c r="K3233" s="22">
        <v>2519.67</v>
      </c>
      <c r="L3233" t="s">
        <v>794</v>
      </c>
      <c r="M3233">
        <f t="shared" si="50"/>
        <v>2025</v>
      </c>
    </row>
    <row r="3234" spans="1:13" ht="12.75" hidden="1" customHeight="1">
      <c r="A3234" t="s">
        <v>800</v>
      </c>
      <c r="B3234" t="s">
        <v>85</v>
      </c>
      <c r="C3234" t="s">
        <v>734</v>
      </c>
      <c r="D3234" t="s">
        <v>1338</v>
      </c>
      <c r="E3234" s="17">
        <v>45978</v>
      </c>
      <c r="F3234" s="17">
        <v>45978</v>
      </c>
      <c r="G3234" s="13">
        <v>900</v>
      </c>
      <c r="H3234" s="14">
        <v>0</v>
      </c>
      <c r="I3234" s="14">
        <v>0</v>
      </c>
      <c r="J3234" s="14">
        <v>0</v>
      </c>
      <c r="K3234" s="22">
        <v>900</v>
      </c>
      <c r="L3234" t="s">
        <v>794</v>
      </c>
      <c r="M3234">
        <f t="shared" si="50"/>
        <v>2025</v>
      </c>
    </row>
    <row r="3235" spans="1:13" ht="12.75" hidden="1" customHeight="1">
      <c r="A3235" t="s">
        <v>865</v>
      </c>
      <c r="B3235" t="s">
        <v>76</v>
      </c>
      <c r="C3235" t="s">
        <v>200</v>
      </c>
      <c r="D3235" t="s">
        <v>1338</v>
      </c>
      <c r="E3235" s="17">
        <v>45971</v>
      </c>
      <c r="F3235" s="17">
        <v>45978</v>
      </c>
      <c r="G3235" s="13">
        <v>880</v>
      </c>
      <c r="H3235" s="14">
        <v>0</v>
      </c>
      <c r="I3235" s="14">
        <v>0</v>
      </c>
      <c r="J3235" s="14">
        <v>0</v>
      </c>
      <c r="K3235" s="22">
        <v>880</v>
      </c>
      <c r="L3235" t="s">
        <v>794</v>
      </c>
      <c r="M3235">
        <f t="shared" si="50"/>
        <v>2025</v>
      </c>
    </row>
    <row r="3236" spans="1:13" ht="12.75" hidden="1" customHeight="1">
      <c r="A3236" t="s">
        <v>1246</v>
      </c>
      <c r="B3236" t="s">
        <v>63</v>
      </c>
      <c r="C3236" t="s">
        <v>200</v>
      </c>
      <c r="D3236" t="s">
        <v>1338</v>
      </c>
      <c r="E3236" s="17">
        <v>45971</v>
      </c>
      <c r="F3236" s="17">
        <v>45978</v>
      </c>
      <c r="G3236" s="13">
        <v>3440</v>
      </c>
      <c r="H3236" s="14">
        <v>0</v>
      </c>
      <c r="I3236" s="14">
        <v>0</v>
      </c>
      <c r="J3236" s="14">
        <v>0</v>
      </c>
      <c r="K3236" s="22">
        <v>3440</v>
      </c>
      <c r="L3236" t="s">
        <v>794</v>
      </c>
      <c r="M3236">
        <f t="shared" si="50"/>
        <v>2025</v>
      </c>
    </row>
    <row r="3237" spans="1:13" ht="12.75" hidden="1" customHeight="1">
      <c r="A3237" t="s">
        <v>1360</v>
      </c>
      <c r="B3237" t="s">
        <v>434</v>
      </c>
      <c r="C3237" t="s">
        <v>200</v>
      </c>
      <c r="D3237" t="s">
        <v>1338</v>
      </c>
      <c r="E3237" s="17">
        <v>45971</v>
      </c>
      <c r="F3237" s="17">
        <v>45978</v>
      </c>
      <c r="G3237" s="13">
        <v>320</v>
      </c>
      <c r="H3237" s="14">
        <v>0</v>
      </c>
      <c r="I3237" s="14">
        <v>0</v>
      </c>
      <c r="J3237" s="14">
        <v>0</v>
      </c>
      <c r="K3237" s="22">
        <v>320</v>
      </c>
      <c r="L3237" t="s">
        <v>794</v>
      </c>
      <c r="M3237">
        <f t="shared" si="50"/>
        <v>2025</v>
      </c>
    </row>
    <row r="3238" spans="1:13" ht="12.75" hidden="1" customHeight="1">
      <c r="A3238" t="s">
        <v>1361</v>
      </c>
      <c r="B3238" t="s">
        <v>339</v>
      </c>
      <c r="C3238" t="s">
        <v>200</v>
      </c>
      <c r="D3238" t="s">
        <v>1338</v>
      </c>
      <c r="E3238" s="17">
        <v>45971</v>
      </c>
      <c r="F3238" s="17">
        <v>45978</v>
      </c>
      <c r="G3238" s="13">
        <v>400</v>
      </c>
      <c r="H3238" s="14">
        <v>0</v>
      </c>
      <c r="I3238" s="14">
        <v>0</v>
      </c>
      <c r="J3238" s="14">
        <v>0</v>
      </c>
      <c r="K3238" s="22">
        <v>400</v>
      </c>
      <c r="L3238" t="s">
        <v>794</v>
      </c>
      <c r="M3238">
        <f t="shared" si="50"/>
        <v>2025</v>
      </c>
    </row>
    <row r="3239" spans="1:13" ht="12.75" hidden="1" customHeight="1">
      <c r="A3239" t="s">
        <v>893</v>
      </c>
      <c r="B3239" t="s">
        <v>212</v>
      </c>
      <c r="C3239" t="s">
        <v>746</v>
      </c>
      <c r="D3239" t="s">
        <v>1338</v>
      </c>
      <c r="E3239" s="17">
        <v>45978</v>
      </c>
      <c r="F3239" s="17">
        <v>45979</v>
      </c>
      <c r="G3239" s="13">
        <v>190.68</v>
      </c>
      <c r="H3239" s="14">
        <v>0</v>
      </c>
      <c r="I3239" s="14">
        <v>0</v>
      </c>
      <c r="J3239" s="14">
        <v>0</v>
      </c>
      <c r="K3239" s="22">
        <v>190.68</v>
      </c>
      <c r="L3239" t="s">
        <v>794</v>
      </c>
      <c r="M3239">
        <f t="shared" si="50"/>
        <v>2025</v>
      </c>
    </row>
    <row r="3240" spans="1:13" ht="12.75" hidden="1" customHeight="1">
      <c r="A3240" t="s">
        <v>810</v>
      </c>
      <c r="B3240" t="s">
        <v>54</v>
      </c>
      <c r="C3240" t="s">
        <v>141</v>
      </c>
      <c r="D3240" t="s">
        <v>1338</v>
      </c>
      <c r="E3240" s="17">
        <v>45978</v>
      </c>
      <c r="F3240" s="17">
        <v>45979</v>
      </c>
      <c r="G3240" s="13">
        <v>40</v>
      </c>
      <c r="H3240" s="14">
        <v>0</v>
      </c>
      <c r="I3240" s="14">
        <v>0</v>
      </c>
      <c r="J3240" s="14">
        <v>0</v>
      </c>
      <c r="K3240" s="22">
        <v>40</v>
      </c>
      <c r="L3240" t="s">
        <v>794</v>
      </c>
      <c r="M3240">
        <f t="shared" si="50"/>
        <v>2025</v>
      </c>
    </row>
    <row r="3241" spans="1:13" ht="12.75" hidden="1" customHeight="1">
      <c r="A3241" t="s">
        <v>818</v>
      </c>
      <c r="B3241" t="s">
        <v>30</v>
      </c>
      <c r="C3241" t="s">
        <v>141</v>
      </c>
      <c r="D3241" t="s">
        <v>1338</v>
      </c>
      <c r="E3241" s="17">
        <v>45979</v>
      </c>
      <c r="F3241" s="17">
        <v>45979</v>
      </c>
      <c r="G3241" s="13">
        <v>40</v>
      </c>
      <c r="H3241" s="14">
        <v>0</v>
      </c>
      <c r="I3241" s="14">
        <v>0</v>
      </c>
      <c r="J3241" s="14">
        <v>0</v>
      </c>
      <c r="K3241" s="22">
        <v>40</v>
      </c>
      <c r="L3241" t="s">
        <v>794</v>
      </c>
      <c r="M3241">
        <f t="shared" si="50"/>
        <v>2025</v>
      </c>
    </row>
    <row r="3242" spans="1:13" ht="12.75" hidden="1" customHeight="1">
      <c r="A3242" t="s">
        <v>1316</v>
      </c>
      <c r="B3242" t="s">
        <v>59</v>
      </c>
      <c r="C3242" t="s">
        <v>141</v>
      </c>
      <c r="D3242" t="s">
        <v>1338</v>
      </c>
      <c r="E3242" s="17">
        <v>45978</v>
      </c>
      <c r="F3242" s="17">
        <v>45979</v>
      </c>
      <c r="G3242" s="13">
        <v>40</v>
      </c>
      <c r="H3242" s="14">
        <v>0</v>
      </c>
      <c r="I3242" s="14">
        <v>0</v>
      </c>
      <c r="J3242" s="14">
        <v>0</v>
      </c>
      <c r="K3242" s="22">
        <v>40</v>
      </c>
      <c r="L3242" t="s">
        <v>794</v>
      </c>
      <c r="M3242">
        <f t="shared" si="50"/>
        <v>2025</v>
      </c>
    </row>
    <row r="3243" spans="1:13" ht="12.75" hidden="1" customHeight="1">
      <c r="A3243" t="s">
        <v>1181</v>
      </c>
      <c r="B3243" t="s">
        <v>75</v>
      </c>
      <c r="C3243" t="s">
        <v>141</v>
      </c>
      <c r="D3243" t="s">
        <v>1338</v>
      </c>
      <c r="E3243" s="17">
        <v>45978</v>
      </c>
      <c r="F3243" s="17">
        <v>45979</v>
      </c>
      <c r="G3243" s="13">
        <v>60</v>
      </c>
      <c r="H3243" s="14">
        <v>0</v>
      </c>
      <c r="I3243" s="14">
        <v>0</v>
      </c>
      <c r="J3243" s="14">
        <v>0</v>
      </c>
      <c r="K3243" s="22">
        <v>60</v>
      </c>
      <c r="L3243" t="s">
        <v>794</v>
      </c>
      <c r="M3243">
        <f t="shared" si="50"/>
        <v>2025</v>
      </c>
    </row>
    <row r="3244" spans="1:13" ht="12.75" hidden="1" customHeight="1">
      <c r="A3244" t="s">
        <v>1317</v>
      </c>
      <c r="B3244" t="s">
        <v>64</v>
      </c>
      <c r="C3244" t="s">
        <v>141</v>
      </c>
      <c r="D3244" t="s">
        <v>1338</v>
      </c>
      <c r="E3244" s="17">
        <v>45978</v>
      </c>
      <c r="F3244" s="17">
        <v>45979</v>
      </c>
      <c r="G3244" s="13">
        <v>36</v>
      </c>
      <c r="H3244" s="14">
        <v>0</v>
      </c>
      <c r="I3244" s="14">
        <v>0</v>
      </c>
      <c r="J3244" s="14">
        <v>0</v>
      </c>
      <c r="K3244" s="22">
        <v>36</v>
      </c>
      <c r="L3244" t="s">
        <v>794</v>
      </c>
      <c r="M3244">
        <f t="shared" si="50"/>
        <v>2025</v>
      </c>
    </row>
    <row r="3245" spans="1:13" ht="12.75" hidden="1" customHeight="1">
      <c r="A3245" t="s">
        <v>1223</v>
      </c>
      <c r="B3245" t="s">
        <v>1224</v>
      </c>
      <c r="C3245" t="s">
        <v>742</v>
      </c>
      <c r="D3245" t="s">
        <v>1338</v>
      </c>
      <c r="E3245" s="17">
        <v>45974</v>
      </c>
      <c r="F3245" s="17">
        <v>45979</v>
      </c>
      <c r="G3245" s="13">
        <v>379.01</v>
      </c>
      <c r="H3245" s="14">
        <v>0</v>
      </c>
      <c r="I3245" s="14">
        <v>0</v>
      </c>
      <c r="J3245" s="14">
        <v>0</v>
      </c>
      <c r="K3245" s="22">
        <v>379.01</v>
      </c>
      <c r="L3245" t="s">
        <v>794</v>
      </c>
      <c r="M3245">
        <f t="shared" si="50"/>
        <v>2025</v>
      </c>
    </row>
    <row r="3246" spans="1:13" ht="12.75" hidden="1" customHeight="1">
      <c r="A3246" t="s">
        <v>1362</v>
      </c>
      <c r="B3246" t="s">
        <v>479</v>
      </c>
      <c r="C3246" t="s">
        <v>99</v>
      </c>
      <c r="D3246" t="s">
        <v>1338</v>
      </c>
      <c r="E3246" s="17">
        <v>45980</v>
      </c>
      <c r="F3246" s="17">
        <v>45980</v>
      </c>
      <c r="G3246" s="13">
        <v>67.37</v>
      </c>
      <c r="H3246" s="14">
        <v>0</v>
      </c>
      <c r="I3246" s="14">
        <v>0</v>
      </c>
      <c r="J3246" s="14">
        <v>0</v>
      </c>
      <c r="K3246" s="22">
        <v>67.37</v>
      </c>
      <c r="L3246" t="s">
        <v>843</v>
      </c>
      <c r="M3246">
        <f t="shared" si="50"/>
        <v>2025</v>
      </c>
    </row>
    <row r="3247" spans="1:13" ht="12.75" hidden="1" customHeight="1">
      <c r="A3247" t="s">
        <v>914</v>
      </c>
      <c r="B3247" t="s">
        <v>28</v>
      </c>
      <c r="C3247" t="s">
        <v>724</v>
      </c>
      <c r="D3247" t="s">
        <v>1338</v>
      </c>
      <c r="E3247" s="17">
        <v>45980</v>
      </c>
      <c r="F3247" s="17">
        <v>45980</v>
      </c>
      <c r="G3247" s="13">
        <v>3104.88</v>
      </c>
      <c r="H3247" s="14">
        <v>0</v>
      </c>
      <c r="I3247" s="14">
        <v>0</v>
      </c>
      <c r="J3247" s="14">
        <v>0</v>
      </c>
      <c r="K3247" s="22">
        <v>3104.88</v>
      </c>
      <c r="L3247" t="s">
        <v>794</v>
      </c>
      <c r="M3247">
        <f t="shared" si="50"/>
        <v>2025</v>
      </c>
    </row>
    <row r="3248" spans="1:13" ht="12.75" hidden="1" customHeight="1">
      <c r="A3248" t="s">
        <v>914</v>
      </c>
      <c r="B3248" t="s">
        <v>28</v>
      </c>
      <c r="C3248" t="s">
        <v>724</v>
      </c>
      <c r="D3248" t="s">
        <v>1338</v>
      </c>
      <c r="E3248" s="17">
        <v>45980</v>
      </c>
      <c r="F3248" s="17">
        <v>45980</v>
      </c>
      <c r="G3248" s="13">
        <v>824.73</v>
      </c>
      <c r="H3248" s="14">
        <v>0</v>
      </c>
      <c r="I3248" s="14">
        <v>0</v>
      </c>
      <c r="J3248" s="14">
        <v>0</v>
      </c>
      <c r="K3248" s="22">
        <v>824.73</v>
      </c>
      <c r="L3248" t="s">
        <v>794</v>
      </c>
      <c r="M3248">
        <f t="shared" si="50"/>
        <v>2025</v>
      </c>
    </row>
    <row r="3249" spans="1:13" ht="12.75" hidden="1" customHeight="1">
      <c r="A3249" t="s">
        <v>818</v>
      </c>
      <c r="B3249" t="s">
        <v>30</v>
      </c>
      <c r="C3249" t="s">
        <v>141</v>
      </c>
      <c r="D3249" t="s">
        <v>1338</v>
      </c>
      <c r="E3249" s="17">
        <v>45982</v>
      </c>
      <c r="F3249" s="17">
        <v>45982</v>
      </c>
      <c r="G3249" s="13">
        <v>200</v>
      </c>
      <c r="H3249" s="14">
        <v>0</v>
      </c>
      <c r="I3249" s="14">
        <v>0</v>
      </c>
      <c r="J3249" s="14">
        <v>0</v>
      </c>
      <c r="K3249" s="22">
        <v>200</v>
      </c>
      <c r="L3249" t="s">
        <v>794</v>
      </c>
      <c r="M3249">
        <f t="shared" si="50"/>
        <v>2025</v>
      </c>
    </row>
    <row r="3250" spans="1:13" ht="12.75" hidden="1" customHeight="1">
      <c r="A3250" t="s">
        <v>839</v>
      </c>
      <c r="B3250" t="s">
        <v>44</v>
      </c>
      <c r="C3250" t="s">
        <v>722</v>
      </c>
      <c r="D3250" t="s">
        <v>1338</v>
      </c>
      <c r="E3250" s="17">
        <v>45981</v>
      </c>
      <c r="F3250" s="17">
        <v>45982</v>
      </c>
      <c r="G3250" s="13">
        <v>791.23</v>
      </c>
      <c r="H3250" s="14">
        <v>0</v>
      </c>
      <c r="I3250" s="14">
        <v>0</v>
      </c>
      <c r="J3250" s="14">
        <v>0</v>
      </c>
      <c r="K3250" s="22">
        <v>791.23</v>
      </c>
      <c r="L3250" t="s">
        <v>794</v>
      </c>
      <c r="M3250">
        <f t="shared" si="50"/>
        <v>2025</v>
      </c>
    </row>
    <row r="3251" spans="1:13" ht="12.75" hidden="1" customHeight="1">
      <c r="A3251" t="s">
        <v>801</v>
      </c>
      <c r="B3251" t="s">
        <v>13</v>
      </c>
      <c r="C3251" t="s">
        <v>726</v>
      </c>
      <c r="D3251" t="s">
        <v>1338</v>
      </c>
      <c r="E3251" s="17">
        <v>45982</v>
      </c>
      <c r="F3251" s="17">
        <v>45982</v>
      </c>
      <c r="G3251" s="13">
        <v>2.04</v>
      </c>
      <c r="H3251" s="14">
        <v>0</v>
      </c>
      <c r="I3251" s="14">
        <v>0</v>
      </c>
      <c r="J3251" s="14">
        <v>0</v>
      </c>
      <c r="K3251" s="22">
        <v>2.04</v>
      </c>
      <c r="L3251" t="s">
        <v>794</v>
      </c>
      <c r="M3251">
        <f t="shared" si="50"/>
        <v>2025</v>
      </c>
    </row>
    <row r="3252" spans="1:13" ht="12.75" hidden="1" customHeight="1">
      <c r="A3252" t="s">
        <v>1248</v>
      </c>
      <c r="B3252" t="s">
        <v>111</v>
      </c>
      <c r="C3252" t="s">
        <v>183</v>
      </c>
      <c r="D3252" t="s">
        <v>1338</v>
      </c>
      <c r="E3252" s="17">
        <v>45980</v>
      </c>
      <c r="F3252" s="17">
        <v>45985</v>
      </c>
      <c r="G3252" s="13">
        <v>997.5</v>
      </c>
      <c r="H3252" s="14">
        <v>0</v>
      </c>
      <c r="I3252" s="14">
        <v>0</v>
      </c>
      <c r="J3252" s="14">
        <v>0</v>
      </c>
      <c r="K3252" s="22">
        <v>997.5</v>
      </c>
      <c r="L3252" t="s">
        <v>794</v>
      </c>
      <c r="M3252">
        <f t="shared" si="50"/>
        <v>2025</v>
      </c>
    </row>
    <row r="3253" spans="1:13" ht="12.75" hidden="1" customHeight="1">
      <c r="A3253" t="s">
        <v>823</v>
      </c>
      <c r="B3253" t="s">
        <v>245</v>
      </c>
      <c r="C3253" t="s">
        <v>736</v>
      </c>
      <c r="D3253" t="s">
        <v>1338</v>
      </c>
      <c r="E3253" s="17">
        <v>45962</v>
      </c>
      <c r="F3253" s="17">
        <v>45985</v>
      </c>
      <c r="G3253" s="13">
        <v>129.97</v>
      </c>
      <c r="H3253" s="14">
        <v>0</v>
      </c>
      <c r="I3253" s="14">
        <v>0</v>
      </c>
      <c r="J3253" s="14">
        <v>0</v>
      </c>
      <c r="K3253" s="22">
        <v>129.97</v>
      </c>
      <c r="L3253" t="s">
        <v>794</v>
      </c>
      <c r="M3253">
        <f t="shared" si="50"/>
        <v>2025</v>
      </c>
    </row>
    <row r="3254" spans="1:13" ht="12.75" hidden="1" customHeight="1">
      <c r="A3254" t="s">
        <v>905</v>
      </c>
      <c r="B3254" t="s">
        <v>15</v>
      </c>
      <c r="C3254" t="s">
        <v>715</v>
      </c>
      <c r="D3254" t="s">
        <v>1338</v>
      </c>
      <c r="E3254" s="17">
        <v>45980</v>
      </c>
      <c r="F3254" s="17">
        <v>45985</v>
      </c>
      <c r="G3254" s="13">
        <v>13086.86</v>
      </c>
      <c r="H3254" s="14">
        <v>0</v>
      </c>
      <c r="I3254" s="14">
        <v>0</v>
      </c>
      <c r="J3254" s="14">
        <v>0</v>
      </c>
      <c r="K3254" s="22">
        <v>13086.86</v>
      </c>
      <c r="L3254" t="s">
        <v>794</v>
      </c>
      <c r="M3254">
        <f t="shared" si="50"/>
        <v>2025</v>
      </c>
    </row>
    <row r="3255" spans="1:13" ht="12.75" hidden="1" customHeight="1">
      <c r="A3255" t="s">
        <v>905</v>
      </c>
      <c r="B3255" t="s">
        <v>15</v>
      </c>
      <c r="C3255" t="s">
        <v>727</v>
      </c>
      <c r="D3255" t="s">
        <v>1338</v>
      </c>
      <c r="E3255" s="17">
        <v>45980</v>
      </c>
      <c r="F3255" s="17">
        <v>45985</v>
      </c>
      <c r="G3255" s="13">
        <v>2589.25</v>
      </c>
      <c r="H3255" s="14">
        <v>0</v>
      </c>
      <c r="I3255" s="14">
        <v>0</v>
      </c>
      <c r="J3255" s="14">
        <v>0</v>
      </c>
      <c r="K3255" s="22">
        <v>2589.25</v>
      </c>
      <c r="L3255" t="s">
        <v>794</v>
      </c>
      <c r="M3255">
        <f t="shared" si="50"/>
        <v>2025</v>
      </c>
    </row>
    <row r="3256" spans="1:13" ht="12.75" hidden="1" customHeight="1">
      <c r="A3256" t="s">
        <v>1072</v>
      </c>
      <c r="B3256" t="s">
        <v>65</v>
      </c>
      <c r="C3256" t="s">
        <v>756</v>
      </c>
      <c r="D3256" t="s">
        <v>1338</v>
      </c>
      <c r="E3256" s="17">
        <v>45980</v>
      </c>
      <c r="F3256" s="17">
        <v>45985</v>
      </c>
      <c r="G3256" s="13">
        <v>71.56</v>
      </c>
      <c r="H3256" s="14">
        <v>0</v>
      </c>
      <c r="I3256" s="14">
        <v>0</v>
      </c>
      <c r="J3256" s="14">
        <v>0</v>
      </c>
      <c r="K3256" s="22">
        <v>71.56</v>
      </c>
      <c r="L3256" t="s">
        <v>794</v>
      </c>
      <c r="M3256">
        <f t="shared" si="50"/>
        <v>2025</v>
      </c>
    </row>
    <row r="3257" spans="1:13" ht="12.75" hidden="1" customHeight="1">
      <c r="A3257" t="s">
        <v>839</v>
      </c>
      <c r="B3257" t="s">
        <v>44</v>
      </c>
      <c r="C3257" t="s">
        <v>722</v>
      </c>
      <c r="D3257" t="s">
        <v>1338</v>
      </c>
      <c r="E3257" s="17">
        <v>45981</v>
      </c>
      <c r="F3257" s="17">
        <v>45985</v>
      </c>
      <c r="G3257" s="13">
        <v>941.56000000000006</v>
      </c>
      <c r="H3257" s="14">
        <v>0</v>
      </c>
      <c r="I3257" s="14">
        <v>0</v>
      </c>
      <c r="J3257" s="14">
        <v>0</v>
      </c>
      <c r="K3257" s="22">
        <v>941.56000000000006</v>
      </c>
      <c r="L3257" t="s">
        <v>794</v>
      </c>
      <c r="M3257">
        <f t="shared" si="50"/>
        <v>2025</v>
      </c>
    </row>
    <row r="3258" spans="1:13" ht="12.75" hidden="1" customHeight="1">
      <c r="A3258" t="s">
        <v>1069</v>
      </c>
      <c r="B3258" t="s">
        <v>147</v>
      </c>
      <c r="C3258" t="s">
        <v>738</v>
      </c>
      <c r="D3258" t="s">
        <v>1338</v>
      </c>
      <c r="E3258" s="17">
        <v>45981</v>
      </c>
      <c r="F3258" s="17">
        <v>45985</v>
      </c>
      <c r="G3258" s="13">
        <v>350</v>
      </c>
      <c r="H3258" s="14">
        <v>0</v>
      </c>
      <c r="I3258" s="14">
        <v>0</v>
      </c>
      <c r="J3258" s="14">
        <v>0</v>
      </c>
      <c r="K3258" s="22">
        <v>350</v>
      </c>
      <c r="L3258" t="s">
        <v>794</v>
      </c>
      <c r="M3258">
        <f t="shared" si="50"/>
        <v>2025</v>
      </c>
    </row>
    <row r="3259" spans="1:13" ht="12.75" hidden="1" customHeight="1">
      <c r="A3259" t="s">
        <v>1363</v>
      </c>
      <c r="B3259" t="s">
        <v>180</v>
      </c>
      <c r="C3259" t="s">
        <v>398</v>
      </c>
      <c r="D3259" t="s">
        <v>1338</v>
      </c>
      <c r="E3259" s="17">
        <v>45985</v>
      </c>
      <c r="F3259" s="17">
        <v>45985</v>
      </c>
      <c r="G3259" s="13">
        <v>4500</v>
      </c>
      <c r="H3259" s="14">
        <v>0</v>
      </c>
      <c r="I3259" s="14">
        <v>0</v>
      </c>
      <c r="J3259" s="14">
        <v>0</v>
      </c>
      <c r="K3259" s="22">
        <v>4500</v>
      </c>
      <c r="L3259" t="s">
        <v>794</v>
      </c>
      <c r="M3259">
        <f t="shared" si="50"/>
        <v>2025</v>
      </c>
    </row>
    <row r="3260" spans="1:13" ht="12.75" hidden="1" customHeight="1">
      <c r="A3260" t="s">
        <v>801</v>
      </c>
      <c r="B3260" t="s">
        <v>13</v>
      </c>
      <c r="C3260" t="s">
        <v>726</v>
      </c>
      <c r="D3260" t="s">
        <v>1338</v>
      </c>
      <c r="E3260" s="17">
        <v>45985</v>
      </c>
      <c r="F3260" s="17">
        <v>45985</v>
      </c>
      <c r="G3260" s="13">
        <v>6.12</v>
      </c>
      <c r="H3260" s="14">
        <v>0</v>
      </c>
      <c r="I3260" s="14">
        <v>0</v>
      </c>
      <c r="J3260" s="14">
        <v>0</v>
      </c>
      <c r="K3260" s="22">
        <v>6.12</v>
      </c>
      <c r="L3260" t="s">
        <v>794</v>
      </c>
      <c r="M3260">
        <f t="shared" si="50"/>
        <v>2025</v>
      </c>
    </row>
    <row r="3261" spans="1:13" ht="12.75" hidden="1" customHeight="1">
      <c r="A3261" t="s">
        <v>1364</v>
      </c>
      <c r="B3261" t="s">
        <v>445</v>
      </c>
      <c r="C3261" t="s">
        <v>745</v>
      </c>
      <c r="D3261" t="s">
        <v>1338</v>
      </c>
      <c r="E3261" s="17">
        <v>45979</v>
      </c>
      <c r="F3261" s="17">
        <v>45986</v>
      </c>
      <c r="G3261" s="13">
        <v>250</v>
      </c>
      <c r="H3261" s="14">
        <v>0</v>
      </c>
      <c r="I3261" s="14">
        <v>0</v>
      </c>
      <c r="J3261" s="14">
        <v>0</v>
      </c>
      <c r="K3261" s="22">
        <v>250</v>
      </c>
      <c r="L3261" t="s">
        <v>794</v>
      </c>
      <c r="M3261">
        <f t="shared" si="50"/>
        <v>2025</v>
      </c>
    </row>
    <row r="3262" spans="1:13" ht="12.75" hidden="1" customHeight="1">
      <c r="A3262" t="s">
        <v>1316</v>
      </c>
      <c r="B3262" t="s">
        <v>59</v>
      </c>
      <c r="C3262" t="s">
        <v>141</v>
      </c>
      <c r="D3262" t="s">
        <v>1338</v>
      </c>
      <c r="E3262" s="17">
        <v>45985</v>
      </c>
      <c r="F3262" s="17">
        <v>45986</v>
      </c>
      <c r="G3262" s="13">
        <v>40</v>
      </c>
      <c r="H3262" s="14">
        <v>0</v>
      </c>
      <c r="I3262" s="14">
        <v>0</v>
      </c>
      <c r="J3262" s="14">
        <v>0</v>
      </c>
      <c r="K3262" s="22">
        <v>40</v>
      </c>
      <c r="L3262" t="s">
        <v>794</v>
      </c>
      <c r="M3262">
        <f t="shared" si="50"/>
        <v>2025</v>
      </c>
    </row>
    <row r="3263" spans="1:13" ht="12.75" hidden="1" customHeight="1">
      <c r="A3263" t="s">
        <v>1181</v>
      </c>
      <c r="B3263" t="s">
        <v>75</v>
      </c>
      <c r="C3263" t="s">
        <v>141</v>
      </c>
      <c r="D3263" t="s">
        <v>1338</v>
      </c>
      <c r="E3263" s="17">
        <v>45985</v>
      </c>
      <c r="F3263" s="17">
        <v>45986</v>
      </c>
      <c r="G3263" s="13">
        <v>212</v>
      </c>
      <c r="H3263" s="14">
        <v>0</v>
      </c>
      <c r="I3263" s="14">
        <v>0</v>
      </c>
      <c r="J3263" s="14">
        <v>0</v>
      </c>
      <c r="K3263" s="22">
        <v>212</v>
      </c>
      <c r="L3263" t="s">
        <v>794</v>
      </c>
      <c r="M3263">
        <f t="shared" si="50"/>
        <v>2025</v>
      </c>
    </row>
    <row r="3264" spans="1:13" ht="12.75" hidden="1" customHeight="1">
      <c r="A3264" t="s">
        <v>957</v>
      </c>
      <c r="B3264" t="s">
        <v>236</v>
      </c>
      <c r="C3264" t="s">
        <v>141</v>
      </c>
      <c r="D3264" t="s">
        <v>1338</v>
      </c>
      <c r="E3264" s="17">
        <v>45985</v>
      </c>
      <c r="F3264" s="17">
        <v>45986</v>
      </c>
      <c r="G3264" s="13">
        <v>88</v>
      </c>
      <c r="H3264" s="14">
        <v>0</v>
      </c>
      <c r="I3264" s="14">
        <v>0</v>
      </c>
      <c r="J3264" s="14">
        <v>0</v>
      </c>
      <c r="K3264" s="22">
        <v>88</v>
      </c>
      <c r="L3264" t="s">
        <v>794</v>
      </c>
      <c r="M3264">
        <f t="shared" si="50"/>
        <v>2025</v>
      </c>
    </row>
    <row r="3265" spans="1:13" ht="12.75" hidden="1" customHeight="1">
      <c r="A3265" t="s">
        <v>1334</v>
      </c>
      <c r="B3265" t="s">
        <v>352</v>
      </c>
      <c r="C3265" t="s">
        <v>714</v>
      </c>
      <c r="D3265" t="s">
        <v>1338</v>
      </c>
      <c r="E3265" s="17">
        <v>45985</v>
      </c>
      <c r="F3265" s="17">
        <v>45986</v>
      </c>
      <c r="G3265" s="13">
        <v>370</v>
      </c>
      <c r="H3265" s="14">
        <v>0</v>
      </c>
      <c r="I3265" s="14">
        <v>0</v>
      </c>
      <c r="J3265" s="14">
        <v>0</v>
      </c>
      <c r="K3265" s="22">
        <v>370</v>
      </c>
      <c r="L3265" t="s">
        <v>794</v>
      </c>
      <c r="M3265">
        <f t="shared" si="50"/>
        <v>2025</v>
      </c>
    </row>
    <row r="3266" spans="1:13" ht="12.75" hidden="1" customHeight="1">
      <c r="A3266" t="s">
        <v>879</v>
      </c>
      <c r="B3266" t="s">
        <v>23</v>
      </c>
      <c r="C3266" t="s">
        <v>716</v>
      </c>
      <c r="D3266" t="s">
        <v>1338</v>
      </c>
      <c r="E3266" s="17">
        <v>45985</v>
      </c>
      <c r="F3266" s="17">
        <v>45986</v>
      </c>
      <c r="G3266" s="13">
        <v>2897.44</v>
      </c>
      <c r="H3266" s="14">
        <v>0</v>
      </c>
      <c r="I3266" s="14">
        <v>0</v>
      </c>
      <c r="J3266" s="14">
        <v>0</v>
      </c>
      <c r="K3266" s="22">
        <v>2897.44</v>
      </c>
      <c r="L3266" t="s">
        <v>794</v>
      </c>
      <c r="M3266">
        <f t="shared" si="50"/>
        <v>2025</v>
      </c>
    </row>
    <row r="3267" spans="1:13" ht="12.75" hidden="1" customHeight="1">
      <c r="A3267" t="s">
        <v>896</v>
      </c>
      <c r="B3267" t="s">
        <v>293</v>
      </c>
      <c r="C3267" t="s">
        <v>766</v>
      </c>
      <c r="D3267" t="s">
        <v>1338</v>
      </c>
      <c r="E3267" s="17">
        <v>45987</v>
      </c>
      <c r="F3267" s="17">
        <v>45987</v>
      </c>
      <c r="G3267" s="13">
        <v>34.99</v>
      </c>
      <c r="H3267" s="14">
        <v>0</v>
      </c>
      <c r="I3267" s="14">
        <v>0</v>
      </c>
      <c r="J3267" s="14">
        <v>0</v>
      </c>
      <c r="K3267" s="22">
        <v>34.99</v>
      </c>
      <c r="L3267" t="s">
        <v>794</v>
      </c>
      <c r="M3267">
        <f t="shared" ref="M3267:M3330" si="51">YEAR(F3267)</f>
        <v>2025</v>
      </c>
    </row>
    <row r="3268" spans="1:13" ht="12.75" hidden="1" customHeight="1">
      <c r="A3268" t="s">
        <v>801</v>
      </c>
      <c r="B3268" t="s">
        <v>13</v>
      </c>
      <c r="C3268" t="s">
        <v>726</v>
      </c>
      <c r="D3268" t="s">
        <v>1338</v>
      </c>
      <c r="E3268" s="17">
        <v>45987</v>
      </c>
      <c r="F3268" s="17">
        <v>45987</v>
      </c>
      <c r="G3268" s="13">
        <v>5</v>
      </c>
      <c r="H3268" s="14">
        <v>0</v>
      </c>
      <c r="I3268" s="14">
        <v>0</v>
      </c>
      <c r="J3268" s="14">
        <v>0</v>
      </c>
      <c r="K3268" s="22">
        <v>5</v>
      </c>
      <c r="L3268" t="s">
        <v>794</v>
      </c>
      <c r="M3268">
        <f t="shared" si="51"/>
        <v>2025</v>
      </c>
    </row>
    <row r="3269" spans="1:13" ht="12.75" hidden="1" customHeight="1">
      <c r="A3269" t="s">
        <v>801</v>
      </c>
      <c r="B3269" t="s">
        <v>13</v>
      </c>
      <c r="C3269" t="s">
        <v>726</v>
      </c>
      <c r="D3269" t="s">
        <v>1338</v>
      </c>
      <c r="E3269" s="17">
        <v>45986</v>
      </c>
      <c r="F3269" s="17">
        <v>45987</v>
      </c>
      <c r="G3269" s="13">
        <v>2.04</v>
      </c>
      <c r="H3269" s="14">
        <v>0</v>
      </c>
      <c r="I3269" s="14">
        <v>0</v>
      </c>
      <c r="J3269" s="14">
        <v>0</v>
      </c>
      <c r="K3269" s="22">
        <v>2.04</v>
      </c>
      <c r="L3269" t="s">
        <v>794</v>
      </c>
      <c r="M3269">
        <f t="shared" si="51"/>
        <v>2025</v>
      </c>
    </row>
    <row r="3270" spans="1:13" ht="12.75" hidden="1" customHeight="1">
      <c r="A3270" t="s">
        <v>801</v>
      </c>
      <c r="B3270" t="s">
        <v>13</v>
      </c>
      <c r="C3270" t="s">
        <v>726</v>
      </c>
      <c r="D3270" t="s">
        <v>1338</v>
      </c>
      <c r="E3270" s="17">
        <v>45987</v>
      </c>
      <c r="F3270" s="17">
        <v>45987</v>
      </c>
      <c r="G3270" s="13">
        <v>2.04</v>
      </c>
      <c r="H3270" s="14">
        <v>0</v>
      </c>
      <c r="I3270" s="14">
        <v>0</v>
      </c>
      <c r="J3270" s="14">
        <v>0</v>
      </c>
      <c r="K3270" s="22">
        <v>2.04</v>
      </c>
      <c r="L3270" t="s">
        <v>794</v>
      </c>
      <c r="M3270">
        <f t="shared" si="51"/>
        <v>2025</v>
      </c>
    </row>
    <row r="3271" spans="1:13" ht="12.75" hidden="1" customHeight="1">
      <c r="A3271" t="s">
        <v>895</v>
      </c>
      <c r="B3271" t="s">
        <v>155</v>
      </c>
      <c r="C3271" t="s">
        <v>384</v>
      </c>
      <c r="D3271" t="s">
        <v>1338</v>
      </c>
      <c r="E3271" s="17">
        <v>45986</v>
      </c>
      <c r="F3271" s="17">
        <v>45987</v>
      </c>
      <c r="G3271" s="13">
        <v>391.29</v>
      </c>
      <c r="H3271" s="14">
        <v>0</v>
      </c>
      <c r="I3271" s="14">
        <v>0</v>
      </c>
      <c r="J3271" s="14">
        <v>0</v>
      </c>
      <c r="K3271" s="22">
        <v>391.29</v>
      </c>
      <c r="L3271" t="s">
        <v>794</v>
      </c>
      <c r="M3271">
        <f t="shared" si="51"/>
        <v>2025</v>
      </c>
    </row>
    <row r="3272" spans="1:13" ht="12.75" hidden="1" customHeight="1">
      <c r="A3272" t="s">
        <v>1163</v>
      </c>
      <c r="B3272" t="s">
        <v>94</v>
      </c>
      <c r="C3272" t="s">
        <v>721</v>
      </c>
      <c r="D3272" t="s">
        <v>1338</v>
      </c>
      <c r="E3272" s="17">
        <v>45988</v>
      </c>
      <c r="F3272" s="17">
        <v>45987</v>
      </c>
      <c r="G3272" s="13">
        <v>1800</v>
      </c>
      <c r="H3272" s="14">
        <v>0</v>
      </c>
      <c r="I3272" s="14">
        <v>0</v>
      </c>
      <c r="J3272" s="14">
        <v>0</v>
      </c>
      <c r="K3272" s="22">
        <v>1800</v>
      </c>
      <c r="L3272" t="s">
        <v>794</v>
      </c>
      <c r="M3272">
        <f t="shared" si="51"/>
        <v>2025</v>
      </c>
    </row>
    <row r="3273" spans="1:13" ht="12.75" hidden="1" customHeight="1">
      <c r="A3273" t="s">
        <v>935</v>
      </c>
      <c r="B3273" t="s">
        <v>158</v>
      </c>
      <c r="C3273" t="s">
        <v>741</v>
      </c>
      <c r="D3273" t="s">
        <v>1338</v>
      </c>
      <c r="E3273" s="17">
        <v>45986</v>
      </c>
      <c r="F3273" s="17">
        <v>45987</v>
      </c>
      <c r="G3273" s="13">
        <v>377.43</v>
      </c>
      <c r="H3273" s="14">
        <v>0</v>
      </c>
      <c r="I3273" s="14">
        <v>0</v>
      </c>
      <c r="J3273" s="14">
        <v>0</v>
      </c>
      <c r="K3273" s="22">
        <v>377.43</v>
      </c>
      <c r="L3273" t="s">
        <v>794</v>
      </c>
      <c r="M3273">
        <f t="shared" si="51"/>
        <v>2025</v>
      </c>
    </row>
    <row r="3274" spans="1:13" ht="12.75" hidden="1" customHeight="1">
      <c r="A3274" t="s">
        <v>1305</v>
      </c>
      <c r="B3274" t="s">
        <v>96</v>
      </c>
      <c r="C3274" t="s">
        <v>183</v>
      </c>
      <c r="D3274" t="s">
        <v>1338</v>
      </c>
      <c r="E3274" s="17">
        <v>45986</v>
      </c>
      <c r="F3274" s="17">
        <v>45987</v>
      </c>
      <c r="G3274" s="13">
        <v>1306.54</v>
      </c>
      <c r="H3274" s="14">
        <v>0</v>
      </c>
      <c r="I3274" s="14">
        <v>0</v>
      </c>
      <c r="J3274" s="14">
        <v>0</v>
      </c>
      <c r="K3274" s="22">
        <v>1306.54</v>
      </c>
      <c r="L3274" t="s">
        <v>794</v>
      </c>
      <c r="M3274">
        <f t="shared" si="51"/>
        <v>2025</v>
      </c>
    </row>
    <row r="3275" spans="1:13" ht="12.75" hidden="1" customHeight="1">
      <c r="A3275" t="s">
        <v>1134</v>
      </c>
      <c r="B3275" t="s">
        <v>33</v>
      </c>
      <c r="C3275" t="s">
        <v>681</v>
      </c>
      <c r="D3275" t="s">
        <v>1338</v>
      </c>
      <c r="E3275" s="17">
        <v>45987</v>
      </c>
      <c r="F3275" s="17">
        <v>45987</v>
      </c>
      <c r="G3275" s="13">
        <v>171.19</v>
      </c>
      <c r="H3275" s="14">
        <v>0</v>
      </c>
      <c r="I3275" s="14">
        <v>0</v>
      </c>
      <c r="J3275" s="14">
        <v>0</v>
      </c>
      <c r="K3275" s="22">
        <v>171.19</v>
      </c>
      <c r="L3275" t="s">
        <v>794</v>
      </c>
      <c r="M3275">
        <f t="shared" si="51"/>
        <v>2025</v>
      </c>
    </row>
    <row r="3276" spans="1:13" ht="12.75" hidden="1" customHeight="1">
      <c r="A3276" t="s">
        <v>1365</v>
      </c>
      <c r="B3276" t="s">
        <v>690</v>
      </c>
      <c r="C3276" t="s">
        <v>733</v>
      </c>
      <c r="D3276" t="s">
        <v>1338</v>
      </c>
      <c r="E3276" s="17">
        <v>45987</v>
      </c>
      <c r="F3276" s="17">
        <v>45987</v>
      </c>
      <c r="G3276" s="13">
        <v>15.200000000000001</v>
      </c>
      <c r="H3276" s="14">
        <v>0</v>
      </c>
      <c r="I3276" s="14">
        <v>0</v>
      </c>
      <c r="J3276" s="14">
        <v>0</v>
      </c>
      <c r="K3276" s="22">
        <v>15.200000000000001</v>
      </c>
      <c r="L3276" t="s">
        <v>794</v>
      </c>
      <c r="M3276">
        <f t="shared" si="51"/>
        <v>2025</v>
      </c>
    </row>
    <row r="3277" spans="1:13" ht="12.75" hidden="1" customHeight="1">
      <c r="A3277" t="s">
        <v>1366</v>
      </c>
      <c r="B3277" t="s">
        <v>292</v>
      </c>
      <c r="C3277" t="s">
        <v>438</v>
      </c>
      <c r="D3277" t="s">
        <v>1338</v>
      </c>
      <c r="E3277" s="17">
        <v>45987</v>
      </c>
      <c r="F3277" s="17">
        <v>45987</v>
      </c>
      <c r="G3277" s="13">
        <v>1378</v>
      </c>
      <c r="H3277" s="14">
        <v>0</v>
      </c>
      <c r="I3277" s="14">
        <v>0</v>
      </c>
      <c r="J3277" s="14">
        <v>0</v>
      </c>
      <c r="K3277" s="22">
        <v>1378</v>
      </c>
      <c r="L3277" t="s">
        <v>794</v>
      </c>
      <c r="M3277">
        <f t="shared" si="51"/>
        <v>2025</v>
      </c>
    </row>
    <row r="3278" spans="1:13" ht="12.75" hidden="1" customHeight="1">
      <c r="A3278" t="s">
        <v>801</v>
      </c>
      <c r="B3278" t="s">
        <v>13</v>
      </c>
      <c r="C3278" t="s">
        <v>718</v>
      </c>
      <c r="D3278" t="s">
        <v>1338</v>
      </c>
      <c r="E3278" s="17">
        <v>45987</v>
      </c>
      <c r="F3278" s="17">
        <v>45987</v>
      </c>
      <c r="G3278" s="13">
        <v>13841.25</v>
      </c>
      <c r="H3278" s="14">
        <v>0</v>
      </c>
      <c r="I3278" s="14">
        <v>0</v>
      </c>
      <c r="J3278" s="14">
        <v>0</v>
      </c>
      <c r="K3278" s="22">
        <v>13841.25</v>
      </c>
      <c r="L3278" t="s">
        <v>794</v>
      </c>
      <c r="M3278">
        <f t="shared" si="51"/>
        <v>2025</v>
      </c>
    </row>
    <row r="3279" spans="1:13" ht="12.75" hidden="1" customHeight="1">
      <c r="A3279" t="s">
        <v>801</v>
      </c>
      <c r="B3279" t="s">
        <v>13</v>
      </c>
      <c r="C3279" t="s">
        <v>717</v>
      </c>
      <c r="D3279" t="s">
        <v>1338</v>
      </c>
      <c r="E3279" s="17">
        <v>45987</v>
      </c>
      <c r="F3279" s="17">
        <v>45987</v>
      </c>
      <c r="G3279" s="13">
        <v>1619.94</v>
      </c>
      <c r="H3279" s="14">
        <v>0</v>
      </c>
      <c r="I3279" s="14">
        <v>0</v>
      </c>
      <c r="J3279" s="14">
        <v>0</v>
      </c>
      <c r="K3279" s="22">
        <v>1619.94</v>
      </c>
      <c r="L3279" t="s">
        <v>794</v>
      </c>
      <c r="M3279">
        <f t="shared" si="51"/>
        <v>2025</v>
      </c>
    </row>
    <row r="3280" spans="1:13" ht="12.75" hidden="1" customHeight="1">
      <c r="A3280" t="s">
        <v>896</v>
      </c>
      <c r="B3280" t="s">
        <v>293</v>
      </c>
      <c r="C3280" t="s">
        <v>733</v>
      </c>
      <c r="D3280" t="s">
        <v>1338</v>
      </c>
      <c r="E3280" s="17">
        <v>45989</v>
      </c>
      <c r="F3280" s="17">
        <v>45987</v>
      </c>
      <c r="G3280" s="13">
        <v>16.98</v>
      </c>
      <c r="H3280" s="14">
        <v>0</v>
      </c>
      <c r="I3280" s="14">
        <v>0</v>
      </c>
      <c r="J3280" s="14">
        <v>0</v>
      </c>
      <c r="K3280" s="22">
        <v>16.98</v>
      </c>
      <c r="L3280" t="s">
        <v>794</v>
      </c>
      <c r="M3280">
        <f t="shared" si="51"/>
        <v>2025</v>
      </c>
    </row>
    <row r="3281" spans="1:13" ht="12.75" hidden="1" customHeight="1">
      <c r="A3281" t="s">
        <v>1367</v>
      </c>
      <c r="B3281" t="s">
        <v>356</v>
      </c>
      <c r="C3281" t="s">
        <v>715</v>
      </c>
      <c r="D3281" t="s">
        <v>1338</v>
      </c>
      <c r="E3281" s="17">
        <v>45987</v>
      </c>
      <c r="F3281" s="17">
        <v>45987</v>
      </c>
      <c r="G3281" s="13">
        <v>716.91</v>
      </c>
      <c r="H3281" s="14">
        <v>0</v>
      </c>
      <c r="I3281" s="14">
        <v>0</v>
      </c>
      <c r="J3281" s="14">
        <v>0</v>
      </c>
      <c r="K3281" s="22">
        <v>716.91</v>
      </c>
      <c r="L3281" t="s">
        <v>794</v>
      </c>
      <c r="M3281">
        <f t="shared" si="51"/>
        <v>2025</v>
      </c>
    </row>
    <row r="3282" spans="1:13" ht="12.75" hidden="1" customHeight="1">
      <c r="A3282" t="s">
        <v>1210</v>
      </c>
      <c r="B3282" t="s">
        <v>22</v>
      </c>
      <c r="C3282" t="s">
        <v>717</v>
      </c>
      <c r="D3282" t="s">
        <v>1338</v>
      </c>
      <c r="E3282" s="17">
        <v>45981</v>
      </c>
      <c r="F3282" s="17">
        <v>45987</v>
      </c>
      <c r="G3282" s="13">
        <v>2890</v>
      </c>
      <c r="H3282" s="14">
        <v>0</v>
      </c>
      <c r="I3282" s="14">
        <v>0</v>
      </c>
      <c r="J3282" s="14">
        <v>0</v>
      </c>
      <c r="K3282" s="22">
        <v>2890</v>
      </c>
      <c r="L3282" t="s">
        <v>794</v>
      </c>
      <c r="M3282">
        <f t="shared" si="51"/>
        <v>2025</v>
      </c>
    </row>
    <row r="3283" spans="1:13" ht="12.75" hidden="1" customHeight="1">
      <c r="A3283" t="s">
        <v>801</v>
      </c>
      <c r="B3283" t="s">
        <v>13</v>
      </c>
      <c r="C3283" t="s">
        <v>726</v>
      </c>
      <c r="D3283" t="s">
        <v>1338</v>
      </c>
      <c r="E3283" s="17">
        <v>45987</v>
      </c>
      <c r="F3283" s="17">
        <v>45989</v>
      </c>
      <c r="G3283" s="13">
        <v>2.04</v>
      </c>
      <c r="H3283" s="14">
        <v>0</v>
      </c>
      <c r="I3283" s="14">
        <v>0</v>
      </c>
      <c r="J3283" s="14">
        <v>0</v>
      </c>
      <c r="K3283" s="22">
        <v>2.04</v>
      </c>
      <c r="L3283" t="s">
        <v>794</v>
      </c>
      <c r="M3283">
        <f t="shared" si="51"/>
        <v>2025</v>
      </c>
    </row>
    <row r="3284" spans="1:13" ht="12.75" hidden="1" customHeight="1">
      <c r="A3284" t="s">
        <v>801</v>
      </c>
      <c r="B3284" t="s">
        <v>13</v>
      </c>
      <c r="C3284" t="s">
        <v>726</v>
      </c>
      <c r="D3284" t="s">
        <v>1338</v>
      </c>
      <c r="E3284" s="17">
        <v>45987</v>
      </c>
      <c r="F3284" s="17">
        <v>45989</v>
      </c>
      <c r="G3284" s="13">
        <v>2.04</v>
      </c>
      <c r="H3284" s="14">
        <v>0</v>
      </c>
      <c r="I3284" s="14">
        <v>0</v>
      </c>
      <c r="J3284" s="14">
        <v>0</v>
      </c>
      <c r="K3284" s="22">
        <v>2.04</v>
      </c>
      <c r="L3284" t="s">
        <v>794</v>
      </c>
      <c r="M3284">
        <f t="shared" si="51"/>
        <v>2025</v>
      </c>
    </row>
    <row r="3285" spans="1:13" ht="12.75" hidden="1" customHeight="1">
      <c r="A3285" t="s">
        <v>1368</v>
      </c>
      <c r="B3285" t="s">
        <v>685</v>
      </c>
      <c r="C3285" t="s">
        <v>733</v>
      </c>
      <c r="D3285" t="s">
        <v>1338</v>
      </c>
      <c r="E3285" s="17">
        <v>45987</v>
      </c>
      <c r="F3285" s="17">
        <v>45989</v>
      </c>
      <c r="G3285" s="13">
        <v>16.46</v>
      </c>
      <c r="H3285" s="14">
        <v>0</v>
      </c>
      <c r="I3285" s="14">
        <v>0</v>
      </c>
      <c r="J3285" s="14">
        <v>0</v>
      </c>
      <c r="K3285" s="22">
        <v>16.46</v>
      </c>
      <c r="L3285" t="s">
        <v>794</v>
      </c>
      <c r="M3285">
        <f t="shared" si="51"/>
        <v>2025</v>
      </c>
    </row>
    <row r="3286" spans="1:13" ht="12.75" hidden="1" customHeight="1">
      <c r="A3286" t="s">
        <v>1009</v>
      </c>
      <c r="B3286" t="s">
        <v>62</v>
      </c>
      <c r="C3286" t="s">
        <v>731</v>
      </c>
      <c r="D3286" t="s">
        <v>1338</v>
      </c>
      <c r="E3286" s="17">
        <v>45989</v>
      </c>
      <c r="F3286" s="17">
        <v>45989</v>
      </c>
      <c r="G3286" s="13">
        <v>509</v>
      </c>
      <c r="H3286" s="14">
        <v>0</v>
      </c>
      <c r="I3286" s="14">
        <v>0</v>
      </c>
      <c r="J3286" s="14">
        <v>0</v>
      </c>
      <c r="K3286" s="22">
        <v>509</v>
      </c>
      <c r="L3286" t="s">
        <v>794</v>
      </c>
      <c r="M3286">
        <f t="shared" si="51"/>
        <v>2025</v>
      </c>
    </row>
    <row r="3287" spans="1:13" ht="12.75" hidden="1" customHeight="1">
      <c r="A3287" t="s">
        <v>1141</v>
      </c>
      <c r="B3287" t="s">
        <v>69</v>
      </c>
      <c r="C3287" t="s">
        <v>731</v>
      </c>
      <c r="D3287" t="s">
        <v>1338</v>
      </c>
      <c r="E3287" s="17">
        <v>45989</v>
      </c>
      <c r="F3287" s="17">
        <v>45989</v>
      </c>
      <c r="G3287" s="13">
        <v>532</v>
      </c>
      <c r="H3287" s="14">
        <v>0</v>
      </c>
      <c r="I3287" s="14">
        <v>0</v>
      </c>
      <c r="J3287" s="14">
        <v>0</v>
      </c>
      <c r="K3287" s="22">
        <v>532</v>
      </c>
      <c r="L3287" t="s">
        <v>794</v>
      </c>
      <c r="M3287">
        <f t="shared" si="51"/>
        <v>2025</v>
      </c>
    </row>
    <row r="3288" spans="1:13" ht="12.75" hidden="1" customHeight="1">
      <c r="A3288" t="s">
        <v>819</v>
      </c>
      <c r="B3288" t="s">
        <v>38</v>
      </c>
      <c r="C3288" t="s">
        <v>731</v>
      </c>
      <c r="D3288" t="s">
        <v>1338</v>
      </c>
      <c r="E3288" s="17">
        <v>45989</v>
      </c>
      <c r="F3288" s="17">
        <v>45989</v>
      </c>
      <c r="G3288" s="13">
        <v>608</v>
      </c>
      <c r="H3288" s="14">
        <v>0</v>
      </c>
      <c r="I3288" s="14">
        <v>0</v>
      </c>
      <c r="J3288" s="14">
        <v>0</v>
      </c>
      <c r="K3288" s="22">
        <v>608</v>
      </c>
      <c r="L3288" t="s">
        <v>794</v>
      </c>
      <c r="M3288">
        <f t="shared" si="51"/>
        <v>2025</v>
      </c>
    </row>
    <row r="3289" spans="1:13" ht="12.75" hidden="1" customHeight="1">
      <c r="A3289" t="s">
        <v>825</v>
      </c>
      <c r="B3289" t="s">
        <v>46</v>
      </c>
      <c r="C3289" t="s">
        <v>731</v>
      </c>
      <c r="D3289" t="s">
        <v>1338</v>
      </c>
      <c r="E3289" s="17">
        <v>45989</v>
      </c>
      <c r="F3289" s="17">
        <v>45989</v>
      </c>
      <c r="G3289" s="13">
        <v>911</v>
      </c>
      <c r="H3289" s="14">
        <v>0</v>
      </c>
      <c r="I3289" s="14">
        <v>0</v>
      </c>
      <c r="J3289" s="14">
        <v>0</v>
      </c>
      <c r="K3289" s="22">
        <v>911</v>
      </c>
      <c r="L3289" t="s">
        <v>794</v>
      </c>
      <c r="M3289">
        <f t="shared" si="51"/>
        <v>2025</v>
      </c>
    </row>
    <row r="3290" spans="1:13" ht="12.75" hidden="1" customHeight="1">
      <c r="A3290" t="s">
        <v>1105</v>
      </c>
      <c r="B3290" t="s">
        <v>84</v>
      </c>
      <c r="C3290" t="s">
        <v>731</v>
      </c>
      <c r="D3290" t="s">
        <v>1338</v>
      </c>
      <c r="E3290" s="17">
        <v>45989</v>
      </c>
      <c r="F3290" s="17">
        <v>45989</v>
      </c>
      <c r="G3290" s="13">
        <v>608</v>
      </c>
      <c r="H3290" s="14">
        <v>0</v>
      </c>
      <c r="I3290" s="14">
        <v>0</v>
      </c>
      <c r="J3290" s="14">
        <v>0</v>
      </c>
      <c r="K3290" s="22">
        <v>608</v>
      </c>
      <c r="L3290" t="s">
        <v>794</v>
      </c>
      <c r="M3290">
        <f t="shared" si="51"/>
        <v>2025</v>
      </c>
    </row>
    <row r="3291" spans="1:13" ht="12.75" hidden="1" customHeight="1">
      <c r="A3291" t="s">
        <v>836</v>
      </c>
      <c r="B3291" t="s">
        <v>37</v>
      </c>
      <c r="C3291" t="s">
        <v>731</v>
      </c>
      <c r="D3291" t="s">
        <v>1338</v>
      </c>
      <c r="E3291" s="17">
        <v>45989</v>
      </c>
      <c r="F3291" s="17">
        <v>45989</v>
      </c>
      <c r="G3291" s="13">
        <v>684</v>
      </c>
      <c r="H3291" s="14">
        <v>0</v>
      </c>
      <c r="I3291" s="14">
        <v>0</v>
      </c>
      <c r="J3291" s="14">
        <v>0</v>
      </c>
      <c r="K3291" s="22">
        <v>684</v>
      </c>
      <c r="L3291" t="s">
        <v>794</v>
      </c>
      <c r="M3291">
        <f t="shared" si="51"/>
        <v>2025</v>
      </c>
    </row>
    <row r="3292" spans="1:13" ht="12.75" hidden="1" customHeight="1">
      <c r="A3292" t="s">
        <v>811</v>
      </c>
      <c r="B3292" t="s">
        <v>39</v>
      </c>
      <c r="C3292" t="s">
        <v>731</v>
      </c>
      <c r="D3292" t="s">
        <v>1338</v>
      </c>
      <c r="E3292" s="17">
        <v>45989</v>
      </c>
      <c r="F3292" s="17">
        <v>45989</v>
      </c>
      <c r="G3292" s="13">
        <v>911</v>
      </c>
      <c r="H3292" s="14">
        <v>0</v>
      </c>
      <c r="I3292" s="14">
        <v>0</v>
      </c>
      <c r="J3292" s="14">
        <v>0</v>
      </c>
      <c r="K3292" s="22">
        <v>911</v>
      </c>
      <c r="L3292" t="s">
        <v>794</v>
      </c>
      <c r="M3292">
        <f t="shared" si="51"/>
        <v>2025</v>
      </c>
    </row>
    <row r="3293" spans="1:13" ht="12.75" hidden="1" customHeight="1">
      <c r="A3293" t="s">
        <v>826</v>
      </c>
      <c r="B3293" t="s">
        <v>21</v>
      </c>
      <c r="C3293" t="s">
        <v>731</v>
      </c>
      <c r="D3293" t="s">
        <v>1338</v>
      </c>
      <c r="E3293" s="17">
        <v>45989</v>
      </c>
      <c r="F3293" s="17">
        <v>45989</v>
      </c>
      <c r="G3293" s="13">
        <v>1318</v>
      </c>
      <c r="H3293" s="14">
        <v>0</v>
      </c>
      <c r="I3293" s="14">
        <v>0</v>
      </c>
      <c r="J3293" s="14">
        <v>0</v>
      </c>
      <c r="K3293" s="22">
        <v>1318</v>
      </c>
      <c r="L3293" t="s">
        <v>794</v>
      </c>
      <c r="M3293">
        <f t="shared" si="51"/>
        <v>2025</v>
      </c>
    </row>
    <row r="3294" spans="1:13" ht="12.75" hidden="1" customHeight="1">
      <c r="A3294" t="s">
        <v>1134</v>
      </c>
      <c r="B3294" t="s">
        <v>33</v>
      </c>
      <c r="C3294" t="s">
        <v>731</v>
      </c>
      <c r="D3294" t="s">
        <v>1338</v>
      </c>
      <c r="E3294" s="17">
        <v>45989</v>
      </c>
      <c r="F3294" s="17">
        <v>45989</v>
      </c>
      <c r="G3294" s="13">
        <v>456</v>
      </c>
      <c r="H3294" s="14">
        <v>0</v>
      </c>
      <c r="I3294" s="14">
        <v>0</v>
      </c>
      <c r="J3294" s="14">
        <v>0</v>
      </c>
      <c r="K3294" s="22">
        <v>456</v>
      </c>
      <c r="L3294" t="s">
        <v>794</v>
      </c>
      <c r="M3294">
        <f t="shared" si="51"/>
        <v>2025</v>
      </c>
    </row>
    <row r="3295" spans="1:13" ht="12.75" hidden="1" customHeight="1">
      <c r="A3295" t="s">
        <v>1181</v>
      </c>
      <c r="B3295" t="s">
        <v>75</v>
      </c>
      <c r="C3295" t="s">
        <v>731</v>
      </c>
      <c r="D3295" t="s">
        <v>1338</v>
      </c>
      <c r="E3295" s="17">
        <v>45989</v>
      </c>
      <c r="F3295" s="17">
        <v>45989</v>
      </c>
      <c r="G3295" s="13">
        <v>380</v>
      </c>
      <c r="H3295" s="14">
        <v>0</v>
      </c>
      <c r="I3295" s="14">
        <v>0</v>
      </c>
      <c r="J3295" s="14">
        <v>0</v>
      </c>
      <c r="K3295" s="22">
        <v>380</v>
      </c>
      <c r="L3295" t="s">
        <v>794</v>
      </c>
      <c r="M3295">
        <f t="shared" si="51"/>
        <v>2025</v>
      </c>
    </row>
    <row r="3296" spans="1:13" ht="12.75" hidden="1" customHeight="1">
      <c r="A3296" t="s">
        <v>1104</v>
      </c>
      <c r="B3296" t="s">
        <v>53</v>
      </c>
      <c r="C3296" t="s">
        <v>731</v>
      </c>
      <c r="D3296" t="s">
        <v>1338</v>
      </c>
      <c r="E3296" s="17">
        <v>45989</v>
      </c>
      <c r="F3296" s="17">
        <v>45989</v>
      </c>
      <c r="G3296" s="13">
        <v>684</v>
      </c>
      <c r="H3296" s="14">
        <v>0</v>
      </c>
      <c r="I3296" s="14">
        <v>0</v>
      </c>
      <c r="J3296" s="14">
        <v>0</v>
      </c>
      <c r="K3296" s="22">
        <v>684</v>
      </c>
      <c r="L3296" t="s">
        <v>794</v>
      </c>
      <c r="M3296">
        <f t="shared" si="51"/>
        <v>2025</v>
      </c>
    </row>
    <row r="3297" spans="1:13" ht="12.75" hidden="1" customHeight="1">
      <c r="A3297" t="s">
        <v>814</v>
      </c>
      <c r="B3297" t="s">
        <v>56</v>
      </c>
      <c r="C3297" t="s">
        <v>731</v>
      </c>
      <c r="D3297" t="s">
        <v>1338</v>
      </c>
      <c r="E3297" s="17">
        <v>45989</v>
      </c>
      <c r="F3297" s="17">
        <v>45989</v>
      </c>
      <c r="G3297" s="13">
        <v>911</v>
      </c>
      <c r="H3297" s="14">
        <v>0</v>
      </c>
      <c r="I3297" s="14">
        <v>0</v>
      </c>
      <c r="J3297" s="14">
        <v>0</v>
      </c>
      <c r="K3297" s="22">
        <v>911</v>
      </c>
      <c r="L3297" t="s">
        <v>794</v>
      </c>
      <c r="M3297">
        <f t="shared" si="51"/>
        <v>2025</v>
      </c>
    </row>
    <row r="3298" spans="1:13" ht="12.75" hidden="1" customHeight="1">
      <c r="A3298" t="s">
        <v>1316</v>
      </c>
      <c r="B3298" t="s">
        <v>59</v>
      </c>
      <c r="C3298" t="s">
        <v>731</v>
      </c>
      <c r="D3298" t="s">
        <v>1338</v>
      </c>
      <c r="E3298" s="17">
        <v>45989</v>
      </c>
      <c r="F3298" s="17">
        <v>45989</v>
      </c>
      <c r="G3298" s="13">
        <v>152</v>
      </c>
      <c r="H3298" s="14">
        <v>0</v>
      </c>
      <c r="I3298" s="14">
        <v>0</v>
      </c>
      <c r="J3298" s="14">
        <v>0</v>
      </c>
      <c r="K3298" s="22">
        <v>152</v>
      </c>
      <c r="L3298" t="s">
        <v>794</v>
      </c>
      <c r="M3298">
        <f t="shared" si="51"/>
        <v>2025</v>
      </c>
    </row>
    <row r="3299" spans="1:13" ht="12.75" hidden="1" customHeight="1">
      <c r="A3299" t="s">
        <v>961</v>
      </c>
      <c r="B3299" t="s">
        <v>41</v>
      </c>
      <c r="C3299" t="s">
        <v>731</v>
      </c>
      <c r="D3299" t="s">
        <v>1338</v>
      </c>
      <c r="E3299" s="17">
        <v>45989</v>
      </c>
      <c r="F3299" s="17">
        <v>45989</v>
      </c>
      <c r="G3299" s="13">
        <v>760</v>
      </c>
      <c r="H3299" s="14">
        <v>0</v>
      </c>
      <c r="I3299" s="14">
        <v>0</v>
      </c>
      <c r="J3299" s="14">
        <v>0</v>
      </c>
      <c r="K3299" s="22">
        <v>760</v>
      </c>
      <c r="L3299" t="s">
        <v>794</v>
      </c>
      <c r="M3299">
        <f t="shared" si="51"/>
        <v>2025</v>
      </c>
    </row>
    <row r="3300" spans="1:13" ht="12.75" hidden="1" customHeight="1">
      <c r="A3300" t="s">
        <v>1167</v>
      </c>
      <c r="B3300" t="s">
        <v>47</v>
      </c>
      <c r="C3300" t="s">
        <v>731</v>
      </c>
      <c r="D3300" t="s">
        <v>1338</v>
      </c>
      <c r="E3300" s="17">
        <v>45989</v>
      </c>
      <c r="F3300" s="17">
        <v>45989</v>
      </c>
      <c r="G3300" s="13">
        <v>1054</v>
      </c>
      <c r="H3300" s="14">
        <v>0</v>
      </c>
      <c r="I3300" s="14">
        <v>0</v>
      </c>
      <c r="J3300" s="14">
        <v>0</v>
      </c>
      <c r="K3300" s="22">
        <v>1054</v>
      </c>
      <c r="L3300" t="s">
        <v>794</v>
      </c>
      <c r="M3300">
        <f t="shared" si="51"/>
        <v>2025</v>
      </c>
    </row>
    <row r="3301" spans="1:13" ht="12.75" hidden="1" customHeight="1">
      <c r="A3301" t="s">
        <v>1004</v>
      </c>
      <c r="B3301" t="s">
        <v>57</v>
      </c>
      <c r="C3301" t="s">
        <v>731</v>
      </c>
      <c r="D3301" t="s">
        <v>1338</v>
      </c>
      <c r="E3301" s="17">
        <v>45989</v>
      </c>
      <c r="F3301" s="17">
        <v>45989</v>
      </c>
      <c r="G3301" s="13">
        <v>684</v>
      </c>
      <c r="H3301" s="14">
        <v>0</v>
      </c>
      <c r="I3301" s="14">
        <v>0</v>
      </c>
      <c r="J3301" s="14">
        <v>0</v>
      </c>
      <c r="K3301" s="22">
        <v>684</v>
      </c>
      <c r="L3301" t="s">
        <v>794</v>
      </c>
      <c r="M3301">
        <f t="shared" si="51"/>
        <v>2025</v>
      </c>
    </row>
    <row r="3302" spans="1:13" ht="12.75" hidden="1" customHeight="1">
      <c r="A3302" t="s">
        <v>810</v>
      </c>
      <c r="B3302" t="s">
        <v>54</v>
      </c>
      <c r="C3302" t="s">
        <v>731</v>
      </c>
      <c r="D3302" t="s">
        <v>1338</v>
      </c>
      <c r="E3302" s="17">
        <v>45989</v>
      </c>
      <c r="F3302" s="17">
        <v>45989</v>
      </c>
      <c r="G3302" s="13">
        <v>760</v>
      </c>
      <c r="H3302" s="14">
        <v>0</v>
      </c>
      <c r="I3302" s="14">
        <v>0</v>
      </c>
      <c r="J3302" s="14">
        <v>0</v>
      </c>
      <c r="K3302" s="22">
        <v>760</v>
      </c>
      <c r="L3302" t="s">
        <v>794</v>
      </c>
      <c r="M3302">
        <f t="shared" si="51"/>
        <v>2025</v>
      </c>
    </row>
    <row r="3303" spans="1:13" ht="12.75" hidden="1" customHeight="1">
      <c r="A3303" t="s">
        <v>829</v>
      </c>
      <c r="B3303" t="s">
        <v>231</v>
      </c>
      <c r="C3303" t="s">
        <v>731</v>
      </c>
      <c r="D3303" t="s">
        <v>1338</v>
      </c>
      <c r="E3303" s="17">
        <v>45989</v>
      </c>
      <c r="F3303" s="17">
        <v>45989</v>
      </c>
      <c r="G3303" s="13">
        <v>76</v>
      </c>
      <c r="H3303" s="14">
        <v>0</v>
      </c>
      <c r="I3303" s="14">
        <v>0</v>
      </c>
      <c r="J3303" s="14">
        <v>0</v>
      </c>
      <c r="K3303" s="22">
        <v>76</v>
      </c>
      <c r="L3303" t="s">
        <v>794</v>
      </c>
      <c r="M3303">
        <f t="shared" si="51"/>
        <v>2025</v>
      </c>
    </row>
    <row r="3304" spans="1:13" ht="12.75" hidden="1" customHeight="1">
      <c r="A3304" t="s">
        <v>1272</v>
      </c>
      <c r="B3304" t="s">
        <v>132</v>
      </c>
      <c r="C3304" t="s">
        <v>731</v>
      </c>
      <c r="D3304" t="s">
        <v>1338</v>
      </c>
      <c r="E3304" s="17">
        <v>45989</v>
      </c>
      <c r="F3304" s="17">
        <v>45989</v>
      </c>
      <c r="G3304" s="13">
        <v>228</v>
      </c>
      <c r="H3304" s="14">
        <v>0</v>
      </c>
      <c r="I3304" s="14">
        <v>0</v>
      </c>
      <c r="J3304" s="14">
        <v>0</v>
      </c>
      <c r="K3304" s="22">
        <v>228</v>
      </c>
      <c r="L3304" t="s">
        <v>794</v>
      </c>
      <c r="M3304">
        <f t="shared" si="51"/>
        <v>2025</v>
      </c>
    </row>
    <row r="3305" spans="1:13" ht="12.75" hidden="1" customHeight="1">
      <c r="A3305" t="s">
        <v>1196</v>
      </c>
      <c r="B3305" t="s">
        <v>1197</v>
      </c>
      <c r="C3305" t="s">
        <v>731</v>
      </c>
      <c r="D3305" t="s">
        <v>1338</v>
      </c>
      <c r="E3305" s="17">
        <v>45989</v>
      </c>
      <c r="F3305" s="17">
        <v>45989</v>
      </c>
      <c r="G3305" s="13">
        <v>750</v>
      </c>
      <c r="H3305" s="14">
        <v>0</v>
      </c>
      <c r="I3305" s="14">
        <v>0</v>
      </c>
      <c r="J3305" s="14">
        <v>0</v>
      </c>
      <c r="K3305" s="22">
        <v>750</v>
      </c>
      <c r="L3305" t="s">
        <v>794</v>
      </c>
      <c r="M3305">
        <f t="shared" si="51"/>
        <v>2025</v>
      </c>
    </row>
    <row r="3306" spans="1:13" ht="12.75" hidden="1" customHeight="1">
      <c r="A3306" t="s">
        <v>1317</v>
      </c>
      <c r="B3306" t="s">
        <v>64</v>
      </c>
      <c r="C3306" t="s">
        <v>731</v>
      </c>
      <c r="D3306" t="s">
        <v>1338</v>
      </c>
      <c r="E3306" s="17">
        <v>45989</v>
      </c>
      <c r="F3306" s="17">
        <v>45989</v>
      </c>
      <c r="G3306" s="13">
        <v>152</v>
      </c>
      <c r="H3306" s="14">
        <v>0</v>
      </c>
      <c r="I3306" s="14">
        <v>0</v>
      </c>
      <c r="J3306" s="14">
        <v>0</v>
      </c>
      <c r="K3306" s="22">
        <v>152</v>
      </c>
      <c r="L3306" t="s">
        <v>794</v>
      </c>
      <c r="M3306">
        <f t="shared" si="51"/>
        <v>2025</v>
      </c>
    </row>
    <row r="3307" spans="1:13" ht="12.75" hidden="1" customHeight="1">
      <c r="A3307" t="s">
        <v>833</v>
      </c>
      <c r="B3307" t="s">
        <v>27</v>
      </c>
      <c r="C3307" t="s">
        <v>731</v>
      </c>
      <c r="D3307" t="s">
        <v>1338</v>
      </c>
      <c r="E3307" s="17">
        <v>45989</v>
      </c>
      <c r="F3307" s="17">
        <v>45989</v>
      </c>
      <c r="G3307" s="13">
        <v>1054</v>
      </c>
      <c r="H3307" s="14">
        <v>0</v>
      </c>
      <c r="I3307" s="14">
        <v>0</v>
      </c>
      <c r="J3307" s="14">
        <v>0</v>
      </c>
      <c r="K3307" s="22">
        <v>1054</v>
      </c>
      <c r="L3307" t="s">
        <v>794</v>
      </c>
      <c r="M3307">
        <f t="shared" si="51"/>
        <v>2025</v>
      </c>
    </row>
    <row r="3308" spans="1:13" ht="12.75" hidden="1" customHeight="1">
      <c r="A3308" t="s">
        <v>818</v>
      </c>
      <c r="B3308" t="s">
        <v>30</v>
      </c>
      <c r="C3308" t="s">
        <v>731</v>
      </c>
      <c r="D3308" t="s">
        <v>1338</v>
      </c>
      <c r="E3308" s="17">
        <v>45989</v>
      </c>
      <c r="F3308" s="17">
        <v>45989</v>
      </c>
      <c r="G3308" s="13">
        <v>911</v>
      </c>
      <c r="H3308" s="14">
        <v>0</v>
      </c>
      <c r="I3308" s="14">
        <v>0</v>
      </c>
      <c r="J3308" s="14">
        <v>0</v>
      </c>
      <c r="K3308" s="22">
        <v>911</v>
      </c>
      <c r="L3308" t="s">
        <v>794</v>
      </c>
      <c r="M3308">
        <f t="shared" si="51"/>
        <v>2025</v>
      </c>
    </row>
    <row r="3309" spans="1:13" ht="12.75" hidden="1" customHeight="1">
      <c r="A3309" t="s">
        <v>981</v>
      </c>
      <c r="B3309" t="s">
        <v>55</v>
      </c>
      <c r="C3309" t="s">
        <v>99</v>
      </c>
      <c r="D3309" t="s">
        <v>873</v>
      </c>
      <c r="E3309" s="17">
        <v>46002</v>
      </c>
      <c r="F3309" s="17">
        <v>46002</v>
      </c>
      <c r="G3309" s="13">
        <v>240</v>
      </c>
      <c r="H3309" s="14">
        <v>0</v>
      </c>
      <c r="I3309" s="14">
        <v>0</v>
      </c>
      <c r="J3309" s="14">
        <v>0</v>
      </c>
      <c r="K3309" s="22">
        <v>240</v>
      </c>
      <c r="L3309" t="s">
        <v>794</v>
      </c>
      <c r="M3309">
        <f t="shared" si="51"/>
        <v>2025</v>
      </c>
    </row>
    <row r="3310" spans="1:13" ht="12.75" hidden="1" customHeight="1">
      <c r="A3310" t="s">
        <v>952</v>
      </c>
      <c r="B3310" t="s">
        <v>27</v>
      </c>
      <c r="C3310" t="s">
        <v>750</v>
      </c>
      <c r="D3310" t="s">
        <v>1311</v>
      </c>
      <c r="E3310" s="17">
        <v>46003</v>
      </c>
      <c r="F3310" s="17">
        <v>46003</v>
      </c>
      <c r="G3310" s="13">
        <v>400</v>
      </c>
      <c r="H3310" s="14">
        <v>0</v>
      </c>
      <c r="I3310" s="14">
        <v>0</v>
      </c>
      <c r="J3310" s="14">
        <v>0</v>
      </c>
      <c r="K3310" s="22">
        <v>400</v>
      </c>
      <c r="L3310" t="s">
        <v>794</v>
      </c>
      <c r="M3310">
        <f t="shared" si="51"/>
        <v>2025</v>
      </c>
    </row>
    <row r="3311" spans="1:13" ht="12.75" hidden="1" customHeight="1">
      <c r="A3311" t="s">
        <v>809</v>
      </c>
      <c r="B3311" t="s">
        <v>1145</v>
      </c>
      <c r="C3311" t="s">
        <v>750</v>
      </c>
      <c r="D3311" t="s">
        <v>873</v>
      </c>
      <c r="E3311" s="17">
        <v>46003</v>
      </c>
      <c r="F3311" s="17">
        <v>46003</v>
      </c>
      <c r="G3311" s="13">
        <v>400</v>
      </c>
      <c r="H3311" s="14">
        <v>0</v>
      </c>
      <c r="I3311" s="14">
        <v>0</v>
      </c>
      <c r="J3311" s="14">
        <v>0</v>
      </c>
      <c r="K3311" s="22">
        <v>400</v>
      </c>
      <c r="L3311" t="s">
        <v>794</v>
      </c>
      <c r="M3311">
        <f t="shared" si="51"/>
        <v>2025</v>
      </c>
    </row>
    <row r="3312" spans="1:13" ht="12.75" hidden="1" customHeight="1">
      <c r="A3312" t="s">
        <v>864</v>
      </c>
      <c r="B3312" t="s">
        <v>918</v>
      </c>
      <c r="C3312" t="s">
        <v>750</v>
      </c>
      <c r="D3312" t="s">
        <v>873</v>
      </c>
      <c r="E3312" s="17">
        <v>46003</v>
      </c>
      <c r="F3312" s="17">
        <v>46003</v>
      </c>
      <c r="G3312" s="13">
        <v>400</v>
      </c>
      <c r="H3312" s="14">
        <v>0</v>
      </c>
      <c r="I3312" s="14">
        <v>0</v>
      </c>
      <c r="J3312" s="14">
        <v>0</v>
      </c>
      <c r="K3312" s="22">
        <v>400</v>
      </c>
      <c r="L3312" t="s">
        <v>794</v>
      </c>
      <c r="M3312">
        <f t="shared" si="51"/>
        <v>2025</v>
      </c>
    </row>
    <row r="3313" spans="1:13" ht="12.75" hidden="1" customHeight="1">
      <c r="A3313" t="s">
        <v>826</v>
      </c>
      <c r="B3313" t="s">
        <v>669</v>
      </c>
      <c r="C3313" t="s">
        <v>483</v>
      </c>
      <c r="D3313" t="s">
        <v>873</v>
      </c>
      <c r="E3313" s="17">
        <v>46003</v>
      </c>
      <c r="F3313" s="17">
        <v>46003</v>
      </c>
      <c r="G3313" s="13">
        <v>28.990000000000002</v>
      </c>
      <c r="H3313" s="14">
        <v>0</v>
      </c>
      <c r="I3313" s="14">
        <v>0</v>
      </c>
      <c r="J3313" s="14">
        <v>0</v>
      </c>
      <c r="K3313" s="22">
        <v>28.990000000000002</v>
      </c>
      <c r="L3313" t="s">
        <v>794</v>
      </c>
      <c r="M3313">
        <f t="shared" si="51"/>
        <v>2025</v>
      </c>
    </row>
    <row r="3314" spans="1:13" ht="12.75" hidden="1" customHeight="1">
      <c r="A3314" t="s">
        <v>963</v>
      </c>
      <c r="B3314" t="s">
        <v>933</v>
      </c>
      <c r="C3314" t="s">
        <v>99</v>
      </c>
      <c r="D3314" t="s">
        <v>873</v>
      </c>
      <c r="E3314" s="17">
        <v>46003</v>
      </c>
      <c r="F3314" s="17">
        <v>46003</v>
      </c>
      <c r="G3314" s="13">
        <v>48</v>
      </c>
      <c r="H3314" s="14">
        <v>0</v>
      </c>
      <c r="I3314" s="14">
        <v>0</v>
      </c>
      <c r="J3314" s="14">
        <v>0</v>
      </c>
      <c r="K3314" s="22">
        <v>48</v>
      </c>
      <c r="L3314" t="s">
        <v>794</v>
      </c>
      <c r="M3314">
        <f t="shared" si="51"/>
        <v>2025</v>
      </c>
    </row>
    <row r="3315" spans="1:13" ht="12.75" hidden="1" customHeight="1">
      <c r="A3315" t="s">
        <v>961</v>
      </c>
      <c r="B3315" t="s">
        <v>567</v>
      </c>
      <c r="C3315" t="s">
        <v>99</v>
      </c>
      <c r="D3315" t="s">
        <v>873</v>
      </c>
      <c r="E3315" s="17">
        <v>46003</v>
      </c>
      <c r="F3315" s="17">
        <v>46003</v>
      </c>
      <c r="G3315" s="13">
        <v>62.5</v>
      </c>
      <c r="H3315" s="14">
        <v>0</v>
      </c>
      <c r="I3315" s="14">
        <v>0</v>
      </c>
      <c r="J3315" s="14">
        <v>0</v>
      </c>
      <c r="K3315" s="22">
        <v>62.5</v>
      </c>
      <c r="L3315" t="s">
        <v>794</v>
      </c>
      <c r="M3315">
        <f t="shared" si="51"/>
        <v>2025</v>
      </c>
    </row>
    <row r="3316" spans="1:13" ht="12.75" hidden="1" customHeight="1">
      <c r="A3316" t="s">
        <v>1268</v>
      </c>
      <c r="B3316" t="s">
        <v>511</v>
      </c>
      <c r="C3316" t="s">
        <v>681</v>
      </c>
      <c r="D3316" t="s">
        <v>873</v>
      </c>
      <c r="E3316" s="17">
        <v>46003</v>
      </c>
      <c r="F3316" s="17">
        <v>46003</v>
      </c>
      <c r="G3316" s="13">
        <v>8</v>
      </c>
      <c r="H3316" s="14">
        <v>0</v>
      </c>
      <c r="I3316" s="14">
        <v>0</v>
      </c>
      <c r="J3316" s="14">
        <v>0</v>
      </c>
      <c r="K3316" s="22">
        <v>8</v>
      </c>
      <c r="L3316" t="s">
        <v>794</v>
      </c>
      <c r="M3316">
        <f t="shared" si="51"/>
        <v>2025</v>
      </c>
    </row>
    <row r="3317" spans="1:13" ht="12.75" hidden="1" customHeight="1">
      <c r="A3317" t="s">
        <v>950</v>
      </c>
      <c r="B3317" t="s">
        <v>951</v>
      </c>
      <c r="C3317" t="s">
        <v>141</v>
      </c>
      <c r="D3317" t="s">
        <v>873</v>
      </c>
      <c r="E3317" s="17">
        <v>46003</v>
      </c>
      <c r="F3317" s="17">
        <v>46003</v>
      </c>
      <c r="G3317" s="13">
        <v>200</v>
      </c>
      <c r="H3317" s="14">
        <v>0</v>
      </c>
      <c r="I3317" s="14">
        <v>0</v>
      </c>
      <c r="J3317" s="14">
        <v>0</v>
      </c>
      <c r="K3317" s="22">
        <v>200</v>
      </c>
      <c r="L3317" t="s">
        <v>794</v>
      </c>
      <c r="M3317">
        <f t="shared" si="51"/>
        <v>2025</v>
      </c>
    </row>
    <row r="3318" spans="1:13" ht="12.75" hidden="1" customHeight="1">
      <c r="A3318" t="s">
        <v>990</v>
      </c>
      <c r="B3318" t="s">
        <v>388</v>
      </c>
      <c r="C3318" t="s">
        <v>200</v>
      </c>
      <c r="D3318" t="s">
        <v>873</v>
      </c>
      <c r="E3318" s="17">
        <v>46003</v>
      </c>
      <c r="F3318" s="17">
        <v>46003</v>
      </c>
      <c r="G3318" s="13">
        <v>240</v>
      </c>
      <c r="H3318" s="14">
        <v>0</v>
      </c>
      <c r="I3318" s="14">
        <v>0</v>
      </c>
      <c r="J3318" s="14">
        <v>0</v>
      </c>
      <c r="K3318" s="22">
        <v>240</v>
      </c>
      <c r="L3318" t="s">
        <v>794</v>
      </c>
      <c r="M3318">
        <f t="shared" si="51"/>
        <v>2025</v>
      </c>
    </row>
    <row r="3319" spans="1:13" ht="12.75" hidden="1" customHeight="1">
      <c r="A3319" t="s">
        <v>1002</v>
      </c>
      <c r="B3319" t="s">
        <v>433</v>
      </c>
      <c r="C3319" t="s">
        <v>141</v>
      </c>
      <c r="D3319" t="s">
        <v>873</v>
      </c>
      <c r="E3319" s="17">
        <v>46003</v>
      </c>
      <c r="F3319" s="17">
        <v>46003</v>
      </c>
      <c r="G3319" s="13">
        <v>70</v>
      </c>
      <c r="H3319" s="14">
        <v>0</v>
      </c>
      <c r="I3319" s="14">
        <v>0</v>
      </c>
      <c r="J3319" s="14">
        <v>0</v>
      </c>
      <c r="K3319" s="22">
        <v>70</v>
      </c>
      <c r="L3319" t="s">
        <v>794</v>
      </c>
      <c r="M3319">
        <f t="shared" si="51"/>
        <v>2025</v>
      </c>
    </row>
    <row r="3320" spans="1:13" ht="12.75" hidden="1" customHeight="1">
      <c r="A3320" t="s">
        <v>809</v>
      </c>
      <c r="B3320" t="s">
        <v>1145</v>
      </c>
      <c r="C3320" t="s">
        <v>750</v>
      </c>
      <c r="D3320" t="s">
        <v>873</v>
      </c>
      <c r="E3320" s="17">
        <v>46003</v>
      </c>
      <c r="F3320" s="17">
        <v>46003</v>
      </c>
      <c r="G3320" s="13">
        <v>23.56</v>
      </c>
      <c r="H3320" s="14">
        <v>0</v>
      </c>
      <c r="I3320" s="14">
        <v>0</v>
      </c>
      <c r="J3320" s="14">
        <v>0</v>
      </c>
      <c r="K3320" s="22">
        <v>23.56</v>
      </c>
      <c r="L3320" t="s">
        <v>794</v>
      </c>
      <c r="M3320">
        <f t="shared" si="51"/>
        <v>2025</v>
      </c>
    </row>
    <row r="3321" spans="1:13" ht="12.75" hidden="1" customHeight="1">
      <c r="A3321" t="s">
        <v>1369</v>
      </c>
      <c r="B3321" t="s">
        <v>412</v>
      </c>
      <c r="C3321" t="s">
        <v>438</v>
      </c>
      <c r="D3321" t="s">
        <v>873</v>
      </c>
      <c r="E3321" s="17">
        <v>46003</v>
      </c>
      <c r="F3321" s="17">
        <v>46003</v>
      </c>
      <c r="G3321" s="13">
        <v>397.5</v>
      </c>
      <c r="H3321" s="14">
        <v>0</v>
      </c>
      <c r="I3321" s="14">
        <v>0</v>
      </c>
      <c r="J3321" s="14">
        <v>0</v>
      </c>
      <c r="K3321" s="22">
        <v>397.5</v>
      </c>
      <c r="L3321" t="s">
        <v>794</v>
      </c>
      <c r="M3321">
        <f t="shared" si="51"/>
        <v>2025</v>
      </c>
    </row>
    <row r="3322" spans="1:13" ht="12.75" hidden="1" customHeight="1">
      <c r="A3322" t="s">
        <v>818</v>
      </c>
      <c r="B3322" t="s">
        <v>30</v>
      </c>
      <c r="C3322" t="s">
        <v>141</v>
      </c>
      <c r="D3322" t="s">
        <v>873</v>
      </c>
      <c r="E3322" s="17">
        <v>45992</v>
      </c>
      <c r="F3322" s="17">
        <v>45992</v>
      </c>
      <c r="G3322" s="13">
        <v>196</v>
      </c>
      <c r="H3322" s="14">
        <v>0</v>
      </c>
      <c r="I3322" s="14">
        <v>0</v>
      </c>
      <c r="J3322" s="14">
        <v>0</v>
      </c>
      <c r="K3322" s="14">
        <v>196</v>
      </c>
      <c r="L3322" t="s">
        <v>794</v>
      </c>
      <c r="M3322">
        <f t="shared" si="51"/>
        <v>2025</v>
      </c>
    </row>
    <row r="3323" spans="1:13" ht="12.75" hidden="1" customHeight="1">
      <c r="A3323" t="s">
        <v>1316</v>
      </c>
      <c r="B3323" t="s">
        <v>59</v>
      </c>
      <c r="C3323" t="s">
        <v>141</v>
      </c>
      <c r="D3323" t="s">
        <v>873</v>
      </c>
      <c r="E3323" s="17">
        <v>45992</v>
      </c>
      <c r="F3323" s="17">
        <v>45992</v>
      </c>
      <c r="G3323" s="13">
        <v>210</v>
      </c>
      <c r="H3323" s="14">
        <v>0</v>
      </c>
      <c r="I3323" s="14">
        <v>0</v>
      </c>
      <c r="J3323" s="14">
        <v>0</v>
      </c>
      <c r="K3323" s="14">
        <v>210</v>
      </c>
      <c r="L3323" t="s">
        <v>794</v>
      </c>
      <c r="M3323">
        <f t="shared" si="51"/>
        <v>2025</v>
      </c>
    </row>
    <row r="3324" spans="1:13" ht="12.75" hidden="1" customHeight="1">
      <c r="A3324" t="s">
        <v>1317</v>
      </c>
      <c r="B3324" t="s">
        <v>64</v>
      </c>
      <c r="C3324" t="s">
        <v>141</v>
      </c>
      <c r="D3324" t="s">
        <v>873</v>
      </c>
      <c r="E3324" s="17">
        <v>45992</v>
      </c>
      <c r="F3324" s="17">
        <v>45992</v>
      </c>
      <c r="G3324" s="13">
        <v>242</v>
      </c>
      <c r="H3324" s="14">
        <v>0</v>
      </c>
      <c r="I3324" s="14">
        <v>0</v>
      </c>
      <c r="J3324" s="14">
        <v>0</v>
      </c>
      <c r="K3324" s="14">
        <v>242</v>
      </c>
      <c r="L3324" t="s">
        <v>794</v>
      </c>
      <c r="M3324">
        <f t="shared" si="51"/>
        <v>2025</v>
      </c>
    </row>
    <row r="3325" spans="1:13" ht="12.75" hidden="1" customHeight="1">
      <c r="A3325" t="s">
        <v>811</v>
      </c>
      <c r="B3325" t="s">
        <v>39</v>
      </c>
      <c r="C3325" t="s">
        <v>141</v>
      </c>
      <c r="D3325" t="s">
        <v>873</v>
      </c>
      <c r="E3325" s="17">
        <v>45992</v>
      </c>
      <c r="F3325" s="17">
        <v>45992</v>
      </c>
      <c r="G3325" s="13">
        <v>214</v>
      </c>
      <c r="H3325" s="14">
        <v>0</v>
      </c>
      <c r="I3325" s="14">
        <v>0</v>
      </c>
      <c r="J3325" s="14">
        <v>0</v>
      </c>
      <c r="K3325" s="14">
        <v>214</v>
      </c>
      <c r="L3325" t="s">
        <v>794</v>
      </c>
      <c r="M3325">
        <f t="shared" si="51"/>
        <v>2025</v>
      </c>
    </row>
    <row r="3326" spans="1:13" ht="12.75" hidden="1" customHeight="1">
      <c r="A3326" t="s">
        <v>883</v>
      </c>
      <c r="B3326" t="s">
        <v>325</v>
      </c>
      <c r="C3326" t="s">
        <v>99</v>
      </c>
      <c r="D3326" t="s">
        <v>873</v>
      </c>
      <c r="E3326" s="17">
        <v>45993</v>
      </c>
      <c r="F3326" s="17">
        <v>45993</v>
      </c>
      <c r="G3326" s="13">
        <v>129.96</v>
      </c>
      <c r="H3326" s="14">
        <v>0</v>
      </c>
      <c r="I3326" s="14">
        <v>0</v>
      </c>
      <c r="J3326" s="14">
        <v>0</v>
      </c>
      <c r="K3326" s="14">
        <v>129.96</v>
      </c>
      <c r="L3326" t="s">
        <v>794</v>
      </c>
      <c r="M3326">
        <f t="shared" si="51"/>
        <v>2025</v>
      </c>
    </row>
    <row r="3327" spans="1:13" ht="12.75" hidden="1" customHeight="1">
      <c r="A3327" t="s">
        <v>1370</v>
      </c>
      <c r="B3327" t="s">
        <v>406</v>
      </c>
      <c r="C3327" t="s">
        <v>139</v>
      </c>
      <c r="D3327" t="s">
        <v>873</v>
      </c>
      <c r="E3327" s="17">
        <v>45993</v>
      </c>
      <c r="F3327" s="17">
        <v>45993</v>
      </c>
      <c r="G3327" s="13">
        <v>11.6</v>
      </c>
      <c r="H3327" s="14">
        <v>0</v>
      </c>
      <c r="I3327" s="14">
        <v>0</v>
      </c>
      <c r="J3327" s="14">
        <v>0</v>
      </c>
      <c r="K3327" s="14">
        <v>11.6</v>
      </c>
      <c r="L3327" t="s">
        <v>794</v>
      </c>
      <c r="M3327">
        <f t="shared" si="51"/>
        <v>2025</v>
      </c>
    </row>
    <row r="3328" spans="1:13" ht="12.75" hidden="1" customHeight="1">
      <c r="A3328" t="s">
        <v>851</v>
      </c>
      <c r="B3328" t="s">
        <v>369</v>
      </c>
      <c r="C3328" t="s">
        <v>491</v>
      </c>
      <c r="D3328" t="s">
        <v>873</v>
      </c>
      <c r="E3328" s="17">
        <v>45994</v>
      </c>
      <c r="F3328" s="17">
        <v>45994</v>
      </c>
      <c r="G3328" s="13">
        <v>30</v>
      </c>
      <c r="H3328" s="14">
        <v>0</v>
      </c>
      <c r="I3328" s="14">
        <v>0</v>
      </c>
      <c r="J3328" s="14">
        <v>0</v>
      </c>
      <c r="K3328" s="14">
        <v>30</v>
      </c>
      <c r="L3328" t="s">
        <v>794</v>
      </c>
      <c r="M3328">
        <f t="shared" si="51"/>
        <v>2025</v>
      </c>
    </row>
    <row r="3329" spans="1:13" ht="12.75" hidden="1" customHeight="1">
      <c r="A3329" t="s">
        <v>851</v>
      </c>
      <c r="B3329" t="s">
        <v>369</v>
      </c>
      <c r="C3329" t="s">
        <v>772</v>
      </c>
      <c r="D3329" t="s">
        <v>873</v>
      </c>
      <c r="E3329" s="17">
        <v>45994</v>
      </c>
      <c r="F3329" s="17">
        <v>45994</v>
      </c>
      <c r="G3329" s="13">
        <v>84.94</v>
      </c>
      <c r="H3329" s="14">
        <v>0</v>
      </c>
      <c r="I3329" s="14">
        <v>0</v>
      </c>
      <c r="J3329" s="14">
        <v>0</v>
      </c>
      <c r="K3329" s="14">
        <v>84.94</v>
      </c>
      <c r="L3329" t="s">
        <v>794</v>
      </c>
      <c r="M3329">
        <f t="shared" si="51"/>
        <v>2025</v>
      </c>
    </row>
    <row r="3330" spans="1:13" ht="12.75" hidden="1" customHeight="1">
      <c r="A3330" t="s">
        <v>907</v>
      </c>
      <c r="B3330" t="s">
        <v>291</v>
      </c>
      <c r="C3330" t="s">
        <v>772</v>
      </c>
      <c r="D3330" t="s">
        <v>873</v>
      </c>
      <c r="E3330" s="17">
        <v>45994</v>
      </c>
      <c r="F3330" s="17">
        <v>45994</v>
      </c>
      <c r="G3330" s="13">
        <v>28.8</v>
      </c>
      <c r="H3330" s="14">
        <v>0</v>
      </c>
      <c r="I3330" s="14">
        <v>0</v>
      </c>
      <c r="J3330" s="14">
        <v>0</v>
      </c>
      <c r="K3330" s="14">
        <v>28.8</v>
      </c>
      <c r="L3330" t="s">
        <v>794</v>
      </c>
      <c r="M3330">
        <f t="shared" si="51"/>
        <v>2025</v>
      </c>
    </row>
    <row r="3331" spans="1:13" ht="12.75" hidden="1" customHeight="1">
      <c r="A3331" t="s">
        <v>1371</v>
      </c>
      <c r="B3331" t="s">
        <v>474</v>
      </c>
      <c r="C3331" t="s">
        <v>749</v>
      </c>
      <c r="D3331" t="s">
        <v>873</v>
      </c>
      <c r="E3331" s="17">
        <v>45994</v>
      </c>
      <c r="F3331" s="17">
        <v>45994</v>
      </c>
      <c r="G3331" s="13">
        <v>59.96</v>
      </c>
      <c r="H3331" s="14">
        <v>0</v>
      </c>
      <c r="I3331" s="14">
        <v>0</v>
      </c>
      <c r="J3331" s="14">
        <v>0</v>
      </c>
      <c r="K3331" s="14">
        <v>59.96</v>
      </c>
      <c r="L3331" t="s">
        <v>794</v>
      </c>
      <c r="M3331">
        <f t="shared" ref="M3331:M3394" si="52">YEAR(F3331)</f>
        <v>2025</v>
      </c>
    </row>
    <row r="3332" spans="1:13" ht="12.75" hidden="1" customHeight="1">
      <c r="A3332" t="s">
        <v>1372</v>
      </c>
      <c r="B3332" t="s">
        <v>668</v>
      </c>
      <c r="C3332" t="s">
        <v>749</v>
      </c>
      <c r="D3332" t="s">
        <v>873</v>
      </c>
      <c r="E3332" s="17">
        <v>45994</v>
      </c>
      <c r="F3332" s="17">
        <v>45994</v>
      </c>
      <c r="G3332" s="13">
        <v>29.96</v>
      </c>
      <c r="H3332" s="14">
        <v>0</v>
      </c>
      <c r="I3332" s="14">
        <v>0</v>
      </c>
      <c r="J3332" s="14">
        <v>0</v>
      </c>
      <c r="K3332" s="14">
        <v>29.96</v>
      </c>
      <c r="L3332" t="s">
        <v>794</v>
      </c>
      <c r="M3332">
        <f t="shared" si="52"/>
        <v>2025</v>
      </c>
    </row>
    <row r="3333" spans="1:13" ht="12.75" hidden="1" customHeight="1">
      <c r="A3333" t="s">
        <v>1370</v>
      </c>
      <c r="B3333" t="s">
        <v>406</v>
      </c>
      <c r="C3333" t="s">
        <v>139</v>
      </c>
      <c r="D3333" t="s">
        <v>873</v>
      </c>
      <c r="E3333" s="17">
        <v>45994</v>
      </c>
      <c r="F3333" s="17">
        <v>45994</v>
      </c>
      <c r="G3333" s="13">
        <v>104.4</v>
      </c>
      <c r="H3333" s="14">
        <v>0</v>
      </c>
      <c r="I3333" s="14">
        <v>0</v>
      </c>
      <c r="J3333" s="14">
        <v>0</v>
      </c>
      <c r="K3333" s="14">
        <v>104.4</v>
      </c>
      <c r="L3333" t="s">
        <v>794</v>
      </c>
      <c r="M3333">
        <f t="shared" si="52"/>
        <v>2025</v>
      </c>
    </row>
    <row r="3334" spans="1:13" ht="12.75" hidden="1" customHeight="1">
      <c r="A3334" t="s">
        <v>808</v>
      </c>
      <c r="B3334" t="s">
        <v>154</v>
      </c>
      <c r="C3334" t="s">
        <v>693</v>
      </c>
      <c r="D3334" t="s">
        <v>873</v>
      </c>
      <c r="E3334" s="17">
        <v>45994</v>
      </c>
      <c r="F3334" s="17">
        <v>45994</v>
      </c>
      <c r="G3334" s="13">
        <v>550</v>
      </c>
      <c r="H3334" s="14">
        <v>0</v>
      </c>
      <c r="I3334" s="14">
        <v>0</v>
      </c>
      <c r="J3334" s="14">
        <v>0</v>
      </c>
      <c r="K3334" s="14">
        <v>550</v>
      </c>
      <c r="L3334" t="s">
        <v>794</v>
      </c>
      <c r="M3334">
        <f t="shared" si="52"/>
        <v>2025</v>
      </c>
    </row>
    <row r="3335" spans="1:13" ht="12.75" hidden="1" customHeight="1">
      <c r="A3335" t="s">
        <v>1313</v>
      </c>
      <c r="B3335" t="s">
        <v>362</v>
      </c>
      <c r="C3335" t="s">
        <v>745</v>
      </c>
      <c r="D3335" t="s">
        <v>873</v>
      </c>
      <c r="E3335" s="17">
        <v>45995</v>
      </c>
      <c r="F3335" s="17">
        <v>45995</v>
      </c>
      <c r="G3335" s="13">
        <v>11.9</v>
      </c>
      <c r="H3335" s="14">
        <v>0</v>
      </c>
      <c r="I3335" s="14">
        <v>0</v>
      </c>
      <c r="J3335" s="14">
        <v>0</v>
      </c>
      <c r="K3335" s="14">
        <v>11.9</v>
      </c>
      <c r="L3335" t="s">
        <v>794</v>
      </c>
      <c r="M3335">
        <f t="shared" si="52"/>
        <v>2025</v>
      </c>
    </row>
    <row r="3336" spans="1:13" ht="12.75" hidden="1" customHeight="1">
      <c r="A3336" t="s">
        <v>1315</v>
      </c>
      <c r="B3336" t="s">
        <v>378</v>
      </c>
      <c r="C3336" t="s">
        <v>140</v>
      </c>
      <c r="D3336" t="s">
        <v>873</v>
      </c>
      <c r="E3336" s="17">
        <v>45996</v>
      </c>
      <c r="F3336" s="17">
        <v>45996</v>
      </c>
      <c r="G3336" s="13">
        <v>120.95</v>
      </c>
      <c r="H3336" s="14">
        <v>0</v>
      </c>
      <c r="I3336" s="14">
        <v>0</v>
      </c>
      <c r="J3336" s="14">
        <v>0</v>
      </c>
      <c r="K3336" s="14">
        <v>120.95</v>
      </c>
      <c r="L3336" t="s">
        <v>794</v>
      </c>
      <c r="M3336">
        <f t="shared" si="52"/>
        <v>2025</v>
      </c>
    </row>
    <row r="3337" spans="1:13" ht="12.75" hidden="1" customHeight="1">
      <c r="A3337" t="s">
        <v>981</v>
      </c>
      <c r="B3337" t="s">
        <v>55</v>
      </c>
      <c r="C3337" t="s">
        <v>99</v>
      </c>
      <c r="D3337" t="s">
        <v>873</v>
      </c>
      <c r="E3337" s="17">
        <v>45996</v>
      </c>
      <c r="F3337" s="17">
        <v>45996</v>
      </c>
      <c r="G3337" s="13">
        <v>700</v>
      </c>
      <c r="H3337" s="14">
        <v>0</v>
      </c>
      <c r="I3337" s="14">
        <v>0</v>
      </c>
      <c r="J3337" s="14">
        <v>0</v>
      </c>
      <c r="K3337" s="14">
        <v>700</v>
      </c>
      <c r="L3337" t="s">
        <v>794</v>
      </c>
      <c r="M3337">
        <f t="shared" si="52"/>
        <v>2025</v>
      </c>
    </row>
    <row r="3338" spans="1:13" ht="12.75" hidden="1" customHeight="1">
      <c r="A3338" t="s">
        <v>1009</v>
      </c>
      <c r="B3338" t="s">
        <v>62</v>
      </c>
      <c r="C3338" t="s">
        <v>137</v>
      </c>
      <c r="D3338" t="s">
        <v>873</v>
      </c>
      <c r="E3338" s="17">
        <v>45996</v>
      </c>
      <c r="F3338" s="17">
        <v>45996</v>
      </c>
      <c r="G3338" s="13">
        <v>767</v>
      </c>
      <c r="H3338" s="14">
        <v>0</v>
      </c>
      <c r="I3338" s="14">
        <v>0</v>
      </c>
      <c r="J3338" s="14">
        <v>0</v>
      </c>
      <c r="K3338" s="14">
        <v>767</v>
      </c>
      <c r="L3338" t="s">
        <v>794</v>
      </c>
      <c r="M3338">
        <f t="shared" si="52"/>
        <v>2025</v>
      </c>
    </row>
    <row r="3339" spans="1:13" ht="12.75" hidden="1" customHeight="1">
      <c r="A3339" t="s">
        <v>998</v>
      </c>
      <c r="B3339" t="s">
        <v>368</v>
      </c>
      <c r="C3339" t="s">
        <v>733</v>
      </c>
      <c r="D3339" t="s">
        <v>873</v>
      </c>
      <c r="E3339" s="17">
        <v>45995</v>
      </c>
      <c r="F3339" s="17">
        <v>45996</v>
      </c>
      <c r="G3339" s="13">
        <v>34</v>
      </c>
      <c r="H3339" s="14">
        <v>0</v>
      </c>
      <c r="I3339" s="14">
        <v>0</v>
      </c>
      <c r="J3339" s="14">
        <v>0</v>
      </c>
      <c r="K3339" s="14">
        <v>34</v>
      </c>
      <c r="L3339" t="s">
        <v>794</v>
      </c>
      <c r="M3339">
        <f t="shared" si="52"/>
        <v>2025</v>
      </c>
    </row>
    <row r="3340" spans="1:13" ht="12.75" hidden="1" customHeight="1">
      <c r="A3340" t="s">
        <v>810</v>
      </c>
      <c r="B3340" t="s">
        <v>54</v>
      </c>
      <c r="C3340" t="s">
        <v>141</v>
      </c>
      <c r="D3340" t="s">
        <v>873</v>
      </c>
      <c r="E3340" s="17">
        <v>45999</v>
      </c>
      <c r="F3340" s="17">
        <v>45999</v>
      </c>
      <c r="G3340" s="13">
        <v>40</v>
      </c>
      <c r="H3340" s="14">
        <v>0</v>
      </c>
      <c r="I3340" s="14">
        <v>0</v>
      </c>
      <c r="J3340" s="14">
        <v>0</v>
      </c>
      <c r="K3340" s="14">
        <v>40</v>
      </c>
      <c r="L3340" t="s">
        <v>794</v>
      </c>
      <c r="M3340">
        <f t="shared" si="52"/>
        <v>2025</v>
      </c>
    </row>
    <row r="3341" spans="1:13" ht="12.75" hidden="1" customHeight="1">
      <c r="A3341" t="s">
        <v>811</v>
      </c>
      <c r="B3341" t="s">
        <v>39</v>
      </c>
      <c r="C3341" t="s">
        <v>141</v>
      </c>
      <c r="D3341" t="s">
        <v>873</v>
      </c>
      <c r="E3341" s="17">
        <v>45999</v>
      </c>
      <c r="F3341" s="17">
        <v>45999</v>
      </c>
      <c r="G3341" s="13">
        <v>36</v>
      </c>
      <c r="H3341" s="14">
        <v>0</v>
      </c>
      <c r="I3341" s="14">
        <v>0</v>
      </c>
      <c r="J3341" s="14">
        <v>0</v>
      </c>
      <c r="K3341" s="14">
        <v>36</v>
      </c>
      <c r="L3341" t="s">
        <v>794</v>
      </c>
      <c r="M3341">
        <f t="shared" si="52"/>
        <v>2025</v>
      </c>
    </row>
    <row r="3342" spans="1:13" ht="12.75" hidden="1" customHeight="1">
      <c r="A3342" t="s">
        <v>1317</v>
      </c>
      <c r="B3342" t="s">
        <v>64</v>
      </c>
      <c r="C3342" t="s">
        <v>141</v>
      </c>
      <c r="D3342" t="s">
        <v>873</v>
      </c>
      <c r="E3342" s="17">
        <v>45999</v>
      </c>
      <c r="F3342" s="17">
        <v>45999</v>
      </c>
      <c r="G3342" s="13">
        <v>260</v>
      </c>
      <c r="H3342" s="14">
        <v>0</v>
      </c>
      <c r="I3342" s="14">
        <v>0</v>
      </c>
      <c r="J3342" s="14">
        <v>0</v>
      </c>
      <c r="K3342" s="14">
        <v>260</v>
      </c>
      <c r="L3342" t="s">
        <v>794</v>
      </c>
      <c r="M3342">
        <f t="shared" si="52"/>
        <v>2025</v>
      </c>
    </row>
    <row r="3343" spans="1:13" ht="12.75" hidden="1" customHeight="1">
      <c r="A3343" t="s">
        <v>1173</v>
      </c>
      <c r="B3343" t="s">
        <v>45</v>
      </c>
      <c r="C3343" t="s">
        <v>137</v>
      </c>
      <c r="D3343" t="s">
        <v>873</v>
      </c>
      <c r="E3343" s="17">
        <v>45999</v>
      </c>
      <c r="F3343" s="17">
        <v>45999</v>
      </c>
      <c r="G3343" s="13">
        <v>100</v>
      </c>
      <c r="H3343" s="14">
        <v>0</v>
      </c>
      <c r="I3343" s="14">
        <v>0</v>
      </c>
      <c r="J3343" s="14">
        <v>0</v>
      </c>
      <c r="K3343" s="14">
        <v>100</v>
      </c>
      <c r="L3343" t="s">
        <v>794</v>
      </c>
      <c r="M3343">
        <f t="shared" si="52"/>
        <v>2025</v>
      </c>
    </row>
    <row r="3344" spans="1:13" ht="12.75" hidden="1" customHeight="1">
      <c r="A3344" t="s">
        <v>1316</v>
      </c>
      <c r="B3344" t="s">
        <v>59</v>
      </c>
      <c r="C3344" t="s">
        <v>141</v>
      </c>
      <c r="D3344" t="s">
        <v>873</v>
      </c>
      <c r="E3344" s="17">
        <v>45999</v>
      </c>
      <c r="F3344" s="17">
        <v>45999</v>
      </c>
      <c r="G3344" s="13">
        <v>40</v>
      </c>
      <c r="H3344" s="14">
        <v>0</v>
      </c>
      <c r="I3344" s="14">
        <v>0</v>
      </c>
      <c r="J3344" s="14">
        <v>0</v>
      </c>
      <c r="K3344" s="14">
        <v>40</v>
      </c>
      <c r="L3344" t="s">
        <v>794</v>
      </c>
      <c r="M3344">
        <f t="shared" si="52"/>
        <v>2025</v>
      </c>
    </row>
    <row r="3345" spans="1:13" ht="12.75" hidden="1" customHeight="1">
      <c r="A3345" t="s">
        <v>852</v>
      </c>
      <c r="B3345" t="s">
        <v>342</v>
      </c>
      <c r="C3345" t="s">
        <v>483</v>
      </c>
      <c r="D3345" t="s">
        <v>873</v>
      </c>
      <c r="E3345" s="17">
        <v>45999</v>
      </c>
      <c r="F3345" s="17">
        <v>45999</v>
      </c>
      <c r="G3345" s="13">
        <v>37.49</v>
      </c>
      <c r="H3345" s="14">
        <v>0</v>
      </c>
      <c r="I3345" s="14">
        <v>0</v>
      </c>
      <c r="J3345" s="14">
        <v>0</v>
      </c>
      <c r="K3345" s="14">
        <v>37.49</v>
      </c>
      <c r="L3345" t="s">
        <v>794</v>
      </c>
      <c r="M3345">
        <f t="shared" si="52"/>
        <v>2025</v>
      </c>
    </row>
    <row r="3346" spans="1:13" ht="12.75" hidden="1" customHeight="1">
      <c r="A3346" t="s">
        <v>1313</v>
      </c>
      <c r="B3346" t="s">
        <v>362</v>
      </c>
      <c r="C3346" t="s">
        <v>558</v>
      </c>
      <c r="D3346" t="s">
        <v>873</v>
      </c>
      <c r="E3346" s="17">
        <v>46000</v>
      </c>
      <c r="F3346" s="17">
        <v>46000</v>
      </c>
      <c r="G3346" s="13">
        <v>28.85</v>
      </c>
      <c r="H3346" s="14">
        <v>0</v>
      </c>
      <c r="I3346" s="14">
        <v>0</v>
      </c>
      <c r="J3346" s="14">
        <v>0</v>
      </c>
      <c r="K3346" s="14">
        <v>28.85</v>
      </c>
      <c r="L3346" t="s">
        <v>794</v>
      </c>
      <c r="M3346">
        <f t="shared" si="52"/>
        <v>2025</v>
      </c>
    </row>
    <row r="3347" spans="1:13" ht="12.75" hidden="1" customHeight="1">
      <c r="A3347" t="s">
        <v>1373</v>
      </c>
      <c r="B3347" t="s">
        <v>313</v>
      </c>
      <c r="C3347" t="s">
        <v>139</v>
      </c>
      <c r="D3347" t="s">
        <v>873</v>
      </c>
      <c r="E3347" s="17">
        <v>46000</v>
      </c>
      <c r="F3347" s="17">
        <v>46000</v>
      </c>
      <c r="G3347" s="13">
        <v>127.60000000000001</v>
      </c>
      <c r="H3347" s="14">
        <v>0</v>
      </c>
      <c r="I3347" s="14">
        <v>0</v>
      </c>
      <c r="J3347" s="14">
        <v>0</v>
      </c>
      <c r="K3347" s="14">
        <v>127.60000000000001</v>
      </c>
      <c r="L3347" t="s">
        <v>794</v>
      </c>
      <c r="M3347">
        <f t="shared" si="52"/>
        <v>2025</v>
      </c>
    </row>
    <row r="3348" spans="1:13" ht="12.75" hidden="1" customHeight="1">
      <c r="A3348" t="s">
        <v>1371</v>
      </c>
      <c r="B3348" t="s">
        <v>474</v>
      </c>
      <c r="C3348" t="s">
        <v>681</v>
      </c>
      <c r="D3348" t="s">
        <v>873</v>
      </c>
      <c r="E3348" s="17">
        <v>46000</v>
      </c>
      <c r="F3348" s="17">
        <v>46000</v>
      </c>
      <c r="G3348" s="13">
        <v>90</v>
      </c>
      <c r="H3348" s="14">
        <v>0</v>
      </c>
      <c r="I3348" s="14">
        <v>0</v>
      </c>
      <c r="J3348" s="14">
        <v>0</v>
      </c>
      <c r="K3348" s="14">
        <v>90</v>
      </c>
      <c r="L3348" t="s">
        <v>794</v>
      </c>
      <c r="M3348">
        <f t="shared" si="52"/>
        <v>2025</v>
      </c>
    </row>
    <row r="3349" spans="1:13" ht="12.75" hidden="1" customHeight="1">
      <c r="A3349" t="s">
        <v>851</v>
      </c>
      <c r="B3349" t="s">
        <v>369</v>
      </c>
      <c r="C3349" t="s">
        <v>681</v>
      </c>
      <c r="D3349" t="s">
        <v>873</v>
      </c>
      <c r="E3349" s="17">
        <v>46000</v>
      </c>
      <c r="F3349" s="17">
        <v>46000</v>
      </c>
      <c r="G3349" s="13">
        <v>31.98</v>
      </c>
      <c r="H3349" s="14">
        <v>0</v>
      </c>
      <c r="I3349" s="14">
        <v>0</v>
      </c>
      <c r="J3349" s="14">
        <v>0</v>
      </c>
      <c r="K3349" s="14">
        <v>31.98</v>
      </c>
      <c r="L3349" t="s">
        <v>794</v>
      </c>
      <c r="M3349">
        <f t="shared" si="52"/>
        <v>2025</v>
      </c>
    </row>
    <row r="3350" spans="1:13" ht="12.75" hidden="1" customHeight="1">
      <c r="A3350" t="s">
        <v>1313</v>
      </c>
      <c r="B3350" t="s">
        <v>362</v>
      </c>
      <c r="C3350" t="s">
        <v>558</v>
      </c>
      <c r="D3350" t="s">
        <v>873</v>
      </c>
      <c r="E3350" s="17">
        <v>46000</v>
      </c>
      <c r="F3350" s="17">
        <v>46000</v>
      </c>
      <c r="G3350" s="13">
        <v>177.8</v>
      </c>
      <c r="H3350" s="14">
        <v>0</v>
      </c>
      <c r="I3350" s="14">
        <v>0</v>
      </c>
      <c r="J3350" s="14">
        <v>0</v>
      </c>
      <c r="K3350" s="14">
        <v>177.8</v>
      </c>
      <c r="L3350" t="s">
        <v>794</v>
      </c>
      <c r="M3350">
        <f t="shared" si="52"/>
        <v>2025</v>
      </c>
    </row>
    <row r="3351" spans="1:13" ht="12.75" hidden="1" customHeight="1">
      <c r="A3351" t="s">
        <v>1371</v>
      </c>
      <c r="B3351" t="s">
        <v>474</v>
      </c>
      <c r="C3351" t="s">
        <v>681</v>
      </c>
      <c r="D3351" t="s">
        <v>873</v>
      </c>
      <c r="E3351" s="17">
        <v>46000</v>
      </c>
      <c r="F3351" s="17">
        <v>46000</v>
      </c>
      <c r="G3351" s="13">
        <v>24</v>
      </c>
      <c r="H3351" s="14">
        <v>0</v>
      </c>
      <c r="I3351" s="14">
        <v>0</v>
      </c>
      <c r="J3351" s="14">
        <v>0</v>
      </c>
      <c r="K3351" s="14">
        <v>24</v>
      </c>
      <c r="L3351" t="s">
        <v>794</v>
      </c>
      <c r="M3351">
        <f t="shared" si="52"/>
        <v>2025</v>
      </c>
    </row>
    <row r="3352" spans="1:13" ht="12.75" hidden="1" customHeight="1">
      <c r="A3352" t="s">
        <v>1117</v>
      </c>
      <c r="B3352" t="s">
        <v>428</v>
      </c>
      <c r="C3352" t="s">
        <v>710</v>
      </c>
      <c r="D3352" t="s">
        <v>873</v>
      </c>
      <c r="E3352" s="17">
        <v>46002</v>
      </c>
      <c r="F3352" s="17">
        <v>46002</v>
      </c>
      <c r="G3352" s="13">
        <v>72</v>
      </c>
      <c r="H3352" s="14">
        <v>0</v>
      </c>
      <c r="I3352" s="14">
        <v>0</v>
      </c>
      <c r="J3352" s="14">
        <v>0</v>
      </c>
      <c r="K3352" s="14">
        <v>72</v>
      </c>
      <c r="L3352" t="s">
        <v>794</v>
      </c>
      <c r="M3352">
        <f t="shared" si="52"/>
        <v>2025</v>
      </c>
    </row>
    <row r="3353" spans="1:13" ht="12.75" hidden="1" customHeight="1">
      <c r="A3353" t="s">
        <v>992</v>
      </c>
      <c r="B3353" t="s">
        <v>277</v>
      </c>
      <c r="C3353" t="s">
        <v>99</v>
      </c>
      <c r="D3353" t="s">
        <v>873</v>
      </c>
      <c r="E3353" s="17">
        <v>46002</v>
      </c>
      <c r="F3353" s="17">
        <v>46002</v>
      </c>
      <c r="G3353" s="13">
        <v>42.88</v>
      </c>
      <c r="H3353" s="14">
        <v>0</v>
      </c>
      <c r="I3353" s="14">
        <v>0</v>
      </c>
      <c r="J3353" s="14">
        <v>0</v>
      </c>
      <c r="K3353" s="14">
        <v>42.88</v>
      </c>
      <c r="L3353" t="s">
        <v>794</v>
      </c>
      <c r="M3353">
        <f t="shared" si="52"/>
        <v>2025</v>
      </c>
    </row>
    <row r="3354" spans="1:13" ht="12.75" hidden="1" customHeight="1">
      <c r="A3354" t="s">
        <v>883</v>
      </c>
      <c r="B3354" t="s">
        <v>325</v>
      </c>
      <c r="C3354" t="s">
        <v>99</v>
      </c>
      <c r="D3354" t="s">
        <v>873</v>
      </c>
      <c r="E3354" s="17">
        <v>46002</v>
      </c>
      <c r="F3354" s="17">
        <v>46002</v>
      </c>
      <c r="G3354" s="13">
        <v>6.99</v>
      </c>
      <c r="H3354" s="14">
        <v>0</v>
      </c>
      <c r="I3354" s="14">
        <v>0</v>
      </c>
      <c r="J3354" s="14">
        <v>0</v>
      </c>
      <c r="K3354" s="14">
        <v>6.99</v>
      </c>
      <c r="L3354" t="s">
        <v>794</v>
      </c>
      <c r="M3354">
        <f t="shared" si="52"/>
        <v>2025</v>
      </c>
    </row>
    <row r="3355" spans="1:13" ht="12.75" hidden="1" customHeight="1">
      <c r="A3355" t="s">
        <v>1176</v>
      </c>
      <c r="B3355" t="s">
        <v>106</v>
      </c>
      <c r="C3355" t="s">
        <v>200</v>
      </c>
      <c r="D3355" t="s">
        <v>873</v>
      </c>
      <c r="E3355" s="17">
        <v>46001</v>
      </c>
      <c r="F3355" s="17">
        <v>46002</v>
      </c>
      <c r="G3355" s="13">
        <v>960</v>
      </c>
      <c r="H3355" s="14">
        <v>0</v>
      </c>
      <c r="I3355" s="14">
        <v>0</v>
      </c>
      <c r="J3355" s="14">
        <v>0</v>
      </c>
      <c r="K3355" s="14">
        <v>960</v>
      </c>
      <c r="L3355" t="s">
        <v>794</v>
      </c>
      <c r="M3355">
        <f t="shared" si="52"/>
        <v>2025</v>
      </c>
    </row>
    <row r="3356" spans="1:13" ht="12.75" hidden="1" customHeight="1">
      <c r="A3356" t="s">
        <v>1374</v>
      </c>
      <c r="B3356" t="s">
        <v>237</v>
      </c>
      <c r="C3356" t="s">
        <v>200</v>
      </c>
      <c r="D3356" t="s">
        <v>873</v>
      </c>
      <c r="E3356" s="17">
        <v>46000</v>
      </c>
      <c r="F3356" s="17">
        <v>46002</v>
      </c>
      <c r="G3356" s="13">
        <v>240</v>
      </c>
      <c r="H3356" s="14">
        <v>0</v>
      </c>
      <c r="I3356" s="14">
        <v>0</v>
      </c>
      <c r="J3356" s="14">
        <v>0</v>
      </c>
      <c r="K3356" s="14">
        <v>240</v>
      </c>
      <c r="L3356" t="s">
        <v>794</v>
      </c>
      <c r="M3356">
        <f t="shared" si="52"/>
        <v>2025</v>
      </c>
    </row>
    <row r="3357" spans="1:13" ht="12.75" hidden="1" customHeight="1">
      <c r="A3357" t="s">
        <v>818</v>
      </c>
      <c r="B3357" t="s">
        <v>30</v>
      </c>
      <c r="C3357" t="s">
        <v>141</v>
      </c>
      <c r="D3357" t="s">
        <v>873</v>
      </c>
      <c r="E3357" s="17">
        <v>46002</v>
      </c>
      <c r="F3357" s="17">
        <v>46002</v>
      </c>
      <c r="G3357" s="13">
        <v>1250</v>
      </c>
      <c r="H3357" s="14">
        <v>0</v>
      </c>
      <c r="I3357" s="14">
        <v>0</v>
      </c>
      <c r="J3357" s="14">
        <v>0</v>
      </c>
      <c r="K3357" s="14">
        <v>1250</v>
      </c>
      <c r="L3357" t="s">
        <v>794</v>
      </c>
      <c r="M3357">
        <f t="shared" si="52"/>
        <v>2025</v>
      </c>
    </row>
    <row r="3358" spans="1:13" ht="12.75" hidden="1" customHeight="1">
      <c r="A3358" t="s">
        <v>1317</v>
      </c>
      <c r="B3358" t="s">
        <v>64</v>
      </c>
      <c r="C3358" t="s">
        <v>141</v>
      </c>
      <c r="D3358" t="s">
        <v>873</v>
      </c>
      <c r="E3358" s="17">
        <v>46002</v>
      </c>
      <c r="F3358" s="17">
        <v>46002</v>
      </c>
      <c r="G3358" s="13">
        <v>1300</v>
      </c>
      <c r="H3358" s="14">
        <v>0</v>
      </c>
      <c r="I3358" s="14">
        <v>0</v>
      </c>
      <c r="J3358" s="14">
        <v>0</v>
      </c>
      <c r="K3358" s="14">
        <v>1300</v>
      </c>
      <c r="L3358" t="s">
        <v>794</v>
      </c>
      <c r="M3358">
        <f t="shared" si="52"/>
        <v>2025</v>
      </c>
    </row>
    <row r="3359" spans="1:13" ht="12.75" hidden="1" customHeight="1">
      <c r="A3359" t="s">
        <v>1316</v>
      </c>
      <c r="B3359" t="s">
        <v>59</v>
      </c>
      <c r="C3359" t="s">
        <v>141</v>
      </c>
      <c r="D3359" t="s">
        <v>873</v>
      </c>
      <c r="E3359" s="17">
        <v>46002</v>
      </c>
      <c r="F3359" s="17">
        <v>46002</v>
      </c>
      <c r="G3359" s="13">
        <v>1250</v>
      </c>
      <c r="H3359" s="14">
        <v>0</v>
      </c>
      <c r="I3359" s="14">
        <v>0</v>
      </c>
      <c r="J3359" s="14">
        <v>0</v>
      </c>
      <c r="K3359" s="14">
        <v>1250</v>
      </c>
      <c r="L3359" t="s">
        <v>794</v>
      </c>
      <c r="M3359">
        <f t="shared" si="52"/>
        <v>2025</v>
      </c>
    </row>
    <row r="3360" spans="1:13" ht="12.75" hidden="1" customHeight="1">
      <c r="A3360" t="s">
        <v>1343</v>
      </c>
      <c r="B3360" t="s">
        <v>92</v>
      </c>
      <c r="C3360" t="s">
        <v>201</v>
      </c>
      <c r="D3360" t="s">
        <v>873</v>
      </c>
      <c r="E3360" s="17">
        <v>46002</v>
      </c>
      <c r="F3360" s="17">
        <v>46002</v>
      </c>
      <c r="G3360" s="13">
        <v>1600</v>
      </c>
      <c r="H3360" s="14">
        <v>0</v>
      </c>
      <c r="I3360" s="14">
        <v>0</v>
      </c>
      <c r="J3360" s="14">
        <v>0</v>
      </c>
      <c r="K3360" s="14">
        <v>1600</v>
      </c>
      <c r="L3360" t="s">
        <v>794</v>
      </c>
      <c r="M3360">
        <f t="shared" si="52"/>
        <v>2025</v>
      </c>
    </row>
    <row r="3361" spans="1:13" ht="12.75" hidden="1" customHeight="1">
      <c r="A3361" t="s">
        <v>1341</v>
      </c>
      <c r="B3361" t="s">
        <v>160</v>
      </c>
      <c r="C3361" t="s">
        <v>201</v>
      </c>
      <c r="D3361" t="s">
        <v>873</v>
      </c>
      <c r="E3361" s="17">
        <v>46002</v>
      </c>
      <c r="F3361" s="17">
        <v>46002</v>
      </c>
      <c r="G3361" s="13">
        <v>1600</v>
      </c>
      <c r="H3361" s="14">
        <v>0</v>
      </c>
      <c r="I3361" s="14">
        <v>0</v>
      </c>
      <c r="J3361" s="14">
        <v>0</v>
      </c>
      <c r="K3361" s="14">
        <v>1600</v>
      </c>
      <c r="L3361" t="s">
        <v>794</v>
      </c>
      <c r="M3361">
        <f t="shared" si="52"/>
        <v>2025</v>
      </c>
    </row>
    <row r="3362" spans="1:13" ht="12.75" hidden="1" customHeight="1">
      <c r="A3362" t="s">
        <v>833</v>
      </c>
      <c r="B3362" t="s">
        <v>27</v>
      </c>
      <c r="C3362" t="s">
        <v>733</v>
      </c>
      <c r="D3362" t="s">
        <v>873</v>
      </c>
      <c r="E3362" s="17">
        <v>46002</v>
      </c>
      <c r="F3362" s="17">
        <v>46002</v>
      </c>
      <c r="G3362" s="13">
        <v>150</v>
      </c>
      <c r="H3362" s="14">
        <v>0</v>
      </c>
      <c r="I3362" s="14">
        <v>0</v>
      </c>
      <c r="J3362" s="14">
        <v>0</v>
      </c>
      <c r="K3362" s="14">
        <v>150</v>
      </c>
      <c r="L3362" t="s">
        <v>794</v>
      </c>
      <c r="M3362">
        <f t="shared" si="52"/>
        <v>2025</v>
      </c>
    </row>
    <row r="3363" spans="1:13" ht="12.75" hidden="1" customHeight="1">
      <c r="A3363" t="s">
        <v>819</v>
      </c>
      <c r="B3363" t="s">
        <v>38</v>
      </c>
      <c r="C3363" t="s">
        <v>733</v>
      </c>
      <c r="D3363" t="s">
        <v>873</v>
      </c>
      <c r="E3363" s="17">
        <v>46002</v>
      </c>
      <c r="F3363" s="17">
        <v>46002</v>
      </c>
      <c r="G3363" s="13">
        <v>155</v>
      </c>
      <c r="H3363" s="14">
        <v>0</v>
      </c>
      <c r="I3363" s="14">
        <v>0</v>
      </c>
      <c r="J3363" s="14">
        <v>0</v>
      </c>
      <c r="K3363" s="14">
        <v>155</v>
      </c>
      <c r="L3363" t="s">
        <v>794</v>
      </c>
      <c r="M3363">
        <f t="shared" si="52"/>
        <v>2025</v>
      </c>
    </row>
    <row r="3364" spans="1:13" ht="12.75" hidden="1" customHeight="1">
      <c r="A3364" t="s">
        <v>804</v>
      </c>
      <c r="B3364" t="s">
        <v>350</v>
      </c>
      <c r="C3364" t="s">
        <v>733</v>
      </c>
      <c r="D3364" t="s">
        <v>873</v>
      </c>
      <c r="E3364" s="17">
        <v>46002</v>
      </c>
      <c r="F3364" s="17">
        <v>46002</v>
      </c>
      <c r="G3364" s="13">
        <v>55</v>
      </c>
      <c r="H3364" s="14">
        <v>0</v>
      </c>
      <c r="I3364" s="14">
        <v>0</v>
      </c>
      <c r="J3364" s="14">
        <v>0</v>
      </c>
      <c r="K3364" s="14">
        <v>55</v>
      </c>
      <c r="L3364" t="s">
        <v>794</v>
      </c>
      <c r="M3364">
        <f t="shared" si="52"/>
        <v>2025</v>
      </c>
    </row>
    <row r="3365" spans="1:13" ht="12.75" hidden="1" customHeight="1">
      <c r="A3365" t="s">
        <v>883</v>
      </c>
      <c r="B3365" t="s">
        <v>325</v>
      </c>
      <c r="C3365" t="s">
        <v>99</v>
      </c>
      <c r="D3365" t="s">
        <v>873</v>
      </c>
      <c r="E3365" s="17">
        <v>46002</v>
      </c>
      <c r="F3365" s="17">
        <v>46002</v>
      </c>
      <c r="G3365" s="13">
        <v>28.97</v>
      </c>
      <c r="H3365" s="14">
        <v>0</v>
      </c>
      <c r="I3365" s="14">
        <v>0</v>
      </c>
      <c r="J3365" s="14">
        <v>0</v>
      </c>
      <c r="K3365" s="14">
        <v>28.97</v>
      </c>
      <c r="L3365" t="s">
        <v>794</v>
      </c>
      <c r="M3365">
        <f t="shared" si="52"/>
        <v>2025</v>
      </c>
    </row>
    <row r="3366" spans="1:13" ht="12.75" hidden="1" customHeight="1">
      <c r="A3366" t="s">
        <v>921</v>
      </c>
      <c r="B3366" t="s">
        <v>184</v>
      </c>
      <c r="C3366" t="s">
        <v>646</v>
      </c>
      <c r="D3366" t="s">
        <v>873</v>
      </c>
      <c r="E3366" s="17">
        <v>46002</v>
      </c>
      <c r="F3366" s="17">
        <v>46002</v>
      </c>
      <c r="G3366" s="13">
        <v>200</v>
      </c>
      <c r="H3366" s="14">
        <v>0</v>
      </c>
      <c r="I3366" s="14">
        <v>0</v>
      </c>
      <c r="J3366" s="14">
        <v>0</v>
      </c>
      <c r="K3366" s="14">
        <v>200</v>
      </c>
      <c r="L3366" t="s">
        <v>794</v>
      </c>
      <c r="M3366">
        <f t="shared" si="52"/>
        <v>2025</v>
      </c>
    </row>
    <row r="3367" spans="1:13" ht="12.75" hidden="1" customHeight="1">
      <c r="A3367" t="s">
        <v>819</v>
      </c>
      <c r="B3367" t="s">
        <v>38</v>
      </c>
      <c r="C3367" t="s">
        <v>646</v>
      </c>
      <c r="D3367" t="s">
        <v>873</v>
      </c>
      <c r="E3367" s="17">
        <v>46002</v>
      </c>
      <c r="F3367" s="17">
        <v>46002</v>
      </c>
      <c r="G3367" s="13">
        <v>19.900000000000002</v>
      </c>
      <c r="H3367" s="14">
        <v>0</v>
      </c>
      <c r="I3367" s="14">
        <v>0</v>
      </c>
      <c r="J3367" s="14">
        <v>0</v>
      </c>
      <c r="K3367" s="14">
        <v>19.900000000000002</v>
      </c>
      <c r="L3367" t="s">
        <v>794</v>
      </c>
      <c r="M3367">
        <f t="shared" si="52"/>
        <v>2025</v>
      </c>
    </row>
    <row r="3368" spans="1:13" ht="12.75" hidden="1" customHeight="1">
      <c r="A3368" t="s">
        <v>992</v>
      </c>
      <c r="B3368" t="s">
        <v>277</v>
      </c>
      <c r="C3368" t="s">
        <v>99</v>
      </c>
      <c r="D3368" t="s">
        <v>873</v>
      </c>
      <c r="E3368" s="17">
        <v>46002</v>
      </c>
      <c r="F3368" s="17">
        <v>46002</v>
      </c>
      <c r="G3368" s="13">
        <v>6.9</v>
      </c>
      <c r="H3368" s="14">
        <v>0</v>
      </c>
      <c r="I3368" s="14">
        <v>0</v>
      </c>
      <c r="J3368" s="14">
        <v>0</v>
      </c>
      <c r="K3368" s="14">
        <v>6.9</v>
      </c>
      <c r="L3368" t="s">
        <v>794</v>
      </c>
      <c r="M3368">
        <f t="shared" si="52"/>
        <v>2025</v>
      </c>
    </row>
    <row r="3369" spans="1:13" ht="12.75" hidden="1" customHeight="1">
      <c r="A3369" t="s">
        <v>1112</v>
      </c>
      <c r="B3369" t="s">
        <v>68</v>
      </c>
      <c r="C3369" t="s">
        <v>775</v>
      </c>
      <c r="D3369" t="s">
        <v>873</v>
      </c>
      <c r="E3369" s="17">
        <v>46002</v>
      </c>
      <c r="F3369" s="17">
        <v>46002</v>
      </c>
      <c r="G3369" s="13">
        <v>48</v>
      </c>
      <c r="H3369" s="14">
        <v>0</v>
      </c>
      <c r="I3369" s="14">
        <v>0</v>
      </c>
      <c r="J3369" s="14">
        <v>0</v>
      </c>
      <c r="K3369" s="14">
        <v>48</v>
      </c>
      <c r="L3369" t="s">
        <v>794</v>
      </c>
      <c r="M3369">
        <f t="shared" si="52"/>
        <v>2025</v>
      </c>
    </row>
    <row r="3370" spans="1:13" ht="12.75" hidden="1" customHeight="1">
      <c r="A3370" t="s">
        <v>1375</v>
      </c>
      <c r="B3370" t="s">
        <v>290</v>
      </c>
      <c r="C3370" t="s">
        <v>201</v>
      </c>
      <c r="D3370" t="s">
        <v>873</v>
      </c>
      <c r="E3370" s="17">
        <v>46002</v>
      </c>
      <c r="F3370" s="17">
        <v>46002</v>
      </c>
      <c r="G3370" s="13">
        <v>320</v>
      </c>
      <c r="H3370" s="14">
        <v>0</v>
      </c>
      <c r="I3370" s="14">
        <v>0</v>
      </c>
      <c r="J3370" s="14">
        <v>0</v>
      </c>
      <c r="K3370" s="14">
        <v>320</v>
      </c>
      <c r="L3370" t="s">
        <v>794</v>
      </c>
      <c r="M3370">
        <f t="shared" si="52"/>
        <v>2025</v>
      </c>
    </row>
    <row r="3371" spans="1:13" ht="12.75" hidden="1" customHeight="1">
      <c r="A3371" t="s">
        <v>1316</v>
      </c>
      <c r="B3371" t="s">
        <v>59</v>
      </c>
      <c r="C3371" t="s">
        <v>141</v>
      </c>
      <c r="D3371" t="s">
        <v>873</v>
      </c>
      <c r="E3371" s="17">
        <v>46002</v>
      </c>
      <c r="F3371" s="17">
        <v>46002</v>
      </c>
      <c r="G3371" s="13">
        <v>100</v>
      </c>
      <c r="H3371" s="14">
        <v>0</v>
      </c>
      <c r="I3371" s="14">
        <v>0</v>
      </c>
      <c r="J3371" s="14">
        <v>0</v>
      </c>
      <c r="K3371" s="14">
        <v>100</v>
      </c>
      <c r="L3371" t="s">
        <v>794</v>
      </c>
      <c r="M3371">
        <f t="shared" si="52"/>
        <v>2025</v>
      </c>
    </row>
    <row r="3372" spans="1:13" ht="12.75" hidden="1" customHeight="1">
      <c r="A3372" t="s">
        <v>1317</v>
      </c>
      <c r="B3372" t="s">
        <v>64</v>
      </c>
      <c r="C3372" t="s">
        <v>141</v>
      </c>
      <c r="D3372" t="s">
        <v>873</v>
      </c>
      <c r="E3372" s="17">
        <v>46002</v>
      </c>
      <c r="F3372" s="17">
        <v>46002</v>
      </c>
      <c r="G3372" s="13">
        <v>100</v>
      </c>
      <c r="H3372" s="14">
        <v>0</v>
      </c>
      <c r="I3372" s="14">
        <v>0</v>
      </c>
      <c r="J3372" s="14">
        <v>0</v>
      </c>
      <c r="K3372" s="14">
        <v>100</v>
      </c>
      <c r="L3372" t="s">
        <v>1114</v>
      </c>
      <c r="M3372">
        <f t="shared" si="52"/>
        <v>2025</v>
      </c>
    </row>
    <row r="3373" spans="1:13" ht="12.75" hidden="1" customHeight="1">
      <c r="A3373" t="s">
        <v>989</v>
      </c>
      <c r="B3373" t="s">
        <v>381</v>
      </c>
      <c r="C3373" t="s">
        <v>99</v>
      </c>
      <c r="D3373" t="s">
        <v>873</v>
      </c>
      <c r="E3373" s="17">
        <v>46002</v>
      </c>
      <c r="F3373" s="17">
        <v>46002</v>
      </c>
      <c r="G3373" s="13">
        <v>100</v>
      </c>
      <c r="H3373" s="14">
        <v>0</v>
      </c>
      <c r="I3373" s="14">
        <v>0</v>
      </c>
      <c r="J3373" s="14">
        <v>0</v>
      </c>
      <c r="K3373" s="14">
        <v>100</v>
      </c>
      <c r="L3373" t="s">
        <v>794</v>
      </c>
      <c r="M3373">
        <f t="shared" si="52"/>
        <v>2025</v>
      </c>
    </row>
    <row r="3374" spans="1:13" ht="12.75" hidden="1" customHeight="1">
      <c r="A3374" t="s">
        <v>1318</v>
      </c>
      <c r="B3374" t="s">
        <v>498</v>
      </c>
      <c r="C3374" t="s">
        <v>141</v>
      </c>
      <c r="D3374" t="s">
        <v>873</v>
      </c>
      <c r="E3374" s="17">
        <v>46002</v>
      </c>
      <c r="F3374" s="17">
        <v>46002</v>
      </c>
      <c r="G3374" s="13">
        <v>53.160000000000004</v>
      </c>
      <c r="H3374" s="14">
        <v>0</v>
      </c>
      <c r="I3374" s="14">
        <v>0</v>
      </c>
      <c r="J3374" s="14">
        <v>0</v>
      </c>
      <c r="K3374" s="14">
        <v>53.160000000000004</v>
      </c>
      <c r="L3374" t="s">
        <v>794</v>
      </c>
      <c r="M3374">
        <f t="shared" si="52"/>
        <v>2025</v>
      </c>
    </row>
    <row r="3375" spans="1:13" ht="12.75" hidden="1" customHeight="1">
      <c r="A3375" t="s">
        <v>1376</v>
      </c>
      <c r="B3375" t="s">
        <v>427</v>
      </c>
      <c r="C3375" t="s">
        <v>139</v>
      </c>
      <c r="D3375" t="s">
        <v>873</v>
      </c>
      <c r="E3375" s="17">
        <v>46007</v>
      </c>
      <c r="F3375" s="17">
        <v>46007</v>
      </c>
      <c r="G3375" s="13">
        <v>40.6</v>
      </c>
      <c r="H3375" s="14">
        <v>0</v>
      </c>
      <c r="I3375" s="14">
        <v>0</v>
      </c>
      <c r="J3375" s="14">
        <v>0</v>
      </c>
      <c r="K3375" s="14">
        <v>40.6</v>
      </c>
      <c r="L3375" t="s">
        <v>794</v>
      </c>
      <c r="M3375">
        <f t="shared" si="52"/>
        <v>2025</v>
      </c>
    </row>
    <row r="3376" spans="1:13" ht="12.75" hidden="1" customHeight="1">
      <c r="A3376" t="s">
        <v>1370</v>
      </c>
      <c r="B3376" t="s">
        <v>406</v>
      </c>
      <c r="C3376" t="s">
        <v>139</v>
      </c>
      <c r="D3376" t="s">
        <v>873</v>
      </c>
      <c r="E3376" s="17">
        <v>46007</v>
      </c>
      <c r="F3376" s="17">
        <v>46007</v>
      </c>
      <c r="G3376" s="13">
        <v>46.4</v>
      </c>
      <c r="H3376" s="14">
        <v>0</v>
      </c>
      <c r="I3376" s="14">
        <v>0</v>
      </c>
      <c r="J3376" s="14">
        <v>0</v>
      </c>
      <c r="K3376" s="14">
        <v>46.4</v>
      </c>
      <c r="L3376" t="s">
        <v>794</v>
      </c>
      <c r="M3376">
        <f t="shared" si="52"/>
        <v>2025</v>
      </c>
    </row>
    <row r="3377" spans="1:13" ht="12.75" hidden="1" customHeight="1">
      <c r="A3377" t="s">
        <v>836</v>
      </c>
      <c r="B3377" t="s">
        <v>37</v>
      </c>
      <c r="C3377" t="s">
        <v>599</v>
      </c>
      <c r="D3377" t="s">
        <v>873</v>
      </c>
      <c r="E3377" s="17">
        <v>46008</v>
      </c>
      <c r="F3377" s="17">
        <v>46008</v>
      </c>
      <c r="G3377" s="13">
        <v>50</v>
      </c>
      <c r="H3377" s="14">
        <v>0</v>
      </c>
      <c r="I3377" s="14">
        <v>0</v>
      </c>
      <c r="J3377" s="14">
        <v>0</v>
      </c>
      <c r="K3377" s="14">
        <v>50</v>
      </c>
      <c r="L3377" t="s">
        <v>794</v>
      </c>
      <c r="M3377">
        <f t="shared" si="52"/>
        <v>2025</v>
      </c>
    </row>
    <row r="3378" spans="1:13" ht="12.75" hidden="1" customHeight="1">
      <c r="A3378" t="s">
        <v>1167</v>
      </c>
      <c r="B3378" t="s">
        <v>47</v>
      </c>
      <c r="C3378" t="s">
        <v>599</v>
      </c>
      <c r="D3378" t="s">
        <v>873</v>
      </c>
      <c r="E3378" s="17">
        <v>46008</v>
      </c>
      <c r="F3378" s="17">
        <v>46008</v>
      </c>
      <c r="G3378" s="13">
        <v>50</v>
      </c>
      <c r="H3378" s="14">
        <v>0</v>
      </c>
      <c r="I3378" s="14">
        <v>0</v>
      </c>
      <c r="J3378" s="14">
        <v>0</v>
      </c>
      <c r="K3378" s="14">
        <v>50</v>
      </c>
      <c r="L3378" t="s">
        <v>794</v>
      </c>
      <c r="M3378">
        <f t="shared" si="52"/>
        <v>2025</v>
      </c>
    </row>
    <row r="3379" spans="1:13" ht="12.75" hidden="1" customHeight="1">
      <c r="A3379" t="s">
        <v>1196</v>
      </c>
      <c r="B3379" t="s">
        <v>1197</v>
      </c>
      <c r="C3379" t="s">
        <v>733</v>
      </c>
      <c r="D3379" t="s">
        <v>873</v>
      </c>
      <c r="E3379" s="17">
        <v>46008</v>
      </c>
      <c r="F3379" s="17">
        <v>46008</v>
      </c>
      <c r="G3379" s="13">
        <v>90</v>
      </c>
      <c r="H3379" s="14">
        <v>0</v>
      </c>
      <c r="I3379" s="14">
        <v>0</v>
      </c>
      <c r="J3379" s="14">
        <v>0</v>
      </c>
      <c r="K3379" s="14">
        <v>90</v>
      </c>
      <c r="L3379" t="s">
        <v>794</v>
      </c>
      <c r="M3379">
        <f t="shared" si="52"/>
        <v>2025</v>
      </c>
    </row>
    <row r="3380" spans="1:13" ht="12.75" hidden="1" customHeight="1">
      <c r="A3380" t="s">
        <v>852</v>
      </c>
      <c r="B3380" t="s">
        <v>342</v>
      </c>
      <c r="C3380" t="s">
        <v>483</v>
      </c>
      <c r="D3380" t="s">
        <v>873</v>
      </c>
      <c r="E3380" s="17">
        <v>46008</v>
      </c>
      <c r="F3380" s="17">
        <v>46008</v>
      </c>
      <c r="G3380" s="13">
        <v>36.480000000000004</v>
      </c>
      <c r="H3380" s="14">
        <v>0</v>
      </c>
      <c r="I3380" s="14">
        <v>0</v>
      </c>
      <c r="J3380" s="14">
        <v>0</v>
      </c>
      <c r="K3380" s="14">
        <v>36.480000000000004</v>
      </c>
      <c r="L3380" t="s">
        <v>794</v>
      </c>
      <c r="M3380">
        <f t="shared" si="52"/>
        <v>2025</v>
      </c>
    </row>
    <row r="3381" spans="1:13" ht="12.75" hidden="1" customHeight="1">
      <c r="A3381" t="s">
        <v>907</v>
      </c>
      <c r="B3381" t="s">
        <v>291</v>
      </c>
      <c r="C3381" t="s">
        <v>749</v>
      </c>
      <c r="D3381" t="s">
        <v>873</v>
      </c>
      <c r="E3381" s="17">
        <v>46008</v>
      </c>
      <c r="F3381" s="17">
        <v>46008</v>
      </c>
      <c r="G3381" s="13">
        <v>16.5</v>
      </c>
      <c r="H3381" s="14">
        <v>0</v>
      </c>
      <c r="I3381" s="14">
        <v>0</v>
      </c>
      <c r="J3381" s="14">
        <v>0</v>
      </c>
      <c r="K3381" s="14">
        <v>16.5</v>
      </c>
      <c r="L3381" t="s">
        <v>794</v>
      </c>
      <c r="M3381">
        <f t="shared" si="52"/>
        <v>2025</v>
      </c>
    </row>
    <row r="3382" spans="1:13" ht="12.75" hidden="1" customHeight="1">
      <c r="A3382" t="s">
        <v>1356</v>
      </c>
      <c r="B3382" t="s">
        <v>20</v>
      </c>
      <c r="C3382" t="s">
        <v>599</v>
      </c>
      <c r="D3382" t="s">
        <v>873</v>
      </c>
      <c r="E3382" s="17">
        <v>46008</v>
      </c>
      <c r="F3382" s="17">
        <v>46008</v>
      </c>
      <c r="G3382" s="13">
        <v>150</v>
      </c>
      <c r="H3382" s="14">
        <v>0</v>
      </c>
      <c r="I3382" s="14">
        <v>0</v>
      </c>
      <c r="J3382" s="14">
        <v>0</v>
      </c>
      <c r="K3382" s="14">
        <v>150</v>
      </c>
      <c r="L3382" t="s">
        <v>794</v>
      </c>
      <c r="M3382">
        <f t="shared" si="52"/>
        <v>2025</v>
      </c>
    </row>
    <row r="3383" spans="1:13" ht="12.75" hidden="1" customHeight="1">
      <c r="A3383" t="s">
        <v>1370</v>
      </c>
      <c r="B3383" t="s">
        <v>406</v>
      </c>
      <c r="C3383" t="s">
        <v>139</v>
      </c>
      <c r="D3383" t="s">
        <v>873</v>
      </c>
      <c r="E3383" s="17">
        <v>46008</v>
      </c>
      <c r="F3383" s="17">
        <v>46008</v>
      </c>
      <c r="G3383" s="13">
        <v>46.4</v>
      </c>
      <c r="H3383" s="14">
        <v>0</v>
      </c>
      <c r="I3383" s="14">
        <v>0</v>
      </c>
      <c r="J3383" s="14">
        <v>0</v>
      </c>
      <c r="K3383" s="14">
        <v>46.4</v>
      </c>
      <c r="L3383" t="s">
        <v>794</v>
      </c>
      <c r="M3383">
        <f t="shared" si="52"/>
        <v>2025</v>
      </c>
    </row>
    <row r="3384" spans="1:13" ht="12.75" hidden="1" customHeight="1">
      <c r="A3384" t="s">
        <v>878</v>
      </c>
      <c r="B3384" t="s">
        <v>32</v>
      </c>
      <c r="C3384" t="s">
        <v>599</v>
      </c>
      <c r="D3384" t="s">
        <v>873</v>
      </c>
      <c r="E3384" s="17">
        <v>46008</v>
      </c>
      <c r="F3384" s="17">
        <v>46008</v>
      </c>
      <c r="G3384" s="13">
        <v>50</v>
      </c>
      <c r="H3384" s="14">
        <v>0</v>
      </c>
      <c r="I3384" s="14">
        <v>0</v>
      </c>
      <c r="J3384" s="14">
        <v>0</v>
      </c>
      <c r="K3384" s="14">
        <v>50</v>
      </c>
      <c r="L3384" t="s">
        <v>794</v>
      </c>
      <c r="M3384">
        <f t="shared" si="52"/>
        <v>2025</v>
      </c>
    </row>
    <row r="3385" spans="1:13" ht="12.75" hidden="1" customHeight="1">
      <c r="A3385" t="s">
        <v>921</v>
      </c>
      <c r="B3385" t="s">
        <v>184</v>
      </c>
      <c r="C3385" t="s">
        <v>749</v>
      </c>
      <c r="D3385" t="s">
        <v>873</v>
      </c>
      <c r="E3385" s="17">
        <v>46009</v>
      </c>
      <c r="F3385" s="17">
        <v>46009</v>
      </c>
      <c r="G3385" s="13">
        <v>26.95</v>
      </c>
      <c r="H3385" s="14">
        <v>0</v>
      </c>
      <c r="I3385" s="14">
        <v>0</v>
      </c>
      <c r="J3385" s="14">
        <v>0</v>
      </c>
      <c r="K3385" s="14">
        <v>26.95</v>
      </c>
      <c r="L3385" t="s">
        <v>794</v>
      </c>
      <c r="M3385">
        <f t="shared" si="52"/>
        <v>2025</v>
      </c>
    </row>
    <row r="3386" spans="1:13" ht="12.75" hidden="1" customHeight="1">
      <c r="A3386" t="s">
        <v>1121</v>
      </c>
      <c r="B3386" t="s">
        <v>295</v>
      </c>
      <c r="C3386" t="s">
        <v>142</v>
      </c>
      <c r="D3386" t="s">
        <v>873</v>
      </c>
      <c r="E3386" s="17">
        <v>46010</v>
      </c>
      <c r="F3386" s="17">
        <v>46010</v>
      </c>
      <c r="G3386" s="13">
        <v>35</v>
      </c>
      <c r="H3386" s="14">
        <v>0</v>
      </c>
      <c r="I3386" s="14">
        <v>0</v>
      </c>
      <c r="J3386" s="14">
        <v>0</v>
      </c>
      <c r="K3386" s="14">
        <v>35</v>
      </c>
      <c r="L3386" t="s">
        <v>794</v>
      </c>
      <c r="M3386">
        <f t="shared" si="52"/>
        <v>2025</v>
      </c>
    </row>
    <row r="3387" spans="1:13" ht="12.75" hidden="1" customHeight="1">
      <c r="A3387" t="s">
        <v>1167</v>
      </c>
      <c r="B3387" t="s">
        <v>47</v>
      </c>
      <c r="C3387" t="s">
        <v>733</v>
      </c>
      <c r="D3387" t="s">
        <v>873</v>
      </c>
      <c r="E3387" s="17">
        <v>46010</v>
      </c>
      <c r="F3387" s="17">
        <v>46010</v>
      </c>
      <c r="G3387" s="13">
        <v>35.619999999999997</v>
      </c>
      <c r="H3387" s="14">
        <v>0</v>
      </c>
      <c r="I3387" s="14">
        <v>0</v>
      </c>
      <c r="J3387" s="14">
        <v>0</v>
      </c>
      <c r="K3387" s="14">
        <v>35.619999999999997</v>
      </c>
      <c r="L3387" t="s">
        <v>794</v>
      </c>
      <c r="M3387">
        <f t="shared" si="52"/>
        <v>2025</v>
      </c>
    </row>
    <row r="3388" spans="1:13" ht="12.75" hidden="1" customHeight="1">
      <c r="A3388" t="s">
        <v>1318</v>
      </c>
      <c r="B3388" t="s">
        <v>498</v>
      </c>
      <c r="C3388" t="s">
        <v>681</v>
      </c>
      <c r="D3388" t="s">
        <v>873</v>
      </c>
      <c r="E3388" s="17">
        <v>46010</v>
      </c>
      <c r="F3388" s="17">
        <v>46010</v>
      </c>
      <c r="G3388" s="13">
        <v>20.990000000000002</v>
      </c>
      <c r="H3388" s="14">
        <v>0</v>
      </c>
      <c r="I3388" s="14">
        <v>0</v>
      </c>
      <c r="J3388" s="14">
        <v>0</v>
      </c>
      <c r="K3388" s="14">
        <v>20.990000000000002</v>
      </c>
      <c r="L3388" t="s">
        <v>794</v>
      </c>
      <c r="M3388">
        <f t="shared" si="52"/>
        <v>2025</v>
      </c>
    </row>
    <row r="3389" spans="1:13" ht="12.75" hidden="1" customHeight="1">
      <c r="A3389" t="s">
        <v>907</v>
      </c>
      <c r="B3389" t="s">
        <v>291</v>
      </c>
      <c r="C3389" t="s">
        <v>681</v>
      </c>
      <c r="D3389" t="s">
        <v>873</v>
      </c>
      <c r="E3389" s="17">
        <v>46010</v>
      </c>
      <c r="F3389" s="17">
        <v>46010</v>
      </c>
      <c r="G3389" s="13">
        <v>10.85</v>
      </c>
      <c r="H3389" s="14">
        <v>0</v>
      </c>
      <c r="I3389" s="14">
        <v>0</v>
      </c>
      <c r="J3389" s="14">
        <v>0</v>
      </c>
      <c r="K3389" s="14">
        <v>10.85</v>
      </c>
      <c r="L3389" t="s">
        <v>794</v>
      </c>
      <c r="M3389">
        <f t="shared" si="52"/>
        <v>2025</v>
      </c>
    </row>
    <row r="3390" spans="1:13" ht="12.75" hidden="1" customHeight="1">
      <c r="A3390" t="s">
        <v>906</v>
      </c>
      <c r="B3390" t="s">
        <v>289</v>
      </c>
      <c r="C3390" t="s">
        <v>681</v>
      </c>
      <c r="D3390" t="s">
        <v>873</v>
      </c>
      <c r="E3390" s="17">
        <v>46010</v>
      </c>
      <c r="F3390" s="17">
        <v>46010</v>
      </c>
      <c r="G3390" s="13">
        <v>85</v>
      </c>
      <c r="H3390" s="14">
        <v>0</v>
      </c>
      <c r="I3390" s="14">
        <v>0</v>
      </c>
      <c r="J3390" s="14">
        <v>0</v>
      </c>
      <c r="K3390" s="14">
        <v>85</v>
      </c>
      <c r="L3390" t="s">
        <v>794</v>
      </c>
      <c r="M3390">
        <f t="shared" si="52"/>
        <v>2025</v>
      </c>
    </row>
    <row r="3391" spans="1:13" ht="12.75" hidden="1" customHeight="1">
      <c r="A3391" t="s">
        <v>852</v>
      </c>
      <c r="B3391" t="s">
        <v>342</v>
      </c>
      <c r="C3391" t="s">
        <v>681</v>
      </c>
      <c r="D3391" t="s">
        <v>873</v>
      </c>
      <c r="E3391" s="17">
        <v>46010</v>
      </c>
      <c r="F3391" s="17">
        <v>46010</v>
      </c>
      <c r="G3391" s="13">
        <v>97.73</v>
      </c>
      <c r="H3391" s="14">
        <v>0</v>
      </c>
      <c r="I3391" s="14">
        <v>0</v>
      </c>
      <c r="J3391" s="14">
        <v>0</v>
      </c>
      <c r="K3391" s="14">
        <v>97.73</v>
      </c>
      <c r="L3391" t="s">
        <v>794</v>
      </c>
      <c r="M3391">
        <f t="shared" si="52"/>
        <v>2025</v>
      </c>
    </row>
    <row r="3392" spans="1:13" ht="12.75" hidden="1" customHeight="1">
      <c r="A3392" t="s">
        <v>1167</v>
      </c>
      <c r="B3392" t="s">
        <v>47</v>
      </c>
      <c r="C3392" t="s">
        <v>681</v>
      </c>
      <c r="D3392" t="s">
        <v>873</v>
      </c>
      <c r="E3392" s="17">
        <v>46010</v>
      </c>
      <c r="F3392" s="17">
        <v>46010</v>
      </c>
      <c r="G3392" s="13">
        <v>42.5</v>
      </c>
      <c r="H3392" s="14">
        <v>0</v>
      </c>
      <c r="I3392" s="14">
        <v>0</v>
      </c>
      <c r="J3392" s="14">
        <v>0</v>
      </c>
      <c r="K3392" s="14">
        <v>42.5</v>
      </c>
      <c r="L3392" t="s">
        <v>794</v>
      </c>
      <c r="M3392">
        <f t="shared" si="52"/>
        <v>2025</v>
      </c>
    </row>
    <row r="3393" spans="1:13" ht="12.75" hidden="1" customHeight="1">
      <c r="A3393" t="s">
        <v>992</v>
      </c>
      <c r="B3393" t="s">
        <v>277</v>
      </c>
      <c r="C3393" t="s">
        <v>99</v>
      </c>
      <c r="D3393" t="s">
        <v>873</v>
      </c>
      <c r="E3393" s="17">
        <v>46013</v>
      </c>
      <c r="F3393" s="17">
        <v>46013</v>
      </c>
      <c r="G3393" s="13">
        <v>79.900000000000006</v>
      </c>
      <c r="H3393" s="14">
        <v>0</v>
      </c>
      <c r="I3393" s="14">
        <v>0</v>
      </c>
      <c r="J3393" s="14">
        <v>0</v>
      </c>
      <c r="K3393" s="14">
        <v>79.900000000000006</v>
      </c>
      <c r="L3393" t="s">
        <v>794</v>
      </c>
      <c r="M3393">
        <f t="shared" si="52"/>
        <v>2025</v>
      </c>
    </row>
    <row r="3394" spans="1:13" ht="12.75" hidden="1" customHeight="1">
      <c r="A3394" t="s">
        <v>1316</v>
      </c>
      <c r="B3394" t="s">
        <v>59</v>
      </c>
      <c r="C3394" t="s">
        <v>141</v>
      </c>
      <c r="D3394" t="s">
        <v>873</v>
      </c>
      <c r="E3394" s="17">
        <v>46013</v>
      </c>
      <c r="F3394" s="17">
        <v>46013</v>
      </c>
      <c r="G3394" s="13">
        <v>40</v>
      </c>
      <c r="H3394" s="14">
        <v>0</v>
      </c>
      <c r="I3394" s="14">
        <v>0</v>
      </c>
      <c r="J3394" s="14">
        <v>0</v>
      </c>
      <c r="K3394" s="14">
        <v>40</v>
      </c>
      <c r="L3394" t="s">
        <v>794</v>
      </c>
      <c r="M3394">
        <f t="shared" si="52"/>
        <v>2025</v>
      </c>
    </row>
    <row r="3395" spans="1:13" ht="12.75" hidden="1" customHeight="1">
      <c r="A3395" t="s">
        <v>981</v>
      </c>
      <c r="B3395" t="s">
        <v>55</v>
      </c>
      <c r="C3395" t="s">
        <v>99</v>
      </c>
      <c r="D3395" t="s">
        <v>873</v>
      </c>
      <c r="E3395" s="17">
        <v>46013</v>
      </c>
      <c r="F3395" s="17">
        <v>46013</v>
      </c>
      <c r="G3395" s="13">
        <v>200</v>
      </c>
      <c r="H3395" s="14">
        <v>0</v>
      </c>
      <c r="I3395" s="14">
        <v>0</v>
      </c>
      <c r="J3395" s="14">
        <v>0</v>
      </c>
      <c r="K3395" s="14">
        <v>200</v>
      </c>
      <c r="L3395" t="s">
        <v>843</v>
      </c>
      <c r="M3395">
        <f t="shared" ref="M3395:M3458" si="53">YEAR(F3395)</f>
        <v>2025</v>
      </c>
    </row>
    <row r="3396" spans="1:13" ht="12.75" hidden="1" customHeight="1">
      <c r="A3396" t="s">
        <v>818</v>
      </c>
      <c r="B3396" t="s">
        <v>30</v>
      </c>
      <c r="C3396" t="s">
        <v>141</v>
      </c>
      <c r="D3396" t="s">
        <v>873</v>
      </c>
      <c r="E3396" s="17">
        <v>46013</v>
      </c>
      <c r="F3396" s="17">
        <v>46013</v>
      </c>
      <c r="G3396" s="13">
        <v>106</v>
      </c>
      <c r="H3396" s="14">
        <v>0</v>
      </c>
      <c r="I3396" s="14">
        <v>0</v>
      </c>
      <c r="J3396" s="14">
        <v>0</v>
      </c>
      <c r="K3396" s="14">
        <v>106</v>
      </c>
      <c r="L3396" t="s">
        <v>794</v>
      </c>
      <c r="M3396">
        <f t="shared" si="53"/>
        <v>2025</v>
      </c>
    </row>
    <row r="3397" spans="1:13" ht="12.75" hidden="1" customHeight="1">
      <c r="A3397" t="s">
        <v>1317</v>
      </c>
      <c r="B3397" t="s">
        <v>64</v>
      </c>
      <c r="C3397" t="s">
        <v>141</v>
      </c>
      <c r="D3397" t="s">
        <v>873</v>
      </c>
      <c r="E3397" s="17">
        <v>46013</v>
      </c>
      <c r="F3397" s="17">
        <v>46013</v>
      </c>
      <c r="G3397" s="13">
        <v>40</v>
      </c>
      <c r="H3397" s="14">
        <v>0</v>
      </c>
      <c r="I3397" s="14">
        <v>0</v>
      </c>
      <c r="J3397" s="14">
        <v>0</v>
      </c>
      <c r="K3397" s="14">
        <v>40</v>
      </c>
      <c r="L3397" t="s">
        <v>794</v>
      </c>
      <c r="M3397">
        <f t="shared" si="53"/>
        <v>2025</v>
      </c>
    </row>
    <row r="3398" spans="1:13" ht="12.75" hidden="1" customHeight="1">
      <c r="A3398" t="s">
        <v>852</v>
      </c>
      <c r="B3398" t="s">
        <v>342</v>
      </c>
      <c r="C3398" t="s">
        <v>483</v>
      </c>
      <c r="D3398" t="s">
        <v>873</v>
      </c>
      <c r="E3398" s="17">
        <v>46020</v>
      </c>
      <c r="F3398" s="17">
        <v>46020</v>
      </c>
      <c r="G3398" s="13">
        <v>6.2700000000000005</v>
      </c>
      <c r="H3398" s="14">
        <v>0</v>
      </c>
      <c r="I3398" s="14">
        <v>0</v>
      </c>
      <c r="J3398" s="14">
        <v>0</v>
      </c>
      <c r="K3398" s="14">
        <v>6.2700000000000005</v>
      </c>
      <c r="L3398" t="s">
        <v>794</v>
      </c>
      <c r="M3398">
        <f t="shared" si="53"/>
        <v>2025</v>
      </c>
    </row>
    <row r="3399" spans="1:13" ht="12.75" hidden="1" customHeight="1">
      <c r="A3399" t="s">
        <v>1376</v>
      </c>
      <c r="B3399" t="s">
        <v>427</v>
      </c>
      <c r="C3399" t="s">
        <v>139</v>
      </c>
      <c r="D3399" t="s">
        <v>873</v>
      </c>
      <c r="E3399" s="17">
        <v>46020</v>
      </c>
      <c r="F3399" s="17">
        <v>46020</v>
      </c>
      <c r="G3399" s="13">
        <v>40.6</v>
      </c>
      <c r="H3399" s="14">
        <v>0</v>
      </c>
      <c r="I3399" s="14">
        <v>0</v>
      </c>
      <c r="J3399" s="14">
        <v>0</v>
      </c>
      <c r="K3399" s="14">
        <v>40.6</v>
      </c>
      <c r="L3399" t="s">
        <v>794</v>
      </c>
      <c r="M3399">
        <f t="shared" si="53"/>
        <v>2025</v>
      </c>
    </row>
    <row r="3400" spans="1:13" ht="12.75" hidden="1" customHeight="1">
      <c r="A3400" t="s">
        <v>833</v>
      </c>
      <c r="B3400" t="s">
        <v>27</v>
      </c>
      <c r="C3400" t="s">
        <v>138</v>
      </c>
      <c r="D3400" t="s">
        <v>873</v>
      </c>
      <c r="E3400" s="17">
        <v>45992</v>
      </c>
      <c r="F3400" s="17">
        <v>45992</v>
      </c>
      <c r="G3400" s="13">
        <v>255.42000000000002</v>
      </c>
      <c r="H3400" s="14">
        <v>0</v>
      </c>
      <c r="I3400" s="14">
        <v>0</v>
      </c>
      <c r="J3400" s="14">
        <v>0</v>
      </c>
      <c r="K3400" s="14">
        <v>255.42000000000002</v>
      </c>
      <c r="L3400" t="s">
        <v>794</v>
      </c>
      <c r="M3400">
        <f t="shared" si="53"/>
        <v>2025</v>
      </c>
    </row>
    <row r="3401" spans="1:13" ht="12.75" hidden="1" customHeight="1">
      <c r="A3401" t="s">
        <v>896</v>
      </c>
      <c r="B3401" t="s">
        <v>293</v>
      </c>
      <c r="C3401" t="s">
        <v>766</v>
      </c>
      <c r="D3401" t="s">
        <v>873</v>
      </c>
      <c r="E3401" s="17">
        <v>45992</v>
      </c>
      <c r="F3401" s="17">
        <v>45992</v>
      </c>
      <c r="G3401" s="13">
        <v>20.990000000000002</v>
      </c>
      <c r="H3401" s="14">
        <v>0</v>
      </c>
      <c r="I3401" s="14">
        <v>0</v>
      </c>
      <c r="J3401" s="14">
        <v>0</v>
      </c>
      <c r="K3401" s="14">
        <v>20.990000000000002</v>
      </c>
      <c r="L3401" t="s">
        <v>794</v>
      </c>
      <c r="M3401">
        <f t="shared" si="53"/>
        <v>2025</v>
      </c>
    </row>
    <row r="3402" spans="1:13" ht="12.75" hidden="1" customHeight="1">
      <c r="A3402" t="s">
        <v>1173</v>
      </c>
      <c r="B3402" t="s">
        <v>45</v>
      </c>
      <c r="C3402" t="s">
        <v>139</v>
      </c>
      <c r="D3402" t="s">
        <v>873</v>
      </c>
      <c r="E3402" s="17">
        <v>45992</v>
      </c>
      <c r="F3402" s="17">
        <v>45992</v>
      </c>
      <c r="G3402" s="13">
        <v>254.8</v>
      </c>
      <c r="H3402" s="14">
        <v>0</v>
      </c>
      <c r="I3402" s="14">
        <v>0</v>
      </c>
      <c r="J3402" s="14">
        <v>0</v>
      </c>
      <c r="K3402" s="14">
        <v>254.8</v>
      </c>
      <c r="L3402" t="s">
        <v>794</v>
      </c>
      <c r="M3402">
        <f t="shared" si="53"/>
        <v>2025</v>
      </c>
    </row>
    <row r="3403" spans="1:13" ht="12.75" hidden="1" customHeight="1">
      <c r="A3403" t="s">
        <v>1112</v>
      </c>
      <c r="B3403" t="s">
        <v>68</v>
      </c>
      <c r="C3403" t="s">
        <v>139</v>
      </c>
      <c r="D3403" t="s">
        <v>873</v>
      </c>
      <c r="E3403" s="17">
        <v>45992</v>
      </c>
      <c r="F3403" s="17">
        <v>45992</v>
      </c>
      <c r="G3403" s="13">
        <v>220.4</v>
      </c>
      <c r="H3403" s="14">
        <v>0</v>
      </c>
      <c r="I3403" s="14">
        <v>0</v>
      </c>
      <c r="J3403" s="14">
        <v>0</v>
      </c>
      <c r="K3403" s="14">
        <v>220.4</v>
      </c>
      <c r="L3403" t="s">
        <v>794</v>
      </c>
      <c r="M3403">
        <f t="shared" si="53"/>
        <v>2025</v>
      </c>
    </row>
    <row r="3404" spans="1:13" ht="12.75" hidden="1" customHeight="1">
      <c r="A3404" t="s">
        <v>1315</v>
      </c>
      <c r="B3404" t="s">
        <v>378</v>
      </c>
      <c r="C3404" t="s">
        <v>139</v>
      </c>
      <c r="D3404" t="s">
        <v>873</v>
      </c>
      <c r="E3404" s="17">
        <v>45992</v>
      </c>
      <c r="F3404" s="17">
        <v>45992</v>
      </c>
      <c r="G3404" s="13">
        <v>58</v>
      </c>
      <c r="H3404" s="14">
        <v>0</v>
      </c>
      <c r="I3404" s="14">
        <v>0</v>
      </c>
      <c r="J3404" s="14">
        <v>0</v>
      </c>
      <c r="K3404" s="14">
        <v>58</v>
      </c>
      <c r="L3404" t="s">
        <v>794</v>
      </c>
      <c r="M3404">
        <f t="shared" si="53"/>
        <v>2025</v>
      </c>
    </row>
    <row r="3405" spans="1:13" ht="12.75" hidden="1" customHeight="1">
      <c r="A3405" t="s">
        <v>818</v>
      </c>
      <c r="B3405" t="s">
        <v>30</v>
      </c>
      <c r="C3405" t="s">
        <v>139</v>
      </c>
      <c r="D3405" t="s">
        <v>873</v>
      </c>
      <c r="E3405" s="17">
        <v>45992</v>
      </c>
      <c r="F3405" s="17">
        <v>45992</v>
      </c>
      <c r="G3405" s="13">
        <v>235.6</v>
      </c>
      <c r="H3405" s="14">
        <v>0</v>
      </c>
      <c r="I3405" s="14">
        <v>0</v>
      </c>
      <c r="J3405" s="14">
        <v>0</v>
      </c>
      <c r="K3405" s="14">
        <v>235.6</v>
      </c>
      <c r="L3405" t="s">
        <v>794</v>
      </c>
      <c r="M3405">
        <f t="shared" si="53"/>
        <v>2025</v>
      </c>
    </row>
    <row r="3406" spans="1:13" ht="12.75" hidden="1" customHeight="1">
      <c r="A3406" t="s">
        <v>1339</v>
      </c>
      <c r="B3406" t="s">
        <v>66</v>
      </c>
      <c r="C3406" t="s">
        <v>139</v>
      </c>
      <c r="D3406" t="s">
        <v>873</v>
      </c>
      <c r="E3406" s="17">
        <v>45992</v>
      </c>
      <c r="F3406" s="17">
        <v>45992</v>
      </c>
      <c r="G3406" s="13">
        <v>273</v>
      </c>
      <c r="H3406" s="14">
        <v>0</v>
      </c>
      <c r="I3406" s="14">
        <v>0</v>
      </c>
      <c r="J3406" s="14">
        <v>0</v>
      </c>
      <c r="K3406" s="14">
        <v>273</v>
      </c>
      <c r="L3406" t="s">
        <v>794</v>
      </c>
      <c r="M3406">
        <f t="shared" si="53"/>
        <v>2025</v>
      </c>
    </row>
    <row r="3407" spans="1:13" ht="12.75" hidden="1" customHeight="1">
      <c r="A3407" t="s">
        <v>1377</v>
      </c>
      <c r="B3407" t="s">
        <v>299</v>
      </c>
      <c r="C3407" t="s">
        <v>139</v>
      </c>
      <c r="D3407" t="s">
        <v>873</v>
      </c>
      <c r="E3407" s="17">
        <v>45992</v>
      </c>
      <c r="F3407" s="17">
        <v>45992</v>
      </c>
      <c r="G3407" s="13">
        <v>367.2</v>
      </c>
      <c r="H3407" s="14">
        <v>0</v>
      </c>
      <c r="I3407" s="14">
        <v>0</v>
      </c>
      <c r="J3407" s="14">
        <v>0</v>
      </c>
      <c r="K3407" s="14">
        <v>367.2</v>
      </c>
      <c r="L3407" t="s">
        <v>794</v>
      </c>
      <c r="M3407">
        <f t="shared" si="53"/>
        <v>2025</v>
      </c>
    </row>
    <row r="3408" spans="1:13" ht="12.75" hidden="1" customHeight="1">
      <c r="A3408" t="s">
        <v>1134</v>
      </c>
      <c r="B3408" t="s">
        <v>33</v>
      </c>
      <c r="C3408" t="s">
        <v>139</v>
      </c>
      <c r="D3408" t="s">
        <v>873</v>
      </c>
      <c r="E3408" s="17">
        <v>45992</v>
      </c>
      <c r="F3408" s="17">
        <v>45992</v>
      </c>
      <c r="G3408" s="13">
        <v>236.6</v>
      </c>
      <c r="H3408" s="14">
        <v>0</v>
      </c>
      <c r="I3408" s="14">
        <v>0</v>
      </c>
      <c r="J3408" s="14">
        <v>0</v>
      </c>
      <c r="K3408" s="14">
        <v>236.6</v>
      </c>
      <c r="L3408" t="s">
        <v>794</v>
      </c>
      <c r="M3408">
        <f t="shared" si="53"/>
        <v>2025</v>
      </c>
    </row>
    <row r="3409" spans="1:13" ht="12.75" hidden="1" customHeight="1">
      <c r="A3409" t="s">
        <v>1181</v>
      </c>
      <c r="B3409" t="s">
        <v>75</v>
      </c>
      <c r="C3409" t="s">
        <v>139</v>
      </c>
      <c r="D3409" t="s">
        <v>873</v>
      </c>
      <c r="E3409" s="17">
        <v>45992</v>
      </c>
      <c r="F3409" s="17">
        <v>45992</v>
      </c>
      <c r="G3409" s="13">
        <v>209.1</v>
      </c>
      <c r="H3409" s="14">
        <v>0</v>
      </c>
      <c r="I3409" s="14">
        <v>0</v>
      </c>
      <c r="J3409" s="14">
        <v>0</v>
      </c>
      <c r="K3409" s="14">
        <v>209.1</v>
      </c>
      <c r="L3409" t="s">
        <v>794</v>
      </c>
      <c r="M3409">
        <f t="shared" si="53"/>
        <v>2025</v>
      </c>
    </row>
    <row r="3410" spans="1:13" ht="12.75" hidden="1" customHeight="1">
      <c r="A3410" t="s">
        <v>1141</v>
      </c>
      <c r="B3410" t="s">
        <v>69</v>
      </c>
      <c r="C3410" t="s">
        <v>139</v>
      </c>
      <c r="D3410" t="s">
        <v>873</v>
      </c>
      <c r="E3410" s="17">
        <v>45992</v>
      </c>
      <c r="F3410" s="17">
        <v>45992</v>
      </c>
      <c r="G3410" s="13">
        <v>197.20000000000002</v>
      </c>
      <c r="H3410" s="14">
        <v>0</v>
      </c>
      <c r="I3410" s="14">
        <v>0</v>
      </c>
      <c r="J3410" s="14">
        <v>0</v>
      </c>
      <c r="K3410" s="14">
        <v>197.20000000000002</v>
      </c>
      <c r="L3410" t="s">
        <v>794</v>
      </c>
      <c r="M3410">
        <f t="shared" si="53"/>
        <v>2025</v>
      </c>
    </row>
    <row r="3411" spans="1:13" ht="12.75" hidden="1" customHeight="1">
      <c r="A3411" t="s">
        <v>833</v>
      </c>
      <c r="B3411" t="s">
        <v>27</v>
      </c>
      <c r="C3411" t="s">
        <v>139</v>
      </c>
      <c r="D3411" t="s">
        <v>873</v>
      </c>
      <c r="E3411" s="17">
        <v>45992</v>
      </c>
      <c r="F3411" s="17">
        <v>45992</v>
      </c>
      <c r="G3411" s="13">
        <v>367.2</v>
      </c>
      <c r="H3411" s="14">
        <v>0</v>
      </c>
      <c r="I3411" s="14">
        <v>0</v>
      </c>
      <c r="J3411" s="14">
        <v>0</v>
      </c>
      <c r="K3411" s="14">
        <v>367.2</v>
      </c>
      <c r="L3411" t="s">
        <v>794</v>
      </c>
      <c r="M3411">
        <f t="shared" si="53"/>
        <v>2025</v>
      </c>
    </row>
    <row r="3412" spans="1:13" ht="12.75" hidden="1" customHeight="1">
      <c r="A3412" t="s">
        <v>836</v>
      </c>
      <c r="B3412" t="s">
        <v>37</v>
      </c>
      <c r="C3412" t="s">
        <v>139</v>
      </c>
      <c r="D3412" t="s">
        <v>873</v>
      </c>
      <c r="E3412" s="17">
        <v>45992</v>
      </c>
      <c r="F3412" s="17">
        <v>45992</v>
      </c>
      <c r="G3412" s="13">
        <v>345.8</v>
      </c>
      <c r="H3412" s="14">
        <v>0</v>
      </c>
      <c r="I3412" s="14">
        <v>0</v>
      </c>
      <c r="J3412" s="14">
        <v>0</v>
      </c>
      <c r="K3412" s="14">
        <v>345.8</v>
      </c>
      <c r="L3412" t="s">
        <v>794</v>
      </c>
      <c r="M3412">
        <f t="shared" si="53"/>
        <v>2025</v>
      </c>
    </row>
    <row r="3413" spans="1:13" ht="12.75" hidden="1" customHeight="1">
      <c r="A3413" t="s">
        <v>1196</v>
      </c>
      <c r="B3413" t="s">
        <v>1197</v>
      </c>
      <c r="C3413" t="s">
        <v>139</v>
      </c>
      <c r="D3413" t="s">
        <v>873</v>
      </c>
      <c r="E3413" s="17">
        <v>45992</v>
      </c>
      <c r="F3413" s="17">
        <v>45992</v>
      </c>
      <c r="G3413" s="13">
        <v>338.2</v>
      </c>
      <c r="H3413" s="14">
        <v>0</v>
      </c>
      <c r="I3413" s="14">
        <v>0</v>
      </c>
      <c r="J3413" s="14">
        <v>0</v>
      </c>
      <c r="K3413" s="14">
        <v>338.2</v>
      </c>
      <c r="L3413" t="s">
        <v>794</v>
      </c>
      <c r="M3413">
        <f t="shared" si="53"/>
        <v>2025</v>
      </c>
    </row>
    <row r="3414" spans="1:13" ht="12.75" hidden="1" customHeight="1">
      <c r="A3414" t="s">
        <v>826</v>
      </c>
      <c r="B3414" t="s">
        <v>21</v>
      </c>
      <c r="C3414" t="s">
        <v>139</v>
      </c>
      <c r="D3414" t="s">
        <v>873</v>
      </c>
      <c r="E3414" s="17">
        <v>45992</v>
      </c>
      <c r="F3414" s="17">
        <v>45992</v>
      </c>
      <c r="G3414" s="13">
        <v>428.40000000000003</v>
      </c>
      <c r="H3414" s="14">
        <v>0</v>
      </c>
      <c r="I3414" s="14">
        <v>0</v>
      </c>
      <c r="J3414" s="14">
        <v>0</v>
      </c>
      <c r="K3414" s="14">
        <v>428.40000000000003</v>
      </c>
      <c r="L3414" t="s">
        <v>794</v>
      </c>
      <c r="M3414">
        <f t="shared" si="53"/>
        <v>2025</v>
      </c>
    </row>
    <row r="3415" spans="1:13" ht="12.75" hidden="1" customHeight="1">
      <c r="A3415" t="s">
        <v>1317</v>
      </c>
      <c r="B3415" t="s">
        <v>64</v>
      </c>
      <c r="C3415" t="s">
        <v>139</v>
      </c>
      <c r="D3415" t="s">
        <v>873</v>
      </c>
      <c r="E3415" s="17">
        <v>45992</v>
      </c>
      <c r="F3415" s="17">
        <v>45992</v>
      </c>
      <c r="G3415" s="13">
        <v>327.60000000000002</v>
      </c>
      <c r="H3415" s="14">
        <v>0</v>
      </c>
      <c r="I3415" s="14">
        <v>0</v>
      </c>
      <c r="J3415" s="14">
        <v>0</v>
      </c>
      <c r="K3415" s="14">
        <v>327.60000000000002</v>
      </c>
      <c r="L3415" t="s">
        <v>794</v>
      </c>
      <c r="M3415">
        <f t="shared" si="53"/>
        <v>2025</v>
      </c>
    </row>
    <row r="3416" spans="1:13" ht="12.75" hidden="1" customHeight="1">
      <c r="A3416" t="s">
        <v>1272</v>
      </c>
      <c r="B3416" t="s">
        <v>132</v>
      </c>
      <c r="C3416" t="s">
        <v>139</v>
      </c>
      <c r="D3416" t="s">
        <v>873</v>
      </c>
      <c r="E3416" s="17">
        <v>45992</v>
      </c>
      <c r="F3416" s="17">
        <v>45992</v>
      </c>
      <c r="G3416" s="13">
        <v>232</v>
      </c>
      <c r="H3416" s="14">
        <v>0</v>
      </c>
      <c r="I3416" s="14">
        <v>0</v>
      </c>
      <c r="J3416" s="14">
        <v>0</v>
      </c>
      <c r="K3416" s="14">
        <v>232</v>
      </c>
      <c r="L3416" t="s">
        <v>794</v>
      </c>
      <c r="M3416">
        <f t="shared" si="53"/>
        <v>2025</v>
      </c>
    </row>
    <row r="3417" spans="1:13" ht="12.75" hidden="1" customHeight="1">
      <c r="A3417" t="s">
        <v>810</v>
      </c>
      <c r="B3417" t="s">
        <v>54</v>
      </c>
      <c r="C3417" t="s">
        <v>139</v>
      </c>
      <c r="D3417" t="s">
        <v>873</v>
      </c>
      <c r="E3417" s="17">
        <v>45992</v>
      </c>
      <c r="F3417" s="17">
        <v>45992</v>
      </c>
      <c r="G3417" s="13">
        <v>358.40000000000003</v>
      </c>
      <c r="H3417" s="14">
        <v>0</v>
      </c>
      <c r="I3417" s="14">
        <v>0</v>
      </c>
      <c r="J3417" s="14">
        <v>0</v>
      </c>
      <c r="K3417" s="14">
        <v>358.40000000000003</v>
      </c>
      <c r="L3417" t="s">
        <v>794</v>
      </c>
      <c r="M3417">
        <f t="shared" si="53"/>
        <v>2025</v>
      </c>
    </row>
    <row r="3418" spans="1:13" ht="12.75" hidden="1" customHeight="1">
      <c r="A3418" t="s">
        <v>819</v>
      </c>
      <c r="B3418" t="s">
        <v>38</v>
      </c>
      <c r="C3418" t="s">
        <v>139</v>
      </c>
      <c r="D3418" t="s">
        <v>873</v>
      </c>
      <c r="E3418" s="17">
        <v>45992</v>
      </c>
      <c r="F3418" s="17">
        <v>45992</v>
      </c>
      <c r="G3418" s="13">
        <v>448.8</v>
      </c>
      <c r="H3418" s="14">
        <v>0</v>
      </c>
      <c r="I3418" s="14">
        <v>0</v>
      </c>
      <c r="J3418" s="14">
        <v>0</v>
      </c>
      <c r="K3418" s="14">
        <v>448.8</v>
      </c>
      <c r="L3418" t="s">
        <v>794</v>
      </c>
      <c r="M3418">
        <f t="shared" si="53"/>
        <v>2025</v>
      </c>
    </row>
    <row r="3419" spans="1:13" ht="12.75" hidden="1" customHeight="1">
      <c r="A3419" t="s">
        <v>1340</v>
      </c>
      <c r="B3419" t="s">
        <v>340</v>
      </c>
      <c r="C3419" t="s">
        <v>139</v>
      </c>
      <c r="D3419" t="s">
        <v>873</v>
      </c>
      <c r="E3419" s="17">
        <v>45992</v>
      </c>
      <c r="F3419" s="17">
        <v>45992</v>
      </c>
      <c r="G3419" s="13">
        <v>197.20000000000002</v>
      </c>
      <c r="H3419" s="14">
        <v>0</v>
      </c>
      <c r="I3419" s="14">
        <v>0</v>
      </c>
      <c r="J3419" s="14">
        <v>0</v>
      </c>
      <c r="K3419" s="14">
        <v>197.20000000000002</v>
      </c>
      <c r="L3419" t="s">
        <v>794</v>
      </c>
      <c r="M3419">
        <f t="shared" si="53"/>
        <v>2025</v>
      </c>
    </row>
    <row r="3420" spans="1:13" ht="12.75" hidden="1" customHeight="1">
      <c r="A3420" t="s">
        <v>1316</v>
      </c>
      <c r="B3420" t="s">
        <v>59</v>
      </c>
      <c r="C3420" t="s">
        <v>139</v>
      </c>
      <c r="D3420" t="s">
        <v>873</v>
      </c>
      <c r="E3420" s="17">
        <v>45992</v>
      </c>
      <c r="F3420" s="17">
        <v>45992</v>
      </c>
      <c r="G3420" s="13">
        <v>327.60000000000002</v>
      </c>
      <c r="H3420" s="14">
        <v>0</v>
      </c>
      <c r="I3420" s="14">
        <v>0</v>
      </c>
      <c r="J3420" s="14">
        <v>0</v>
      </c>
      <c r="K3420" s="14">
        <v>327.60000000000002</v>
      </c>
      <c r="L3420" t="s">
        <v>794</v>
      </c>
      <c r="M3420">
        <f t="shared" si="53"/>
        <v>2025</v>
      </c>
    </row>
    <row r="3421" spans="1:13" ht="12.75" hidden="1" customHeight="1">
      <c r="A3421" t="s">
        <v>896</v>
      </c>
      <c r="B3421" t="s">
        <v>293</v>
      </c>
      <c r="C3421" t="s">
        <v>766</v>
      </c>
      <c r="D3421" t="s">
        <v>873</v>
      </c>
      <c r="E3421" s="17">
        <v>45992</v>
      </c>
      <c r="F3421" s="17">
        <v>45992</v>
      </c>
      <c r="G3421" s="13">
        <v>13.99</v>
      </c>
      <c r="H3421" s="14">
        <v>0</v>
      </c>
      <c r="I3421" s="14">
        <v>0</v>
      </c>
      <c r="J3421" s="14">
        <v>0</v>
      </c>
      <c r="K3421" s="14">
        <v>13.99</v>
      </c>
      <c r="L3421" t="s">
        <v>794</v>
      </c>
      <c r="M3421">
        <f t="shared" si="53"/>
        <v>2025</v>
      </c>
    </row>
    <row r="3422" spans="1:13" ht="12.75" hidden="1" customHeight="1">
      <c r="A3422" t="s">
        <v>896</v>
      </c>
      <c r="B3422" t="s">
        <v>293</v>
      </c>
      <c r="C3422" t="s">
        <v>766</v>
      </c>
      <c r="D3422" t="s">
        <v>873</v>
      </c>
      <c r="E3422" s="17">
        <v>45992</v>
      </c>
      <c r="F3422" s="17">
        <v>45992</v>
      </c>
      <c r="G3422" s="13">
        <v>11.98</v>
      </c>
      <c r="H3422" s="14">
        <v>0</v>
      </c>
      <c r="I3422" s="14">
        <v>0</v>
      </c>
      <c r="J3422" s="14">
        <v>0</v>
      </c>
      <c r="K3422" s="14">
        <v>11.98</v>
      </c>
      <c r="L3422" t="s">
        <v>794</v>
      </c>
      <c r="M3422">
        <f t="shared" si="53"/>
        <v>2025</v>
      </c>
    </row>
    <row r="3423" spans="1:13" ht="12.75" hidden="1" customHeight="1">
      <c r="A3423" t="s">
        <v>825</v>
      </c>
      <c r="B3423" t="s">
        <v>46</v>
      </c>
      <c r="C3423" t="s">
        <v>139</v>
      </c>
      <c r="D3423" t="s">
        <v>873</v>
      </c>
      <c r="E3423" s="17">
        <v>45992</v>
      </c>
      <c r="F3423" s="17">
        <v>45992</v>
      </c>
      <c r="G3423" s="13">
        <v>243.6</v>
      </c>
      <c r="H3423" s="14">
        <v>0</v>
      </c>
      <c r="I3423" s="14">
        <v>0</v>
      </c>
      <c r="J3423" s="14">
        <v>0</v>
      </c>
      <c r="K3423" s="14">
        <v>243.6</v>
      </c>
      <c r="L3423" t="s">
        <v>794</v>
      </c>
      <c r="M3423">
        <f t="shared" si="53"/>
        <v>2025</v>
      </c>
    </row>
    <row r="3424" spans="1:13" ht="12.75" hidden="1" customHeight="1">
      <c r="A3424" t="s">
        <v>957</v>
      </c>
      <c r="B3424" t="s">
        <v>236</v>
      </c>
      <c r="C3424" t="s">
        <v>139</v>
      </c>
      <c r="D3424" t="s">
        <v>873</v>
      </c>
      <c r="E3424" s="17">
        <v>45992</v>
      </c>
      <c r="F3424" s="17">
        <v>45992</v>
      </c>
      <c r="G3424" s="13">
        <v>321</v>
      </c>
      <c r="H3424" s="14">
        <v>0</v>
      </c>
      <c r="I3424" s="14">
        <v>0</v>
      </c>
      <c r="J3424" s="14">
        <v>0</v>
      </c>
      <c r="K3424" s="14">
        <v>321</v>
      </c>
      <c r="L3424" t="s">
        <v>794</v>
      </c>
      <c r="M3424">
        <f t="shared" si="53"/>
        <v>2025</v>
      </c>
    </row>
    <row r="3425" spans="1:13" ht="12.75" hidden="1" customHeight="1">
      <c r="A3425" t="s">
        <v>961</v>
      </c>
      <c r="B3425" t="s">
        <v>41</v>
      </c>
      <c r="C3425" t="s">
        <v>139</v>
      </c>
      <c r="D3425" t="s">
        <v>873</v>
      </c>
      <c r="E3425" s="17">
        <v>45992</v>
      </c>
      <c r="F3425" s="17">
        <v>45992</v>
      </c>
      <c r="G3425" s="13">
        <v>291.2</v>
      </c>
      <c r="H3425" s="14">
        <v>0</v>
      </c>
      <c r="I3425" s="14">
        <v>0</v>
      </c>
      <c r="J3425" s="14">
        <v>0</v>
      </c>
      <c r="K3425" s="14">
        <v>291.2</v>
      </c>
      <c r="L3425" t="s">
        <v>794</v>
      </c>
      <c r="M3425">
        <f t="shared" si="53"/>
        <v>2025</v>
      </c>
    </row>
    <row r="3426" spans="1:13" ht="12.75" hidden="1" customHeight="1">
      <c r="A3426" t="s">
        <v>1004</v>
      </c>
      <c r="B3426" t="s">
        <v>57</v>
      </c>
      <c r="C3426" t="s">
        <v>139</v>
      </c>
      <c r="D3426" t="s">
        <v>873</v>
      </c>
      <c r="E3426" s="17">
        <v>45992</v>
      </c>
      <c r="F3426" s="17">
        <v>45992</v>
      </c>
      <c r="G3426" s="13">
        <v>220.4</v>
      </c>
      <c r="H3426" s="14">
        <v>0</v>
      </c>
      <c r="I3426" s="14">
        <v>0</v>
      </c>
      <c r="J3426" s="14">
        <v>0</v>
      </c>
      <c r="K3426" s="14">
        <v>220.4</v>
      </c>
      <c r="L3426" t="s">
        <v>794</v>
      </c>
      <c r="M3426">
        <f t="shared" si="53"/>
        <v>2025</v>
      </c>
    </row>
    <row r="3427" spans="1:13" ht="12.75" hidden="1" customHeight="1">
      <c r="A3427" t="s">
        <v>1105</v>
      </c>
      <c r="B3427" t="s">
        <v>84</v>
      </c>
      <c r="C3427" t="s">
        <v>139</v>
      </c>
      <c r="D3427" t="s">
        <v>873</v>
      </c>
      <c r="E3427" s="17">
        <v>45992</v>
      </c>
      <c r="F3427" s="17">
        <v>45992</v>
      </c>
      <c r="G3427" s="13">
        <v>338.2</v>
      </c>
      <c r="H3427" s="14">
        <v>0</v>
      </c>
      <c r="I3427" s="14">
        <v>0</v>
      </c>
      <c r="J3427" s="14">
        <v>0</v>
      </c>
      <c r="K3427" s="14">
        <v>338.2</v>
      </c>
      <c r="L3427" t="s">
        <v>794</v>
      </c>
      <c r="M3427">
        <f t="shared" si="53"/>
        <v>2025</v>
      </c>
    </row>
    <row r="3428" spans="1:13" ht="12.75" hidden="1" customHeight="1">
      <c r="A3428" t="s">
        <v>814</v>
      </c>
      <c r="B3428" t="s">
        <v>56</v>
      </c>
      <c r="C3428" t="s">
        <v>139</v>
      </c>
      <c r="D3428" t="s">
        <v>873</v>
      </c>
      <c r="E3428" s="17">
        <v>45992</v>
      </c>
      <c r="F3428" s="17">
        <v>45992</v>
      </c>
      <c r="G3428" s="13">
        <v>448</v>
      </c>
      <c r="H3428" s="14">
        <v>0</v>
      </c>
      <c r="I3428" s="14">
        <v>0</v>
      </c>
      <c r="J3428" s="14">
        <v>0</v>
      </c>
      <c r="K3428" s="14">
        <v>448</v>
      </c>
      <c r="L3428" t="s">
        <v>794</v>
      </c>
      <c r="M3428">
        <f t="shared" si="53"/>
        <v>2025</v>
      </c>
    </row>
    <row r="3429" spans="1:13" ht="12.75" hidden="1" customHeight="1">
      <c r="A3429" t="s">
        <v>1009</v>
      </c>
      <c r="B3429" t="s">
        <v>62</v>
      </c>
      <c r="C3429" t="s">
        <v>139</v>
      </c>
      <c r="D3429" t="s">
        <v>873</v>
      </c>
      <c r="E3429" s="17">
        <v>45992</v>
      </c>
      <c r="F3429" s="17">
        <v>45992</v>
      </c>
      <c r="G3429" s="13">
        <v>104.4</v>
      </c>
      <c r="H3429" s="14">
        <v>0</v>
      </c>
      <c r="I3429" s="14">
        <v>0</v>
      </c>
      <c r="J3429" s="14">
        <v>0</v>
      </c>
      <c r="K3429" s="14">
        <v>104.4</v>
      </c>
      <c r="L3429" t="s">
        <v>794</v>
      </c>
      <c r="M3429">
        <f t="shared" si="53"/>
        <v>2025</v>
      </c>
    </row>
    <row r="3430" spans="1:13" ht="12.75" hidden="1" customHeight="1">
      <c r="A3430" t="s">
        <v>1104</v>
      </c>
      <c r="B3430" t="s">
        <v>53</v>
      </c>
      <c r="C3430" t="s">
        <v>139</v>
      </c>
      <c r="D3430" t="s">
        <v>873</v>
      </c>
      <c r="E3430" s="17">
        <v>45992</v>
      </c>
      <c r="F3430" s="17">
        <v>45992</v>
      </c>
      <c r="G3430" s="13">
        <v>457.68</v>
      </c>
      <c r="H3430" s="14">
        <v>0</v>
      </c>
      <c r="I3430" s="14">
        <v>0</v>
      </c>
      <c r="J3430" s="14">
        <v>0</v>
      </c>
      <c r="K3430" s="14">
        <v>457.68</v>
      </c>
      <c r="L3430" t="s">
        <v>794</v>
      </c>
      <c r="M3430">
        <f t="shared" si="53"/>
        <v>2025</v>
      </c>
    </row>
    <row r="3431" spans="1:13" ht="12.75" hidden="1" customHeight="1">
      <c r="A3431" t="s">
        <v>801</v>
      </c>
      <c r="B3431" t="s">
        <v>13</v>
      </c>
      <c r="C3431" t="s">
        <v>726</v>
      </c>
      <c r="D3431" t="s">
        <v>873</v>
      </c>
      <c r="E3431" s="17">
        <v>45992</v>
      </c>
      <c r="F3431" s="17">
        <v>45992</v>
      </c>
      <c r="G3431" s="13">
        <v>4.08</v>
      </c>
      <c r="H3431" s="14">
        <v>0</v>
      </c>
      <c r="I3431" s="14">
        <v>0</v>
      </c>
      <c r="J3431" s="14">
        <v>0</v>
      </c>
      <c r="K3431" s="14">
        <v>4.08</v>
      </c>
      <c r="L3431" t="s">
        <v>794</v>
      </c>
      <c r="M3431">
        <f t="shared" si="53"/>
        <v>2025</v>
      </c>
    </row>
    <row r="3432" spans="1:13" ht="12.75" hidden="1" customHeight="1">
      <c r="A3432" t="s">
        <v>801</v>
      </c>
      <c r="B3432" t="s">
        <v>13</v>
      </c>
      <c r="C3432" t="s">
        <v>726</v>
      </c>
      <c r="D3432" t="s">
        <v>873</v>
      </c>
      <c r="E3432" s="17">
        <v>45992</v>
      </c>
      <c r="F3432" s="17">
        <v>45992</v>
      </c>
      <c r="G3432" s="13">
        <v>20.34</v>
      </c>
      <c r="H3432" s="14">
        <v>0</v>
      </c>
      <c r="I3432" s="14">
        <v>0</v>
      </c>
      <c r="J3432" s="14">
        <v>0</v>
      </c>
      <c r="K3432" s="14">
        <v>20.34</v>
      </c>
      <c r="L3432" t="s">
        <v>794</v>
      </c>
      <c r="M3432">
        <f t="shared" si="53"/>
        <v>2025</v>
      </c>
    </row>
    <row r="3433" spans="1:13" ht="12.75" hidden="1" customHeight="1">
      <c r="A3433" t="s">
        <v>896</v>
      </c>
      <c r="B3433" t="s">
        <v>293</v>
      </c>
      <c r="C3433" t="s">
        <v>139</v>
      </c>
      <c r="D3433" t="s">
        <v>873</v>
      </c>
      <c r="E3433" s="17">
        <v>45992</v>
      </c>
      <c r="F3433" s="17">
        <v>45992</v>
      </c>
      <c r="G3433" s="13">
        <v>14.99</v>
      </c>
      <c r="H3433" s="14">
        <v>0</v>
      </c>
      <c r="I3433" s="14">
        <v>0</v>
      </c>
      <c r="J3433" s="14">
        <v>0</v>
      </c>
      <c r="K3433" s="14">
        <v>14.99</v>
      </c>
      <c r="L3433" t="s">
        <v>794</v>
      </c>
      <c r="M3433">
        <f t="shared" si="53"/>
        <v>2025</v>
      </c>
    </row>
    <row r="3434" spans="1:13" ht="12.75" hidden="1" customHeight="1">
      <c r="A3434" t="s">
        <v>1339</v>
      </c>
      <c r="B3434" t="s">
        <v>66</v>
      </c>
      <c r="C3434" t="s">
        <v>138</v>
      </c>
      <c r="D3434" t="s">
        <v>873</v>
      </c>
      <c r="E3434" s="17">
        <v>45992</v>
      </c>
      <c r="F3434" s="17">
        <v>45992</v>
      </c>
      <c r="G3434" s="13">
        <v>255.42000000000002</v>
      </c>
      <c r="H3434" s="14">
        <v>0</v>
      </c>
      <c r="I3434" s="14">
        <v>0</v>
      </c>
      <c r="J3434" s="14">
        <v>0</v>
      </c>
      <c r="K3434" s="14">
        <v>255.42000000000002</v>
      </c>
      <c r="L3434" t="s">
        <v>794</v>
      </c>
      <c r="M3434">
        <f t="shared" si="53"/>
        <v>2025</v>
      </c>
    </row>
    <row r="3435" spans="1:13" ht="12.75" hidden="1" customHeight="1">
      <c r="A3435" t="s">
        <v>819</v>
      </c>
      <c r="B3435" t="s">
        <v>38</v>
      </c>
      <c r="C3435" t="s">
        <v>138</v>
      </c>
      <c r="D3435" t="s">
        <v>873</v>
      </c>
      <c r="E3435" s="17">
        <v>45992</v>
      </c>
      <c r="F3435" s="17">
        <v>45992</v>
      </c>
      <c r="G3435" s="13">
        <v>255.42000000000002</v>
      </c>
      <c r="H3435" s="14">
        <v>0</v>
      </c>
      <c r="I3435" s="14">
        <v>0</v>
      </c>
      <c r="J3435" s="14">
        <v>0</v>
      </c>
      <c r="K3435" s="14">
        <v>255.42000000000002</v>
      </c>
      <c r="L3435" t="s">
        <v>794</v>
      </c>
      <c r="M3435">
        <f t="shared" si="53"/>
        <v>2025</v>
      </c>
    </row>
    <row r="3436" spans="1:13" ht="12.75" hidden="1" customHeight="1">
      <c r="A3436" t="s">
        <v>799</v>
      </c>
      <c r="B3436" t="s">
        <v>24</v>
      </c>
      <c r="C3436" t="s">
        <v>138</v>
      </c>
      <c r="D3436" t="s">
        <v>873</v>
      </c>
      <c r="E3436" s="17">
        <v>45992</v>
      </c>
      <c r="F3436" s="17">
        <v>45992</v>
      </c>
      <c r="G3436" s="13">
        <v>5240.08</v>
      </c>
      <c r="H3436" s="14">
        <v>0</v>
      </c>
      <c r="I3436" s="14">
        <v>0</v>
      </c>
      <c r="J3436" s="14">
        <v>0</v>
      </c>
      <c r="K3436" s="14">
        <v>5240.08</v>
      </c>
      <c r="L3436" t="s">
        <v>794</v>
      </c>
      <c r="M3436">
        <f t="shared" si="53"/>
        <v>2025</v>
      </c>
    </row>
    <row r="3437" spans="1:13" ht="12.75" hidden="1" customHeight="1">
      <c r="A3437" t="s">
        <v>896</v>
      </c>
      <c r="B3437" t="s">
        <v>293</v>
      </c>
      <c r="C3437" t="s">
        <v>766</v>
      </c>
      <c r="D3437" t="s">
        <v>873</v>
      </c>
      <c r="E3437" s="17">
        <v>45992</v>
      </c>
      <c r="F3437" s="17">
        <v>45992</v>
      </c>
      <c r="G3437" s="13">
        <v>16.97</v>
      </c>
      <c r="H3437" s="14">
        <v>0</v>
      </c>
      <c r="I3437" s="14">
        <v>0</v>
      </c>
      <c r="J3437" s="14">
        <v>0</v>
      </c>
      <c r="K3437" s="14">
        <v>16.97</v>
      </c>
      <c r="L3437" t="s">
        <v>794</v>
      </c>
      <c r="M3437">
        <f t="shared" si="53"/>
        <v>2025</v>
      </c>
    </row>
    <row r="3438" spans="1:13" ht="12.75" hidden="1" customHeight="1">
      <c r="A3438" t="s">
        <v>948</v>
      </c>
      <c r="B3438" t="s">
        <v>89</v>
      </c>
      <c r="C3438" t="s">
        <v>725</v>
      </c>
      <c r="D3438" t="s">
        <v>1311</v>
      </c>
      <c r="E3438" s="17">
        <v>45989</v>
      </c>
      <c r="F3438" s="17">
        <v>45992</v>
      </c>
      <c r="G3438" s="13">
        <v>743</v>
      </c>
      <c r="H3438" s="14">
        <v>0</v>
      </c>
      <c r="I3438" s="14">
        <v>0</v>
      </c>
      <c r="J3438" s="14">
        <v>0</v>
      </c>
      <c r="K3438" s="14">
        <v>743</v>
      </c>
      <c r="L3438" t="s">
        <v>794</v>
      </c>
      <c r="M3438">
        <f t="shared" si="53"/>
        <v>2025</v>
      </c>
    </row>
    <row r="3439" spans="1:13" ht="12.75" hidden="1" customHeight="1">
      <c r="A3439" t="s">
        <v>801</v>
      </c>
      <c r="B3439" t="s">
        <v>13</v>
      </c>
      <c r="C3439" t="s">
        <v>726</v>
      </c>
      <c r="D3439" t="s">
        <v>873</v>
      </c>
      <c r="E3439" s="17">
        <v>45992</v>
      </c>
      <c r="F3439" s="17">
        <v>45992</v>
      </c>
      <c r="G3439" s="13">
        <v>4.08</v>
      </c>
      <c r="H3439" s="14">
        <v>0</v>
      </c>
      <c r="I3439" s="14">
        <v>0</v>
      </c>
      <c r="J3439" s="14">
        <v>0</v>
      </c>
      <c r="K3439" s="14">
        <v>4.08</v>
      </c>
      <c r="L3439" t="s">
        <v>794</v>
      </c>
      <c r="M3439">
        <f t="shared" si="53"/>
        <v>2025</v>
      </c>
    </row>
    <row r="3440" spans="1:13" ht="12.75" hidden="1" customHeight="1">
      <c r="A3440" t="s">
        <v>801</v>
      </c>
      <c r="B3440" t="s">
        <v>13</v>
      </c>
      <c r="C3440" t="s">
        <v>740</v>
      </c>
      <c r="D3440" t="s">
        <v>873</v>
      </c>
      <c r="E3440" s="17">
        <v>45993</v>
      </c>
      <c r="F3440" s="17">
        <v>45993</v>
      </c>
      <c r="G3440" s="13">
        <v>120.32000000000001</v>
      </c>
      <c r="H3440" s="14">
        <v>0</v>
      </c>
      <c r="I3440" s="14">
        <v>0</v>
      </c>
      <c r="J3440" s="14">
        <v>0</v>
      </c>
      <c r="K3440" s="14">
        <v>120.32000000000001</v>
      </c>
      <c r="L3440" t="s">
        <v>794</v>
      </c>
      <c r="M3440">
        <f t="shared" si="53"/>
        <v>2025</v>
      </c>
    </row>
    <row r="3441" spans="1:13" ht="12.75" hidden="1" customHeight="1">
      <c r="A3441" t="s">
        <v>801</v>
      </c>
      <c r="B3441" t="s">
        <v>13</v>
      </c>
      <c r="C3441" t="s">
        <v>740</v>
      </c>
      <c r="D3441" t="s">
        <v>873</v>
      </c>
      <c r="E3441" s="17">
        <v>45993</v>
      </c>
      <c r="F3441" s="17">
        <v>45993</v>
      </c>
      <c r="G3441" s="13">
        <v>235.84</v>
      </c>
      <c r="H3441" s="14">
        <v>0</v>
      </c>
      <c r="I3441" s="14">
        <v>0</v>
      </c>
      <c r="J3441" s="14">
        <v>0</v>
      </c>
      <c r="K3441" s="14">
        <v>235.84</v>
      </c>
      <c r="L3441" t="s">
        <v>794</v>
      </c>
      <c r="M3441">
        <f t="shared" si="53"/>
        <v>2025</v>
      </c>
    </row>
    <row r="3442" spans="1:13" ht="12.75" hidden="1" customHeight="1">
      <c r="A3442" t="s">
        <v>896</v>
      </c>
      <c r="B3442" t="s">
        <v>293</v>
      </c>
      <c r="C3442" t="s">
        <v>766</v>
      </c>
      <c r="D3442" t="s">
        <v>873</v>
      </c>
      <c r="E3442" s="17">
        <v>45992</v>
      </c>
      <c r="F3442" s="17">
        <v>45993</v>
      </c>
      <c r="G3442" s="13">
        <v>17.990000000000002</v>
      </c>
      <c r="H3442" s="14">
        <v>0</v>
      </c>
      <c r="I3442" s="14">
        <v>0</v>
      </c>
      <c r="J3442" s="14">
        <v>0</v>
      </c>
      <c r="K3442" s="14">
        <v>17.990000000000002</v>
      </c>
      <c r="L3442" t="s">
        <v>794</v>
      </c>
      <c r="M3442">
        <f t="shared" si="53"/>
        <v>2025</v>
      </c>
    </row>
    <row r="3443" spans="1:13" ht="12.75" hidden="1" customHeight="1">
      <c r="A3443" t="s">
        <v>797</v>
      </c>
      <c r="B3443" t="s">
        <v>25</v>
      </c>
      <c r="C3443" t="s">
        <v>206</v>
      </c>
      <c r="D3443" t="s">
        <v>873</v>
      </c>
      <c r="E3443" s="17">
        <v>46008</v>
      </c>
      <c r="F3443" s="17">
        <v>45993</v>
      </c>
      <c r="G3443" s="13">
        <v>1650.9</v>
      </c>
      <c r="H3443" s="14">
        <v>0</v>
      </c>
      <c r="I3443" s="14">
        <v>0</v>
      </c>
      <c r="J3443" s="14">
        <v>0</v>
      </c>
      <c r="K3443" s="14">
        <v>1650.9</v>
      </c>
      <c r="L3443" t="s">
        <v>794</v>
      </c>
      <c r="M3443">
        <f t="shared" si="53"/>
        <v>2025</v>
      </c>
    </row>
    <row r="3444" spans="1:13" ht="12.75" hidden="1" customHeight="1">
      <c r="A3444" t="s">
        <v>792</v>
      </c>
      <c r="B3444" t="s">
        <v>35</v>
      </c>
      <c r="C3444" t="s">
        <v>206</v>
      </c>
      <c r="D3444" t="s">
        <v>873</v>
      </c>
      <c r="E3444" s="17">
        <v>45993</v>
      </c>
      <c r="F3444" s="17">
        <v>45993</v>
      </c>
      <c r="G3444" s="13">
        <v>1349.1000000000001</v>
      </c>
      <c r="H3444" s="14">
        <v>0</v>
      </c>
      <c r="I3444" s="14">
        <v>0</v>
      </c>
      <c r="J3444" s="14">
        <v>0</v>
      </c>
      <c r="K3444" s="14">
        <v>1349.1000000000001</v>
      </c>
      <c r="L3444" t="s">
        <v>794</v>
      </c>
      <c r="M3444">
        <f t="shared" si="53"/>
        <v>2025</v>
      </c>
    </row>
    <row r="3445" spans="1:13" ht="12.75" hidden="1" customHeight="1">
      <c r="A3445" t="s">
        <v>797</v>
      </c>
      <c r="B3445" t="s">
        <v>25</v>
      </c>
      <c r="C3445" t="s">
        <v>206</v>
      </c>
      <c r="D3445" t="s">
        <v>873</v>
      </c>
      <c r="E3445" s="17">
        <v>45993</v>
      </c>
      <c r="F3445" s="17">
        <v>45993</v>
      </c>
      <c r="G3445" s="13">
        <v>1000</v>
      </c>
      <c r="H3445" s="14">
        <v>0</v>
      </c>
      <c r="I3445" s="14">
        <v>0</v>
      </c>
      <c r="J3445" s="14">
        <v>0</v>
      </c>
      <c r="K3445" s="14">
        <v>1000</v>
      </c>
      <c r="L3445" t="s">
        <v>794</v>
      </c>
      <c r="M3445">
        <f t="shared" si="53"/>
        <v>2025</v>
      </c>
    </row>
    <row r="3446" spans="1:13" ht="12.75" hidden="1" customHeight="1">
      <c r="A3446" t="s">
        <v>792</v>
      </c>
      <c r="B3446" t="s">
        <v>35</v>
      </c>
      <c r="C3446" t="s">
        <v>206</v>
      </c>
      <c r="D3446" t="s">
        <v>873</v>
      </c>
      <c r="E3446" s="17">
        <v>45993</v>
      </c>
      <c r="F3446" s="17">
        <v>45993</v>
      </c>
      <c r="G3446" s="13">
        <v>1000</v>
      </c>
      <c r="H3446" s="14">
        <v>0</v>
      </c>
      <c r="I3446" s="14">
        <v>0</v>
      </c>
      <c r="J3446" s="14">
        <v>0</v>
      </c>
      <c r="K3446" s="14">
        <v>1000</v>
      </c>
      <c r="L3446" t="s">
        <v>794</v>
      </c>
      <c r="M3446">
        <f t="shared" si="53"/>
        <v>2025</v>
      </c>
    </row>
    <row r="3447" spans="1:13" ht="12.75" hidden="1" customHeight="1">
      <c r="A3447" t="s">
        <v>1336</v>
      </c>
      <c r="B3447" t="s">
        <v>118</v>
      </c>
      <c r="C3447" t="s">
        <v>558</v>
      </c>
      <c r="D3447" t="s">
        <v>1338</v>
      </c>
      <c r="E3447" s="17">
        <v>45987</v>
      </c>
      <c r="F3447" s="17">
        <v>45993</v>
      </c>
      <c r="G3447" s="13">
        <v>1432.7</v>
      </c>
      <c r="H3447" s="14">
        <v>0</v>
      </c>
      <c r="I3447" s="14">
        <v>0</v>
      </c>
      <c r="J3447" s="14">
        <v>0</v>
      </c>
      <c r="K3447" s="14">
        <v>1432.7</v>
      </c>
      <c r="L3447" t="s">
        <v>794</v>
      </c>
      <c r="M3447">
        <f t="shared" si="53"/>
        <v>2025</v>
      </c>
    </row>
    <row r="3448" spans="1:13" ht="12.75" hidden="1" customHeight="1">
      <c r="A3448" t="s">
        <v>841</v>
      </c>
      <c r="B3448" t="s">
        <v>164</v>
      </c>
      <c r="C3448" t="s">
        <v>722</v>
      </c>
      <c r="D3448" t="s">
        <v>873</v>
      </c>
      <c r="E3448" s="17">
        <v>45993</v>
      </c>
      <c r="F3448" s="17">
        <v>45993</v>
      </c>
      <c r="G3448" s="13">
        <v>389.11</v>
      </c>
      <c r="H3448" s="14">
        <v>0</v>
      </c>
      <c r="I3448" s="14">
        <v>0</v>
      </c>
      <c r="J3448" s="14">
        <v>0</v>
      </c>
      <c r="K3448" s="14">
        <v>389.11</v>
      </c>
      <c r="L3448" t="s">
        <v>794</v>
      </c>
      <c r="M3448">
        <f t="shared" si="53"/>
        <v>2025</v>
      </c>
    </row>
    <row r="3449" spans="1:13" ht="12.75" hidden="1" customHeight="1">
      <c r="A3449" t="s">
        <v>801</v>
      </c>
      <c r="B3449" t="s">
        <v>13</v>
      </c>
      <c r="C3449" t="s">
        <v>739</v>
      </c>
      <c r="D3449" t="s">
        <v>873</v>
      </c>
      <c r="E3449" s="17">
        <v>45993</v>
      </c>
      <c r="F3449" s="17">
        <v>45993</v>
      </c>
      <c r="G3449" s="13">
        <v>506.53000000000003</v>
      </c>
      <c r="H3449" s="14">
        <v>0</v>
      </c>
      <c r="I3449" s="14">
        <v>0</v>
      </c>
      <c r="J3449" s="14">
        <v>0</v>
      </c>
      <c r="K3449" s="14">
        <v>506.53000000000003</v>
      </c>
      <c r="L3449" t="s">
        <v>794</v>
      </c>
      <c r="M3449">
        <f t="shared" si="53"/>
        <v>2025</v>
      </c>
    </row>
    <row r="3450" spans="1:13" ht="12.75" hidden="1" customHeight="1">
      <c r="A3450" t="s">
        <v>801</v>
      </c>
      <c r="B3450" t="s">
        <v>13</v>
      </c>
      <c r="C3450" t="s">
        <v>739</v>
      </c>
      <c r="D3450" t="s">
        <v>873</v>
      </c>
      <c r="E3450" s="17">
        <v>45993</v>
      </c>
      <c r="F3450" s="17">
        <v>45993</v>
      </c>
      <c r="G3450" s="13">
        <v>8.16</v>
      </c>
      <c r="H3450" s="14">
        <v>0</v>
      </c>
      <c r="I3450" s="14">
        <v>0</v>
      </c>
      <c r="J3450" s="14">
        <v>0</v>
      </c>
      <c r="K3450" s="14">
        <v>8.16</v>
      </c>
      <c r="L3450" t="s">
        <v>794</v>
      </c>
      <c r="M3450">
        <f t="shared" si="53"/>
        <v>2025</v>
      </c>
    </row>
    <row r="3451" spans="1:13" ht="12.75" hidden="1" customHeight="1">
      <c r="A3451" t="s">
        <v>801</v>
      </c>
      <c r="B3451" t="s">
        <v>13</v>
      </c>
      <c r="C3451" t="s">
        <v>739</v>
      </c>
      <c r="D3451" t="s">
        <v>873</v>
      </c>
      <c r="E3451" s="17">
        <v>45993</v>
      </c>
      <c r="F3451" s="17">
        <v>45993</v>
      </c>
      <c r="G3451" s="13">
        <v>392.07</v>
      </c>
      <c r="H3451" s="14">
        <v>0</v>
      </c>
      <c r="I3451" s="14">
        <v>0</v>
      </c>
      <c r="J3451" s="14">
        <v>0</v>
      </c>
      <c r="K3451" s="14">
        <v>392.07</v>
      </c>
      <c r="L3451" t="s">
        <v>794</v>
      </c>
      <c r="M3451">
        <f t="shared" si="53"/>
        <v>2025</v>
      </c>
    </row>
    <row r="3452" spans="1:13" ht="12.75" hidden="1" customHeight="1">
      <c r="A3452" t="s">
        <v>801</v>
      </c>
      <c r="B3452" t="s">
        <v>13</v>
      </c>
      <c r="C3452" t="s">
        <v>726</v>
      </c>
      <c r="D3452" t="s">
        <v>873</v>
      </c>
      <c r="E3452" s="17">
        <v>45993</v>
      </c>
      <c r="F3452" s="17">
        <v>45993</v>
      </c>
      <c r="G3452" s="13">
        <v>2.04</v>
      </c>
      <c r="H3452" s="14">
        <v>0</v>
      </c>
      <c r="I3452" s="14">
        <v>0</v>
      </c>
      <c r="J3452" s="14">
        <v>0</v>
      </c>
      <c r="K3452" s="14">
        <v>2.04</v>
      </c>
      <c r="L3452" t="s">
        <v>794</v>
      </c>
      <c r="M3452">
        <f t="shared" si="53"/>
        <v>2025</v>
      </c>
    </row>
    <row r="3453" spans="1:13" ht="12.75" hidden="1" customHeight="1">
      <c r="A3453" t="s">
        <v>801</v>
      </c>
      <c r="B3453" t="s">
        <v>13</v>
      </c>
      <c r="C3453" t="s">
        <v>740</v>
      </c>
      <c r="D3453" t="s">
        <v>873</v>
      </c>
      <c r="E3453" s="17">
        <v>45993</v>
      </c>
      <c r="F3453" s="17">
        <v>45993</v>
      </c>
      <c r="G3453" s="13">
        <v>221.21</v>
      </c>
      <c r="H3453" s="14">
        <v>0</v>
      </c>
      <c r="I3453" s="14">
        <v>0</v>
      </c>
      <c r="J3453" s="14">
        <v>0</v>
      </c>
      <c r="K3453" s="14">
        <v>221.21</v>
      </c>
      <c r="L3453" t="s">
        <v>794</v>
      </c>
      <c r="M3453">
        <f t="shared" si="53"/>
        <v>2025</v>
      </c>
    </row>
    <row r="3454" spans="1:13" ht="12.75" hidden="1" customHeight="1">
      <c r="A3454" t="s">
        <v>801</v>
      </c>
      <c r="B3454" t="s">
        <v>13</v>
      </c>
      <c r="C3454" t="s">
        <v>717</v>
      </c>
      <c r="D3454" t="s">
        <v>873</v>
      </c>
      <c r="E3454" s="17">
        <v>45994</v>
      </c>
      <c r="F3454" s="17">
        <v>45994</v>
      </c>
      <c r="G3454" s="13">
        <v>4459.78</v>
      </c>
      <c r="H3454" s="14">
        <v>0</v>
      </c>
      <c r="I3454" s="14">
        <v>0</v>
      </c>
      <c r="J3454" s="14">
        <v>0</v>
      </c>
      <c r="K3454" s="14">
        <v>4459.78</v>
      </c>
      <c r="L3454" t="s">
        <v>794</v>
      </c>
      <c r="M3454">
        <f t="shared" si="53"/>
        <v>2025</v>
      </c>
    </row>
    <row r="3455" spans="1:13" ht="12.75" hidden="1" customHeight="1">
      <c r="A3455" t="s">
        <v>801</v>
      </c>
      <c r="B3455" t="s">
        <v>13</v>
      </c>
      <c r="C3455" t="s">
        <v>726</v>
      </c>
      <c r="D3455" t="s">
        <v>873</v>
      </c>
      <c r="E3455" s="17">
        <v>45994</v>
      </c>
      <c r="F3455" s="17">
        <v>45994</v>
      </c>
      <c r="G3455" s="13">
        <v>4.08</v>
      </c>
      <c r="H3455" s="14">
        <v>0</v>
      </c>
      <c r="I3455" s="14">
        <v>0</v>
      </c>
      <c r="J3455" s="14">
        <v>0</v>
      </c>
      <c r="K3455" s="14">
        <v>4.08</v>
      </c>
      <c r="L3455" t="s">
        <v>794</v>
      </c>
      <c r="M3455">
        <f t="shared" si="53"/>
        <v>2025</v>
      </c>
    </row>
    <row r="3456" spans="1:13" ht="12.75" hidden="1" customHeight="1">
      <c r="A3456" t="s">
        <v>981</v>
      </c>
      <c r="B3456" t="s">
        <v>55</v>
      </c>
      <c r="C3456" t="s">
        <v>99</v>
      </c>
      <c r="D3456" t="s">
        <v>873</v>
      </c>
      <c r="E3456" s="17">
        <v>45994</v>
      </c>
      <c r="F3456" s="17">
        <v>45994</v>
      </c>
      <c r="G3456" s="13">
        <v>3000</v>
      </c>
      <c r="H3456" s="14">
        <v>0</v>
      </c>
      <c r="I3456" s="14">
        <v>0</v>
      </c>
      <c r="J3456" s="14">
        <v>0</v>
      </c>
      <c r="K3456" s="14">
        <v>3000</v>
      </c>
      <c r="L3456" t="s">
        <v>843</v>
      </c>
      <c r="M3456">
        <f t="shared" si="53"/>
        <v>2025</v>
      </c>
    </row>
    <row r="3457" spans="1:13" ht="12.75" hidden="1" customHeight="1">
      <c r="A3457" t="s">
        <v>801</v>
      </c>
      <c r="B3457" t="s">
        <v>13</v>
      </c>
      <c r="C3457" t="s">
        <v>726</v>
      </c>
      <c r="D3457" t="s">
        <v>873</v>
      </c>
      <c r="E3457" s="17">
        <v>45994</v>
      </c>
      <c r="F3457" s="17">
        <v>45994</v>
      </c>
      <c r="G3457" s="13">
        <v>22.44</v>
      </c>
      <c r="H3457" s="14">
        <v>0</v>
      </c>
      <c r="I3457" s="14">
        <v>0</v>
      </c>
      <c r="J3457" s="14">
        <v>0</v>
      </c>
      <c r="K3457" s="14">
        <v>22.44</v>
      </c>
      <c r="L3457" t="s">
        <v>794</v>
      </c>
      <c r="M3457">
        <f t="shared" si="53"/>
        <v>2025</v>
      </c>
    </row>
    <row r="3458" spans="1:13" ht="12.75" hidden="1" customHeight="1">
      <c r="A3458" t="s">
        <v>1362</v>
      </c>
      <c r="B3458" t="s">
        <v>479</v>
      </c>
      <c r="C3458" t="s">
        <v>99</v>
      </c>
      <c r="D3458" t="s">
        <v>873</v>
      </c>
      <c r="E3458" s="17">
        <v>45994</v>
      </c>
      <c r="F3458" s="17">
        <v>45994</v>
      </c>
      <c r="G3458" s="13">
        <v>39.9</v>
      </c>
      <c r="H3458" s="14">
        <v>0</v>
      </c>
      <c r="I3458" s="14">
        <v>0</v>
      </c>
      <c r="J3458" s="14">
        <v>0</v>
      </c>
      <c r="K3458" s="14">
        <v>39.9</v>
      </c>
      <c r="L3458" t="s">
        <v>843</v>
      </c>
      <c r="M3458">
        <f t="shared" si="53"/>
        <v>2025</v>
      </c>
    </row>
    <row r="3459" spans="1:13" ht="12.75" hidden="1" customHeight="1">
      <c r="A3459" t="s">
        <v>892</v>
      </c>
      <c r="B3459" t="s">
        <v>110</v>
      </c>
      <c r="C3459" t="s">
        <v>733</v>
      </c>
      <c r="D3459" t="s">
        <v>873</v>
      </c>
      <c r="E3459" s="17">
        <v>45994</v>
      </c>
      <c r="F3459" s="17">
        <v>45994</v>
      </c>
      <c r="G3459" s="13">
        <v>188</v>
      </c>
      <c r="H3459" s="14">
        <v>0</v>
      </c>
      <c r="I3459" s="14">
        <v>0</v>
      </c>
      <c r="J3459" s="14">
        <v>0</v>
      </c>
      <c r="K3459" s="14">
        <v>188</v>
      </c>
      <c r="L3459" t="s">
        <v>794</v>
      </c>
      <c r="M3459">
        <f t="shared" ref="M3459:M3522" si="54">YEAR(F3459)</f>
        <v>2025</v>
      </c>
    </row>
    <row r="3460" spans="1:13" ht="12.75" hidden="1" customHeight="1">
      <c r="A3460" t="s">
        <v>821</v>
      </c>
      <c r="B3460" t="s">
        <v>72</v>
      </c>
      <c r="C3460" t="s">
        <v>722</v>
      </c>
      <c r="D3460" t="s">
        <v>1378</v>
      </c>
      <c r="E3460" s="17">
        <v>45992</v>
      </c>
      <c r="F3460" s="17">
        <v>45994</v>
      </c>
      <c r="G3460" s="13">
        <v>1381.38</v>
      </c>
      <c r="H3460" s="14">
        <v>0</v>
      </c>
      <c r="I3460" s="14">
        <v>0</v>
      </c>
      <c r="J3460" s="14">
        <v>0</v>
      </c>
      <c r="K3460" s="14">
        <v>1381.38</v>
      </c>
      <c r="L3460" t="s">
        <v>794</v>
      </c>
      <c r="M3460">
        <f t="shared" si="54"/>
        <v>2025</v>
      </c>
    </row>
    <row r="3461" spans="1:13" ht="12.75" hidden="1" customHeight="1">
      <c r="A3461" t="s">
        <v>823</v>
      </c>
      <c r="B3461" t="s">
        <v>245</v>
      </c>
      <c r="C3461" t="s">
        <v>736</v>
      </c>
      <c r="D3461" t="s">
        <v>873</v>
      </c>
      <c r="E3461" s="17">
        <v>45992</v>
      </c>
      <c r="F3461" s="17">
        <v>45994</v>
      </c>
      <c r="G3461" s="13">
        <v>129.97</v>
      </c>
      <c r="H3461" s="14">
        <v>0</v>
      </c>
      <c r="I3461" s="14">
        <v>0</v>
      </c>
      <c r="J3461" s="14">
        <v>0</v>
      </c>
      <c r="K3461" s="14">
        <v>129.97</v>
      </c>
      <c r="L3461" t="s">
        <v>794</v>
      </c>
      <c r="M3461">
        <f t="shared" si="54"/>
        <v>2025</v>
      </c>
    </row>
    <row r="3462" spans="1:13" ht="12.75" hidden="1" customHeight="1">
      <c r="A3462" t="s">
        <v>1166</v>
      </c>
      <c r="B3462" t="s">
        <v>274</v>
      </c>
      <c r="C3462" t="s">
        <v>647</v>
      </c>
      <c r="D3462" t="s">
        <v>873</v>
      </c>
      <c r="E3462" s="17">
        <v>45995</v>
      </c>
      <c r="F3462" s="17">
        <v>45995</v>
      </c>
      <c r="G3462" s="13">
        <v>111.89</v>
      </c>
      <c r="H3462" s="14">
        <v>0</v>
      </c>
      <c r="I3462" s="14">
        <v>0</v>
      </c>
      <c r="J3462" s="14">
        <v>0</v>
      </c>
      <c r="K3462" s="14">
        <v>111.89</v>
      </c>
      <c r="L3462" t="s">
        <v>794</v>
      </c>
      <c r="M3462">
        <f t="shared" si="54"/>
        <v>2025</v>
      </c>
    </row>
    <row r="3463" spans="1:13" ht="12.75" hidden="1" customHeight="1">
      <c r="A3463" t="s">
        <v>801</v>
      </c>
      <c r="B3463" t="s">
        <v>13</v>
      </c>
      <c r="C3463" t="s">
        <v>726</v>
      </c>
      <c r="D3463" t="s">
        <v>873</v>
      </c>
      <c r="E3463" s="17">
        <v>45995</v>
      </c>
      <c r="F3463" s="17">
        <v>45995</v>
      </c>
      <c r="G3463" s="13">
        <v>4.08</v>
      </c>
      <c r="H3463" s="14">
        <v>0</v>
      </c>
      <c r="I3463" s="14">
        <v>0</v>
      </c>
      <c r="J3463" s="14">
        <v>0</v>
      </c>
      <c r="K3463" s="14">
        <v>4.08</v>
      </c>
      <c r="L3463" t="s">
        <v>794</v>
      </c>
      <c r="M3463">
        <f t="shared" si="54"/>
        <v>2025</v>
      </c>
    </row>
    <row r="3464" spans="1:13" ht="12.75" hidden="1" customHeight="1">
      <c r="A3464" t="s">
        <v>801</v>
      </c>
      <c r="B3464" t="s">
        <v>13</v>
      </c>
      <c r="C3464" t="s">
        <v>726</v>
      </c>
      <c r="D3464" t="s">
        <v>873</v>
      </c>
      <c r="E3464" s="17">
        <v>45995</v>
      </c>
      <c r="F3464" s="17">
        <v>45995</v>
      </c>
      <c r="G3464" s="13">
        <v>48.96</v>
      </c>
      <c r="H3464" s="14">
        <v>0</v>
      </c>
      <c r="I3464" s="14">
        <v>0</v>
      </c>
      <c r="J3464" s="14">
        <v>0</v>
      </c>
      <c r="K3464" s="14">
        <v>48.96</v>
      </c>
      <c r="L3464" t="s">
        <v>794</v>
      </c>
      <c r="M3464">
        <f t="shared" si="54"/>
        <v>2025</v>
      </c>
    </row>
    <row r="3465" spans="1:13" ht="12.75" hidden="1" customHeight="1">
      <c r="A3465" t="s">
        <v>1379</v>
      </c>
      <c r="B3465" t="s">
        <v>704</v>
      </c>
      <c r="C3465" t="s">
        <v>646</v>
      </c>
      <c r="D3465" t="s">
        <v>873</v>
      </c>
      <c r="E3465" s="17">
        <v>45996</v>
      </c>
      <c r="F3465" s="17">
        <v>45996</v>
      </c>
      <c r="G3465" s="13">
        <v>10</v>
      </c>
      <c r="H3465" s="14">
        <v>0</v>
      </c>
      <c r="I3465" s="14">
        <v>0</v>
      </c>
      <c r="J3465" s="14">
        <v>0</v>
      </c>
      <c r="K3465" s="14">
        <v>10</v>
      </c>
      <c r="L3465" t="s">
        <v>794</v>
      </c>
      <c r="M3465">
        <f t="shared" si="54"/>
        <v>2025</v>
      </c>
    </row>
    <row r="3466" spans="1:13" ht="12.75" hidden="1" customHeight="1">
      <c r="A3466" t="s">
        <v>1380</v>
      </c>
      <c r="B3466" t="s">
        <v>364</v>
      </c>
      <c r="C3466" t="s">
        <v>647</v>
      </c>
      <c r="D3466" t="s">
        <v>873</v>
      </c>
      <c r="E3466" s="17">
        <v>45996</v>
      </c>
      <c r="F3466" s="17">
        <v>45996</v>
      </c>
      <c r="G3466" s="13">
        <v>35</v>
      </c>
      <c r="H3466" s="14">
        <v>0</v>
      </c>
      <c r="I3466" s="14">
        <v>0</v>
      </c>
      <c r="J3466" s="14">
        <v>0</v>
      </c>
      <c r="K3466" s="14">
        <v>35</v>
      </c>
      <c r="L3466" t="s">
        <v>794</v>
      </c>
      <c r="M3466">
        <f t="shared" si="54"/>
        <v>2025</v>
      </c>
    </row>
    <row r="3467" spans="1:13" ht="12.75" hidden="1" customHeight="1">
      <c r="A3467" t="s">
        <v>833</v>
      </c>
      <c r="B3467" t="s">
        <v>27</v>
      </c>
      <c r="C3467" t="s">
        <v>140</v>
      </c>
      <c r="D3467" t="s">
        <v>873</v>
      </c>
      <c r="E3467" s="17">
        <v>45996</v>
      </c>
      <c r="F3467" s="17">
        <v>45996</v>
      </c>
      <c r="G3467" s="13">
        <v>1000</v>
      </c>
      <c r="H3467" s="14">
        <v>0</v>
      </c>
      <c r="I3467" s="14">
        <v>0</v>
      </c>
      <c r="J3467" s="14">
        <v>0</v>
      </c>
      <c r="K3467" s="14">
        <v>1000</v>
      </c>
      <c r="L3467" t="s">
        <v>794</v>
      </c>
      <c r="M3467">
        <f t="shared" si="54"/>
        <v>2025</v>
      </c>
    </row>
    <row r="3468" spans="1:13" ht="12.75" hidden="1" customHeight="1">
      <c r="A3468" t="s">
        <v>1356</v>
      </c>
      <c r="B3468" t="s">
        <v>20</v>
      </c>
      <c r="C3468" t="s">
        <v>721</v>
      </c>
      <c r="D3468" t="s">
        <v>873</v>
      </c>
      <c r="E3468" s="17">
        <v>45996</v>
      </c>
      <c r="F3468" s="17">
        <v>45996</v>
      </c>
      <c r="G3468" s="13">
        <v>1000</v>
      </c>
      <c r="H3468" s="14">
        <v>0</v>
      </c>
      <c r="I3468" s="14">
        <v>0</v>
      </c>
      <c r="J3468" s="14">
        <v>0</v>
      </c>
      <c r="K3468" s="14">
        <v>1000</v>
      </c>
      <c r="L3468" t="s">
        <v>794</v>
      </c>
      <c r="M3468">
        <f t="shared" si="54"/>
        <v>2025</v>
      </c>
    </row>
    <row r="3469" spans="1:13" ht="12.75" hidden="1" customHeight="1">
      <c r="A3469" t="s">
        <v>1356</v>
      </c>
      <c r="B3469" t="s">
        <v>20</v>
      </c>
      <c r="C3469" t="s">
        <v>721</v>
      </c>
      <c r="D3469" t="s">
        <v>873</v>
      </c>
      <c r="E3469" s="17">
        <v>45996</v>
      </c>
      <c r="F3469" s="17">
        <v>45996</v>
      </c>
      <c r="G3469" s="13">
        <v>5000</v>
      </c>
      <c r="H3469" s="14">
        <v>0</v>
      </c>
      <c r="I3469" s="14">
        <v>0</v>
      </c>
      <c r="J3469" s="14">
        <v>0</v>
      </c>
      <c r="K3469" s="14">
        <v>5000</v>
      </c>
      <c r="L3469" t="s">
        <v>794</v>
      </c>
      <c r="M3469">
        <f t="shared" si="54"/>
        <v>2025</v>
      </c>
    </row>
    <row r="3470" spans="1:13" ht="12.75" hidden="1" customHeight="1">
      <c r="A3470" t="s">
        <v>924</v>
      </c>
      <c r="B3470" t="s">
        <v>87</v>
      </c>
      <c r="C3470" t="s">
        <v>736</v>
      </c>
      <c r="D3470" t="s">
        <v>873</v>
      </c>
      <c r="E3470" s="17">
        <v>45996</v>
      </c>
      <c r="F3470" s="17">
        <v>45996</v>
      </c>
      <c r="G3470" s="13">
        <v>750</v>
      </c>
      <c r="H3470" s="14">
        <v>0</v>
      </c>
      <c r="I3470" s="14">
        <v>0</v>
      </c>
      <c r="J3470" s="14">
        <v>0</v>
      </c>
      <c r="K3470" s="14">
        <v>750</v>
      </c>
      <c r="L3470" t="s">
        <v>794</v>
      </c>
      <c r="M3470">
        <f t="shared" si="54"/>
        <v>2025</v>
      </c>
    </row>
    <row r="3471" spans="1:13" ht="12.75" hidden="1" customHeight="1">
      <c r="A3471" t="s">
        <v>1173</v>
      </c>
      <c r="B3471" t="s">
        <v>45</v>
      </c>
      <c r="C3471" t="s">
        <v>137</v>
      </c>
      <c r="D3471" t="s">
        <v>873</v>
      </c>
      <c r="E3471" s="17">
        <v>45996</v>
      </c>
      <c r="F3471" s="17">
        <v>45996</v>
      </c>
      <c r="G3471" s="13">
        <v>2000</v>
      </c>
      <c r="H3471" s="14">
        <v>0</v>
      </c>
      <c r="I3471" s="14">
        <v>0</v>
      </c>
      <c r="J3471" s="14">
        <v>0</v>
      </c>
      <c r="K3471" s="14">
        <v>2000</v>
      </c>
      <c r="L3471" t="s">
        <v>794</v>
      </c>
      <c r="M3471">
        <f t="shared" si="54"/>
        <v>2025</v>
      </c>
    </row>
    <row r="3472" spans="1:13" ht="12.75" hidden="1" customHeight="1">
      <c r="A3472" t="s">
        <v>1339</v>
      </c>
      <c r="B3472" t="s">
        <v>66</v>
      </c>
      <c r="C3472" t="s">
        <v>721</v>
      </c>
      <c r="D3472" t="s">
        <v>873</v>
      </c>
      <c r="E3472" s="17">
        <v>45996</v>
      </c>
      <c r="F3472" s="17">
        <v>45996</v>
      </c>
      <c r="G3472" s="13">
        <v>382.23</v>
      </c>
      <c r="H3472" s="14">
        <v>0</v>
      </c>
      <c r="I3472" s="14">
        <v>0</v>
      </c>
      <c r="J3472" s="14">
        <v>0</v>
      </c>
      <c r="K3472" s="14">
        <v>382.23</v>
      </c>
      <c r="L3472" t="s">
        <v>794</v>
      </c>
      <c r="M3472">
        <f t="shared" si="54"/>
        <v>2025</v>
      </c>
    </row>
    <row r="3473" spans="1:13" ht="12.75" hidden="1" customHeight="1">
      <c r="A3473" t="s">
        <v>1112</v>
      </c>
      <c r="B3473" t="s">
        <v>68</v>
      </c>
      <c r="C3473" t="s">
        <v>736</v>
      </c>
      <c r="D3473" t="s">
        <v>873</v>
      </c>
      <c r="E3473" s="17">
        <v>45996</v>
      </c>
      <c r="F3473" s="17">
        <v>45996</v>
      </c>
      <c r="G3473" s="13">
        <v>900</v>
      </c>
      <c r="H3473" s="14">
        <v>0</v>
      </c>
      <c r="I3473" s="14">
        <v>0</v>
      </c>
      <c r="J3473" s="14">
        <v>0</v>
      </c>
      <c r="K3473" s="14">
        <v>900</v>
      </c>
      <c r="L3473" t="s">
        <v>794</v>
      </c>
      <c r="M3473">
        <f t="shared" si="54"/>
        <v>2025</v>
      </c>
    </row>
    <row r="3474" spans="1:13" ht="12.75" hidden="1" customHeight="1">
      <c r="A3474" t="s">
        <v>825</v>
      </c>
      <c r="B3474" t="s">
        <v>46</v>
      </c>
      <c r="C3474" t="s">
        <v>137</v>
      </c>
      <c r="D3474" t="s">
        <v>873</v>
      </c>
      <c r="E3474" s="17">
        <v>45996</v>
      </c>
      <c r="F3474" s="17">
        <v>45996</v>
      </c>
      <c r="G3474" s="13">
        <v>1057</v>
      </c>
      <c r="H3474" s="14">
        <v>0</v>
      </c>
      <c r="I3474" s="14">
        <v>0</v>
      </c>
      <c r="J3474" s="14">
        <v>0</v>
      </c>
      <c r="K3474" s="14">
        <v>1057</v>
      </c>
      <c r="L3474" t="s">
        <v>794</v>
      </c>
      <c r="M3474">
        <f t="shared" si="54"/>
        <v>2025</v>
      </c>
    </row>
    <row r="3475" spans="1:13" ht="12.75" hidden="1" customHeight="1">
      <c r="A3475" t="s">
        <v>811</v>
      </c>
      <c r="B3475" t="s">
        <v>39</v>
      </c>
      <c r="C3475" t="s">
        <v>137</v>
      </c>
      <c r="D3475" t="s">
        <v>873</v>
      </c>
      <c r="E3475" s="17">
        <v>45996</v>
      </c>
      <c r="F3475" s="17">
        <v>45996</v>
      </c>
      <c r="G3475" s="13">
        <v>1571</v>
      </c>
      <c r="H3475" s="14">
        <v>0</v>
      </c>
      <c r="I3475" s="14">
        <v>0</v>
      </c>
      <c r="J3475" s="14">
        <v>0</v>
      </c>
      <c r="K3475" s="14">
        <v>1571</v>
      </c>
      <c r="L3475" t="s">
        <v>794</v>
      </c>
      <c r="M3475">
        <f t="shared" si="54"/>
        <v>2025</v>
      </c>
    </row>
    <row r="3476" spans="1:13" ht="12.75" hidden="1" customHeight="1">
      <c r="A3476" t="s">
        <v>819</v>
      </c>
      <c r="B3476" t="s">
        <v>38</v>
      </c>
      <c r="C3476" t="s">
        <v>137</v>
      </c>
      <c r="D3476" t="s">
        <v>873</v>
      </c>
      <c r="E3476" s="17">
        <v>45996</v>
      </c>
      <c r="F3476" s="17">
        <v>45996</v>
      </c>
      <c r="G3476" s="13">
        <v>1636</v>
      </c>
      <c r="H3476" s="14">
        <v>0</v>
      </c>
      <c r="I3476" s="14">
        <v>0</v>
      </c>
      <c r="J3476" s="14">
        <v>0</v>
      </c>
      <c r="K3476" s="14">
        <v>1636</v>
      </c>
      <c r="L3476" t="s">
        <v>794</v>
      </c>
      <c r="M3476">
        <f t="shared" si="54"/>
        <v>2025</v>
      </c>
    </row>
    <row r="3477" spans="1:13" ht="12.75" hidden="1" customHeight="1">
      <c r="A3477" t="s">
        <v>836</v>
      </c>
      <c r="B3477" t="s">
        <v>37</v>
      </c>
      <c r="C3477" t="s">
        <v>137</v>
      </c>
      <c r="D3477" t="s">
        <v>873</v>
      </c>
      <c r="E3477" s="17">
        <v>45996</v>
      </c>
      <c r="F3477" s="17">
        <v>45996</v>
      </c>
      <c r="G3477" s="13">
        <v>1571</v>
      </c>
      <c r="H3477" s="14">
        <v>0</v>
      </c>
      <c r="I3477" s="14">
        <v>0</v>
      </c>
      <c r="J3477" s="14">
        <v>0</v>
      </c>
      <c r="K3477" s="14">
        <v>1571</v>
      </c>
      <c r="L3477" t="s">
        <v>794</v>
      </c>
      <c r="M3477">
        <f t="shared" si="54"/>
        <v>2025</v>
      </c>
    </row>
    <row r="3478" spans="1:13" ht="12.75" hidden="1" customHeight="1">
      <c r="A3478" t="s">
        <v>1053</v>
      </c>
      <c r="B3478" t="s">
        <v>349</v>
      </c>
      <c r="C3478" t="s">
        <v>758</v>
      </c>
      <c r="D3478" t="s">
        <v>873</v>
      </c>
      <c r="E3478" s="17">
        <v>45996</v>
      </c>
      <c r="F3478" s="17">
        <v>45996</v>
      </c>
      <c r="G3478" s="13">
        <v>248.91</v>
      </c>
      <c r="H3478" s="14">
        <v>0</v>
      </c>
      <c r="I3478" s="14">
        <v>0</v>
      </c>
      <c r="J3478" s="14">
        <v>0</v>
      </c>
      <c r="K3478" s="14">
        <v>248.91</v>
      </c>
      <c r="L3478" t="s">
        <v>794</v>
      </c>
      <c r="M3478">
        <f t="shared" si="54"/>
        <v>2025</v>
      </c>
    </row>
    <row r="3479" spans="1:13" ht="12.75" hidden="1" customHeight="1">
      <c r="A3479" t="s">
        <v>801</v>
      </c>
      <c r="B3479" t="s">
        <v>13</v>
      </c>
      <c r="C3479" t="s">
        <v>726</v>
      </c>
      <c r="D3479" t="s">
        <v>873</v>
      </c>
      <c r="E3479" s="17">
        <v>45996</v>
      </c>
      <c r="F3479" s="17">
        <v>45996</v>
      </c>
      <c r="G3479" s="13">
        <v>135.52000000000001</v>
      </c>
      <c r="H3479" s="14">
        <v>0</v>
      </c>
      <c r="I3479" s="14">
        <v>0</v>
      </c>
      <c r="J3479" s="14">
        <v>0</v>
      </c>
      <c r="K3479" s="14">
        <v>135.52000000000001</v>
      </c>
      <c r="L3479" t="s">
        <v>794</v>
      </c>
      <c r="M3479">
        <f t="shared" si="54"/>
        <v>2025</v>
      </c>
    </row>
    <row r="3480" spans="1:13" ht="12.75" hidden="1" customHeight="1">
      <c r="A3480" t="s">
        <v>801</v>
      </c>
      <c r="B3480" t="s">
        <v>13</v>
      </c>
      <c r="C3480" t="s">
        <v>726</v>
      </c>
      <c r="D3480" t="s">
        <v>873</v>
      </c>
      <c r="E3480" s="17">
        <v>45996</v>
      </c>
      <c r="F3480" s="17">
        <v>45996</v>
      </c>
      <c r="G3480" s="13">
        <v>2.04</v>
      </c>
      <c r="H3480" s="14">
        <v>0</v>
      </c>
      <c r="I3480" s="14">
        <v>0</v>
      </c>
      <c r="J3480" s="14">
        <v>0</v>
      </c>
      <c r="K3480" s="14">
        <v>2.04</v>
      </c>
      <c r="L3480" t="s">
        <v>794</v>
      </c>
      <c r="M3480">
        <f t="shared" si="54"/>
        <v>2025</v>
      </c>
    </row>
    <row r="3481" spans="1:13" ht="12.75" hidden="1" customHeight="1">
      <c r="A3481" t="s">
        <v>833</v>
      </c>
      <c r="B3481" t="s">
        <v>27</v>
      </c>
      <c r="C3481" t="s">
        <v>137</v>
      </c>
      <c r="D3481" t="s">
        <v>1381</v>
      </c>
      <c r="E3481" s="17">
        <v>45996</v>
      </c>
      <c r="F3481" s="17">
        <v>45996</v>
      </c>
      <c r="G3481" s="13">
        <v>1814</v>
      </c>
      <c r="H3481" s="14">
        <v>0</v>
      </c>
      <c r="I3481" s="14">
        <v>0</v>
      </c>
      <c r="J3481" s="14">
        <v>0</v>
      </c>
      <c r="K3481" s="14">
        <v>1814</v>
      </c>
      <c r="L3481" t="s">
        <v>794</v>
      </c>
      <c r="M3481">
        <f t="shared" si="54"/>
        <v>2025</v>
      </c>
    </row>
    <row r="3482" spans="1:13" ht="12.75" hidden="1" customHeight="1">
      <c r="A3482" t="s">
        <v>826</v>
      </c>
      <c r="B3482" t="s">
        <v>21</v>
      </c>
      <c r="C3482" t="s">
        <v>137</v>
      </c>
      <c r="D3482" t="s">
        <v>873</v>
      </c>
      <c r="E3482" s="17">
        <v>45996</v>
      </c>
      <c r="F3482" s="17">
        <v>45996</v>
      </c>
      <c r="G3482" s="13">
        <v>2261</v>
      </c>
      <c r="H3482" s="14">
        <v>0</v>
      </c>
      <c r="I3482" s="14">
        <v>0</v>
      </c>
      <c r="J3482" s="14">
        <v>0</v>
      </c>
      <c r="K3482" s="14">
        <v>2261</v>
      </c>
      <c r="L3482" t="s">
        <v>794</v>
      </c>
      <c r="M3482">
        <f t="shared" si="54"/>
        <v>2025</v>
      </c>
    </row>
    <row r="3483" spans="1:13" ht="12.75" hidden="1" customHeight="1">
      <c r="A3483" t="s">
        <v>1134</v>
      </c>
      <c r="B3483" t="s">
        <v>33</v>
      </c>
      <c r="C3483" t="s">
        <v>137</v>
      </c>
      <c r="D3483" t="s">
        <v>873</v>
      </c>
      <c r="E3483" s="17">
        <v>45996</v>
      </c>
      <c r="F3483" s="17">
        <v>45996</v>
      </c>
      <c r="G3483" s="13">
        <v>1461</v>
      </c>
      <c r="H3483" s="14">
        <v>0</v>
      </c>
      <c r="I3483" s="14">
        <v>0</v>
      </c>
      <c r="J3483" s="14">
        <v>0</v>
      </c>
      <c r="K3483" s="14">
        <v>1461</v>
      </c>
      <c r="L3483" t="s">
        <v>794</v>
      </c>
      <c r="M3483">
        <f t="shared" si="54"/>
        <v>2025</v>
      </c>
    </row>
    <row r="3484" spans="1:13" ht="12.75" hidden="1" customHeight="1">
      <c r="A3484" t="s">
        <v>1181</v>
      </c>
      <c r="B3484" t="s">
        <v>75</v>
      </c>
      <c r="C3484" t="s">
        <v>137</v>
      </c>
      <c r="D3484" t="s">
        <v>873</v>
      </c>
      <c r="E3484" s="17">
        <v>45996</v>
      </c>
      <c r="F3484" s="17">
        <v>45996</v>
      </c>
      <c r="G3484" s="13">
        <v>835</v>
      </c>
      <c r="H3484" s="14">
        <v>0</v>
      </c>
      <c r="I3484" s="14">
        <v>0</v>
      </c>
      <c r="J3484" s="14">
        <v>0</v>
      </c>
      <c r="K3484" s="14">
        <v>835</v>
      </c>
      <c r="L3484" t="s">
        <v>794</v>
      </c>
      <c r="M3484">
        <f t="shared" si="54"/>
        <v>2025</v>
      </c>
    </row>
    <row r="3485" spans="1:13" ht="12.75" hidden="1" customHeight="1">
      <c r="A3485" t="s">
        <v>1104</v>
      </c>
      <c r="B3485" t="s">
        <v>53</v>
      </c>
      <c r="C3485" t="s">
        <v>137</v>
      </c>
      <c r="D3485" t="s">
        <v>873</v>
      </c>
      <c r="E3485" s="17">
        <v>45996</v>
      </c>
      <c r="F3485" s="17">
        <v>45996</v>
      </c>
      <c r="G3485" s="13">
        <v>1384</v>
      </c>
      <c r="H3485" s="14">
        <v>0</v>
      </c>
      <c r="I3485" s="14">
        <v>0</v>
      </c>
      <c r="J3485" s="14">
        <v>0</v>
      </c>
      <c r="K3485" s="14">
        <v>1384</v>
      </c>
      <c r="L3485" t="s">
        <v>794</v>
      </c>
      <c r="M3485">
        <f t="shared" si="54"/>
        <v>2025</v>
      </c>
    </row>
    <row r="3486" spans="1:13" ht="12.75" hidden="1" customHeight="1">
      <c r="A3486" t="s">
        <v>1105</v>
      </c>
      <c r="B3486" t="s">
        <v>84</v>
      </c>
      <c r="C3486" t="s">
        <v>137</v>
      </c>
      <c r="D3486" t="s">
        <v>873</v>
      </c>
      <c r="E3486" s="17">
        <v>45996</v>
      </c>
      <c r="F3486" s="17">
        <v>45996</v>
      </c>
      <c r="G3486" s="13">
        <v>1571</v>
      </c>
      <c r="H3486" s="14">
        <v>0</v>
      </c>
      <c r="I3486" s="14">
        <v>0</v>
      </c>
      <c r="J3486" s="14">
        <v>0</v>
      </c>
      <c r="K3486" s="14">
        <v>1571</v>
      </c>
      <c r="L3486" t="s">
        <v>794</v>
      </c>
      <c r="M3486">
        <f t="shared" si="54"/>
        <v>2025</v>
      </c>
    </row>
    <row r="3487" spans="1:13" ht="12.75" hidden="1" customHeight="1">
      <c r="A3487" t="s">
        <v>1141</v>
      </c>
      <c r="B3487" t="s">
        <v>69</v>
      </c>
      <c r="C3487" t="s">
        <v>137</v>
      </c>
      <c r="D3487" t="s">
        <v>873</v>
      </c>
      <c r="E3487" s="17">
        <v>45996</v>
      </c>
      <c r="F3487" s="17">
        <v>45996</v>
      </c>
      <c r="G3487" s="13">
        <v>1542</v>
      </c>
      <c r="H3487" s="14">
        <v>0</v>
      </c>
      <c r="I3487" s="14">
        <v>0</v>
      </c>
      <c r="J3487" s="14">
        <v>0</v>
      </c>
      <c r="K3487" s="14">
        <v>1542</v>
      </c>
      <c r="L3487" t="s">
        <v>794</v>
      </c>
      <c r="M3487">
        <f t="shared" si="54"/>
        <v>2025</v>
      </c>
    </row>
    <row r="3488" spans="1:13" ht="12.75" hidden="1" customHeight="1">
      <c r="A3488" t="s">
        <v>814</v>
      </c>
      <c r="B3488" t="s">
        <v>56</v>
      </c>
      <c r="C3488" t="s">
        <v>137</v>
      </c>
      <c r="D3488" t="s">
        <v>873</v>
      </c>
      <c r="E3488" s="17">
        <v>45996</v>
      </c>
      <c r="F3488" s="17">
        <v>45996</v>
      </c>
      <c r="G3488" s="13">
        <v>278</v>
      </c>
      <c r="H3488" s="14">
        <v>0</v>
      </c>
      <c r="I3488" s="14">
        <v>0</v>
      </c>
      <c r="J3488" s="14">
        <v>0</v>
      </c>
      <c r="K3488" s="14">
        <v>278</v>
      </c>
      <c r="L3488" t="s">
        <v>794</v>
      </c>
      <c r="M3488">
        <f t="shared" si="54"/>
        <v>2025</v>
      </c>
    </row>
    <row r="3489" spans="1:13" ht="12.75" hidden="1" customHeight="1">
      <c r="A3489" t="s">
        <v>1316</v>
      </c>
      <c r="B3489" t="s">
        <v>59</v>
      </c>
      <c r="C3489" t="s">
        <v>137</v>
      </c>
      <c r="D3489" t="s">
        <v>873</v>
      </c>
      <c r="E3489" s="17">
        <v>45996</v>
      </c>
      <c r="F3489" s="17">
        <v>45996</v>
      </c>
      <c r="G3489" s="13">
        <v>1571</v>
      </c>
      <c r="H3489" s="14">
        <v>0</v>
      </c>
      <c r="I3489" s="14">
        <v>0</v>
      </c>
      <c r="J3489" s="14">
        <v>0</v>
      </c>
      <c r="K3489" s="14">
        <v>1571</v>
      </c>
      <c r="L3489" t="s">
        <v>794</v>
      </c>
      <c r="M3489">
        <f t="shared" si="54"/>
        <v>2025</v>
      </c>
    </row>
    <row r="3490" spans="1:13" ht="12.75" hidden="1" customHeight="1">
      <c r="A3490" t="s">
        <v>961</v>
      </c>
      <c r="B3490" t="s">
        <v>41</v>
      </c>
      <c r="C3490" t="s">
        <v>137</v>
      </c>
      <c r="D3490" t="s">
        <v>873</v>
      </c>
      <c r="E3490" s="17">
        <v>45996</v>
      </c>
      <c r="F3490" s="17">
        <v>45996</v>
      </c>
      <c r="G3490" s="13">
        <v>1571</v>
      </c>
      <c r="H3490" s="14">
        <v>0</v>
      </c>
      <c r="I3490" s="14">
        <v>0</v>
      </c>
      <c r="J3490" s="14">
        <v>0</v>
      </c>
      <c r="K3490" s="14">
        <v>1571</v>
      </c>
      <c r="L3490" t="s">
        <v>794</v>
      </c>
      <c r="M3490">
        <f t="shared" si="54"/>
        <v>2025</v>
      </c>
    </row>
    <row r="3491" spans="1:13" ht="12.75" hidden="1" customHeight="1">
      <c r="A3491" t="s">
        <v>1167</v>
      </c>
      <c r="B3491" t="s">
        <v>47</v>
      </c>
      <c r="C3491" t="s">
        <v>137</v>
      </c>
      <c r="D3491" t="s">
        <v>873</v>
      </c>
      <c r="E3491" s="17">
        <v>45996</v>
      </c>
      <c r="F3491" s="17">
        <v>45996</v>
      </c>
      <c r="G3491" s="13">
        <v>1815</v>
      </c>
      <c r="H3491" s="14">
        <v>0</v>
      </c>
      <c r="I3491" s="14">
        <v>0</v>
      </c>
      <c r="J3491" s="14">
        <v>0</v>
      </c>
      <c r="K3491" s="14">
        <v>1815</v>
      </c>
      <c r="L3491" t="s">
        <v>794</v>
      </c>
      <c r="M3491">
        <f t="shared" si="54"/>
        <v>2025</v>
      </c>
    </row>
    <row r="3492" spans="1:13" ht="12.75" hidden="1" customHeight="1">
      <c r="A3492" t="s">
        <v>1004</v>
      </c>
      <c r="B3492" t="s">
        <v>57</v>
      </c>
      <c r="C3492" t="s">
        <v>137</v>
      </c>
      <c r="D3492" t="s">
        <v>873</v>
      </c>
      <c r="E3492" s="17">
        <v>45996</v>
      </c>
      <c r="F3492" s="17">
        <v>45996</v>
      </c>
      <c r="G3492" s="13">
        <v>1535</v>
      </c>
      <c r="H3492" s="14">
        <v>0</v>
      </c>
      <c r="I3492" s="14">
        <v>0</v>
      </c>
      <c r="J3492" s="14">
        <v>0</v>
      </c>
      <c r="K3492" s="14">
        <v>1535</v>
      </c>
      <c r="L3492" t="s">
        <v>794</v>
      </c>
      <c r="M3492">
        <f t="shared" si="54"/>
        <v>2025</v>
      </c>
    </row>
    <row r="3493" spans="1:13" ht="12.75" hidden="1" customHeight="1">
      <c r="A3493" t="s">
        <v>810</v>
      </c>
      <c r="B3493" t="s">
        <v>54</v>
      </c>
      <c r="C3493" t="s">
        <v>137</v>
      </c>
      <c r="D3493" t="s">
        <v>873</v>
      </c>
      <c r="E3493" s="17">
        <v>45996</v>
      </c>
      <c r="F3493" s="17">
        <v>45996</v>
      </c>
      <c r="G3493" s="13">
        <v>1304</v>
      </c>
      <c r="H3493" s="14">
        <v>0</v>
      </c>
      <c r="I3493" s="14">
        <v>0</v>
      </c>
      <c r="J3493" s="14">
        <v>0</v>
      </c>
      <c r="K3493" s="14">
        <v>1304</v>
      </c>
      <c r="L3493" t="s">
        <v>794</v>
      </c>
      <c r="M3493">
        <f t="shared" si="54"/>
        <v>2025</v>
      </c>
    </row>
    <row r="3494" spans="1:13" ht="12.75" hidden="1" customHeight="1">
      <c r="A3494" t="s">
        <v>1272</v>
      </c>
      <c r="B3494" t="s">
        <v>132</v>
      </c>
      <c r="C3494" t="s">
        <v>137</v>
      </c>
      <c r="D3494" t="s">
        <v>873</v>
      </c>
      <c r="E3494" s="17">
        <v>45996</v>
      </c>
      <c r="F3494" s="17">
        <v>45996</v>
      </c>
      <c r="G3494" s="13">
        <v>1701</v>
      </c>
      <c r="H3494" s="14">
        <v>0</v>
      </c>
      <c r="I3494" s="14">
        <v>0</v>
      </c>
      <c r="J3494" s="14">
        <v>0</v>
      </c>
      <c r="K3494" s="14">
        <v>1701</v>
      </c>
      <c r="L3494" t="s">
        <v>794</v>
      </c>
      <c r="M3494">
        <f t="shared" si="54"/>
        <v>2025</v>
      </c>
    </row>
    <row r="3495" spans="1:13" ht="12.75" hidden="1" customHeight="1">
      <c r="A3495" t="s">
        <v>818</v>
      </c>
      <c r="B3495" t="s">
        <v>30</v>
      </c>
      <c r="C3495" t="s">
        <v>137</v>
      </c>
      <c r="D3495" t="s">
        <v>873</v>
      </c>
      <c r="E3495" s="17">
        <v>45996</v>
      </c>
      <c r="F3495" s="17">
        <v>45996</v>
      </c>
      <c r="G3495" s="13">
        <v>1371</v>
      </c>
      <c r="H3495" s="14">
        <v>0</v>
      </c>
      <c r="I3495" s="14">
        <v>0</v>
      </c>
      <c r="J3495" s="14">
        <v>0</v>
      </c>
      <c r="K3495" s="14">
        <v>1371</v>
      </c>
      <c r="L3495" t="s">
        <v>794</v>
      </c>
      <c r="M3495">
        <f t="shared" si="54"/>
        <v>2025</v>
      </c>
    </row>
    <row r="3496" spans="1:13" ht="12.75" hidden="1" customHeight="1">
      <c r="A3496" t="s">
        <v>1317</v>
      </c>
      <c r="B3496" t="s">
        <v>64</v>
      </c>
      <c r="C3496" t="s">
        <v>137</v>
      </c>
      <c r="D3496" t="s">
        <v>873</v>
      </c>
      <c r="E3496" s="17">
        <v>45996</v>
      </c>
      <c r="F3496" s="17">
        <v>45996</v>
      </c>
      <c r="G3496" s="13">
        <v>1556</v>
      </c>
      <c r="H3496" s="14">
        <v>0</v>
      </c>
      <c r="I3496" s="14">
        <v>0</v>
      </c>
      <c r="J3496" s="14">
        <v>0</v>
      </c>
      <c r="K3496" s="14">
        <v>1556</v>
      </c>
      <c r="L3496" t="s">
        <v>794</v>
      </c>
      <c r="M3496">
        <f t="shared" si="54"/>
        <v>2025</v>
      </c>
    </row>
    <row r="3497" spans="1:13" ht="12.75" hidden="1" customHeight="1">
      <c r="A3497" t="s">
        <v>1196</v>
      </c>
      <c r="B3497" t="s">
        <v>1197</v>
      </c>
      <c r="C3497" t="s">
        <v>137</v>
      </c>
      <c r="D3497" t="s">
        <v>873</v>
      </c>
      <c r="E3497" s="17">
        <v>45996</v>
      </c>
      <c r="F3497" s="17">
        <v>45996</v>
      </c>
      <c r="G3497" s="13">
        <v>1723</v>
      </c>
      <c r="H3497" s="14">
        <v>0</v>
      </c>
      <c r="I3497" s="14">
        <v>0</v>
      </c>
      <c r="J3497" s="14">
        <v>0</v>
      </c>
      <c r="K3497" s="14">
        <v>1723</v>
      </c>
      <c r="L3497" t="s">
        <v>794</v>
      </c>
      <c r="M3497">
        <f t="shared" si="54"/>
        <v>2025</v>
      </c>
    </row>
    <row r="3498" spans="1:13" ht="12.75" hidden="1" customHeight="1">
      <c r="A3498" t="s">
        <v>801</v>
      </c>
      <c r="B3498" t="s">
        <v>13</v>
      </c>
      <c r="C3498" t="s">
        <v>726</v>
      </c>
      <c r="D3498" t="s">
        <v>873</v>
      </c>
      <c r="E3498" s="17">
        <v>45996</v>
      </c>
      <c r="F3498" s="17">
        <v>45996</v>
      </c>
      <c r="G3498" s="13">
        <v>30.6</v>
      </c>
      <c r="H3498" s="14">
        <v>0</v>
      </c>
      <c r="I3498" s="14">
        <v>0</v>
      </c>
      <c r="J3498" s="14">
        <v>0</v>
      </c>
      <c r="K3498" s="14">
        <v>30.6</v>
      </c>
      <c r="L3498" t="s">
        <v>794</v>
      </c>
      <c r="M3498">
        <f t="shared" si="54"/>
        <v>2025</v>
      </c>
    </row>
    <row r="3499" spans="1:13" ht="12.75" hidden="1" customHeight="1">
      <c r="A3499" t="s">
        <v>1296</v>
      </c>
      <c r="B3499" t="s">
        <v>42</v>
      </c>
      <c r="C3499" t="s">
        <v>728</v>
      </c>
      <c r="D3499" t="s">
        <v>873</v>
      </c>
      <c r="E3499" s="17">
        <v>45992</v>
      </c>
      <c r="F3499" s="17">
        <v>45999</v>
      </c>
      <c r="G3499" s="13">
        <v>3876.28</v>
      </c>
      <c r="H3499" s="14">
        <v>0</v>
      </c>
      <c r="I3499" s="14">
        <v>0</v>
      </c>
      <c r="J3499" s="14">
        <v>0</v>
      </c>
      <c r="K3499" s="14">
        <v>3876.28</v>
      </c>
      <c r="L3499" t="s">
        <v>794</v>
      </c>
      <c r="M3499">
        <f t="shared" si="54"/>
        <v>2025</v>
      </c>
    </row>
    <row r="3500" spans="1:13" ht="12.75" hidden="1" customHeight="1">
      <c r="A3500" t="s">
        <v>1382</v>
      </c>
      <c r="B3500" t="s">
        <v>165</v>
      </c>
      <c r="C3500" t="s">
        <v>725</v>
      </c>
      <c r="D3500" t="s">
        <v>873</v>
      </c>
      <c r="E3500" s="17">
        <v>45996</v>
      </c>
      <c r="F3500" s="17">
        <v>45999</v>
      </c>
      <c r="G3500" s="13">
        <v>2000.7</v>
      </c>
      <c r="H3500" s="14">
        <v>0</v>
      </c>
      <c r="I3500" s="14">
        <v>0</v>
      </c>
      <c r="J3500" s="14">
        <v>0</v>
      </c>
      <c r="K3500" s="14">
        <v>2000.7</v>
      </c>
      <c r="L3500" t="s">
        <v>794</v>
      </c>
      <c r="M3500">
        <f t="shared" si="54"/>
        <v>2025</v>
      </c>
    </row>
    <row r="3501" spans="1:13" ht="12.75" hidden="1" customHeight="1">
      <c r="A3501" t="s">
        <v>1380</v>
      </c>
      <c r="B3501" t="s">
        <v>364</v>
      </c>
      <c r="C3501" t="s">
        <v>470</v>
      </c>
      <c r="D3501" t="s">
        <v>873</v>
      </c>
      <c r="E3501" s="17">
        <v>45999</v>
      </c>
      <c r="F3501" s="17">
        <v>45999</v>
      </c>
      <c r="G3501" s="13">
        <v>45.9</v>
      </c>
      <c r="H3501" s="14">
        <v>0</v>
      </c>
      <c r="I3501" s="14">
        <v>0</v>
      </c>
      <c r="J3501" s="14">
        <v>0</v>
      </c>
      <c r="K3501" s="14">
        <v>45.9</v>
      </c>
      <c r="L3501" t="s">
        <v>794</v>
      </c>
      <c r="M3501">
        <f t="shared" si="54"/>
        <v>2025</v>
      </c>
    </row>
    <row r="3502" spans="1:13" ht="12.75" hidden="1" customHeight="1">
      <c r="A3502" t="s">
        <v>801</v>
      </c>
      <c r="B3502" t="s">
        <v>13</v>
      </c>
      <c r="C3502" t="s">
        <v>726</v>
      </c>
      <c r="D3502" t="s">
        <v>873</v>
      </c>
      <c r="E3502" s="17">
        <v>45999</v>
      </c>
      <c r="F3502" s="17">
        <v>45999</v>
      </c>
      <c r="G3502" s="13">
        <v>91.8</v>
      </c>
      <c r="H3502" s="14">
        <v>0</v>
      </c>
      <c r="I3502" s="14">
        <v>0</v>
      </c>
      <c r="J3502" s="14">
        <v>0</v>
      </c>
      <c r="K3502" s="14">
        <v>91.8</v>
      </c>
      <c r="L3502" t="s">
        <v>794</v>
      </c>
      <c r="M3502">
        <f t="shared" si="54"/>
        <v>2025</v>
      </c>
    </row>
    <row r="3503" spans="1:13" ht="12.75" hidden="1" customHeight="1">
      <c r="A3503" t="s">
        <v>801</v>
      </c>
      <c r="B3503" t="s">
        <v>13</v>
      </c>
      <c r="C3503" t="s">
        <v>726</v>
      </c>
      <c r="D3503" t="s">
        <v>873</v>
      </c>
      <c r="E3503" s="17">
        <v>46000</v>
      </c>
      <c r="F3503" s="17">
        <v>46000</v>
      </c>
      <c r="G3503" s="13">
        <v>6.12</v>
      </c>
      <c r="H3503" s="14">
        <v>0</v>
      </c>
      <c r="I3503" s="14">
        <v>0</v>
      </c>
      <c r="J3503" s="14">
        <v>0</v>
      </c>
      <c r="K3503" s="14">
        <v>6.12</v>
      </c>
      <c r="L3503" t="s">
        <v>794</v>
      </c>
      <c r="M3503">
        <f t="shared" si="54"/>
        <v>2025</v>
      </c>
    </row>
    <row r="3504" spans="1:13" ht="12.75" hidden="1" customHeight="1">
      <c r="A3504" t="s">
        <v>1177</v>
      </c>
      <c r="B3504" t="s">
        <v>639</v>
      </c>
      <c r="C3504" t="s">
        <v>773</v>
      </c>
      <c r="D3504" t="s">
        <v>873</v>
      </c>
      <c r="E3504" s="17">
        <v>46000</v>
      </c>
      <c r="F3504" s="17">
        <v>46000</v>
      </c>
      <c r="G3504" s="13">
        <v>8.61</v>
      </c>
      <c r="H3504" s="14">
        <v>0</v>
      </c>
      <c r="I3504" s="14">
        <v>0</v>
      </c>
      <c r="J3504" s="14">
        <v>0</v>
      </c>
      <c r="K3504" s="14">
        <v>8.61</v>
      </c>
      <c r="L3504" t="s">
        <v>794</v>
      </c>
      <c r="M3504">
        <f t="shared" si="54"/>
        <v>2025</v>
      </c>
    </row>
    <row r="3505" spans="1:13" ht="12.75" hidden="1" customHeight="1">
      <c r="A3505" t="s">
        <v>801</v>
      </c>
      <c r="B3505" t="s">
        <v>13</v>
      </c>
      <c r="C3505" t="s">
        <v>726</v>
      </c>
      <c r="D3505" t="s">
        <v>873</v>
      </c>
      <c r="E3505" s="17">
        <v>46000</v>
      </c>
      <c r="F3505" s="17">
        <v>46000</v>
      </c>
      <c r="G3505" s="13">
        <v>53.04</v>
      </c>
      <c r="H3505" s="14">
        <v>0</v>
      </c>
      <c r="I3505" s="14">
        <v>0</v>
      </c>
      <c r="J3505" s="14">
        <v>0</v>
      </c>
      <c r="K3505" s="14">
        <v>53.04</v>
      </c>
      <c r="L3505" t="s">
        <v>794</v>
      </c>
      <c r="M3505">
        <f t="shared" si="54"/>
        <v>2025</v>
      </c>
    </row>
    <row r="3506" spans="1:13" ht="12.75" hidden="1" customHeight="1">
      <c r="A3506" t="s">
        <v>801</v>
      </c>
      <c r="B3506" t="s">
        <v>13</v>
      </c>
      <c r="C3506" t="s">
        <v>726</v>
      </c>
      <c r="D3506" t="s">
        <v>873</v>
      </c>
      <c r="E3506" s="17">
        <v>46000</v>
      </c>
      <c r="F3506" s="17">
        <v>46000</v>
      </c>
      <c r="G3506" s="13">
        <v>871.08</v>
      </c>
      <c r="H3506" s="14">
        <v>0</v>
      </c>
      <c r="I3506" s="14">
        <v>0</v>
      </c>
      <c r="J3506" s="14">
        <v>0</v>
      </c>
      <c r="K3506" s="14">
        <v>871.08</v>
      </c>
      <c r="L3506" t="s">
        <v>794</v>
      </c>
      <c r="M3506">
        <f t="shared" si="54"/>
        <v>2025</v>
      </c>
    </row>
    <row r="3507" spans="1:13" ht="12.75" hidden="1" customHeight="1">
      <c r="A3507" t="s">
        <v>992</v>
      </c>
      <c r="B3507" t="s">
        <v>277</v>
      </c>
      <c r="C3507" t="s">
        <v>99</v>
      </c>
      <c r="D3507" t="s">
        <v>873</v>
      </c>
      <c r="E3507" s="17">
        <v>46001</v>
      </c>
      <c r="F3507" s="17">
        <v>46001</v>
      </c>
      <c r="G3507" s="13">
        <v>49.800000000000004</v>
      </c>
      <c r="H3507" s="14">
        <v>0</v>
      </c>
      <c r="I3507" s="14">
        <v>0</v>
      </c>
      <c r="J3507" s="14">
        <v>0</v>
      </c>
      <c r="K3507" s="14">
        <v>49.800000000000004</v>
      </c>
      <c r="L3507" t="s">
        <v>843</v>
      </c>
      <c r="M3507">
        <f t="shared" si="54"/>
        <v>2025</v>
      </c>
    </row>
    <row r="3508" spans="1:13" ht="12.75" hidden="1" customHeight="1">
      <c r="A3508" t="s">
        <v>887</v>
      </c>
      <c r="B3508" t="s">
        <v>61</v>
      </c>
      <c r="C3508" t="s">
        <v>201</v>
      </c>
      <c r="D3508" t="s">
        <v>873</v>
      </c>
      <c r="E3508" s="17">
        <v>46001</v>
      </c>
      <c r="F3508" s="17">
        <v>46001</v>
      </c>
      <c r="G3508" s="13">
        <v>1440</v>
      </c>
      <c r="H3508" s="14">
        <v>0</v>
      </c>
      <c r="I3508" s="14">
        <v>0</v>
      </c>
      <c r="J3508" s="14">
        <v>0</v>
      </c>
      <c r="K3508" s="14">
        <v>1440</v>
      </c>
      <c r="L3508" t="s">
        <v>794</v>
      </c>
      <c r="M3508">
        <f t="shared" si="54"/>
        <v>2025</v>
      </c>
    </row>
    <row r="3509" spans="1:13" ht="12.75" hidden="1" customHeight="1">
      <c r="A3509" t="s">
        <v>1181</v>
      </c>
      <c r="B3509" t="s">
        <v>75</v>
      </c>
      <c r="C3509" t="s">
        <v>141</v>
      </c>
      <c r="D3509" t="s">
        <v>873</v>
      </c>
      <c r="E3509" s="17">
        <v>46001</v>
      </c>
      <c r="F3509" s="17">
        <v>46001</v>
      </c>
      <c r="G3509" s="13">
        <v>480</v>
      </c>
      <c r="H3509" s="14">
        <v>0</v>
      </c>
      <c r="I3509" s="14">
        <v>0</v>
      </c>
      <c r="J3509" s="14">
        <v>0</v>
      </c>
      <c r="K3509" s="14">
        <v>480</v>
      </c>
      <c r="L3509" t="s">
        <v>794</v>
      </c>
      <c r="M3509">
        <f t="shared" si="54"/>
        <v>2025</v>
      </c>
    </row>
    <row r="3510" spans="1:13" ht="12.75" hidden="1" customHeight="1">
      <c r="A3510" t="s">
        <v>1287</v>
      </c>
      <c r="B3510" t="s">
        <v>83</v>
      </c>
      <c r="C3510" t="s">
        <v>201</v>
      </c>
      <c r="D3510" t="s">
        <v>873</v>
      </c>
      <c r="E3510" s="17">
        <v>46001</v>
      </c>
      <c r="F3510" s="17">
        <v>46001</v>
      </c>
      <c r="G3510" s="13">
        <v>3760</v>
      </c>
      <c r="H3510" s="14">
        <v>0</v>
      </c>
      <c r="I3510" s="14">
        <v>0</v>
      </c>
      <c r="J3510" s="14">
        <v>0</v>
      </c>
      <c r="K3510" s="14">
        <v>3760</v>
      </c>
      <c r="L3510" t="s">
        <v>794</v>
      </c>
      <c r="M3510">
        <f t="shared" si="54"/>
        <v>2025</v>
      </c>
    </row>
    <row r="3511" spans="1:13" ht="12.75" hidden="1" customHeight="1">
      <c r="A3511" t="s">
        <v>875</v>
      </c>
      <c r="B3511" t="s">
        <v>115</v>
      </c>
      <c r="C3511" t="s">
        <v>201</v>
      </c>
      <c r="D3511" t="s">
        <v>873</v>
      </c>
      <c r="E3511" s="17">
        <v>46001</v>
      </c>
      <c r="F3511" s="17">
        <v>46001</v>
      </c>
      <c r="G3511" s="13">
        <v>120</v>
      </c>
      <c r="H3511" s="14">
        <v>0</v>
      </c>
      <c r="I3511" s="14">
        <v>0</v>
      </c>
      <c r="J3511" s="14">
        <v>0</v>
      </c>
      <c r="K3511" s="14">
        <v>120</v>
      </c>
      <c r="L3511" t="s">
        <v>794</v>
      </c>
      <c r="M3511">
        <f t="shared" si="54"/>
        <v>2025</v>
      </c>
    </row>
    <row r="3512" spans="1:13" ht="12.75" hidden="1" customHeight="1">
      <c r="A3512" t="s">
        <v>810</v>
      </c>
      <c r="B3512" t="s">
        <v>54</v>
      </c>
      <c r="C3512" t="s">
        <v>141</v>
      </c>
      <c r="D3512" t="s">
        <v>873</v>
      </c>
      <c r="E3512" s="17">
        <v>46001</v>
      </c>
      <c r="F3512" s="17">
        <v>46001</v>
      </c>
      <c r="G3512" s="13">
        <v>360</v>
      </c>
      <c r="H3512" s="14">
        <v>0</v>
      </c>
      <c r="I3512" s="14">
        <v>0</v>
      </c>
      <c r="J3512" s="14">
        <v>0</v>
      </c>
      <c r="K3512" s="14">
        <v>360</v>
      </c>
      <c r="L3512" t="s">
        <v>794</v>
      </c>
      <c r="M3512">
        <f t="shared" si="54"/>
        <v>2025</v>
      </c>
    </row>
    <row r="3513" spans="1:13" ht="12.75" hidden="1" customHeight="1">
      <c r="A3513" t="s">
        <v>826</v>
      </c>
      <c r="B3513" t="s">
        <v>21</v>
      </c>
      <c r="C3513" t="s">
        <v>141</v>
      </c>
      <c r="D3513" t="s">
        <v>873</v>
      </c>
      <c r="E3513" s="17">
        <v>46001</v>
      </c>
      <c r="F3513" s="17">
        <v>46001</v>
      </c>
      <c r="G3513" s="13">
        <v>4660</v>
      </c>
      <c r="H3513" s="14">
        <v>0</v>
      </c>
      <c r="I3513" s="14">
        <v>0</v>
      </c>
      <c r="J3513" s="14">
        <v>0</v>
      </c>
      <c r="K3513" s="14">
        <v>4660</v>
      </c>
      <c r="L3513" t="s">
        <v>794</v>
      </c>
      <c r="M3513">
        <f t="shared" si="54"/>
        <v>2025</v>
      </c>
    </row>
    <row r="3514" spans="1:13" ht="12.75" hidden="1" customHeight="1">
      <c r="A3514" t="s">
        <v>1155</v>
      </c>
      <c r="B3514" t="s">
        <v>88</v>
      </c>
      <c r="C3514" t="s">
        <v>201</v>
      </c>
      <c r="D3514" t="s">
        <v>873</v>
      </c>
      <c r="E3514" s="17">
        <v>46001</v>
      </c>
      <c r="F3514" s="17">
        <v>46001</v>
      </c>
      <c r="G3514" s="13">
        <v>1560</v>
      </c>
      <c r="H3514" s="14">
        <v>0</v>
      </c>
      <c r="I3514" s="14">
        <v>0</v>
      </c>
      <c r="J3514" s="14">
        <v>0</v>
      </c>
      <c r="K3514" s="14">
        <v>1560</v>
      </c>
      <c r="L3514" t="s">
        <v>794</v>
      </c>
      <c r="M3514">
        <f t="shared" si="54"/>
        <v>2025</v>
      </c>
    </row>
    <row r="3515" spans="1:13" ht="12.75" hidden="1" customHeight="1">
      <c r="A3515" t="s">
        <v>1158</v>
      </c>
      <c r="B3515" t="s">
        <v>60</v>
      </c>
      <c r="C3515" t="s">
        <v>201</v>
      </c>
      <c r="D3515" t="s">
        <v>873</v>
      </c>
      <c r="E3515" s="17">
        <v>46001</v>
      </c>
      <c r="F3515" s="17">
        <v>46001</v>
      </c>
      <c r="G3515" s="13">
        <v>880</v>
      </c>
      <c r="H3515" s="14">
        <v>0</v>
      </c>
      <c r="I3515" s="14">
        <v>0</v>
      </c>
      <c r="J3515" s="14">
        <v>0</v>
      </c>
      <c r="K3515" s="14">
        <v>880</v>
      </c>
      <c r="L3515" t="s">
        <v>794</v>
      </c>
      <c r="M3515">
        <f t="shared" si="54"/>
        <v>2025</v>
      </c>
    </row>
    <row r="3516" spans="1:13" ht="12.75" hidden="1" customHeight="1">
      <c r="A3516" t="s">
        <v>1356</v>
      </c>
      <c r="B3516" t="s">
        <v>20</v>
      </c>
      <c r="C3516" t="s">
        <v>201</v>
      </c>
      <c r="D3516" t="s">
        <v>873</v>
      </c>
      <c r="E3516" s="17">
        <v>46001</v>
      </c>
      <c r="F3516" s="17">
        <v>46001</v>
      </c>
      <c r="G3516" s="13">
        <v>120</v>
      </c>
      <c r="H3516" s="14">
        <v>0</v>
      </c>
      <c r="I3516" s="14">
        <v>0</v>
      </c>
      <c r="J3516" s="14">
        <v>0</v>
      </c>
      <c r="K3516" s="14">
        <v>120</v>
      </c>
      <c r="L3516" t="s">
        <v>794</v>
      </c>
      <c r="M3516">
        <f t="shared" si="54"/>
        <v>2025</v>
      </c>
    </row>
    <row r="3517" spans="1:13" ht="12.75" hidden="1" customHeight="1">
      <c r="A3517" t="s">
        <v>1199</v>
      </c>
      <c r="B3517" t="s">
        <v>107</v>
      </c>
      <c r="C3517" t="s">
        <v>201</v>
      </c>
      <c r="D3517" t="s">
        <v>873</v>
      </c>
      <c r="E3517" s="17">
        <v>46001</v>
      </c>
      <c r="F3517" s="17">
        <v>46001</v>
      </c>
      <c r="G3517" s="13">
        <v>2480</v>
      </c>
      <c r="H3517" s="14">
        <v>0</v>
      </c>
      <c r="I3517" s="14">
        <v>0</v>
      </c>
      <c r="J3517" s="14">
        <v>0</v>
      </c>
      <c r="K3517" s="14">
        <v>2480</v>
      </c>
      <c r="L3517" t="s">
        <v>794</v>
      </c>
      <c r="M3517">
        <f t="shared" si="54"/>
        <v>2025</v>
      </c>
    </row>
    <row r="3518" spans="1:13" ht="12.75" hidden="1" customHeight="1">
      <c r="A3518" t="s">
        <v>1216</v>
      </c>
      <c r="B3518" t="s">
        <v>109</v>
      </c>
      <c r="C3518" t="s">
        <v>200</v>
      </c>
      <c r="D3518" t="s">
        <v>873</v>
      </c>
      <c r="E3518" s="17">
        <v>46001</v>
      </c>
      <c r="F3518" s="17">
        <v>46001</v>
      </c>
      <c r="G3518" s="13">
        <v>240</v>
      </c>
      <c r="H3518" s="14">
        <v>0</v>
      </c>
      <c r="I3518" s="14">
        <v>0</v>
      </c>
      <c r="J3518" s="14">
        <v>0</v>
      </c>
      <c r="K3518" s="14">
        <v>240</v>
      </c>
      <c r="L3518" t="s">
        <v>794</v>
      </c>
      <c r="M3518">
        <f t="shared" si="54"/>
        <v>2025</v>
      </c>
    </row>
    <row r="3519" spans="1:13" ht="12.75" hidden="1" customHeight="1">
      <c r="A3519" t="s">
        <v>822</v>
      </c>
      <c r="B3519" t="s">
        <v>101</v>
      </c>
      <c r="C3519" t="s">
        <v>201</v>
      </c>
      <c r="D3519" t="s">
        <v>873</v>
      </c>
      <c r="E3519" s="17">
        <v>46001</v>
      </c>
      <c r="F3519" s="17">
        <v>46001</v>
      </c>
      <c r="G3519" s="13">
        <v>800</v>
      </c>
      <c r="H3519" s="14">
        <v>0</v>
      </c>
      <c r="I3519" s="14">
        <v>0</v>
      </c>
      <c r="J3519" s="14">
        <v>0</v>
      </c>
      <c r="K3519" s="14">
        <v>800</v>
      </c>
      <c r="L3519" t="s">
        <v>794</v>
      </c>
      <c r="M3519">
        <f t="shared" si="54"/>
        <v>2025</v>
      </c>
    </row>
    <row r="3520" spans="1:13" ht="12.75" hidden="1" customHeight="1">
      <c r="A3520" t="s">
        <v>864</v>
      </c>
      <c r="B3520" t="s">
        <v>36</v>
      </c>
      <c r="C3520" t="s">
        <v>201</v>
      </c>
      <c r="D3520" t="s">
        <v>873</v>
      </c>
      <c r="E3520" s="17">
        <v>46001</v>
      </c>
      <c r="F3520" s="17">
        <v>46001</v>
      </c>
      <c r="G3520" s="13">
        <v>3120</v>
      </c>
      <c r="H3520" s="14">
        <v>0</v>
      </c>
      <c r="I3520" s="14">
        <v>0</v>
      </c>
      <c r="J3520" s="14">
        <v>0</v>
      </c>
      <c r="K3520" s="14">
        <v>3120</v>
      </c>
      <c r="L3520" t="s">
        <v>794</v>
      </c>
      <c r="M3520">
        <f t="shared" si="54"/>
        <v>2025</v>
      </c>
    </row>
    <row r="3521" spans="1:13" ht="12.75" hidden="1" customHeight="1">
      <c r="A3521" t="s">
        <v>1045</v>
      </c>
      <c r="B3521" t="s">
        <v>71</v>
      </c>
      <c r="C3521" t="s">
        <v>201</v>
      </c>
      <c r="D3521" t="s">
        <v>873</v>
      </c>
      <c r="E3521" s="17">
        <v>46001</v>
      </c>
      <c r="F3521" s="17">
        <v>46001</v>
      </c>
      <c r="G3521" s="13">
        <v>1200</v>
      </c>
      <c r="H3521" s="14">
        <v>0</v>
      </c>
      <c r="I3521" s="14">
        <v>0</v>
      </c>
      <c r="J3521" s="14">
        <v>0</v>
      </c>
      <c r="K3521" s="14">
        <v>1200</v>
      </c>
      <c r="L3521" t="s">
        <v>794</v>
      </c>
      <c r="M3521">
        <f t="shared" si="54"/>
        <v>2025</v>
      </c>
    </row>
    <row r="3522" spans="1:13" ht="12.75" hidden="1" customHeight="1">
      <c r="A3522" t="s">
        <v>1011</v>
      </c>
      <c r="B3522" t="s">
        <v>77</v>
      </c>
      <c r="C3522" t="s">
        <v>201</v>
      </c>
      <c r="D3522" t="s">
        <v>873</v>
      </c>
      <c r="E3522" s="17">
        <v>46001</v>
      </c>
      <c r="F3522" s="17">
        <v>46001</v>
      </c>
      <c r="G3522" s="13">
        <v>1200</v>
      </c>
      <c r="H3522" s="14">
        <v>0</v>
      </c>
      <c r="I3522" s="14">
        <v>0</v>
      </c>
      <c r="J3522" s="14">
        <v>0</v>
      </c>
      <c r="K3522" s="14">
        <v>1200</v>
      </c>
      <c r="L3522" t="s">
        <v>794</v>
      </c>
      <c r="M3522">
        <f t="shared" si="54"/>
        <v>2025</v>
      </c>
    </row>
    <row r="3523" spans="1:13" ht="12.75" hidden="1" customHeight="1">
      <c r="A3523" t="s">
        <v>811</v>
      </c>
      <c r="B3523" t="s">
        <v>39</v>
      </c>
      <c r="C3523" t="s">
        <v>141</v>
      </c>
      <c r="D3523" t="s">
        <v>873</v>
      </c>
      <c r="E3523" s="17">
        <v>46001</v>
      </c>
      <c r="F3523" s="17">
        <v>46001</v>
      </c>
      <c r="G3523" s="13">
        <v>880</v>
      </c>
      <c r="H3523" s="14">
        <v>0</v>
      </c>
      <c r="I3523" s="14">
        <v>0</v>
      </c>
      <c r="J3523" s="14">
        <v>0</v>
      </c>
      <c r="K3523" s="14">
        <v>880</v>
      </c>
      <c r="L3523" t="s">
        <v>794</v>
      </c>
      <c r="M3523">
        <f t="shared" ref="M3523:M3586" si="55">YEAR(F3523)</f>
        <v>2025</v>
      </c>
    </row>
    <row r="3524" spans="1:13" ht="12.75" hidden="1" customHeight="1">
      <c r="A3524" t="s">
        <v>1246</v>
      </c>
      <c r="B3524" t="s">
        <v>63</v>
      </c>
      <c r="C3524" t="s">
        <v>201</v>
      </c>
      <c r="D3524" t="s">
        <v>873</v>
      </c>
      <c r="E3524" s="17">
        <v>46001</v>
      </c>
      <c r="F3524" s="17">
        <v>46001</v>
      </c>
      <c r="G3524" s="13">
        <v>1140</v>
      </c>
      <c r="H3524" s="14">
        <v>0</v>
      </c>
      <c r="I3524" s="14">
        <v>0</v>
      </c>
      <c r="J3524" s="14">
        <v>0</v>
      </c>
      <c r="K3524" s="14">
        <v>1140</v>
      </c>
      <c r="L3524" t="s">
        <v>794</v>
      </c>
      <c r="M3524">
        <f t="shared" si="55"/>
        <v>2025</v>
      </c>
    </row>
    <row r="3525" spans="1:13" ht="12.75" hidden="1" customHeight="1">
      <c r="A3525" t="s">
        <v>882</v>
      </c>
      <c r="B3525" t="s">
        <v>34</v>
      </c>
      <c r="C3525" t="s">
        <v>201</v>
      </c>
      <c r="D3525" t="s">
        <v>873</v>
      </c>
      <c r="E3525" s="17">
        <v>46001</v>
      </c>
      <c r="F3525" s="17">
        <v>46001</v>
      </c>
      <c r="G3525" s="13">
        <v>240</v>
      </c>
      <c r="H3525" s="14">
        <v>0</v>
      </c>
      <c r="I3525" s="14">
        <v>0</v>
      </c>
      <c r="J3525" s="14">
        <v>0</v>
      </c>
      <c r="K3525" s="14">
        <v>240</v>
      </c>
      <c r="L3525" t="s">
        <v>794</v>
      </c>
      <c r="M3525">
        <f t="shared" si="55"/>
        <v>2025</v>
      </c>
    </row>
    <row r="3526" spans="1:13" ht="12.75" hidden="1" customHeight="1">
      <c r="A3526" t="s">
        <v>1383</v>
      </c>
      <c r="B3526" t="s">
        <v>223</v>
      </c>
      <c r="C3526" t="s">
        <v>201</v>
      </c>
      <c r="D3526" t="s">
        <v>873</v>
      </c>
      <c r="E3526" s="17">
        <v>46001</v>
      </c>
      <c r="F3526" s="17">
        <v>46001</v>
      </c>
      <c r="G3526" s="13">
        <v>2260</v>
      </c>
      <c r="H3526" s="14">
        <v>0</v>
      </c>
      <c r="I3526" s="14">
        <v>0</v>
      </c>
      <c r="J3526" s="14">
        <v>0</v>
      </c>
      <c r="K3526" s="14">
        <v>2260</v>
      </c>
      <c r="L3526" t="s">
        <v>794</v>
      </c>
      <c r="M3526">
        <f t="shared" si="55"/>
        <v>2025</v>
      </c>
    </row>
    <row r="3527" spans="1:13" ht="12.75" hidden="1" customHeight="1">
      <c r="A3527" t="s">
        <v>1094</v>
      </c>
      <c r="B3527" t="s">
        <v>80</v>
      </c>
      <c r="C3527" t="s">
        <v>201</v>
      </c>
      <c r="D3527" t="s">
        <v>873</v>
      </c>
      <c r="E3527" s="17">
        <v>46001</v>
      </c>
      <c r="F3527" s="17">
        <v>46001</v>
      </c>
      <c r="G3527" s="13">
        <v>900</v>
      </c>
      <c r="H3527" s="14">
        <v>0</v>
      </c>
      <c r="I3527" s="14">
        <v>0</v>
      </c>
      <c r="J3527" s="14">
        <v>0</v>
      </c>
      <c r="K3527" s="14">
        <v>900</v>
      </c>
      <c r="L3527" t="s">
        <v>794</v>
      </c>
      <c r="M3527">
        <f t="shared" si="55"/>
        <v>2025</v>
      </c>
    </row>
    <row r="3528" spans="1:13" ht="12.75" hidden="1" customHeight="1">
      <c r="A3528" t="s">
        <v>1134</v>
      </c>
      <c r="B3528" t="s">
        <v>33</v>
      </c>
      <c r="C3528" t="s">
        <v>200</v>
      </c>
      <c r="D3528" t="s">
        <v>873</v>
      </c>
      <c r="E3528" s="17">
        <v>46001</v>
      </c>
      <c r="F3528" s="17">
        <v>46001</v>
      </c>
      <c r="G3528" s="13">
        <v>2240</v>
      </c>
      <c r="H3528" s="14">
        <v>0</v>
      </c>
      <c r="I3528" s="14">
        <v>0</v>
      </c>
      <c r="J3528" s="14">
        <v>0</v>
      </c>
      <c r="K3528" s="14">
        <v>2240</v>
      </c>
      <c r="L3528" t="s">
        <v>794</v>
      </c>
      <c r="M3528">
        <f t="shared" si="55"/>
        <v>2025</v>
      </c>
    </row>
    <row r="3529" spans="1:13" ht="12.75" hidden="1" customHeight="1">
      <c r="A3529" t="s">
        <v>1202</v>
      </c>
      <c r="B3529" t="s">
        <v>70</v>
      </c>
      <c r="C3529" t="s">
        <v>201</v>
      </c>
      <c r="D3529" t="s">
        <v>873</v>
      </c>
      <c r="E3529" s="17">
        <v>46001</v>
      </c>
      <c r="F3529" s="17">
        <v>46001</v>
      </c>
      <c r="G3529" s="13">
        <v>2680</v>
      </c>
      <c r="H3529" s="14">
        <v>0</v>
      </c>
      <c r="I3529" s="14">
        <v>0</v>
      </c>
      <c r="J3529" s="14">
        <v>0</v>
      </c>
      <c r="K3529" s="14">
        <v>2680</v>
      </c>
      <c r="L3529" t="s">
        <v>794</v>
      </c>
      <c r="M3529">
        <f t="shared" si="55"/>
        <v>2025</v>
      </c>
    </row>
    <row r="3530" spans="1:13" ht="12.75" hidden="1" customHeight="1">
      <c r="A3530" t="s">
        <v>1354</v>
      </c>
      <c r="B3530" t="s">
        <v>113</v>
      </c>
      <c r="C3530" t="s">
        <v>201</v>
      </c>
      <c r="D3530" t="s">
        <v>873</v>
      </c>
      <c r="E3530" s="17">
        <v>46001</v>
      </c>
      <c r="F3530" s="17">
        <v>46001</v>
      </c>
      <c r="G3530" s="13">
        <v>1840</v>
      </c>
      <c r="H3530" s="14">
        <v>0</v>
      </c>
      <c r="I3530" s="14">
        <v>0</v>
      </c>
      <c r="J3530" s="14">
        <v>0</v>
      </c>
      <c r="K3530" s="14">
        <v>1840</v>
      </c>
      <c r="L3530" t="s">
        <v>794</v>
      </c>
      <c r="M3530">
        <f t="shared" si="55"/>
        <v>2025</v>
      </c>
    </row>
    <row r="3531" spans="1:13" ht="12.75" hidden="1" customHeight="1">
      <c r="A3531" t="s">
        <v>1355</v>
      </c>
      <c r="B3531" t="s">
        <v>161</v>
      </c>
      <c r="C3531" t="s">
        <v>200</v>
      </c>
      <c r="D3531" t="s">
        <v>873</v>
      </c>
      <c r="E3531" s="17">
        <v>46001</v>
      </c>
      <c r="F3531" s="17">
        <v>46001</v>
      </c>
      <c r="G3531" s="13">
        <v>800</v>
      </c>
      <c r="H3531" s="14">
        <v>0</v>
      </c>
      <c r="I3531" s="14">
        <v>0</v>
      </c>
      <c r="J3531" s="14">
        <v>0</v>
      </c>
      <c r="K3531" s="14">
        <v>800</v>
      </c>
      <c r="L3531" t="s">
        <v>794</v>
      </c>
      <c r="M3531">
        <f t="shared" si="55"/>
        <v>2025</v>
      </c>
    </row>
    <row r="3532" spans="1:13" ht="12.75" hidden="1" customHeight="1">
      <c r="A3532" t="s">
        <v>874</v>
      </c>
      <c r="B3532" t="s">
        <v>116</v>
      </c>
      <c r="C3532" t="s">
        <v>200</v>
      </c>
      <c r="D3532" t="s">
        <v>1338</v>
      </c>
      <c r="E3532" s="17">
        <v>46001</v>
      </c>
      <c r="F3532" s="17">
        <v>46001</v>
      </c>
      <c r="G3532" s="13">
        <v>480</v>
      </c>
      <c r="H3532" s="14">
        <v>0</v>
      </c>
      <c r="I3532" s="14">
        <v>0</v>
      </c>
      <c r="J3532" s="14">
        <v>0</v>
      </c>
      <c r="K3532" s="14">
        <v>480</v>
      </c>
      <c r="L3532" t="s">
        <v>794</v>
      </c>
      <c r="M3532">
        <f t="shared" si="55"/>
        <v>2025</v>
      </c>
    </row>
    <row r="3533" spans="1:13" ht="12.75" hidden="1" customHeight="1">
      <c r="A3533" t="s">
        <v>1170</v>
      </c>
      <c r="B3533" t="s">
        <v>117</v>
      </c>
      <c r="C3533" t="s">
        <v>200</v>
      </c>
      <c r="D3533" t="s">
        <v>873</v>
      </c>
      <c r="E3533" s="17">
        <v>46001</v>
      </c>
      <c r="F3533" s="17">
        <v>46001</v>
      </c>
      <c r="G3533" s="13">
        <v>880</v>
      </c>
      <c r="H3533" s="14">
        <v>0</v>
      </c>
      <c r="I3533" s="14">
        <v>0</v>
      </c>
      <c r="J3533" s="14">
        <v>0</v>
      </c>
      <c r="K3533" s="14">
        <v>880</v>
      </c>
      <c r="L3533" t="s">
        <v>794</v>
      </c>
      <c r="M3533">
        <f t="shared" si="55"/>
        <v>2025</v>
      </c>
    </row>
    <row r="3534" spans="1:13" ht="12.75" hidden="1" customHeight="1">
      <c r="A3534" t="s">
        <v>881</v>
      </c>
      <c r="B3534" t="s">
        <v>48</v>
      </c>
      <c r="C3534" t="s">
        <v>200</v>
      </c>
      <c r="D3534" t="s">
        <v>873</v>
      </c>
      <c r="E3534" s="17">
        <v>46001</v>
      </c>
      <c r="F3534" s="17">
        <v>46001</v>
      </c>
      <c r="G3534" s="13">
        <v>2640</v>
      </c>
      <c r="H3534" s="14">
        <v>0</v>
      </c>
      <c r="I3534" s="14">
        <v>0</v>
      </c>
      <c r="J3534" s="14">
        <v>0</v>
      </c>
      <c r="K3534" s="14">
        <v>2640</v>
      </c>
      <c r="L3534" t="s">
        <v>794</v>
      </c>
      <c r="M3534">
        <f t="shared" si="55"/>
        <v>2025</v>
      </c>
    </row>
    <row r="3535" spans="1:13" ht="12.75" hidden="1" customHeight="1">
      <c r="A3535" t="s">
        <v>865</v>
      </c>
      <c r="B3535" t="s">
        <v>76</v>
      </c>
      <c r="C3535" t="s">
        <v>200</v>
      </c>
      <c r="D3535" t="s">
        <v>873</v>
      </c>
      <c r="E3535" s="17">
        <v>46001</v>
      </c>
      <c r="F3535" s="17">
        <v>46001</v>
      </c>
      <c r="G3535" s="13">
        <v>720</v>
      </c>
      <c r="H3535" s="14">
        <v>0</v>
      </c>
      <c r="I3535" s="14">
        <v>0</v>
      </c>
      <c r="J3535" s="14">
        <v>0</v>
      </c>
      <c r="K3535" s="14">
        <v>720</v>
      </c>
      <c r="L3535" t="s">
        <v>794</v>
      </c>
      <c r="M3535">
        <f t="shared" si="55"/>
        <v>2025</v>
      </c>
    </row>
    <row r="3536" spans="1:13" ht="12.75" hidden="1" customHeight="1">
      <c r="A3536" t="s">
        <v>1158</v>
      </c>
      <c r="B3536" t="s">
        <v>60</v>
      </c>
      <c r="C3536" t="s">
        <v>200</v>
      </c>
      <c r="D3536" t="s">
        <v>873</v>
      </c>
      <c r="E3536" s="17">
        <v>46001</v>
      </c>
      <c r="F3536" s="17">
        <v>46001</v>
      </c>
      <c r="G3536" s="13">
        <v>2280</v>
      </c>
      <c r="H3536" s="14">
        <v>0</v>
      </c>
      <c r="I3536" s="14">
        <v>0</v>
      </c>
      <c r="J3536" s="14">
        <v>0</v>
      </c>
      <c r="K3536" s="14">
        <v>2280</v>
      </c>
      <c r="L3536" t="s">
        <v>794</v>
      </c>
      <c r="M3536">
        <f t="shared" si="55"/>
        <v>2025</v>
      </c>
    </row>
    <row r="3537" spans="1:13" ht="12.75" hidden="1" customHeight="1">
      <c r="A3537" t="s">
        <v>1264</v>
      </c>
      <c r="B3537" t="s">
        <v>344</v>
      </c>
      <c r="C3537" t="s">
        <v>200</v>
      </c>
      <c r="D3537" t="s">
        <v>873</v>
      </c>
      <c r="E3537" s="17">
        <v>46001</v>
      </c>
      <c r="F3537" s="17">
        <v>46001</v>
      </c>
      <c r="G3537" s="13">
        <v>160</v>
      </c>
      <c r="H3537" s="14">
        <v>0</v>
      </c>
      <c r="I3537" s="14">
        <v>0</v>
      </c>
      <c r="J3537" s="14">
        <v>0</v>
      </c>
      <c r="K3537" s="14">
        <v>160</v>
      </c>
      <c r="L3537" t="s">
        <v>794</v>
      </c>
      <c r="M3537">
        <f t="shared" si="55"/>
        <v>2025</v>
      </c>
    </row>
    <row r="3538" spans="1:13" ht="12.75" hidden="1" customHeight="1">
      <c r="A3538" t="s">
        <v>878</v>
      </c>
      <c r="B3538" t="s">
        <v>32</v>
      </c>
      <c r="C3538" t="s">
        <v>200</v>
      </c>
      <c r="D3538" t="s">
        <v>873</v>
      </c>
      <c r="E3538" s="17">
        <v>46001</v>
      </c>
      <c r="F3538" s="17">
        <v>46001</v>
      </c>
      <c r="G3538" s="13">
        <v>1760</v>
      </c>
      <c r="H3538" s="14">
        <v>0</v>
      </c>
      <c r="I3538" s="14">
        <v>0</v>
      </c>
      <c r="J3538" s="14">
        <v>0</v>
      </c>
      <c r="K3538" s="14">
        <v>1760</v>
      </c>
      <c r="L3538" t="s">
        <v>794</v>
      </c>
      <c r="M3538">
        <f t="shared" si="55"/>
        <v>2025</v>
      </c>
    </row>
    <row r="3539" spans="1:13" ht="12.75" hidden="1" customHeight="1">
      <c r="A3539" t="s">
        <v>961</v>
      </c>
      <c r="B3539" t="s">
        <v>41</v>
      </c>
      <c r="C3539" t="s">
        <v>200</v>
      </c>
      <c r="D3539" t="s">
        <v>873</v>
      </c>
      <c r="E3539" s="17">
        <v>46001</v>
      </c>
      <c r="F3539" s="17">
        <v>46001</v>
      </c>
      <c r="G3539" s="13">
        <v>1440</v>
      </c>
      <c r="H3539" s="14">
        <v>0</v>
      </c>
      <c r="I3539" s="14">
        <v>0</v>
      </c>
      <c r="J3539" s="14">
        <v>0</v>
      </c>
      <c r="K3539" s="14">
        <v>1440</v>
      </c>
      <c r="L3539" t="s">
        <v>794</v>
      </c>
      <c r="M3539">
        <f t="shared" si="55"/>
        <v>2025</v>
      </c>
    </row>
    <row r="3540" spans="1:13" ht="12.75" hidden="1" customHeight="1">
      <c r="A3540" t="s">
        <v>1331</v>
      </c>
      <c r="B3540" t="s">
        <v>168</v>
      </c>
      <c r="C3540" t="s">
        <v>200</v>
      </c>
      <c r="D3540" t="s">
        <v>873</v>
      </c>
      <c r="E3540" s="17">
        <v>46001</v>
      </c>
      <c r="F3540" s="17">
        <v>46001</v>
      </c>
      <c r="G3540" s="13">
        <v>800</v>
      </c>
      <c r="H3540" s="14">
        <v>0</v>
      </c>
      <c r="I3540" s="14">
        <v>0</v>
      </c>
      <c r="J3540" s="14">
        <v>0</v>
      </c>
      <c r="K3540" s="14">
        <v>800</v>
      </c>
      <c r="L3540" t="s">
        <v>794</v>
      </c>
      <c r="M3540">
        <f t="shared" si="55"/>
        <v>2025</v>
      </c>
    </row>
    <row r="3541" spans="1:13" ht="12.75" hidden="1" customHeight="1">
      <c r="A3541" t="s">
        <v>1245</v>
      </c>
      <c r="B3541" t="s">
        <v>156</v>
      </c>
      <c r="C3541" t="s">
        <v>200</v>
      </c>
      <c r="D3541" t="s">
        <v>873</v>
      </c>
      <c r="E3541" s="17">
        <v>46001</v>
      </c>
      <c r="F3541" s="17">
        <v>46001</v>
      </c>
      <c r="G3541" s="13">
        <v>480</v>
      </c>
      <c r="H3541" s="14">
        <v>0</v>
      </c>
      <c r="I3541" s="14">
        <v>0</v>
      </c>
      <c r="J3541" s="14">
        <v>0</v>
      </c>
      <c r="K3541" s="14">
        <v>480</v>
      </c>
      <c r="L3541" t="s">
        <v>794</v>
      </c>
      <c r="M3541">
        <f t="shared" si="55"/>
        <v>2025</v>
      </c>
    </row>
    <row r="3542" spans="1:13" ht="12.75" hidden="1" customHeight="1">
      <c r="A3542" t="s">
        <v>1308</v>
      </c>
      <c r="B3542" t="s">
        <v>133</v>
      </c>
      <c r="C3542" t="s">
        <v>200</v>
      </c>
      <c r="D3542" t="s">
        <v>873</v>
      </c>
      <c r="E3542" s="17">
        <v>46001</v>
      </c>
      <c r="F3542" s="17">
        <v>46001</v>
      </c>
      <c r="G3542" s="13">
        <v>720</v>
      </c>
      <c r="H3542" s="14">
        <v>0</v>
      </c>
      <c r="I3542" s="14">
        <v>0</v>
      </c>
      <c r="J3542" s="14">
        <v>0</v>
      </c>
      <c r="K3542" s="14">
        <v>720</v>
      </c>
      <c r="L3542" t="s">
        <v>794</v>
      </c>
      <c r="M3542">
        <f t="shared" si="55"/>
        <v>2025</v>
      </c>
    </row>
    <row r="3543" spans="1:13" ht="12.75" hidden="1" customHeight="1">
      <c r="A3543" t="s">
        <v>882</v>
      </c>
      <c r="B3543" t="s">
        <v>34</v>
      </c>
      <c r="C3543" t="s">
        <v>200</v>
      </c>
      <c r="D3543" t="s">
        <v>873</v>
      </c>
      <c r="E3543" s="17">
        <v>46001</v>
      </c>
      <c r="F3543" s="17">
        <v>46001</v>
      </c>
      <c r="G3543" s="13">
        <v>1920</v>
      </c>
      <c r="H3543" s="14">
        <v>0</v>
      </c>
      <c r="I3543" s="14">
        <v>0</v>
      </c>
      <c r="J3543" s="14">
        <v>0</v>
      </c>
      <c r="K3543" s="14">
        <v>1920</v>
      </c>
      <c r="L3543" t="s">
        <v>794</v>
      </c>
      <c r="M3543">
        <f t="shared" si="55"/>
        <v>2025</v>
      </c>
    </row>
    <row r="3544" spans="1:13" ht="12.75" hidden="1" customHeight="1">
      <c r="A3544" t="s">
        <v>1330</v>
      </c>
      <c r="B3544" t="s">
        <v>175</v>
      </c>
      <c r="C3544" t="s">
        <v>200</v>
      </c>
      <c r="D3544" t="s">
        <v>873</v>
      </c>
      <c r="E3544" s="17">
        <v>46001</v>
      </c>
      <c r="F3544" s="17">
        <v>46001</v>
      </c>
      <c r="G3544" s="13">
        <v>720</v>
      </c>
      <c r="H3544" s="14">
        <v>0</v>
      </c>
      <c r="I3544" s="14">
        <v>0</v>
      </c>
      <c r="J3544" s="14">
        <v>0</v>
      </c>
      <c r="K3544" s="14">
        <v>720</v>
      </c>
      <c r="L3544" t="s">
        <v>794</v>
      </c>
      <c r="M3544">
        <f t="shared" si="55"/>
        <v>2025</v>
      </c>
    </row>
    <row r="3545" spans="1:13" ht="12.75" hidden="1" customHeight="1">
      <c r="A3545" t="s">
        <v>1361</v>
      </c>
      <c r="B3545" t="s">
        <v>339</v>
      </c>
      <c r="C3545" t="s">
        <v>200</v>
      </c>
      <c r="D3545" t="s">
        <v>873</v>
      </c>
      <c r="E3545" s="17">
        <v>46001</v>
      </c>
      <c r="F3545" s="17">
        <v>46001</v>
      </c>
      <c r="G3545" s="13">
        <v>480</v>
      </c>
      <c r="H3545" s="14">
        <v>0</v>
      </c>
      <c r="I3545" s="14">
        <v>0</v>
      </c>
      <c r="J3545" s="14">
        <v>0</v>
      </c>
      <c r="K3545" s="14">
        <v>480</v>
      </c>
      <c r="L3545" t="s">
        <v>794</v>
      </c>
      <c r="M3545">
        <f t="shared" si="55"/>
        <v>2025</v>
      </c>
    </row>
    <row r="3546" spans="1:13" ht="12.75" hidden="1" customHeight="1">
      <c r="A3546" t="s">
        <v>1384</v>
      </c>
      <c r="B3546" t="s">
        <v>159</v>
      </c>
      <c r="C3546" t="s">
        <v>200</v>
      </c>
      <c r="D3546" t="s">
        <v>873</v>
      </c>
      <c r="E3546" s="17">
        <v>46001</v>
      </c>
      <c r="F3546" s="17">
        <v>46001</v>
      </c>
      <c r="G3546" s="13">
        <v>320</v>
      </c>
      <c r="H3546" s="14">
        <v>0</v>
      </c>
      <c r="I3546" s="14">
        <v>0</v>
      </c>
      <c r="J3546" s="14">
        <v>0</v>
      </c>
      <c r="K3546" s="14">
        <v>320</v>
      </c>
      <c r="L3546" t="s">
        <v>794</v>
      </c>
      <c r="M3546">
        <f t="shared" si="55"/>
        <v>2025</v>
      </c>
    </row>
    <row r="3547" spans="1:13" ht="12.75" hidden="1" customHeight="1">
      <c r="A3547" t="s">
        <v>1354</v>
      </c>
      <c r="B3547" t="s">
        <v>113</v>
      </c>
      <c r="C3547" t="s">
        <v>200</v>
      </c>
      <c r="D3547" t="s">
        <v>873</v>
      </c>
      <c r="E3547" s="17">
        <v>46001</v>
      </c>
      <c r="F3547" s="17">
        <v>46001</v>
      </c>
      <c r="G3547" s="13">
        <v>960</v>
      </c>
      <c r="H3547" s="14">
        <v>0</v>
      </c>
      <c r="I3547" s="14">
        <v>0</v>
      </c>
      <c r="J3547" s="14">
        <v>0</v>
      </c>
      <c r="K3547" s="14">
        <v>960</v>
      </c>
      <c r="L3547" t="s">
        <v>794</v>
      </c>
      <c r="M3547">
        <f t="shared" si="55"/>
        <v>2025</v>
      </c>
    </row>
    <row r="3548" spans="1:13" ht="12.75" hidden="1" customHeight="1">
      <c r="A3548" t="s">
        <v>1173</v>
      </c>
      <c r="B3548" t="s">
        <v>45</v>
      </c>
      <c r="C3548" t="s">
        <v>200</v>
      </c>
      <c r="D3548" t="s">
        <v>873</v>
      </c>
      <c r="E3548" s="17">
        <v>46001</v>
      </c>
      <c r="F3548" s="17">
        <v>46001</v>
      </c>
      <c r="G3548" s="13">
        <v>520</v>
      </c>
      <c r="H3548" s="14">
        <v>0</v>
      </c>
      <c r="I3548" s="14">
        <v>0</v>
      </c>
      <c r="J3548" s="14">
        <v>0</v>
      </c>
      <c r="K3548" s="14">
        <v>520</v>
      </c>
      <c r="L3548" t="s">
        <v>794</v>
      </c>
      <c r="M3548">
        <f t="shared" si="55"/>
        <v>2025</v>
      </c>
    </row>
    <row r="3549" spans="1:13" ht="12.75" hidden="1" customHeight="1">
      <c r="A3549" t="s">
        <v>1243</v>
      </c>
      <c r="B3549" t="s">
        <v>233</v>
      </c>
      <c r="C3549" t="s">
        <v>200</v>
      </c>
      <c r="D3549" t="s">
        <v>873</v>
      </c>
      <c r="E3549" s="17">
        <v>46001</v>
      </c>
      <c r="F3549" s="17">
        <v>46001</v>
      </c>
      <c r="G3549" s="13">
        <v>960</v>
      </c>
      <c r="H3549" s="14">
        <v>0</v>
      </c>
      <c r="I3549" s="14">
        <v>0</v>
      </c>
      <c r="J3549" s="14">
        <v>0</v>
      </c>
      <c r="K3549" s="14">
        <v>960</v>
      </c>
      <c r="L3549" t="s">
        <v>794</v>
      </c>
      <c r="M3549">
        <f t="shared" si="55"/>
        <v>2025</v>
      </c>
    </row>
    <row r="3550" spans="1:13" ht="12.75" hidden="1" customHeight="1">
      <c r="A3550" t="s">
        <v>1288</v>
      </c>
      <c r="B3550" t="s">
        <v>300</v>
      </c>
      <c r="C3550" t="s">
        <v>200</v>
      </c>
      <c r="D3550" t="s">
        <v>873</v>
      </c>
      <c r="E3550" s="17">
        <v>46001</v>
      </c>
      <c r="F3550" s="17">
        <v>46001</v>
      </c>
      <c r="G3550" s="13">
        <v>320</v>
      </c>
      <c r="H3550" s="14">
        <v>0</v>
      </c>
      <c r="I3550" s="14">
        <v>0</v>
      </c>
      <c r="J3550" s="14">
        <v>0</v>
      </c>
      <c r="K3550" s="14">
        <v>320</v>
      </c>
      <c r="L3550" t="s">
        <v>794</v>
      </c>
      <c r="M3550">
        <f t="shared" si="55"/>
        <v>2025</v>
      </c>
    </row>
    <row r="3551" spans="1:13" ht="12.75" hidden="1" customHeight="1">
      <c r="A3551" t="s">
        <v>1383</v>
      </c>
      <c r="B3551" t="s">
        <v>223</v>
      </c>
      <c r="C3551" t="s">
        <v>200</v>
      </c>
      <c r="D3551" t="s">
        <v>873</v>
      </c>
      <c r="E3551" s="17">
        <v>46001</v>
      </c>
      <c r="F3551" s="17">
        <v>46001</v>
      </c>
      <c r="G3551" s="13">
        <v>400</v>
      </c>
      <c r="H3551" s="14">
        <v>0</v>
      </c>
      <c r="I3551" s="14">
        <v>0</v>
      </c>
      <c r="J3551" s="14">
        <v>0</v>
      </c>
      <c r="K3551" s="14">
        <v>400</v>
      </c>
      <c r="L3551" t="s">
        <v>794</v>
      </c>
      <c r="M3551">
        <f t="shared" si="55"/>
        <v>2025</v>
      </c>
    </row>
    <row r="3552" spans="1:13" ht="12.75" hidden="1" customHeight="1">
      <c r="A3552" t="s">
        <v>1339</v>
      </c>
      <c r="B3552" t="s">
        <v>66</v>
      </c>
      <c r="C3552" t="s">
        <v>200</v>
      </c>
      <c r="D3552" t="s">
        <v>873</v>
      </c>
      <c r="E3552" s="17">
        <v>46001</v>
      </c>
      <c r="F3552" s="17">
        <v>46001</v>
      </c>
      <c r="G3552" s="13">
        <v>1600</v>
      </c>
      <c r="H3552" s="14">
        <v>0</v>
      </c>
      <c r="I3552" s="14">
        <v>0</v>
      </c>
      <c r="J3552" s="14">
        <v>0</v>
      </c>
      <c r="K3552" s="14">
        <v>1600</v>
      </c>
      <c r="L3552" t="s">
        <v>794</v>
      </c>
      <c r="M3552">
        <f t="shared" si="55"/>
        <v>2025</v>
      </c>
    </row>
    <row r="3553" spans="1:13" ht="12.75" hidden="1" customHeight="1">
      <c r="A3553" t="s">
        <v>1356</v>
      </c>
      <c r="B3553" t="s">
        <v>20</v>
      </c>
      <c r="C3553" t="s">
        <v>200</v>
      </c>
      <c r="D3553" t="s">
        <v>873</v>
      </c>
      <c r="E3553" s="17">
        <v>46001</v>
      </c>
      <c r="F3553" s="17">
        <v>46001</v>
      </c>
      <c r="G3553" s="13">
        <v>1120</v>
      </c>
      <c r="H3553" s="14">
        <v>0</v>
      </c>
      <c r="I3553" s="14">
        <v>0</v>
      </c>
      <c r="J3553" s="14">
        <v>0</v>
      </c>
      <c r="K3553" s="14">
        <v>1120</v>
      </c>
      <c r="L3553" t="s">
        <v>794</v>
      </c>
      <c r="M3553">
        <f t="shared" si="55"/>
        <v>2025</v>
      </c>
    </row>
    <row r="3554" spans="1:13" ht="12.75" hidden="1" customHeight="1">
      <c r="A3554" t="s">
        <v>1216</v>
      </c>
      <c r="B3554" t="s">
        <v>109</v>
      </c>
      <c r="C3554" t="s">
        <v>201</v>
      </c>
      <c r="D3554" t="s">
        <v>873</v>
      </c>
      <c r="E3554" s="17">
        <v>46001</v>
      </c>
      <c r="F3554" s="17">
        <v>46001</v>
      </c>
      <c r="G3554" s="13">
        <v>240</v>
      </c>
      <c r="H3554" s="14">
        <v>0</v>
      </c>
      <c r="I3554" s="14">
        <v>0</v>
      </c>
      <c r="J3554" s="14">
        <v>0</v>
      </c>
      <c r="K3554" s="14">
        <v>240</v>
      </c>
      <c r="L3554" t="s">
        <v>794</v>
      </c>
      <c r="M3554">
        <f t="shared" si="55"/>
        <v>2025</v>
      </c>
    </row>
    <row r="3555" spans="1:13" ht="12.75" hidden="1" customHeight="1">
      <c r="A3555" t="s">
        <v>1215</v>
      </c>
      <c r="B3555" t="s">
        <v>172</v>
      </c>
      <c r="C3555" t="s">
        <v>200</v>
      </c>
      <c r="D3555" t="s">
        <v>873</v>
      </c>
      <c r="E3555" s="17">
        <v>46001</v>
      </c>
      <c r="F3555" s="17">
        <v>46001</v>
      </c>
      <c r="G3555" s="13">
        <v>80</v>
      </c>
      <c r="H3555" s="14">
        <v>0</v>
      </c>
      <c r="I3555" s="14">
        <v>0</v>
      </c>
      <c r="J3555" s="14">
        <v>0</v>
      </c>
      <c r="K3555" s="14">
        <v>80</v>
      </c>
      <c r="L3555" t="s">
        <v>794</v>
      </c>
      <c r="M3555">
        <f t="shared" si="55"/>
        <v>2025</v>
      </c>
    </row>
    <row r="3556" spans="1:13" ht="12.75" hidden="1" customHeight="1">
      <c r="A3556" t="s">
        <v>864</v>
      </c>
      <c r="B3556" t="s">
        <v>36</v>
      </c>
      <c r="C3556" t="s">
        <v>200</v>
      </c>
      <c r="D3556" t="s">
        <v>873</v>
      </c>
      <c r="E3556" s="17">
        <v>46001</v>
      </c>
      <c r="F3556" s="17">
        <v>46001</v>
      </c>
      <c r="G3556" s="13">
        <v>880</v>
      </c>
      <c r="H3556" s="14">
        <v>0</v>
      </c>
      <c r="I3556" s="14">
        <v>0</v>
      </c>
      <c r="J3556" s="14">
        <v>0</v>
      </c>
      <c r="K3556" s="14">
        <v>880</v>
      </c>
      <c r="L3556" t="s">
        <v>794</v>
      </c>
      <c r="M3556">
        <f t="shared" si="55"/>
        <v>2025</v>
      </c>
    </row>
    <row r="3557" spans="1:13" ht="12.75" hidden="1" customHeight="1">
      <c r="A3557" t="s">
        <v>995</v>
      </c>
      <c r="B3557" t="s">
        <v>122</v>
      </c>
      <c r="C3557" t="s">
        <v>735</v>
      </c>
      <c r="D3557" t="s">
        <v>873</v>
      </c>
      <c r="E3557" s="17">
        <v>46001</v>
      </c>
      <c r="F3557" s="17">
        <v>46001</v>
      </c>
      <c r="G3557" s="13">
        <v>605</v>
      </c>
      <c r="H3557" s="14">
        <v>0</v>
      </c>
      <c r="I3557" s="14">
        <v>0</v>
      </c>
      <c r="J3557" s="14">
        <v>0</v>
      </c>
      <c r="K3557" s="14">
        <v>605</v>
      </c>
      <c r="L3557" t="s">
        <v>794</v>
      </c>
      <c r="M3557">
        <f t="shared" si="55"/>
        <v>2025</v>
      </c>
    </row>
    <row r="3558" spans="1:13" ht="12.75" hidden="1" customHeight="1">
      <c r="A3558" t="s">
        <v>848</v>
      </c>
      <c r="B3558" t="s">
        <v>14</v>
      </c>
      <c r="C3558" t="s">
        <v>714</v>
      </c>
      <c r="D3558" t="s">
        <v>873</v>
      </c>
      <c r="E3558" s="17">
        <v>46001</v>
      </c>
      <c r="F3558" s="17">
        <v>46001</v>
      </c>
      <c r="G3558" s="13">
        <v>29955.31</v>
      </c>
      <c r="H3558" s="14">
        <v>0</v>
      </c>
      <c r="I3558" s="14">
        <v>0</v>
      </c>
      <c r="J3558" s="14">
        <v>0</v>
      </c>
      <c r="K3558" s="14">
        <v>29955.31</v>
      </c>
      <c r="L3558" t="s">
        <v>794</v>
      </c>
      <c r="M3558">
        <f t="shared" si="55"/>
        <v>2025</v>
      </c>
    </row>
    <row r="3559" spans="1:13" ht="12.75" hidden="1" customHeight="1">
      <c r="A3559" t="s">
        <v>1222</v>
      </c>
      <c r="B3559" t="s">
        <v>176</v>
      </c>
      <c r="C3559" t="s">
        <v>723</v>
      </c>
      <c r="D3559" t="s">
        <v>873</v>
      </c>
      <c r="E3559" s="17">
        <v>46001</v>
      </c>
      <c r="F3559" s="17">
        <v>46001</v>
      </c>
      <c r="G3559" s="13">
        <v>475.32</v>
      </c>
      <c r="H3559" s="14">
        <v>0</v>
      </c>
      <c r="I3559" s="14">
        <v>0</v>
      </c>
      <c r="J3559" s="14">
        <v>0</v>
      </c>
      <c r="K3559" s="14">
        <v>475.32</v>
      </c>
      <c r="L3559" t="s">
        <v>794</v>
      </c>
      <c r="M3559">
        <f t="shared" si="55"/>
        <v>2025</v>
      </c>
    </row>
    <row r="3560" spans="1:13" ht="12.75" hidden="1" customHeight="1">
      <c r="A3560" t="s">
        <v>847</v>
      </c>
      <c r="B3560" t="s">
        <v>169</v>
      </c>
      <c r="C3560" t="s">
        <v>722</v>
      </c>
      <c r="D3560" t="s">
        <v>873</v>
      </c>
      <c r="E3560" s="17">
        <v>46001</v>
      </c>
      <c r="F3560" s="17">
        <v>46001</v>
      </c>
      <c r="G3560" s="13">
        <v>276.26</v>
      </c>
      <c r="H3560" s="14">
        <v>0</v>
      </c>
      <c r="I3560" s="14">
        <v>0</v>
      </c>
      <c r="J3560" s="14">
        <v>0</v>
      </c>
      <c r="K3560" s="14">
        <v>276.26</v>
      </c>
      <c r="L3560" t="s">
        <v>794</v>
      </c>
      <c r="M3560">
        <f t="shared" si="55"/>
        <v>2025</v>
      </c>
    </row>
    <row r="3561" spans="1:13" ht="12.75" hidden="1" customHeight="1">
      <c r="A3561" t="s">
        <v>1210</v>
      </c>
      <c r="B3561" t="s">
        <v>22</v>
      </c>
      <c r="C3561" t="s">
        <v>717</v>
      </c>
      <c r="D3561" t="s">
        <v>873</v>
      </c>
      <c r="E3561" s="17">
        <v>46002</v>
      </c>
      <c r="F3561" s="17">
        <v>46001</v>
      </c>
      <c r="G3561" s="13">
        <v>2890</v>
      </c>
      <c r="H3561" s="14">
        <v>0</v>
      </c>
      <c r="I3561" s="14">
        <v>0</v>
      </c>
      <c r="J3561" s="14">
        <v>0</v>
      </c>
      <c r="K3561" s="14">
        <v>2890</v>
      </c>
      <c r="L3561" t="s">
        <v>794</v>
      </c>
      <c r="M3561">
        <f t="shared" si="55"/>
        <v>2025</v>
      </c>
    </row>
    <row r="3562" spans="1:13" ht="12.75" hidden="1" customHeight="1">
      <c r="A3562" t="s">
        <v>1380</v>
      </c>
      <c r="B3562" t="s">
        <v>364</v>
      </c>
      <c r="C3562" t="s">
        <v>749</v>
      </c>
      <c r="D3562" t="s">
        <v>873</v>
      </c>
      <c r="E3562" s="17">
        <v>45999</v>
      </c>
      <c r="F3562" s="17">
        <v>46001</v>
      </c>
      <c r="G3562" s="13">
        <v>77.989999999999995</v>
      </c>
      <c r="H3562" s="14">
        <v>0</v>
      </c>
      <c r="I3562" s="14">
        <v>0</v>
      </c>
      <c r="J3562" s="14">
        <v>0</v>
      </c>
      <c r="K3562" s="14">
        <v>77.989999999999995</v>
      </c>
      <c r="L3562" t="s">
        <v>794</v>
      </c>
      <c r="M3562">
        <f t="shared" si="55"/>
        <v>2025</v>
      </c>
    </row>
    <row r="3563" spans="1:13" ht="12.75" hidden="1" customHeight="1">
      <c r="A3563" t="s">
        <v>892</v>
      </c>
      <c r="B3563" t="s">
        <v>110</v>
      </c>
      <c r="C3563" t="s">
        <v>733</v>
      </c>
      <c r="D3563" t="s">
        <v>873</v>
      </c>
      <c r="E3563" s="17">
        <v>46003</v>
      </c>
      <c r="F3563" s="17">
        <v>46001</v>
      </c>
      <c r="G3563" s="13">
        <v>290</v>
      </c>
      <c r="H3563" s="14">
        <v>0</v>
      </c>
      <c r="I3563" s="14">
        <v>0</v>
      </c>
      <c r="J3563" s="14">
        <v>0</v>
      </c>
      <c r="K3563" s="14">
        <v>290</v>
      </c>
      <c r="L3563" t="s">
        <v>794</v>
      </c>
      <c r="M3563">
        <f t="shared" si="55"/>
        <v>2025</v>
      </c>
    </row>
    <row r="3564" spans="1:13" ht="12.75" hidden="1" customHeight="1">
      <c r="A3564" t="s">
        <v>1356</v>
      </c>
      <c r="B3564" t="s">
        <v>20</v>
      </c>
      <c r="C3564" t="s">
        <v>140</v>
      </c>
      <c r="D3564" t="s">
        <v>873</v>
      </c>
      <c r="E3564" s="17">
        <v>46001</v>
      </c>
      <c r="F3564" s="17">
        <v>46001</v>
      </c>
      <c r="G3564" s="13">
        <v>500</v>
      </c>
      <c r="H3564" s="14">
        <v>0</v>
      </c>
      <c r="I3564" s="14">
        <v>0</v>
      </c>
      <c r="J3564" s="14">
        <v>0</v>
      </c>
      <c r="K3564" s="14">
        <v>500</v>
      </c>
      <c r="L3564" t="s">
        <v>794</v>
      </c>
      <c r="M3564">
        <f t="shared" si="55"/>
        <v>2025</v>
      </c>
    </row>
    <row r="3565" spans="1:13" ht="12.75" hidden="1" customHeight="1">
      <c r="A3565" t="s">
        <v>879</v>
      </c>
      <c r="B3565" t="s">
        <v>23</v>
      </c>
      <c r="C3565" t="s">
        <v>713</v>
      </c>
      <c r="D3565" t="s">
        <v>873</v>
      </c>
      <c r="E3565" s="17">
        <v>46001</v>
      </c>
      <c r="F3565" s="17">
        <v>46001</v>
      </c>
      <c r="G3565" s="13">
        <v>1542.38</v>
      </c>
      <c r="H3565" s="14">
        <v>0</v>
      </c>
      <c r="I3565" s="14">
        <v>0</v>
      </c>
      <c r="J3565" s="14">
        <v>0</v>
      </c>
      <c r="K3565" s="14">
        <v>1542.38</v>
      </c>
      <c r="L3565" t="s">
        <v>794</v>
      </c>
      <c r="M3565">
        <f t="shared" si="55"/>
        <v>2025</v>
      </c>
    </row>
    <row r="3566" spans="1:13" ht="12.75" hidden="1" customHeight="1">
      <c r="A3566" t="s">
        <v>844</v>
      </c>
      <c r="B3566" t="s">
        <v>18</v>
      </c>
      <c r="C3566" t="s">
        <v>719</v>
      </c>
      <c r="D3566" t="s">
        <v>873</v>
      </c>
      <c r="E3566" s="17">
        <v>46001</v>
      </c>
      <c r="F3566" s="17">
        <v>46001</v>
      </c>
      <c r="G3566" s="13">
        <v>10312.460000000001</v>
      </c>
      <c r="H3566" s="14">
        <v>0</v>
      </c>
      <c r="I3566" s="14">
        <v>0</v>
      </c>
      <c r="J3566" s="14">
        <v>0</v>
      </c>
      <c r="K3566" s="14">
        <v>10312.460000000001</v>
      </c>
      <c r="L3566" t="s">
        <v>794</v>
      </c>
      <c r="M3566">
        <f t="shared" si="55"/>
        <v>2025</v>
      </c>
    </row>
    <row r="3567" spans="1:13" ht="12.75" hidden="1" customHeight="1">
      <c r="A3567" t="s">
        <v>1385</v>
      </c>
      <c r="B3567" t="s">
        <v>501</v>
      </c>
      <c r="C3567" t="s">
        <v>99</v>
      </c>
      <c r="D3567" t="s">
        <v>873</v>
      </c>
      <c r="E3567" s="17">
        <v>46001</v>
      </c>
      <c r="F3567" s="17">
        <v>46001</v>
      </c>
      <c r="G3567" s="13">
        <v>127.60000000000001</v>
      </c>
      <c r="H3567" s="14">
        <v>0</v>
      </c>
      <c r="I3567" s="14">
        <v>0</v>
      </c>
      <c r="J3567" s="14">
        <v>0</v>
      </c>
      <c r="K3567" s="14">
        <v>127.60000000000001</v>
      </c>
      <c r="L3567" t="s">
        <v>794</v>
      </c>
      <c r="M3567">
        <f t="shared" si="55"/>
        <v>2025</v>
      </c>
    </row>
    <row r="3568" spans="1:13" ht="12.75" hidden="1" customHeight="1">
      <c r="A3568" t="s">
        <v>801</v>
      </c>
      <c r="B3568" t="s">
        <v>13</v>
      </c>
      <c r="C3568" t="s">
        <v>717</v>
      </c>
      <c r="D3568" t="s">
        <v>873</v>
      </c>
      <c r="E3568" s="17">
        <v>46002</v>
      </c>
      <c r="F3568" s="17">
        <v>46002</v>
      </c>
      <c r="G3568" s="13">
        <v>2732</v>
      </c>
      <c r="H3568" s="14">
        <v>0</v>
      </c>
      <c r="I3568" s="14">
        <v>0</v>
      </c>
      <c r="J3568" s="14">
        <v>0</v>
      </c>
      <c r="K3568" s="14">
        <v>2732</v>
      </c>
      <c r="L3568" t="s">
        <v>794</v>
      </c>
      <c r="M3568">
        <f t="shared" si="55"/>
        <v>2025</v>
      </c>
    </row>
    <row r="3569" spans="1:13" ht="12.75" hidden="1" customHeight="1">
      <c r="A3569" t="s">
        <v>1386</v>
      </c>
      <c r="B3569" t="s">
        <v>684</v>
      </c>
      <c r="C3569" t="s">
        <v>749</v>
      </c>
      <c r="D3569" t="s">
        <v>873</v>
      </c>
      <c r="E3569" s="17">
        <v>46000</v>
      </c>
      <c r="F3569" s="17">
        <v>46003</v>
      </c>
      <c r="G3569" s="13">
        <v>18</v>
      </c>
      <c r="H3569" s="14">
        <v>0</v>
      </c>
      <c r="I3569" s="14">
        <v>0</v>
      </c>
      <c r="J3569" s="14">
        <v>0</v>
      </c>
      <c r="K3569" s="14">
        <v>18</v>
      </c>
      <c r="L3569" t="s">
        <v>794</v>
      </c>
      <c r="M3569">
        <f t="shared" si="55"/>
        <v>2025</v>
      </c>
    </row>
    <row r="3570" spans="1:13" ht="12.75" hidden="1" customHeight="1">
      <c r="A3570" t="s">
        <v>855</v>
      </c>
      <c r="B3570" t="s">
        <v>20</v>
      </c>
      <c r="C3570" t="s">
        <v>750</v>
      </c>
      <c r="D3570" t="s">
        <v>873</v>
      </c>
      <c r="E3570" s="17">
        <v>46003</v>
      </c>
      <c r="F3570" s="17">
        <v>46003</v>
      </c>
      <c r="G3570" s="13">
        <v>495.6</v>
      </c>
      <c r="H3570" s="14">
        <v>0</v>
      </c>
      <c r="I3570" s="14">
        <v>0</v>
      </c>
      <c r="J3570" s="14">
        <v>0</v>
      </c>
      <c r="K3570" s="14">
        <v>495.6</v>
      </c>
      <c r="L3570" t="s">
        <v>794</v>
      </c>
      <c r="M3570">
        <f t="shared" si="55"/>
        <v>2025</v>
      </c>
    </row>
    <row r="3571" spans="1:13" ht="12.75" hidden="1" customHeight="1">
      <c r="A3571" t="s">
        <v>1380</v>
      </c>
      <c r="B3571" t="s">
        <v>364</v>
      </c>
      <c r="C3571" t="s">
        <v>458</v>
      </c>
      <c r="D3571" t="s">
        <v>873</v>
      </c>
      <c r="E3571" s="17">
        <v>46003</v>
      </c>
      <c r="F3571" s="17">
        <v>46003</v>
      </c>
      <c r="G3571" s="13">
        <v>274.86</v>
      </c>
      <c r="H3571" s="14">
        <v>0</v>
      </c>
      <c r="I3571" s="14">
        <v>0</v>
      </c>
      <c r="J3571" s="14">
        <v>0</v>
      </c>
      <c r="K3571" s="14">
        <v>274.86</v>
      </c>
      <c r="L3571" t="s">
        <v>794</v>
      </c>
      <c r="M3571">
        <f t="shared" si="55"/>
        <v>2025</v>
      </c>
    </row>
    <row r="3572" spans="1:13" ht="12.75" hidden="1" customHeight="1">
      <c r="A3572" t="s">
        <v>833</v>
      </c>
      <c r="B3572" t="s">
        <v>27</v>
      </c>
      <c r="C3572" t="s">
        <v>646</v>
      </c>
      <c r="D3572" t="s">
        <v>873</v>
      </c>
      <c r="E3572" s="17">
        <v>46003</v>
      </c>
      <c r="F3572" s="17">
        <v>46003</v>
      </c>
      <c r="G3572" s="13">
        <v>57</v>
      </c>
      <c r="H3572" s="14">
        <v>0</v>
      </c>
      <c r="I3572" s="14">
        <v>0</v>
      </c>
      <c r="J3572" s="14">
        <v>0</v>
      </c>
      <c r="K3572" s="14">
        <v>57</v>
      </c>
      <c r="L3572" t="s">
        <v>794</v>
      </c>
      <c r="M3572">
        <f t="shared" si="55"/>
        <v>2025</v>
      </c>
    </row>
    <row r="3573" spans="1:13" ht="12.75" hidden="1" customHeight="1">
      <c r="A3573" t="s">
        <v>837</v>
      </c>
      <c r="B3573" t="s">
        <v>58</v>
      </c>
      <c r="C3573" t="s">
        <v>206</v>
      </c>
      <c r="D3573" t="s">
        <v>873</v>
      </c>
      <c r="E3573" s="17">
        <v>45996</v>
      </c>
      <c r="F3573" s="17">
        <v>46003</v>
      </c>
      <c r="G3573" s="13">
        <v>1919.04</v>
      </c>
      <c r="H3573" s="14">
        <v>0</v>
      </c>
      <c r="I3573" s="14">
        <v>0</v>
      </c>
      <c r="J3573" s="14">
        <v>0</v>
      </c>
      <c r="K3573" s="14">
        <v>1919.04</v>
      </c>
      <c r="L3573" t="s">
        <v>794</v>
      </c>
      <c r="M3573">
        <f t="shared" si="55"/>
        <v>2025</v>
      </c>
    </row>
    <row r="3574" spans="1:13" ht="12.75" hidden="1" customHeight="1">
      <c r="A3574" t="s">
        <v>878</v>
      </c>
      <c r="B3574" t="s">
        <v>32</v>
      </c>
      <c r="C3574" t="s">
        <v>721</v>
      </c>
      <c r="D3574" t="s">
        <v>873</v>
      </c>
      <c r="E3574" s="17">
        <v>46003</v>
      </c>
      <c r="F3574" s="17">
        <v>46003</v>
      </c>
      <c r="G3574" s="13">
        <v>880</v>
      </c>
      <c r="H3574" s="14">
        <v>0</v>
      </c>
      <c r="I3574" s="14">
        <v>0</v>
      </c>
      <c r="J3574" s="14">
        <v>0</v>
      </c>
      <c r="K3574" s="14">
        <v>880</v>
      </c>
      <c r="L3574" t="s">
        <v>794</v>
      </c>
      <c r="M3574">
        <f t="shared" si="55"/>
        <v>2025</v>
      </c>
    </row>
    <row r="3575" spans="1:13" ht="12.75" hidden="1" customHeight="1">
      <c r="A3575" t="s">
        <v>1196</v>
      </c>
      <c r="B3575" t="s">
        <v>1197</v>
      </c>
      <c r="C3575" t="s">
        <v>141</v>
      </c>
      <c r="D3575" t="s">
        <v>873</v>
      </c>
      <c r="E3575" s="17">
        <v>46003</v>
      </c>
      <c r="F3575" s="17">
        <v>46003</v>
      </c>
      <c r="G3575" s="13">
        <v>300</v>
      </c>
      <c r="H3575" s="14">
        <v>0</v>
      </c>
      <c r="I3575" s="14">
        <v>0</v>
      </c>
      <c r="J3575" s="14">
        <v>0</v>
      </c>
      <c r="K3575" s="14">
        <v>300</v>
      </c>
      <c r="L3575" t="s">
        <v>794</v>
      </c>
      <c r="M3575">
        <f t="shared" si="55"/>
        <v>2025</v>
      </c>
    </row>
    <row r="3576" spans="1:13" ht="12.75" hidden="1" customHeight="1">
      <c r="A3576" t="s">
        <v>833</v>
      </c>
      <c r="B3576" t="s">
        <v>27</v>
      </c>
      <c r="C3576" t="s">
        <v>141</v>
      </c>
      <c r="D3576" t="s">
        <v>873</v>
      </c>
      <c r="E3576" s="17">
        <v>46003</v>
      </c>
      <c r="F3576" s="17">
        <v>46003</v>
      </c>
      <c r="G3576" s="13">
        <v>600</v>
      </c>
      <c r="H3576" s="14">
        <v>0</v>
      </c>
      <c r="I3576" s="14">
        <v>0</v>
      </c>
      <c r="J3576" s="14">
        <v>0</v>
      </c>
      <c r="K3576" s="14">
        <v>600</v>
      </c>
      <c r="L3576" t="s">
        <v>794</v>
      </c>
      <c r="M3576">
        <f t="shared" si="55"/>
        <v>2025</v>
      </c>
    </row>
    <row r="3577" spans="1:13" ht="12.75" hidden="1" customHeight="1">
      <c r="A3577" t="s">
        <v>845</v>
      </c>
      <c r="B3577" t="s">
        <v>67</v>
      </c>
      <c r="C3577" t="s">
        <v>729</v>
      </c>
      <c r="D3577" t="s">
        <v>873</v>
      </c>
      <c r="E3577" s="17">
        <v>46001</v>
      </c>
      <c r="F3577" s="17">
        <v>46003</v>
      </c>
      <c r="G3577" s="13">
        <v>1147.55</v>
      </c>
      <c r="H3577" s="14">
        <v>0</v>
      </c>
      <c r="I3577" s="14">
        <v>0</v>
      </c>
      <c r="J3577" s="14">
        <v>0</v>
      </c>
      <c r="K3577" s="14">
        <v>1147.55</v>
      </c>
      <c r="L3577" t="s">
        <v>794</v>
      </c>
      <c r="M3577">
        <f t="shared" si="55"/>
        <v>2025</v>
      </c>
    </row>
    <row r="3578" spans="1:13" ht="12.75" hidden="1" customHeight="1">
      <c r="A3578" t="s">
        <v>1248</v>
      </c>
      <c r="B3578" t="s">
        <v>111</v>
      </c>
      <c r="C3578" t="s">
        <v>183</v>
      </c>
      <c r="D3578" t="s">
        <v>873</v>
      </c>
      <c r="E3578" s="17">
        <v>46001</v>
      </c>
      <c r="F3578" s="17">
        <v>46003</v>
      </c>
      <c r="G3578" s="13">
        <v>997.5</v>
      </c>
      <c r="H3578" s="14">
        <v>0</v>
      </c>
      <c r="I3578" s="14">
        <v>0</v>
      </c>
      <c r="J3578" s="14">
        <v>0</v>
      </c>
      <c r="K3578" s="14">
        <v>997.5</v>
      </c>
      <c r="L3578" t="s">
        <v>794</v>
      </c>
      <c r="M3578">
        <f t="shared" si="55"/>
        <v>2025</v>
      </c>
    </row>
    <row r="3579" spans="1:13" ht="12.75" hidden="1" customHeight="1">
      <c r="A3579" t="s">
        <v>819</v>
      </c>
      <c r="B3579" t="s">
        <v>38</v>
      </c>
      <c r="C3579" t="s">
        <v>141</v>
      </c>
      <c r="D3579" t="s">
        <v>873</v>
      </c>
      <c r="E3579" s="17">
        <v>46003</v>
      </c>
      <c r="F3579" s="17">
        <v>46003</v>
      </c>
      <c r="G3579" s="13">
        <v>200</v>
      </c>
      <c r="H3579" s="14">
        <v>0</v>
      </c>
      <c r="I3579" s="14">
        <v>0</v>
      </c>
      <c r="J3579" s="14">
        <v>0</v>
      </c>
      <c r="K3579" s="14">
        <v>200</v>
      </c>
      <c r="L3579" t="s">
        <v>794</v>
      </c>
      <c r="M3579">
        <f t="shared" si="55"/>
        <v>2025</v>
      </c>
    </row>
    <row r="3580" spans="1:13" ht="12.75" hidden="1" customHeight="1">
      <c r="A3580" t="s">
        <v>849</v>
      </c>
      <c r="B3580" t="s">
        <v>283</v>
      </c>
      <c r="C3580" t="s">
        <v>722</v>
      </c>
      <c r="D3580" t="s">
        <v>873</v>
      </c>
      <c r="E3580" s="17">
        <v>46003</v>
      </c>
      <c r="F3580" s="17">
        <v>46003</v>
      </c>
      <c r="G3580" s="13">
        <v>99</v>
      </c>
      <c r="H3580" s="14">
        <v>0</v>
      </c>
      <c r="I3580" s="14">
        <v>0</v>
      </c>
      <c r="J3580" s="14">
        <v>0</v>
      </c>
      <c r="K3580" s="14">
        <v>99</v>
      </c>
      <c r="L3580" t="s">
        <v>794</v>
      </c>
      <c r="M3580">
        <f t="shared" si="55"/>
        <v>2025</v>
      </c>
    </row>
    <row r="3581" spans="1:13" ht="12.75" hidden="1" customHeight="1">
      <c r="A3581" t="s">
        <v>1112</v>
      </c>
      <c r="B3581" t="s">
        <v>68</v>
      </c>
      <c r="C3581" t="s">
        <v>141</v>
      </c>
      <c r="D3581" t="s">
        <v>873</v>
      </c>
      <c r="E3581" s="17">
        <v>46003</v>
      </c>
      <c r="F3581" s="17">
        <v>46003</v>
      </c>
      <c r="G3581" s="13">
        <v>100</v>
      </c>
      <c r="H3581" s="14">
        <v>0</v>
      </c>
      <c r="I3581" s="14">
        <v>0</v>
      </c>
      <c r="J3581" s="14">
        <v>0</v>
      </c>
      <c r="K3581" s="14">
        <v>100</v>
      </c>
      <c r="L3581" t="s">
        <v>794</v>
      </c>
      <c r="M3581">
        <f t="shared" si="55"/>
        <v>2025</v>
      </c>
    </row>
    <row r="3582" spans="1:13" ht="12.75" hidden="1" customHeight="1">
      <c r="A3582" t="s">
        <v>819</v>
      </c>
      <c r="B3582" t="s">
        <v>38</v>
      </c>
      <c r="C3582" t="s">
        <v>141</v>
      </c>
      <c r="D3582" t="s">
        <v>873</v>
      </c>
      <c r="E3582" s="17">
        <v>46003</v>
      </c>
      <c r="F3582" s="17">
        <v>46003</v>
      </c>
      <c r="G3582" s="13">
        <v>200</v>
      </c>
      <c r="H3582" s="14">
        <v>0</v>
      </c>
      <c r="I3582" s="14">
        <v>0</v>
      </c>
      <c r="J3582" s="14">
        <v>0</v>
      </c>
      <c r="K3582" s="14">
        <v>150</v>
      </c>
      <c r="L3582" t="s">
        <v>794</v>
      </c>
      <c r="M3582">
        <f t="shared" si="55"/>
        <v>2025</v>
      </c>
    </row>
    <row r="3583" spans="1:13" ht="12.75" hidden="1" customHeight="1">
      <c r="A3583" t="s">
        <v>806</v>
      </c>
      <c r="B3583" t="s">
        <v>19</v>
      </c>
      <c r="C3583" t="s">
        <v>720</v>
      </c>
      <c r="D3583" t="s">
        <v>873</v>
      </c>
      <c r="E3583" s="17">
        <v>46003</v>
      </c>
      <c r="F3583" s="17">
        <v>46003</v>
      </c>
      <c r="G3583" s="13">
        <v>6000</v>
      </c>
      <c r="H3583" s="14">
        <v>0</v>
      </c>
      <c r="I3583" s="14">
        <v>0</v>
      </c>
      <c r="J3583" s="14">
        <v>0</v>
      </c>
      <c r="K3583" s="14">
        <v>6000</v>
      </c>
      <c r="L3583" t="s">
        <v>794</v>
      </c>
      <c r="M3583">
        <f t="shared" si="55"/>
        <v>2025</v>
      </c>
    </row>
    <row r="3584" spans="1:13" ht="12.75" hidden="1" customHeight="1">
      <c r="A3584" t="s">
        <v>1211</v>
      </c>
      <c r="B3584" t="s">
        <v>73</v>
      </c>
      <c r="C3584" t="s">
        <v>721</v>
      </c>
      <c r="D3584" t="s">
        <v>873</v>
      </c>
      <c r="E3584" s="17">
        <v>46006</v>
      </c>
      <c r="F3584" s="17">
        <v>46003</v>
      </c>
      <c r="G3584" s="13">
        <v>1500</v>
      </c>
      <c r="H3584" s="14">
        <v>0</v>
      </c>
      <c r="I3584" s="14">
        <v>0</v>
      </c>
      <c r="J3584" s="14">
        <v>0</v>
      </c>
      <c r="K3584" s="14">
        <v>1500</v>
      </c>
      <c r="L3584" t="s">
        <v>794</v>
      </c>
      <c r="M3584">
        <f t="shared" si="55"/>
        <v>2025</v>
      </c>
    </row>
    <row r="3585" spans="1:13" ht="12.75" hidden="1" customHeight="1">
      <c r="A3585" t="s">
        <v>801</v>
      </c>
      <c r="B3585" t="s">
        <v>13</v>
      </c>
      <c r="C3585" t="s">
        <v>726</v>
      </c>
      <c r="D3585" t="s">
        <v>873</v>
      </c>
      <c r="E3585" s="17">
        <v>46003</v>
      </c>
      <c r="F3585" s="17">
        <v>46003</v>
      </c>
      <c r="G3585" s="13">
        <v>1773.16</v>
      </c>
      <c r="H3585" s="14">
        <v>0</v>
      </c>
      <c r="I3585" s="14">
        <v>0</v>
      </c>
      <c r="J3585" s="14">
        <v>0</v>
      </c>
      <c r="K3585" s="14">
        <v>1773.16</v>
      </c>
      <c r="L3585" t="s">
        <v>794</v>
      </c>
      <c r="M3585">
        <f t="shared" si="55"/>
        <v>2025</v>
      </c>
    </row>
    <row r="3586" spans="1:13" ht="12.75" hidden="1" customHeight="1">
      <c r="A3586" t="s">
        <v>1387</v>
      </c>
      <c r="B3586" t="s">
        <v>708</v>
      </c>
      <c r="C3586" t="s">
        <v>483</v>
      </c>
      <c r="D3586" t="s">
        <v>873</v>
      </c>
      <c r="E3586" s="17">
        <v>46003</v>
      </c>
      <c r="F3586" s="17">
        <v>46003</v>
      </c>
      <c r="G3586" s="13">
        <v>7.49</v>
      </c>
      <c r="H3586" s="14">
        <v>0</v>
      </c>
      <c r="I3586" s="14">
        <v>0</v>
      </c>
      <c r="J3586" s="14">
        <v>0</v>
      </c>
      <c r="K3586" s="14">
        <v>7.49</v>
      </c>
      <c r="L3586" t="s">
        <v>794</v>
      </c>
      <c r="M3586">
        <f t="shared" si="55"/>
        <v>2025</v>
      </c>
    </row>
    <row r="3587" spans="1:13" ht="12.75" hidden="1" customHeight="1">
      <c r="A3587" t="s">
        <v>1134</v>
      </c>
      <c r="B3587" t="s">
        <v>33</v>
      </c>
      <c r="C3587" t="s">
        <v>750</v>
      </c>
      <c r="D3587" t="s">
        <v>873</v>
      </c>
      <c r="E3587" s="17">
        <v>46003</v>
      </c>
      <c r="F3587" s="17">
        <v>46003</v>
      </c>
      <c r="G3587" s="13">
        <v>23.56</v>
      </c>
      <c r="H3587" s="14">
        <v>0</v>
      </c>
      <c r="I3587" s="14">
        <v>0</v>
      </c>
      <c r="J3587" s="14">
        <v>0</v>
      </c>
      <c r="K3587" s="14">
        <v>23.56</v>
      </c>
      <c r="L3587" t="s">
        <v>794</v>
      </c>
      <c r="M3587">
        <f t="shared" ref="M3587:M3650" si="56">YEAR(F3587)</f>
        <v>2025</v>
      </c>
    </row>
    <row r="3588" spans="1:13" ht="12.75" hidden="1" customHeight="1">
      <c r="A3588" t="s">
        <v>801</v>
      </c>
      <c r="B3588" t="s">
        <v>13</v>
      </c>
      <c r="C3588" t="s">
        <v>726</v>
      </c>
      <c r="D3588" t="s">
        <v>873</v>
      </c>
      <c r="E3588" s="17">
        <v>46006</v>
      </c>
      <c r="F3588" s="17">
        <v>46006</v>
      </c>
      <c r="G3588" s="13">
        <v>210.38</v>
      </c>
      <c r="H3588" s="14">
        <v>0</v>
      </c>
      <c r="I3588" s="14">
        <v>0</v>
      </c>
      <c r="J3588" s="14">
        <v>0</v>
      </c>
      <c r="K3588" s="14">
        <v>210.38</v>
      </c>
      <c r="L3588" t="s">
        <v>794</v>
      </c>
      <c r="M3588">
        <f t="shared" si="56"/>
        <v>2025</v>
      </c>
    </row>
    <row r="3589" spans="1:13" ht="12.75" hidden="1" customHeight="1">
      <c r="A3589" t="s">
        <v>1214</v>
      </c>
      <c r="B3589" t="s">
        <v>229</v>
      </c>
      <c r="C3589" t="s">
        <v>183</v>
      </c>
      <c r="D3589" t="s">
        <v>873</v>
      </c>
      <c r="E3589" s="17">
        <v>46006</v>
      </c>
      <c r="F3589" s="17">
        <v>46006</v>
      </c>
      <c r="G3589" s="13">
        <v>400</v>
      </c>
      <c r="H3589" s="14">
        <v>0</v>
      </c>
      <c r="I3589" s="14">
        <v>0</v>
      </c>
      <c r="J3589" s="14">
        <v>0</v>
      </c>
      <c r="K3589" s="14">
        <v>400</v>
      </c>
      <c r="L3589" t="s">
        <v>794</v>
      </c>
      <c r="M3589">
        <f t="shared" si="56"/>
        <v>2025</v>
      </c>
    </row>
    <row r="3590" spans="1:13" ht="12.75" hidden="1" customHeight="1">
      <c r="A3590" t="s">
        <v>1167</v>
      </c>
      <c r="B3590" t="s">
        <v>47</v>
      </c>
      <c r="C3590" t="s">
        <v>139</v>
      </c>
      <c r="D3590" t="s">
        <v>873</v>
      </c>
      <c r="E3590" s="17">
        <v>45992</v>
      </c>
      <c r="F3590" s="17">
        <v>46006</v>
      </c>
      <c r="G3590" s="13">
        <v>273</v>
      </c>
      <c r="H3590" s="14">
        <v>0</v>
      </c>
      <c r="I3590" s="14">
        <v>0</v>
      </c>
      <c r="J3590" s="14">
        <v>0</v>
      </c>
      <c r="K3590" s="14">
        <v>273</v>
      </c>
      <c r="L3590" t="s">
        <v>794</v>
      </c>
      <c r="M3590">
        <f t="shared" si="56"/>
        <v>2025</v>
      </c>
    </row>
    <row r="3591" spans="1:13" ht="12.75" hidden="1" customHeight="1">
      <c r="A3591" t="s">
        <v>961</v>
      </c>
      <c r="B3591" t="s">
        <v>41</v>
      </c>
      <c r="C3591" t="s">
        <v>141</v>
      </c>
      <c r="D3591" t="s">
        <v>873</v>
      </c>
      <c r="E3591" s="17">
        <v>46006</v>
      </c>
      <c r="F3591" s="17">
        <v>46006</v>
      </c>
      <c r="G3591" s="13">
        <v>250</v>
      </c>
      <c r="H3591" s="14">
        <v>0</v>
      </c>
      <c r="I3591" s="14">
        <v>0</v>
      </c>
      <c r="J3591" s="14">
        <v>0</v>
      </c>
      <c r="K3591" s="14">
        <v>250</v>
      </c>
      <c r="L3591" t="s">
        <v>794</v>
      </c>
      <c r="M3591">
        <f t="shared" si="56"/>
        <v>2025</v>
      </c>
    </row>
    <row r="3592" spans="1:13" ht="12.75" hidden="1" customHeight="1">
      <c r="A3592" t="s">
        <v>836</v>
      </c>
      <c r="B3592" t="s">
        <v>37</v>
      </c>
      <c r="C3592" t="s">
        <v>141</v>
      </c>
      <c r="D3592" t="s">
        <v>873</v>
      </c>
      <c r="E3592" s="17">
        <v>46006</v>
      </c>
      <c r="F3592" s="17">
        <v>46006</v>
      </c>
      <c r="G3592" s="13">
        <v>250</v>
      </c>
      <c r="H3592" s="14">
        <v>0</v>
      </c>
      <c r="I3592" s="14">
        <v>0</v>
      </c>
      <c r="J3592" s="14">
        <v>0</v>
      </c>
      <c r="K3592" s="14">
        <v>250</v>
      </c>
      <c r="L3592" t="s">
        <v>794</v>
      </c>
      <c r="M3592">
        <f t="shared" si="56"/>
        <v>2025</v>
      </c>
    </row>
    <row r="3593" spans="1:13" ht="12.75" hidden="1" customHeight="1">
      <c r="A3593" t="s">
        <v>1356</v>
      </c>
      <c r="B3593" t="s">
        <v>20</v>
      </c>
      <c r="C3593" t="s">
        <v>141</v>
      </c>
      <c r="D3593" t="s">
        <v>873</v>
      </c>
      <c r="E3593" s="17">
        <v>46006</v>
      </c>
      <c r="F3593" s="17">
        <v>46006</v>
      </c>
      <c r="G3593" s="13">
        <v>450</v>
      </c>
      <c r="H3593" s="14">
        <v>0</v>
      </c>
      <c r="I3593" s="14">
        <v>0</v>
      </c>
      <c r="J3593" s="14">
        <v>0</v>
      </c>
      <c r="K3593" s="14">
        <v>450</v>
      </c>
      <c r="L3593" t="s">
        <v>794</v>
      </c>
      <c r="M3593">
        <f t="shared" si="56"/>
        <v>2025</v>
      </c>
    </row>
    <row r="3594" spans="1:13" ht="12.75" hidden="1" customHeight="1">
      <c r="A3594" t="s">
        <v>1009</v>
      </c>
      <c r="B3594" t="s">
        <v>62</v>
      </c>
      <c r="C3594" t="s">
        <v>141</v>
      </c>
      <c r="D3594" t="s">
        <v>873</v>
      </c>
      <c r="E3594" s="17">
        <v>46006</v>
      </c>
      <c r="F3594" s="17">
        <v>46006</v>
      </c>
      <c r="G3594" s="13">
        <v>330</v>
      </c>
      <c r="H3594" s="14">
        <v>0</v>
      </c>
      <c r="I3594" s="14">
        <v>0</v>
      </c>
      <c r="J3594" s="14">
        <v>0</v>
      </c>
      <c r="K3594" s="14">
        <v>330</v>
      </c>
      <c r="L3594" t="s">
        <v>794</v>
      </c>
      <c r="M3594">
        <f t="shared" si="56"/>
        <v>2025</v>
      </c>
    </row>
    <row r="3595" spans="1:13" ht="12.75" hidden="1" customHeight="1">
      <c r="A3595" t="s">
        <v>801</v>
      </c>
      <c r="B3595" t="s">
        <v>13</v>
      </c>
      <c r="C3595" t="s">
        <v>726</v>
      </c>
      <c r="D3595" t="s">
        <v>873</v>
      </c>
      <c r="E3595" s="17">
        <v>46007</v>
      </c>
      <c r="F3595" s="17">
        <v>46007</v>
      </c>
      <c r="G3595" s="13">
        <v>8.16</v>
      </c>
      <c r="H3595" s="14">
        <v>0</v>
      </c>
      <c r="I3595" s="14">
        <v>0</v>
      </c>
      <c r="J3595" s="14">
        <v>0</v>
      </c>
      <c r="K3595" s="14">
        <v>8.16</v>
      </c>
      <c r="L3595" t="s">
        <v>794</v>
      </c>
      <c r="M3595">
        <f t="shared" si="56"/>
        <v>2025</v>
      </c>
    </row>
    <row r="3596" spans="1:13" ht="12.75" hidden="1" customHeight="1">
      <c r="A3596" t="s">
        <v>948</v>
      </c>
      <c r="B3596" t="s">
        <v>89</v>
      </c>
      <c r="C3596" t="s">
        <v>742</v>
      </c>
      <c r="D3596" t="s">
        <v>873</v>
      </c>
      <c r="E3596" s="17">
        <v>46006</v>
      </c>
      <c r="F3596" s="17">
        <v>46007</v>
      </c>
      <c r="G3596" s="13">
        <v>666</v>
      </c>
      <c r="H3596" s="14">
        <v>0</v>
      </c>
      <c r="I3596" s="14">
        <v>0</v>
      </c>
      <c r="J3596" s="14">
        <v>0</v>
      </c>
      <c r="K3596" s="14">
        <v>666</v>
      </c>
      <c r="L3596" t="s">
        <v>794</v>
      </c>
      <c r="M3596">
        <f t="shared" si="56"/>
        <v>2025</v>
      </c>
    </row>
    <row r="3597" spans="1:13" ht="12.75" hidden="1" customHeight="1">
      <c r="A3597" t="s">
        <v>879</v>
      </c>
      <c r="B3597" t="s">
        <v>23</v>
      </c>
      <c r="C3597" t="s">
        <v>713</v>
      </c>
      <c r="D3597" t="s">
        <v>873</v>
      </c>
      <c r="E3597" s="17">
        <v>46006</v>
      </c>
      <c r="F3597" s="17">
        <v>46007</v>
      </c>
      <c r="G3597" s="13">
        <v>714.03</v>
      </c>
      <c r="H3597" s="14">
        <v>0</v>
      </c>
      <c r="I3597" s="14">
        <v>0</v>
      </c>
      <c r="J3597" s="14">
        <v>0</v>
      </c>
      <c r="K3597" s="14">
        <v>714.03</v>
      </c>
      <c r="L3597" t="s">
        <v>794</v>
      </c>
      <c r="M3597">
        <f t="shared" si="56"/>
        <v>2025</v>
      </c>
    </row>
    <row r="3598" spans="1:13" ht="12.75" hidden="1" customHeight="1">
      <c r="A3598" t="s">
        <v>893</v>
      </c>
      <c r="B3598" t="s">
        <v>212</v>
      </c>
      <c r="C3598" t="s">
        <v>746</v>
      </c>
      <c r="D3598" t="s">
        <v>873</v>
      </c>
      <c r="E3598" s="17">
        <v>46006</v>
      </c>
      <c r="F3598" s="17">
        <v>46007</v>
      </c>
      <c r="G3598" s="13">
        <v>132</v>
      </c>
      <c r="H3598" s="14">
        <v>0</v>
      </c>
      <c r="I3598" s="14">
        <v>0</v>
      </c>
      <c r="J3598" s="14">
        <v>0</v>
      </c>
      <c r="K3598" s="14">
        <v>134.72999999999999</v>
      </c>
      <c r="L3598" t="s">
        <v>794</v>
      </c>
      <c r="M3598">
        <f t="shared" si="56"/>
        <v>2025</v>
      </c>
    </row>
    <row r="3599" spans="1:13" ht="12.75" hidden="1" customHeight="1">
      <c r="A3599" t="s">
        <v>886</v>
      </c>
      <c r="B3599" t="s">
        <v>194</v>
      </c>
      <c r="C3599" t="s">
        <v>743</v>
      </c>
      <c r="D3599" t="s">
        <v>873</v>
      </c>
      <c r="E3599" s="17">
        <v>46006</v>
      </c>
      <c r="F3599" s="17">
        <v>46007</v>
      </c>
      <c r="G3599" s="13">
        <v>217.76</v>
      </c>
      <c r="H3599" s="14">
        <v>0</v>
      </c>
      <c r="I3599" s="14">
        <v>0</v>
      </c>
      <c r="J3599" s="14">
        <v>0</v>
      </c>
      <c r="K3599" s="14">
        <v>217.83</v>
      </c>
      <c r="L3599" t="s">
        <v>794</v>
      </c>
      <c r="M3599">
        <f t="shared" si="56"/>
        <v>2025</v>
      </c>
    </row>
    <row r="3600" spans="1:13" ht="12.75" hidden="1" customHeight="1">
      <c r="A3600" t="s">
        <v>1317</v>
      </c>
      <c r="B3600" t="s">
        <v>64</v>
      </c>
      <c r="C3600" t="s">
        <v>141</v>
      </c>
      <c r="D3600" t="s">
        <v>873</v>
      </c>
      <c r="E3600" s="17">
        <v>46007</v>
      </c>
      <c r="F3600" s="17">
        <v>46007</v>
      </c>
      <c r="G3600" s="13">
        <v>40</v>
      </c>
      <c r="H3600" s="14">
        <v>0</v>
      </c>
      <c r="I3600" s="14">
        <v>0</v>
      </c>
      <c r="J3600" s="14">
        <v>0</v>
      </c>
      <c r="K3600" s="14">
        <v>40</v>
      </c>
      <c r="L3600" t="s">
        <v>794</v>
      </c>
      <c r="M3600">
        <f t="shared" si="56"/>
        <v>2025</v>
      </c>
    </row>
    <row r="3601" spans="1:13" ht="12.75" hidden="1" customHeight="1">
      <c r="A3601" t="s">
        <v>941</v>
      </c>
      <c r="B3601" t="s">
        <v>52</v>
      </c>
      <c r="C3601" t="s">
        <v>672</v>
      </c>
      <c r="D3601" t="s">
        <v>873</v>
      </c>
      <c r="E3601" s="17">
        <v>46006</v>
      </c>
      <c r="F3601" s="17">
        <v>46007</v>
      </c>
      <c r="G3601" s="13">
        <v>1518</v>
      </c>
      <c r="H3601" s="14">
        <v>0</v>
      </c>
      <c r="I3601" s="14">
        <v>0</v>
      </c>
      <c r="J3601" s="14">
        <v>0</v>
      </c>
      <c r="K3601" s="14">
        <v>1524.01</v>
      </c>
      <c r="L3601" t="s">
        <v>794</v>
      </c>
      <c r="M3601">
        <f t="shared" si="56"/>
        <v>2025</v>
      </c>
    </row>
    <row r="3602" spans="1:13" ht="12.75" hidden="1" customHeight="1">
      <c r="A3602" t="s">
        <v>1272</v>
      </c>
      <c r="B3602" t="s">
        <v>132</v>
      </c>
      <c r="C3602" t="s">
        <v>141</v>
      </c>
      <c r="D3602" t="s">
        <v>873</v>
      </c>
      <c r="E3602" s="17">
        <v>46003</v>
      </c>
      <c r="F3602" s="17">
        <v>46007</v>
      </c>
      <c r="G3602" s="13">
        <v>200</v>
      </c>
      <c r="H3602" s="14">
        <v>0</v>
      </c>
      <c r="I3602" s="14">
        <v>0</v>
      </c>
      <c r="J3602" s="14">
        <v>0</v>
      </c>
      <c r="K3602" s="14">
        <v>200</v>
      </c>
      <c r="L3602" t="s">
        <v>794</v>
      </c>
      <c r="M3602">
        <f t="shared" si="56"/>
        <v>2025</v>
      </c>
    </row>
    <row r="3603" spans="1:13" ht="12.75" hidden="1" customHeight="1">
      <c r="A3603" t="s">
        <v>891</v>
      </c>
      <c r="B3603" t="s">
        <v>102</v>
      </c>
      <c r="C3603" t="s">
        <v>722</v>
      </c>
      <c r="D3603" t="s">
        <v>873</v>
      </c>
      <c r="E3603" s="17">
        <v>46007</v>
      </c>
      <c r="F3603" s="17">
        <v>46007</v>
      </c>
      <c r="G3603" s="13">
        <v>650</v>
      </c>
      <c r="H3603" s="14">
        <v>0</v>
      </c>
      <c r="I3603" s="14">
        <v>0</v>
      </c>
      <c r="J3603" s="14">
        <v>0</v>
      </c>
      <c r="K3603" s="14">
        <v>650</v>
      </c>
      <c r="L3603" t="s">
        <v>794</v>
      </c>
      <c r="M3603">
        <f t="shared" si="56"/>
        <v>2025</v>
      </c>
    </row>
    <row r="3604" spans="1:13" ht="12.75" hidden="1" customHeight="1">
      <c r="A3604" t="s">
        <v>810</v>
      </c>
      <c r="B3604" t="s">
        <v>54</v>
      </c>
      <c r="C3604" t="s">
        <v>141</v>
      </c>
      <c r="D3604" t="s">
        <v>873</v>
      </c>
      <c r="E3604" s="17">
        <v>46007</v>
      </c>
      <c r="F3604" s="17">
        <v>46007</v>
      </c>
      <c r="G3604" s="13">
        <v>70</v>
      </c>
      <c r="H3604" s="14">
        <v>0</v>
      </c>
      <c r="I3604" s="14">
        <v>0</v>
      </c>
      <c r="J3604" s="14">
        <v>0</v>
      </c>
      <c r="K3604" s="14">
        <v>70</v>
      </c>
      <c r="L3604" t="s">
        <v>794</v>
      </c>
      <c r="M3604">
        <f t="shared" si="56"/>
        <v>2025</v>
      </c>
    </row>
    <row r="3605" spans="1:13" ht="12.75" hidden="1" customHeight="1">
      <c r="A3605" t="s">
        <v>800</v>
      </c>
      <c r="B3605" t="s">
        <v>85</v>
      </c>
      <c r="C3605" t="s">
        <v>734</v>
      </c>
      <c r="D3605" t="s">
        <v>873</v>
      </c>
      <c r="E3605" s="17">
        <v>46006</v>
      </c>
      <c r="F3605" s="17">
        <v>46007</v>
      </c>
      <c r="G3605" s="13">
        <v>900</v>
      </c>
      <c r="H3605" s="14">
        <v>0</v>
      </c>
      <c r="I3605" s="14">
        <v>0</v>
      </c>
      <c r="J3605" s="14">
        <v>0</v>
      </c>
      <c r="K3605" s="14">
        <v>900</v>
      </c>
      <c r="L3605" t="s">
        <v>794</v>
      </c>
      <c r="M3605">
        <f t="shared" si="56"/>
        <v>2025</v>
      </c>
    </row>
    <row r="3606" spans="1:13" ht="12.75" hidden="1" customHeight="1">
      <c r="A3606" t="s">
        <v>894</v>
      </c>
      <c r="B3606" t="s">
        <v>50</v>
      </c>
      <c r="C3606" t="s">
        <v>152</v>
      </c>
      <c r="D3606" t="s">
        <v>873</v>
      </c>
      <c r="E3606" s="17">
        <v>46006</v>
      </c>
      <c r="F3606" s="17">
        <v>46007</v>
      </c>
      <c r="G3606" s="13">
        <v>1518</v>
      </c>
      <c r="H3606" s="14">
        <v>0</v>
      </c>
      <c r="I3606" s="14">
        <v>0</v>
      </c>
      <c r="J3606" s="14">
        <v>0</v>
      </c>
      <c r="K3606" s="14">
        <v>1548.8600000000001</v>
      </c>
      <c r="L3606" t="s">
        <v>794</v>
      </c>
      <c r="M3606">
        <f t="shared" si="56"/>
        <v>2025</v>
      </c>
    </row>
    <row r="3607" spans="1:13" ht="12.75" hidden="1" customHeight="1">
      <c r="A3607" t="s">
        <v>1316</v>
      </c>
      <c r="B3607" t="s">
        <v>59</v>
      </c>
      <c r="C3607" t="s">
        <v>141</v>
      </c>
      <c r="D3607" t="s">
        <v>873</v>
      </c>
      <c r="E3607" s="17">
        <v>46007</v>
      </c>
      <c r="F3607" s="17">
        <v>46007</v>
      </c>
      <c r="G3607" s="13">
        <v>40</v>
      </c>
      <c r="H3607" s="14">
        <v>0</v>
      </c>
      <c r="I3607" s="14">
        <v>0</v>
      </c>
      <c r="J3607" s="14">
        <v>0</v>
      </c>
      <c r="K3607" s="14">
        <v>40</v>
      </c>
      <c r="L3607" t="s">
        <v>794</v>
      </c>
      <c r="M3607">
        <f t="shared" si="56"/>
        <v>2025</v>
      </c>
    </row>
    <row r="3608" spans="1:13" ht="12.75" hidden="1" customHeight="1">
      <c r="A3608" t="s">
        <v>1388</v>
      </c>
      <c r="B3608" t="s">
        <v>202</v>
      </c>
      <c r="C3608" t="s">
        <v>139</v>
      </c>
      <c r="D3608" t="s">
        <v>873</v>
      </c>
      <c r="E3608" s="17">
        <v>46006</v>
      </c>
      <c r="F3608" s="17">
        <v>46007</v>
      </c>
      <c r="G3608" s="13">
        <v>242</v>
      </c>
      <c r="H3608" s="14">
        <v>0</v>
      </c>
      <c r="I3608" s="14">
        <v>0</v>
      </c>
      <c r="J3608" s="14">
        <v>0</v>
      </c>
      <c r="K3608" s="14">
        <v>242</v>
      </c>
      <c r="L3608" t="s">
        <v>794</v>
      </c>
      <c r="M3608">
        <f t="shared" si="56"/>
        <v>2025</v>
      </c>
    </row>
    <row r="3609" spans="1:13" ht="12.75" hidden="1" customHeight="1">
      <c r="A3609" t="s">
        <v>1104</v>
      </c>
      <c r="B3609" t="s">
        <v>53</v>
      </c>
      <c r="C3609" t="s">
        <v>141</v>
      </c>
      <c r="D3609" t="s">
        <v>873</v>
      </c>
      <c r="E3609" s="17">
        <v>46007</v>
      </c>
      <c r="F3609" s="17">
        <v>46007</v>
      </c>
      <c r="G3609" s="13">
        <v>150</v>
      </c>
      <c r="H3609" s="14">
        <v>0</v>
      </c>
      <c r="I3609" s="14">
        <v>0</v>
      </c>
      <c r="J3609" s="14">
        <v>0</v>
      </c>
      <c r="K3609" s="14">
        <v>150</v>
      </c>
      <c r="L3609" t="s">
        <v>794</v>
      </c>
      <c r="M3609">
        <f t="shared" si="56"/>
        <v>2025</v>
      </c>
    </row>
    <row r="3610" spans="1:13" ht="12.75" hidden="1" customHeight="1">
      <c r="A3610" t="s">
        <v>801</v>
      </c>
      <c r="B3610" t="s">
        <v>13</v>
      </c>
      <c r="C3610" t="s">
        <v>726</v>
      </c>
      <c r="D3610" t="s">
        <v>873</v>
      </c>
      <c r="E3610" s="17">
        <v>46007</v>
      </c>
      <c r="F3610" s="17">
        <v>46007</v>
      </c>
      <c r="G3610" s="13">
        <v>2.04</v>
      </c>
      <c r="H3610" s="14">
        <v>0</v>
      </c>
      <c r="I3610" s="14">
        <v>0</v>
      </c>
      <c r="J3610" s="14">
        <v>0</v>
      </c>
      <c r="K3610" s="14">
        <v>2.04</v>
      </c>
      <c r="L3610" t="s">
        <v>794</v>
      </c>
      <c r="M3610">
        <f t="shared" si="56"/>
        <v>2025</v>
      </c>
    </row>
    <row r="3611" spans="1:13" ht="12.75" hidden="1" customHeight="1">
      <c r="A3611" t="s">
        <v>1377</v>
      </c>
      <c r="B3611" t="s">
        <v>299</v>
      </c>
      <c r="C3611" t="s">
        <v>141</v>
      </c>
      <c r="D3611" t="s">
        <v>873</v>
      </c>
      <c r="E3611" s="17">
        <v>46007</v>
      </c>
      <c r="F3611" s="17">
        <v>46007</v>
      </c>
      <c r="G3611" s="13">
        <v>200</v>
      </c>
      <c r="H3611" s="14">
        <v>0</v>
      </c>
      <c r="I3611" s="14">
        <v>0</v>
      </c>
      <c r="J3611" s="14">
        <v>0</v>
      </c>
      <c r="K3611" s="14">
        <v>200</v>
      </c>
      <c r="L3611" t="s">
        <v>794</v>
      </c>
      <c r="M3611">
        <f t="shared" si="56"/>
        <v>2025</v>
      </c>
    </row>
    <row r="3612" spans="1:13" ht="12.75" hidden="1" customHeight="1">
      <c r="A3612" t="s">
        <v>1389</v>
      </c>
      <c r="B3612" t="s">
        <v>661</v>
      </c>
      <c r="C3612" t="s">
        <v>99</v>
      </c>
      <c r="D3612" t="s">
        <v>873</v>
      </c>
      <c r="E3612" s="17">
        <v>46001</v>
      </c>
      <c r="F3612" s="17">
        <v>46007</v>
      </c>
      <c r="G3612" s="13">
        <v>32</v>
      </c>
      <c r="H3612" s="14">
        <v>0</v>
      </c>
      <c r="I3612" s="14">
        <v>0</v>
      </c>
      <c r="J3612" s="14">
        <v>0</v>
      </c>
      <c r="K3612" s="14">
        <v>32</v>
      </c>
      <c r="L3612" t="s">
        <v>843</v>
      </c>
      <c r="M3612">
        <f t="shared" si="56"/>
        <v>2025</v>
      </c>
    </row>
    <row r="3613" spans="1:13" ht="12.75" hidden="1" customHeight="1">
      <c r="A3613" t="s">
        <v>833</v>
      </c>
      <c r="B3613" t="s">
        <v>27</v>
      </c>
      <c r="C3613" t="s">
        <v>750</v>
      </c>
      <c r="D3613" t="s">
        <v>873</v>
      </c>
      <c r="E3613" s="17">
        <v>46003</v>
      </c>
      <c r="F3613" s="17">
        <v>46007</v>
      </c>
      <c r="G3613" s="13">
        <v>110</v>
      </c>
      <c r="H3613" s="14">
        <v>0</v>
      </c>
      <c r="I3613" s="14">
        <v>0</v>
      </c>
      <c r="J3613" s="14">
        <v>0</v>
      </c>
      <c r="K3613" s="14">
        <v>110</v>
      </c>
      <c r="L3613" t="s">
        <v>794</v>
      </c>
      <c r="M3613">
        <f t="shared" si="56"/>
        <v>2025</v>
      </c>
    </row>
    <row r="3614" spans="1:13" ht="12.75" hidden="1" customHeight="1">
      <c r="A3614" t="s">
        <v>1356</v>
      </c>
      <c r="B3614" t="s">
        <v>20</v>
      </c>
      <c r="C3614" t="s">
        <v>470</v>
      </c>
      <c r="D3614" t="s">
        <v>873</v>
      </c>
      <c r="E3614" s="17">
        <v>46003</v>
      </c>
      <c r="F3614" s="17">
        <v>46007</v>
      </c>
      <c r="G3614" s="13">
        <v>116.2</v>
      </c>
      <c r="H3614" s="14">
        <v>0</v>
      </c>
      <c r="I3614" s="14">
        <v>0</v>
      </c>
      <c r="J3614" s="14">
        <v>0</v>
      </c>
      <c r="K3614" s="14">
        <v>116.2</v>
      </c>
      <c r="L3614" t="s">
        <v>794</v>
      </c>
      <c r="M3614">
        <f t="shared" si="56"/>
        <v>2025</v>
      </c>
    </row>
    <row r="3615" spans="1:13" ht="12.75" hidden="1" customHeight="1">
      <c r="A3615" t="s">
        <v>1382</v>
      </c>
      <c r="B3615" t="s">
        <v>165</v>
      </c>
      <c r="C3615" t="s">
        <v>725</v>
      </c>
      <c r="D3615" t="s">
        <v>1338</v>
      </c>
      <c r="E3615" s="17">
        <v>45966</v>
      </c>
      <c r="F3615" s="17">
        <v>46008</v>
      </c>
      <c r="G3615" s="13">
        <v>1950</v>
      </c>
      <c r="H3615" s="14">
        <v>0</v>
      </c>
      <c r="I3615" s="14">
        <v>0</v>
      </c>
      <c r="J3615" s="14">
        <v>0</v>
      </c>
      <c r="K3615" s="14">
        <v>1950</v>
      </c>
      <c r="L3615" t="s">
        <v>794</v>
      </c>
      <c r="M3615">
        <f t="shared" si="56"/>
        <v>2025</v>
      </c>
    </row>
    <row r="3616" spans="1:13" ht="12.75" hidden="1" customHeight="1">
      <c r="A3616" t="s">
        <v>1131</v>
      </c>
      <c r="B3616" t="s">
        <v>81</v>
      </c>
      <c r="C3616" t="s">
        <v>183</v>
      </c>
      <c r="D3616" t="s">
        <v>873</v>
      </c>
      <c r="E3616" s="17">
        <v>46008</v>
      </c>
      <c r="F3616" s="17">
        <v>46008</v>
      </c>
      <c r="G3616" s="13">
        <v>770</v>
      </c>
      <c r="H3616" s="14">
        <v>0</v>
      </c>
      <c r="I3616" s="14">
        <v>0</v>
      </c>
      <c r="J3616" s="14">
        <v>0</v>
      </c>
      <c r="K3616" s="14">
        <v>770</v>
      </c>
      <c r="L3616" t="s">
        <v>794</v>
      </c>
      <c r="M3616">
        <f t="shared" si="56"/>
        <v>2025</v>
      </c>
    </row>
    <row r="3617" spans="1:13" ht="12.75" hidden="1" customHeight="1">
      <c r="A3617" t="s">
        <v>792</v>
      </c>
      <c r="B3617" t="s">
        <v>35</v>
      </c>
      <c r="C3617" t="s">
        <v>206</v>
      </c>
      <c r="D3617" t="s">
        <v>873</v>
      </c>
      <c r="E3617" s="17">
        <v>46008</v>
      </c>
      <c r="F3617" s="17">
        <v>46008</v>
      </c>
      <c r="G3617" s="13">
        <v>1000</v>
      </c>
      <c r="H3617" s="14">
        <v>0</v>
      </c>
      <c r="I3617" s="14">
        <v>0</v>
      </c>
      <c r="J3617" s="14">
        <v>0</v>
      </c>
      <c r="K3617" s="14">
        <v>1000</v>
      </c>
      <c r="L3617" t="s">
        <v>794</v>
      </c>
      <c r="M3617">
        <f t="shared" si="56"/>
        <v>2025</v>
      </c>
    </row>
    <row r="3618" spans="1:13" ht="12.75" hidden="1" customHeight="1">
      <c r="A3618" t="s">
        <v>797</v>
      </c>
      <c r="B3618" t="s">
        <v>25</v>
      </c>
      <c r="C3618" t="s">
        <v>206</v>
      </c>
      <c r="D3618" t="s">
        <v>873</v>
      </c>
      <c r="E3618" s="17">
        <v>46008</v>
      </c>
      <c r="F3618" s="17">
        <v>46008</v>
      </c>
      <c r="G3618" s="13">
        <v>1832.1000000000001</v>
      </c>
      <c r="H3618" s="14">
        <v>0</v>
      </c>
      <c r="I3618" s="14">
        <v>0</v>
      </c>
      <c r="J3618" s="14">
        <v>0</v>
      </c>
      <c r="K3618" s="14">
        <v>1832.1000000000001</v>
      </c>
      <c r="L3618" t="s">
        <v>794</v>
      </c>
      <c r="M3618">
        <f t="shared" si="56"/>
        <v>2025</v>
      </c>
    </row>
    <row r="3619" spans="1:13" ht="12.75" hidden="1" customHeight="1">
      <c r="A3619" t="s">
        <v>797</v>
      </c>
      <c r="B3619" t="s">
        <v>25</v>
      </c>
      <c r="C3619" t="s">
        <v>206</v>
      </c>
      <c r="D3619" t="s">
        <v>873</v>
      </c>
      <c r="E3619" s="17">
        <v>46008</v>
      </c>
      <c r="F3619" s="17">
        <v>46008</v>
      </c>
      <c r="G3619" s="13">
        <v>1000</v>
      </c>
      <c r="H3619" s="14">
        <v>0</v>
      </c>
      <c r="I3619" s="14">
        <v>0</v>
      </c>
      <c r="J3619" s="14">
        <v>0</v>
      </c>
      <c r="K3619" s="14">
        <v>1000</v>
      </c>
      <c r="L3619" t="s">
        <v>794</v>
      </c>
      <c r="M3619">
        <f t="shared" si="56"/>
        <v>2025</v>
      </c>
    </row>
    <row r="3620" spans="1:13" ht="12.75" hidden="1" customHeight="1">
      <c r="A3620" t="s">
        <v>801</v>
      </c>
      <c r="B3620" t="s">
        <v>13</v>
      </c>
      <c r="C3620" t="s">
        <v>717</v>
      </c>
      <c r="D3620" t="s">
        <v>873</v>
      </c>
      <c r="E3620" s="17">
        <v>46008</v>
      </c>
      <c r="F3620" s="17">
        <v>46008</v>
      </c>
      <c r="G3620" s="13">
        <v>5381.79</v>
      </c>
      <c r="H3620" s="14">
        <v>0</v>
      </c>
      <c r="I3620" s="14">
        <v>0</v>
      </c>
      <c r="J3620" s="14">
        <v>0</v>
      </c>
      <c r="K3620" s="14">
        <v>5381.79</v>
      </c>
      <c r="L3620" t="s">
        <v>794</v>
      </c>
      <c r="M3620">
        <f t="shared" si="56"/>
        <v>2025</v>
      </c>
    </row>
    <row r="3621" spans="1:13" ht="12.75" hidden="1" customHeight="1">
      <c r="A3621" t="s">
        <v>792</v>
      </c>
      <c r="B3621" t="s">
        <v>35</v>
      </c>
      <c r="C3621" t="s">
        <v>206</v>
      </c>
      <c r="D3621" t="s">
        <v>873</v>
      </c>
      <c r="E3621" s="17">
        <v>46008</v>
      </c>
      <c r="F3621" s="17">
        <v>46008</v>
      </c>
      <c r="G3621" s="13">
        <v>1167.9000000000001</v>
      </c>
      <c r="H3621" s="14">
        <v>0</v>
      </c>
      <c r="I3621" s="14">
        <v>0</v>
      </c>
      <c r="J3621" s="14">
        <v>0</v>
      </c>
      <c r="K3621" s="14">
        <v>1167.9000000000001</v>
      </c>
      <c r="L3621" t="s">
        <v>794</v>
      </c>
      <c r="M3621">
        <f t="shared" si="56"/>
        <v>2025</v>
      </c>
    </row>
    <row r="3622" spans="1:13" ht="12.75" hidden="1" customHeight="1">
      <c r="A3622" t="s">
        <v>801</v>
      </c>
      <c r="B3622" t="s">
        <v>13</v>
      </c>
      <c r="C3622" t="s">
        <v>726</v>
      </c>
      <c r="D3622" t="s">
        <v>873</v>
      </c>
      <c r="E3622" s="17">
        <v>46001</v>
      </c>
      <c r="F3622" s="17">
        <v>46008</v>
      </c>
      <c r="G3622" s="13">
        <v>4.08</v>
      </c>
      <c r="H3622" s="14">
        <v>0</v>
      </c>
      <c r="I3622" s="14">
        <v>0</v>
      </c>
      <c r="J3622" s="14">
        <v>0</v>
      </c>
      <c r="K3622" s="14">
        <v>4.08</v>
      </c>
      <c r="L3622" t="s">
        <v>794</v>
      </c>
      <c r="M3622">
        <f t="shared" si="56"/>
        <v>2025</v>
      </c>
    </row>
    <row r="3623" spans="1:13" ht="12.75" hidden="1" customHeight="1">
      <c r="A3623" t="s">
        <v>1390</v>
      </c>
      <c r="B3623" t="s">
        <v>385</v>
      </c>
      <c r="C3623" t="s">
        <v>452</v>
      </c>
      <c r="D3623" t="s">
        <v>873</v>
      </c>
      <c r="E3623" s="17">
        <v>46009</v>
      </c>
      <c r="F3623" s="17">
        <v>46009</v>
      </c>
      <c r="G3623" s="13">
        <v>99</v>
      </c>
      <c r="H3623" s="14">
        <v>0</v>
      </c>
      <c r="I3623" s="14">
        <v>0</v>
      </c>
      <c r="J3623" s="14">
        <v>0</v>
      </c>
      <c r="K3623" s="14">
        <v>99</v>
      </c>
      <c r="L3623" t="s">
        <v>794</v>
      </c>
      <c r="M3623">
        <f t="shared" si="56"/>
        <v>2025</v>
      </c>
    </row>
    <row r="3624" spans="1:13" ht="12.75" hidden="1" customHeight="1">
      <c r="A3624" t="s">
        <v>811</v>
      </c>
      <c r="B3624" t="s">
        <v>39</v>
      </c>
      <c r="C3624" t="s">
        <v>730</v>
      </c>
      <c r="D3624" t="s">
        <v>873</v>
      </c>
      <c r="E3624" s="17">
        <v>46009</v>
      </c>
      <c r="F3624" s="17">
        <v>46009</v>
      </c>
      <c r="G3624" s="13">
        <v>2245.16</v>
      </c>
      <c r="H3624" s="14">
        <v>0</v>
      </c>
      <c r="I3624" s="14">
        <v>0</v>
      </c>
      <c r="J3624" s="14">
        <v>0</v>
      </c>
      <c r="K3624" s="14">
        <v>2245.16</v>
      </c>
      <c r="L3624" t="s">
        <v>794</v>
      </c>
      <c r="M3624">
        <f t="shared" si="56"/>
        <v>2025</v>
      </c>
    </row>
    <row r="3625" spans="1:13" ht="12.75" hidden="1" customHeight="1">
      <c r="A3625" s="31">
        <v>668</v>
      </c>
      <c r="B3625" t="s">
        <v>86</v>
      </c>
      <c r="C3625" t="s">
        <v>270</v>
      </c>
      <c r="D3625" s="29">
        <v>45992</v>
      </c>
      <c r="E3625" s="17">
        <v>46010</v>
      </c>
      <c r="F3625" s="17">
        <v>46010</v>
      </c>
      <c r="G3625" s="13">
        <v>333</v>
      </c>
      <c r="H3625" s="14">
        <v>0</v>
      </c>
      <c r="I3625" s="14">
        <v>0</v>
      </c>
      <c r="J3625" s="14">
        <v>0</v>
      </c>
      <c r="K3625" s="14">
        <v>333</v>
      </c>
      <c r="L3625" t="s">
        <v>794</v>
      </c>
      <c r="M3625">
        <f t="shared" si="56"/>
        <v>2025</v>
      </c>
    </row>
    <row r="3626" spans="1:13" ht="12.75" hidden="1" customHeight="1">
      <c r="A3626" t="s">
        <v>836</v>
      </c>
      <c r="B3626" t="s">
        <v>37</v>
      </c>
      <c r="C3626" t="s">
        <v>731</v>
      </c>
      <c r="D3626" t="s">
        <v>873</v>
      </c>
      <c r="E3626" s="17">
        <v>46010</v>
      </c>
      <c r="F3626" s="17">
        <v>46010</v>
      </c>
      <c r="G3626" s="13">
        <v>580</v>
      </c>
      <c r="H3626" s="14">
        <v>0</v>
      </c>
      <c r="I3626" s="14">
        <v>0</v>
      </c>
      <c r="J3626" s="14">
        <v>0</v>
      </c>
      <c r="K3626" s="14">
        <v>580</v>
      </c>
      <c r="L3626" t="s">
        <v>794</v>
      </c>
      <c r="M3626">
        <f t="shared" si="56"/>
        <v>2025</v>
      </c>
    </row>
    <row r="3627" spans="1:13" ht="12.75" hidden="1" customHeight="1">
      <c r="A3627" t="s">
        <v>819</v>
      </c>
      <c r="B3627" t="s">
        <v>38</v>
      </c>
      <c r="C3627" t="s">
        <v>731</v>
      </c>
      <c r="D3627" t="s">
        <v>873</v>
      </c>
      <c r="E3627" s="17">
        <v>46010</v>
      </c>
      <c r="F3627" s="17">
        <v>46010</v>
      </c>
      <c r="G3627" s="13">
        <v>516</v>
      </c>
      <c r="H3627" s="14">
        <v>0</v>
      </c>
      <c r="I3627" s="14">
        <v>0</v>
      </c>
      <c r="J3627" s="14">
        <v>0</v>
      </c>
      <c r="K3627" s="14">
        <v>516</v>
      </c>
      <c r="L3627" t="s">
        <v>794</v>
      </c>
      <c r="M3627">
        <f t="shared" si="56"/>
        <v>2025</v>
      </c>
    </row>
    <row r="3628" spans="1:13" ht="12.75" hidden="1" customHeight="1">
      <c r="A3628" t="s">
        <v>825</v>
      </c>
      <c r="B3628" t="s">
        <v>46</v>
      </c>
      <c r="C3628" t="s">
        <v>731</v>
      </c>
      <c r="D3628" t="s">
        <v>873</v>
      </c>
      <c r="E3628" s="17">
        <v>46010</v>
      </c>
      <c r="F3628" s="17">
        <v>46010</v>
      </c>
      <c r="G3628" s="13">
        <v>770</v>
      </c>
      <c r="H3628" s="14">
        <v>0</v>
      </c>
      <c r="I3628" s="14">
        <v>0</v>
      </c>
      <c r="J3628" s="14">
        <v>0</v>
      </c>
      <c r="K3628" s="14">
        <v>770</v>
      </c>
      <c r="L3628" t="s">
        <v>794</v>
      </c>
      <c r="M3628">
        <f t="shared" si="56"/>
        <v>2025</v>
      </c>
    </row>
    <row r="3629" spans="1:13" ht="12.75" hidden="1" customHeight="1">
      <c r="A3629" t="s">
        <v>1009</v>
      </c>
      <c r="B3629" t="s">
        <v>62</v>
      </c>
      <c r="C3629" t="s">
        <v>731</v>
      </c>
      <c r="D3629" t="s">
        <v>873</v>
      </c>
      <c r="E3629" s="17">
        <v>46010</v>
      </c>
      <c r="F3629" s="17">
        <v>46010</v>
      </c>
      <c r="G3629" s="13">
        <v>580</v>
      </c>
      <c r="H3629" s="14">
        <v>0</v>
      </c>
      <c r="I3629" s="14">
        <v>0</v>
      </c>
      <c r="J3629" s="14">
        <v>0</v>
      </c>
      <c r="K3629" s="14">
        <v>580</v>
      </c>
      <c r="L3629" t="s">
        <v>794</v>
      </c>
      <c r="M3629">
        <f t="shared" si="56"/>
        <v>2025</v>
      </c>
    </row>
    <row r="3630" spans="1:13" ht="12.75" hidden="1" customHeight="1">
      <c r="A3630" t="s">
        <v>1072</v>
      </c>
      <c r="B3630" t="s">
        <v>65</v>
      </c>
      <c r="C3630" t="s">
        <v>727</v>
      </c>
      <c r="D3630" t="s">
        <v>873</v>
      </c>
      <c r="E3630" s="17">
        <v>46010</v>
      </c>
      <c r="F3630" s="17">
        <v>46010</v>
      </c>
      <c r="G3630" s="13">
        <v>2506.2200000000003</v>
      </c>
      <c r="H3630" s="14">
        <v>0</v>
      </c>
      <c r="I3630" s="14">
        <v>0</v>
      </c>
      <c r="J3630" s="14">
        <v>0</v>
      </c>
      <c r="K3630" s="14">
        <v>2506.2200000000003</v>
      </c>
      <c r="L3630" t="s">
        <v>794</v>
      </c>
      <c r="M3630">
        <f t="shared" si="56"/>
        <v>2025</v>
      </c>
    </row>
    <row r="3631" spans="1:13" ht="12.75" hidden="1" customHeight="1">
      <c r="A3631" t="s">
        <v>1072</v>
      </c>
      <c r="B3631" t="s">
        <v>65</v>
      </c>
      <c r="C3631" t="s">
        <v>727</v>
      </c>
      <c r="D3631" t="s">
        <v>873</v>
      </c>
      <c r="E3631" s="17">
        <v>46010</v>
      </c>
      <c r="F3631" s="17">
        <v>46010</v>
      </c>
      <c r="G3631" s="13">
        <v>2340.96</v>
      </c>
      <c r="H3631" s="14">
        <v>0</v>
      </c>
      <c r="I3631" s="14">
        <v>0</v>
      </c>
      <c r="J3631" s="14">
        <v>0</v>
      </c>
      <c r="K3631" s="14">
        <v>2340.96</v>
      </c>
      <c r="L3631" t="s">
        <v>794</v>
      </c>
      <c r="M3631">
        <f t="shared" si="56"/>
        <v>2025</v>
      </c>
    </row>
    <row r="3632" spans="1:13" ht="12.75" hidden="1" customHeight="1">
      <c r="A3632" t="s">
        <v>1072</v>
      </c>
      <c r="B3632" t="s">
        <v>65</v>
      </c>
      <c r="C3632" t="s">
        <v>756</v>
      </c>
      <c r="D3632" t="s">
        <v>873</v>
      </c>
      <c r="E3632" s="17">
        <v>46010</v>
      </c>
      <c r="F3632" s="17">
        <v>46010</v>
      </c>
      <c r="G3632" s="13">
        <v>74.48</v>
      </c>
      <c r="H3632" s="14">
        <v>0</v>
      </c>
      <c r="I3632" s="14">
        <v>0</v>
      </c>
      <c r="J3632" s="14">
        <v>0</v>
      </c>
      <c r="K3632" s="14">
        <v>74.48</v>
      </c>
      <c r="L3632" t="s">
        <v>794</v>
      </c>
      <c r="M3632">
        <f t="shared" si="56"/>
        <v>2025</v>
      </c>
    </row>
    <row r="3633" spans="1:13" ht="12.75" hidden="1" customHeight="1">
      <c r="A3633" t="s">
        <v>905</v>
      </c>
      <c r="B3633" t="s">
        <v>15</v>
      </c>
      <c r="C3633" t="s">
        <v>715</v>
      </c>
      <c r="D3633" t="s">
        <v>873</v>
      </c>
      <c r="E3633" s="17">
        <v>46010</v>
      </c>
      <c r="F3633" s="17">
        <v>46010</v>
      </c>
      <c r="G3633" s="13">
        <v>14220.970000000001</v>
      </c>
      <c r="H3633" s="14">
        <v>0</v>
      </c>
      <c r="I3633" s="14">
        <v>0</v>
      </c>
      <c r="J3633" s="14">
        <v>0</v>
      </c>
      <c r="K3633" s="14">
        <v>14220.970000000001</v>
      </c>
      <c r="L3633" t="s">
        <v>794</v>
      </c>
      <c r="M3633">
        <f t="shared" si="56"/>
        <v>2025</v>
      </c>
    </row>
    <row r="3634" spans="1:13" ht="12.75" hidden="1" customHeight="1">
      <c r="A3634" t="s">
        <v>810</v>
      </c>
      <c r="B3634" t="s">
        <v>54</v>
      </c>
      <c r="C3634" t="s">
        <v>731</v>
      </c>
      <c r="D3634" t="s">
        <v>873</v>
      </c>
      <c r="E3634" s="17">
        <v>46010</v>
      </c>
      <c r="F3634" s="17">
        <v>46010</v>
      </c>
      <c r="G3634" s="13">
        <v>645</v>
      </c>
      <c r="H3634" s="14">
        <v>0</v>
      </c>
      <c r="I3634" s="14">
        <v>0</v>
      </c>
      <c r="J3634" s="14">
        <v>0</v>
      </c>
      <c r="K3634" s="14">
        <v>645</v>
      </c>
      <c r="L3634" t="s">
        <v>794</v>
      </c>
      <c r="M3634">
        <f t="shared" si="56"/>
        <v>2025</v>
      </c>
    </row>
    <row r="3635" spans="1:13" ht="12.75" hidden="1" customHeight="1">
      <c r="A3635" t="s">
        <v>829</v>
      </c>
      <c r="B3635" t="s">
        <v>231</v>
      </c>
      <c r="C3635" t="s">
        <v>731</v>
      </c>
      <c r="D3635" t="s">
        <v>873</v>
      </c>
      <c r="E3635" s="17">
        <v>46010</v>
      </c>
      <c r="F3635" s="17">
        <v>46010</v>
      </c>
      <c r="G3635" s="13">
        <v>65</v>
      </c>
      <c r="H3635" s="14">
        <v>0</v>
      </c>
      <c r="I3635" s="14">
        <v>0</v>
      </c>
      <c r="J3635" s="14">
        <v>0</v>
      </c>
      <c r="K3635" s="14">
        <v>65</v>
      </c>
      <c r="L3635" t="s">
        <v>794</v>
      </c>
      <c r="M3635">
        <f t="shared" si="56"/>
        <v>2025</v>
      </c>
    </row>
    <row r="3636" spans="1:13" ht="12.75" hidden="1" customHeight="1">
      <c r="A3636" t="s">
        <v>1306</v>
      </c>
      <c r="B3636" t="s">
        <v>442</v>
      </c>
      <c r="C3636" t="s">
        <v>731</v>
      </c>
      <c r="D3636" t="s">
        <v>873</v>
      </c>
      <c r="E3636" s="17">
        <v>46010</v>
      </c>
      <c r="F3636" s="17">
        <v>46010</v>
      </c>
      <c r="G3636" s="13">
        <v>194</v>
      </c>
      <c r="H3636" s="14">
        <v>0</v>
      </c>
      <c r="I3636" s="14">
        <v>0</v>
      </c>
      <c r="J3636" s="14">
        <v>0</v>
      </c>
      <c r="K3636" s="14">
        <v>194</v>
      </c>
      <c r="L3636" t="s">
        <v>794</v>
      </c>
      <c r="M3636">
        <f t="shared" si="56"/>
        <v>2025</v>
      </c>
    </row>
    <row r="3637" spans="1:13" ht="12.75" hidden="1" customHeight="1">
      <c r="A3637" t="s">
        <v>1196</v>
      </c>
      <c r="B3637" t="s">
        <v>1197</v>
      </c>
      <c r="C3637" t="s">
        <v>731</v>
      </c>
      <c r="D3637" t="s">
        <v>873</v>
      </c>
      <c r="E3637" s="17">
        <v>46010</v>
      </c>
      <c r="F3637" s="17">
        <v>46010</v>
      </c>
      <c r="G3637" s="13">
        <v>638</v>
      </c>
      <c r="H3637" s="14">
        <v>0</v>
      </c>
      <c r="I3637" s="14">
        <v>0</v>
      </c>
      <c r="J3637" s="14">
        <v>0</v>
      </c>
      <c r="K3637" s="14">
        <v>638</v>
      </c>
      <c r="L3637" t="s">
        <v>794</v>
      </c>
      <c r="M3637">
        <f t="shared" si="56"/>
        <v>2025</v>
      </c>
    </row>
    <row r="3638" spans="1:13" ht="12.75" hidden="1" customHeight="1">
      <c r="A3638" t="s">
        <v>1317</v>
      </c>
      <c r="B3638" t="s">
        <v>64</v>
      </c>
      <c r="C3638" t="s">
        <v>731</v>
      </c>
      <c r="D3638" t="s">
        <v>873</v>
      </c>
      <c r="E3638" s="17">
        <v>46010</v>
      </c>
      <c r="F3638" s="17">
        <v>46010</v>
      </c>
      <c r="G3638" s="13">
        <v>129</v>
      </c>
      <c r="H3638" s="14">
        <v>0</v>
      </c>
      <c r="I3638" s="14">
        <v>0</v>
      </c>
      <c r="J3638" s="14">
        <v>0</v>
      </c>
      <c r="K3638" s="14">
        <v>129</v>
      </c>
      <c r="L3638" t="s">
        <v>794</v>
      </c>
      <c r="M3638">
        <f t="shared" si="56"/>
        <v>2025</v>
      </c>
    </row>
    <row r="3639" spans="1:13" ht="12.75" hidden="1" customHeight="1">
      <c r="A3639" t="s">
        <v>818</v>
      </c>
      <c r="B3639" t="s">
        <v>30</v>
      </c>
      <c r="C3639" t="s">
        <v>731</v>
      </c>
      <c r="D3639" t="s">
        <v>873</v>
      </c>
      <c r="E3639" s="17">
        <v>46010</v>
      </c>
      <c r="F3639" s="17">
        <v>46010</v>
      </c>
      <c r="G3639" s="13">
        <v>770</v>
      </c>
      <c r="H3639" s="14">
        <v>0</v>
      </c>
      <c r="I3639" s="14">
        <v>0</v>
      </c>
      <c r="J3639" s="14">
        <v>0</v>
      </c>
      <c r="K3639" s="14">
        <v>770</v>
      </c>
      <c r="L3639" t="s">
        <v>794</v>
      </c>
      <c r="M3639">
        <f t="shared" si="56"/>
        <v>2025</v>
      </c>
    </row>
    <row r="3640" spans="1:13" ht="12.75" hidden="1" customHeight="1">
      <c r="A3640" t="s">
        <v>833</v>
      </c>
      <c r="B3640" t="s">
        <v>27</v>
      </c>
      <c r="C3640" t="s">
        <v>731</v>
      </c>
      <c r="D3640" t="s">
        <v>873</v>
      </c>
      <c r="E3640" s="17">
        <v>46010</v>
      </c>
      <c r="F3640" s="17">
        <v>46010</v>
      </c>
      <c r="G3640" s="13">
        <v>887</v>
      </c>
      <c r="H3640" s="14">
        <v>0</v>
      </c>
      <c r="I3640" s="14">
        <v>0</v>
      </c>
      <c r="J3640" s="14">
        <v>0</v>
      </c>
      <c r="K3640" s="14">
        <v>887</v>
      </c>
      <c r="L3640" t="s">
        <v>794</v>
      </c>
      <c r="M3640">
        <f t="shared" si="56"/>
        <v>2025</v>
      </c>
    </row>
    <row r="3641" spans="1:13" ht="12.75" hidden="1" customHeight="1">
      <c r="A3641" t="s">
        <v>1004</v>
      </c>
      <c r="B3641" t="s">
        <v>57</v>
      </c>
      <c r="C3641" t="s">
        <v>731</v>
      </c>
      <c r="D3641" t="s">
        <v>873</v>
      </c>
      <c r="E3641" s="17">
        <v>46010</v>
      </c>
      <c r="F3641" s="17">
        <v>46010</v>
      </c>
      <c r="G3641" s="13">
        <v>580</v>
      </c>
      <c r="H3641" s="14">
        <v>0</v>
      </c>
      <c r="I3641" s="14">
        <v>0</v>
      </c>
      <c r="J3641" s="14">
        <v>0</v>
      </c>
      <c r="K3641" s="14">
        <v>580</v>
      </c>
      <c r="L3641" t="s">
        <v>794</v>
      </c>
      <c r="M3641">
        <f t="shared" si="56"/>
        <v>2025</v>
      </c>
    </row>
    <row r="3642" spans="1:13" ht="12.75" hidden="1" customHeight="1">
      <c r="A3642" t="s">
        <v>1167</v>
      </c>
      <c r="B3642" t="s">
        <v>47</v>
      </c>
      <c r="C3642" t="s">
        <v>731</v>
      </c>
      <c r="D3642" t="s">
        <v>873</v>
      </c>
      <c r="E3642" s="17">
        <v>46010</v>
      </c>
      <c r="F3642" s="17">
        <v>46010</v>
      </c>
      <c r="G3642" s="13">
        <v>887</v>
      </c>
      <c r="H3642" s="14">
        <v>0</v>
      </c>
      <c r="I3642" s="14">
        <v>0</v>
      </c>
      <c r="J3642" s="14">
        <v>0</v>
      </c>
      <c r="K3642" s="14">
        <v>887</v>
      </c>
      <c r="L3642" t="s">
        <v>794</v>
      </c>
      <c r="M3642">
        <f t="shared" si="56"/>
        <v>2025</v>
      </c>
    </row>
    <row r="3643" spans="1:13" ht="12.75" hidden="1" customHeight="1">
      <c r="A3643" t="s">
        <v>961</v>
      </c>
      <c r="B3643" t="s">
        <v>41</v>
      </c>
      <c r="C3643" t="s">
        <v>731</v>
      </c>
      <c r="D3643" t="s">
        <v>873</v>
      </c>
      <c r="E3643" s="17">
        <v>46010</v>
      </c>
      <c r="F3643" s="17">
        <v>46010</v>
      </c>
      <c r="G3643" s="13">
        <v>645</v>
      </c>
      <c r="H3643" s="14">
        <v>0</v>
      </c>
      <c r="I3643" s="14">
        <v>0</v>
      </c>
      <c r="J3643" s="14">
        <v>0</v>
      </c>
      <c r="K3643" s="14">
        <v>645</v>
      </c>
      <c r="L3643" t="s">
        <v>794</v>
      </c>
      <c r="M3643">
        <f t="shared" si="56"/>
        <v>2025</v>
      </c>
    </row>
    <row r="3644" spans="1:13" ht="12.75" hidden="1" customHeight="1">
      <c r="A3644" t="s">
        <v>1316</v>
      </c>
      <c r="B3644" t="s">
        <v>59</v>
      </c>
      <c r="C3644" t="s">
        <v>731</v>
      </c>
      <c r="D3644" t="s">
        <v>873</v>
      </c>
      <c r="E3644" s="17">
        <v>46010</v>
      </c>
      <c r="F3644" s="17">
        <v>46010</v>
      </c>
      <c r="G3644" s="13">
        <v>129</v>
      </c>
      <c r="H3644" s="14">
        <v>0</v>
      </c>
      <c r="I3644" s="14">
        <v>0</v>
      </c>
      <c r="J3644" s="14">
        <v>0</v>
      </c>
      <c r="K3644" s="14">
        <v>129</v>
      </c>
      <c r="L3644" t="s">
        <v>794</v>
      </c>
      <c r="M3644">
        <f t="shared" si="56"/>
        <v>2025</v>
      </c>
    </row>
    <row r="3645" spans="1:13" ht="12.75" hidden="1" customHeight="1">
      <c r="A3645" t="s">
        <v>814</v>
      </c>
      <c r="B3645" t="s">
        <v>56</v>
      </c>
      <c r="C3645" t="s">
        <v>731</v>
      </c>
      <c r="D3645" t="s">
        <v>873</v>
      </c>
      <c r="E3645" s="17">
        <v>46010</v>
      </c>
      <c r="F3645" s="17">
        <v>46010</v>
      </c>
      <c r="G3645" s="13">
        <v>770</v>
      </c>
      <c r="H3645" s="14">
        <v>0</v>
      </c>
      <c r="I3645" s="14">
        <v>0</v>
      </c>
      <c r="J3645" s="14">
        <v>0</v>
      </c>
      <c r="K3645" s="14">
        <v>770</v>
      </c>
      <c r="L3645" t="s">
        <v>794</v>
      </c>
      <c r="M3645">
        <f t="shared" si="56"/>
        <v>2025</v>
      </c>
    </row>
    <row r="3646" spans="1:13" ht="12.75" hidden="1" customHeight="1">
      <c r="A3646" t="s">
        <v>1141</v>
      </c>
      <c r="B3646" t="s">
        <v>69</v>
      </c>
      <c r="C3646" t="s">
        <v>731</v>
      </c>
      <c r="D3646" t="s">
        <v>873</v>
      </c>
      <c r="E3646" s="17">
        <v>46010</v>
      </c>
      <c r="F3646" s="17">
        <v>46010</v>
      </c>
      <c r="G3646" s="13">
        <v>451</v>
      </c>
      <c r="H3646" s="14">
        <v>0</v>
      </c>
      <c r="I3646" s="14">
        <v>0</v>
      </c>
      <c r="J3646" s="14">
        <v>0</v>
      </c>
      <c r="K3646" s="14">
        <v>451</v>
      </c>
      <c r="L3646" t="s">
        <v>794</v>
      </c>
      <c r="M3646">
        <f t="shared" si="56"/>
        <v>2025</v>
      </c>
    </row>
    <row r="3647" spans="1:13" ht="12.75" hidden="1" customHeight="1">
      <c r="A3647" t="s">
        <v>957</v>
      </c>
      <c r="B3647" t="s">
        <v>236</v>
      </c>
      <c r="C3647" t="s">
        <v>731</v>
      </c>
      <c r="D3647" t="s">
        <v>873</v>
      </c>
      <c r="E3647" s="17">
        <v>46010</v>
      </c>
      <c r="F3647" s="17">
        <v>46010</v>
      </c>
      <c r="G3647" s="13">
        <v>770</v>
      </c>
      <c r="H3647" s="14">
        <v>0</v>
      </c>
      <c r="I3647" s="14">
        <v>0</v>
      </c>
      <c r="J3647" s="14">
        <v>0</v>
      </c>
      <c r="K3647" s="14">
        <v>770</v>
      </c>
      <c r="L3647" t="s">
        <v>794</v>
      </c>
      <c r="M3647">
        <f t="shared" si="56"/>
        <v>2025</v>
      </c>
    </row>
    <row r="3648" spans="1:13" ht="12.75" hidden="1" customHeight="1">
      <c r="A3648" t="s">
        <v>826</v>
      </c>
      <c r="B3648" t="s">
        <v>21</v>
      </c>
      <c r="C3648" t="s">
        <v>731</v>
      </c>
      <c r="D3648" t="s">
        <v>873</v>
      </c>
      <c r="E3648" s="17">
        <v>46010</v>
      </c>
      <c r="F3648" s="17">
        <v>46010</v>
      </c>
      <c r="G3648" s="13">
        <v>1102</v>
      </c>
      <c r="H3648" s="14">
        <v>0</v>
      </c>
      <c r="I3648" s="14">
        <v>0</v>
      </c>
      <c r="J3648" s="14">
        <v>0</v>
      </c>
      <c r="K3648" s="14">
        <v>1102</v>
      </c>
      <c r="L3648" t="s">
        <v>794</v>
      </c>
      <c r="M3648">
        <f t="shared" si="56"/>
        <v>2025</v>
      </c>
    </row>
    <row r="3649" spans="1:13" ht="12.75" hidden="1" customHeight="1">
      <c r="A3649" t="s">
        <v>1134</v>
      </c>
      <c r="B3649" t="s">
        <v>33</v>
      </c>
      <c r="C3649" t="s">
        <v>731</v>
      </c>
      <c r="D3649" t="s">
        <v>873</v>
      </c>
      <c r="E3649" s="17">
        <v>46010</v>
      </c>
      <c r="F3649" s="17">
        <v>46010</v>
      </c>
      <c r="G3649" s="13">
        <v>387</v>
      </c>
      <c r="H3649" s="14">
        <v>0</v>
      </c>
      <c r="I3649" s="14">
        <v>0</v>
      </c>
      <c r="J3649" s="14">
        <v>0</v>
      </c>
      <c r="K3649" s="14">
        <v>387</v>
      </c>
      <c r="L3649" t="s">
        <v>794</v>
      </c>
      <c r="M3649">
        <f t="shared" si="56"/>
        <v>2025</v>
      </c>
    </row>
    <row r="3650" spans="1:13" ht="12.75" hidden="1" customHeight="1">
      <c r="A3650" t="s">
        <v>1181</v>
      </c>
      <c r="B3650" t="s">
        <v>75</v>
      </c>
      <c r="C3650" t="s">
        <v>731</v>
      </c>
      <c r="D3650" t="s">
        <v>873</v>
      </c>
      <c r="E3650" s="17">
        <v>46010</v>
      </c>
      <c r="F3650" s="17">
        <v>46010</v>
      </c>
      <c r="G3650" s="13">
        <v>323</v>
      </c>
      <c r="H3650" s="14">
        <v>0</v>
      </c>
      <c r="I3650" s="14">
        <v>0</v>
      </c>
      <c r="J3650" s="14">
        <v>0</v>
      </c>
      <c r="K3650" s="14">
        <v>323</v>
      </c>
      <c r="L3650" t="s">
        <v>794</v>
      </c>
      <c r="M3650">
        <f t="shared" si="56"/>
        <v>2025</v>
      </c>
    </row>
    <row r="3651" spans="1:13" ht="12.75" hidden="1" customHeight="1">
      <c r="A3651" t="s">
        <v>1104</v>
      </c>
      <c r="B3651" t="s">
        <v>53</v>
      </c>
      <c r="C3651" t="s">
        <v>731</v>
      </c>
      <c r="D3651" t="s">
        <v>873</v>
      </c>
      <c r="E3651" s="17">
        <v>46010</v>
      </c>
      <c r="F3651" s="17">
        <v>46010</v>
      </c>
      <c r="G3651" s="13">
        <v>580</v>
      </c>
      <c r="H3651" s="14">
        <v>0</v>
      </c>
      <c r="I3651" s="14">
        <v>0</v>
      </c>
      <c r="J3651" s="14">
        <v>0</v>
      </c>
      <c r="K3651" s="14">
        <v>580</v>
      </c>
      <c r="L3651" t="s">
        <v>794</v>
      </c>
      <c r="M3651">
        <f t="shared" ref="M3651:M3692" si="57">YEAR(F3651)</f>
        <v>2025</v>
      </c>
    </row>
    <row r="3652" spans="1:13" ht="12.75" hidden="1" customHeight="1">
      <c r="A3652" t="s">
        <v>1105</v>
      </c>
      <c r="B3652" t="s">
        <v>84</v>
      </c>
      <c r="C3652" t="s">
        <v>731</v>
      </c>
      <c r="D3652" t="s">
        <v>873</v>
      </c>
      <c r="E3652" s="17">
        <v>46010</v>
      </c>
      <c r="F3652" s="17">
        <v>46010</v>
      </c>
      <c r="G3652" s="13">
        <v>516</v>
      </c>
      <c r="H3652" s="14">
        <v>0</v>
      </c>
      <c r="I3652" s="14">
        <v>0</v>
      </c>
      <c r="J3652" s="14">
        <v>0</v>
      </c>
      <c r="K3652" s="14">
        <v>516</v>
      </c>
      <c r="L3652" t="s">
        <v>794</v>
      </c>
      <c r="M3652">
        <f t="shared" si="57"/>
        <v>2025</v>
      </c>
    </row>
    <row r="3653" spans="1:13" ht="12.75" hidden="1" customHeight="1">
      <c r="A3653" t="s">
        <v>801</v>
      </c>
      <c r="B3653" t="s">
        <v>13</v>
      </c>
      <c r="C3653" t="s">
        <v>726</v>
      </c>
      <c r="D3653" t="s">
        <v>873</v>
      </c>
      <c r="E3653" s="17">
        <v>46013</v>
      </c>
      <c r="F3653" s="17">
        <v>46013</v>
      </c>
      <c r="G3653" s="13">
        <v>2.04</v>
      </c>
      <c r="H3653" s="14">
        <v>0</v>
      </c>
      <c r="I3653" s="14">
        <v>0</v>
      </c>
      <c r="J3653" s="14">
        <v>0</v>
      </c>
      <c r="K3653" s="14">
        <v>2.04</v>
      </c>
      <c r="L3653" t="s">
        <v>794</v>
      </c>
      <c r="M3653">
        <f t="shared" si="57"/>
        <v>2025</v>
      </c>
    </row>
    <row r="3654" spans="1:13" ht="12.75" hidden="1" customHeight="1">
      <c r="A3654" t="s">
        <v>1105</v>
      </c>
      <c r="B3654" t="s">
        <v>84</v>
      </c>
      <c r="C3654" t="s">
        <v>141</v>
      </c>
      <c r="D3654" t="s">
        <v>873</v>
      </c>
      <c r="E3654" s="17">
        <v>46007</v>
      </c>
      <c r="F3654" s="17">
        <v>46013</v>
      </c>
      <c r="G3654" s="13">
        <v>150</v>
      </c>
      <c r="H3654" s="14">
        <v>0</v>
      </c>
      <c r="I3654" s="14">
        <v>0</v>
      </c>
      <c r="J3654" s="14">
        <v>0</v>
      </c>
      <c r="K3654" s="14">
        <v>150</v>
      </c>
      <c r="L3654" t="s">
        <v>794</v>
      </c>
      <c r="M3654">
        <f t="shared" si="57"/>
        <v>2025</v>
      </c>
    </row>
    <row r="3655" spans="1:13" ht="12.75" hidden="1" customHeight="1">
      <c r="A3655" t="s">
        <v>1391</v>
      </c>
      <c r="B3655" t="s">
        <v>367</v>
      </c>
      <c r="C3655" t="s">
        <v>99</v>
      </c>
      <c r="D3655" t="s">
        <v>873</v>
      </c>
      <c r="E3655" s="17">
        <v>46013</v>
      </c>
      <c r="F3655" s="17">
        <v>46013</v>
      </c>
      <c r="G3655" s="13">
        <v>648</v>
      </c>
      <c r="H3655" s="14">
        <v>0</v>
      </c>
      <c r="I3655" s="14">
        <v>0</v>
      </c>
      <c r="J3655" s="14">
        <v>0</v>
      </c>
      <c r="K3655" s="14">
        <v>648</v>
      </c>
      <c r="L3655" t="s">
        <v>843</v>
      </c>
      <c r="M3655">
        <f t="shared" si="57"/>
        <v>2025</v>
      </c>
    </row>
    <row r="3656" spans="1:13" ht="12.75" hidden="1" customHeight="1">
      <c r="A3656" t="s">
        <v>1104</v>
      </c>
      <c r="B3656" t="s">
        <v>53</v>
      </c>
      <c r="C3656" t="s">
        <v>99</v>
      </c>
      <c r="D3656" t="s">
        <v>873</v>
      </c>
      <c r="E3656" s="17">
        <v>46013</v>
      </c>
      <c r="F3656" s="17">
        <v>46013</v>
      </c>
      <c r="G3656" s="13">
        <v>369.8</v>
      </c>
      <c r="H3656" s="14">
        <v>0</v>
      </c>
      <c r="I3656" s="14">
        <v>0</v>
      </c>
      <c r="J3656" s="14">
        <v>0</v>
      </c>
      <c r="K3656" s="14">
        <v>369.8</v>
      </c>
      <c r="L3656" t="s">
        <v>843</v>
      </c>
      <c r="M3656">
        <f t="shared" si="57"/>
        <v>2025</v>
      </c>
    </row>
    <row r="3657" spans="1:13" ht="12.75" hidden="1" customHeight="1">
      <c r="A3657" t="s">
        <v>1163</v>
      </c>
      <c r="B3657" t="s">
        <v>94</v>
      </c>
      <c r="C3657" t="s">
        <v>721</v>
      </c>
      <c r="D3657" t="s">
        <v>873</v>
      </c>
      <c r="E3657" s="17">
        <v>46013</v>
      </c>
      <c r="F3657" s="17">
        <v>46013</v>
      </c>
      <c r="G3657" s="13">
        <v>1500</v>
      </c>
      <c r="H3657" s="14">
        <v>0</v>
      </c>
      <c r="I3657" s="14">
        <v>0</v>
      </c>
      <c r="J3657" s="14">
        <v>0</v>
      </c>
      <c r="K3657" s="14">
        <v>1500</v>
      </c>
      <c r="L3657" t="s">
        <v>794</v>
      </c>
      <c r="M3657">
        <f t="shared" si="57"/>
        <v>2025</v>
      </c>
    </row>
    <row r="3658" spans="1:13" ht="12.75" hidden="1" customHeight="1">
      <c r="A3658" t="s">
        <v>981</v>
      </c>
      <c r="B3658" t="s">
        <v>55</v>
      </c>
      <c r="C3658" t="s">
        <v>99</v>
      </c>
      <c r="D3658" t="s">
        <v>873</v>
      </c>
      <c r="E3658" s="17">
        <v>46013</v>
      </c>
      <c r="F3658" s="17">
        <v>46013</v>
      </c>
      <c r="G3658" s="13">
        <v>500</v>
      </c>
      <c r="H3658" s="14">
        <v>0</v>
      </c>
      <c r="I3658" s="14">
        <v>0</v>
      </c>
      <c r="J3658" s="14">
        <v>0</v>
      </c>
      <c r="K3658" s="14">
        <v>500</v>
      </c>
      <c r="L3658" t="s">
        <v>843</v>
      </c>
      <c r="M3658">
        <f t="shared" si="57"/>
        <v>2025</v>
      </c>
    </row>
    <row r="3659" spans="1:13" ht="12.75" hidden="1" customHeight="1">
      <c r="A3659" t="s">
        <v>914</v>
      </c>
      <c r="B3659" t="s">
        <v>28</v>
      </c>
      <c r="C3659" t="s">
        <v>724</v>
      </c>
      <c r="D3659" t="s">
        <v>873</v>
      </c>
      <c r="E3659" s="17">
        <v>46010</v>
      </c>
      <c r="F3659" s="17">
        <v>46013</v>
      </c>
      <c r="G3659" s="13">
        <v>4714.87</v>
      </c>
      <c r="H3659" s="14">
        <v>0</v>
      </c>
      <c r="I3659" s="14">
        <v>0</v>
      </c>
      <c r="J3659" s="14">
        <v>0</v>
      </c>
      <c r="K3659" s="14">
        <v>4714.87</v>
      </c>
      <c r="L3659" t="s">
        <v>794</v>
      </c>
      <c r="M3659">
        <f t="shared" si="57"/>
        <v>2025</v>
      </c>
    </row>
    <row r="3660" spans="1:13" ht="12.75" hidden="1" customHeight="1">
      <c r="A3660" t="s">
        <v>914</v>
      </c>
      <c r="B3660" t="s">
        <v>28</v>
      </c>
      <c r="C3660" t="s">
        <v>724</v>
      </c>
      <c r="D3660" t="s">
        <v>873</v>
      </c>
      <c r="E3660" s="17">
        <v>46013</v>
      </c>
      <c r="F3660" s="17">
        <v>46013</v>
      </c>
      <c r="G3660" s="13">
        <v>252.06</v>
      </c>
      <c r="H3660" s="14">
        <v>0</v>
      </c>
      <c r="I3660" s="14">
        <v>0</v>
      </c>
      <c r="J3660" s="14">
        <v>0</v>
      </c>
      <c r="K3660" s="14">
        <v>252.06</v>
      </c>
      <c r="L3660" t="s">
        <v>794</v>
      </c>
      <c r="M3660">
        <f t="shared" si="57"/>
        <v>2025</v>
      </c>
    </row>
    <row r="3661" spans="1:13" ht="12.75" hidden="1" customHeight="1">
      <c r="A3661" t="s">
        <v>981</v>
      </c>
      <c r="B3661" t="s">
        <v>55</v>
      </c>
      <c r="C3661" t="s">
        <v>733</v>
      </c>
      <c r="D3661" t="s">
        <v>873</v>
      </c>
      <c r="E3661" s="17">
        <v>46013</v>
      </c>
      <c r="F3661" s="17">
        <v>46013</v>
      </c>
      <c r="G3661" s="13">
        <v>150</v>
      </c>
      <c r="H3661" s="14">
        <v>0</v>
      </c>
      <c r="I3661" s="14">
        <v>0</v>
      </c>
      <c r="J3661" s="14">
        <v>0</v>
      </c>
      <c r="K3661" s="14">
        <v>150</v>
      </c>
      <c r="L3661" t="s">
        <v>843</v>
      </c>
      <c r="M3661">
        <f t="shared" si="57"/>
        <v>2025</v>
      </c>
    </row>
    <row r="3662" spans="1:13" ht="12.75" hidden="1" customHeight="1">
      <c r="A3662" t="s">
        <v>801</v>
      </c>
      <c r="B3662" t="s">
        <v>13</v>
      </c>
      <c r="C3662" t="s">
        <v>726</v>
      </c>
      <c r="D3662" t="s">
        <v>873</v>
      </c>
      <c r="E3662" s="17">
        <v>46014</v>
      </c>
      <c r="F3662" s="17">
        <v>46014</v>
      </c>
      <c r="G3662" s="13">
        <v>8.16</v>
      </c>
      <c r="H3662" s="14">
        <v>0</v>
      </c>
      <c r="I3662" s="14">
        <v>0</v>
      </c>
      <c r="J3662" s="14">
        <v>0</v>
      </c>
      <c r="K3662" s="14">
        <v>8.16</v>
      </c>
      <c r="L3662" t="s">
        <v>794</v>
      </c>
      <c r="M3662">
        <f t="shared" si="57"/>
        <v>2025</v>
      </c>
    </row>
    <row r="3663" spans="1:13" ht="12.75" hidden="1" customHeight="1">
      <c r="A3663" t="s">
        <v>1305</v>
      </c>
      <c r="B3663" t="s">
        <v>96</v>
      </c>
      <c r="C3663" t="s">
        <v>183</v>
      </c>
      <c r="D3663" t="s">
        <v>873</v>
      </c>
      <c r="E3663" s="17">
        <v>46014</v>
      </c>
      <c r="F3663" s="17">
        <v>46014</v>
      </c>
      <c r="G3663" s="13">
        <v>81.72</v>
      </c>
      <c r="H3663" s="14">
        <v>0</v>
      </c>
      <c r="I3663" s="14">
        <v>0</v>
      </c>
      <c r="J3663" s="14">
        <v>0</v>
      </c>
      <c r="K3663" s="14">
        <v>81.72</v>
      </c>
      <c r="L3663" t="s">
        <v>794</v>
      </c>
      <c r="M3663">
        <f t="shared" si="57"/>
        <v>2025</v>
      </c>
    </row>
    <row r="3664" spans="1:13" ht="12.75" hidden="1" customHeight="1">
      <c r="A3664" t="s">
        <v>839</v>
      </c>
      <c r="B3664" t="s">
        <v>44</v>
      </c>
      <c r="C3664" t="s">
        <v>722</v>
      </c>
      <c r="D3664" t="s">
        <v>873</v>
      </c>
      <c r="E3664" s="17">
        <v>46014</v>
      </c>
      <c r="F3664" s="17">
        <v>46014</v>
      </c>
      <c r="G3664" s="13">
        <v>960.42000000000007</v>
      </c>
      <c r="H3664" s="14">
        <v>0</v>
      </c>
      <c r="I3664" s="14">
        <v>0</v>
      </c>
      <c r="J3664" s="14">
        <v>0</v>
      </c>
      <c r="K3664" s="14">
        <v>960.42000000000007</v>
      </c>
      <c r="L3664" t="s">
        <v>794</v>
      </c>
      <c r="M3664">
        <f t="shared" si="57"/>
        <v>2025</v>
      </c>
    </row>
    <row r="3665" spans="1:13" ht="12.75" hidden="1" customHeight="1">
      <c r="A3665" t="s">
        <v>839</v>
      </c>
      <c r="B3665" t="s">
        <v>44</v>
      </c>
      <c r="C3665" t="s">
        <v>722</v>
      </c>
      <c r="D3665" t="s">
        <v>873</v>
      </c>
      <c r="E3665" s="17">
        <v>46014</v>
      </c>
      <c r="F3665" s="17">
        <v>46014</v>
      </c>
      <c r="G3665" s="13">
        <v>807.08</v>
      </c>
      <c r="H3665" s="14">
        <v>0</v>
      </c>
      <c r="I3665" s="14">
        <v>0</v>
      </c>
      <c r="J3665" s="14">
        <v>0</v>
      </c>
      <c r="K3665" s="14">
        <v>807.08</v>
      </c>
      <c r="L3665" t="s">
        <v>794</v>
      </c>
      <c r="M3665">
        <f t="shared" si="57"/>
        <v>2025</v>
      </c>
    </row>
    <row r="3666" spans="1:13" ht="12.75" hidden="1" customHeight="1">
      <c r="A3666" t="s">
        <v>839</v>
      </c>
      <c r="B3666" t="s">
        <v>44</v>
      </c>
      <c r="C3666" t="s">
        <v>722</v>
      </c>
      <c r="D3666" t="s">
        <v>873</v>
      </c>
      <c r="E3666" s="17">
        <v>46014</v>
      </c>
      <c r="F3666" s="17">
        <v>46014</v>
      </c>
      <c r="G3666" s="13">
        <v>586.44000000000005</v>
      </c>
      <c r="H3666" s="14">
        <v>0</v>
      </c>
      <c r="I3666" s="14">
        <v>0</v>
      </c>
      <c r="J3666" s="14">
        <v>0</v>
      </c>
      <c r="K3666" s="14">
        <v>586.44000000000005</v>
      </c>
      <c r="L3666" t="s">
        <v>794</v>
      </c>
      <c r="M3666">
        <f t="shared" si="57"/>
        <v>2025</v>
      </c>
    </row>
    <row r="3667" spans="1:13" ht="12.75" hidden="1" customHeight="1">
      <c r="A3667" t="s">
        <v>1392</v>
      </c>
      <c r="B3667" t="s">
        <v>541</v>
      </c>
      <c r="C3667" t="s">
        <v>452</v>
      </c>
      <c r="D3667" t="s">
        <v>873</v>
      </c>
      <c r="E3667" s="17">
        <v>46015</v>
      </c>
      <c r="F3667" s="17">
        <v>46015</v>
      </c>
      <c r="G3667" s="13">
        <v>99</v>
      </c>
      <c r="H3667" s="14">
        <v>0</v>
      </c>
      <c r="I3667" s="14">
        <v>0</v>
      </c>
      <c r="J3667" s="14">
        <v>0</v>
      </c>
      <c r="K3667" s="14">
        <v>99</v>
      </c>
      <c r="L3667" t="s">
        <v>794</v>
      </c>
      <c r="M3667">
        <f t="shared" si="57"/>
        <v>2025</v>
      </c>
    </row>
    <row r="3668" spans="1:13" ht="12.75" hidden="1" customHeight="1">
      <c r="A3668" t="s">
        <v>801</v>
      </c>
      <c r="B3668" t="s">
        <v>13</v>
      </c>
      <c r="C3668" t="s">
        <v>726</v>
      </c>
      <c r="D3668" t="s">
        <v>873</v>
      </c>
      <c r="E3668" s="17">
        <v>46015</v>
      </c>
      <c r="F3668" s="17">
        <v>46015</v>
      </c>
      <c r="G3668" s="13">
        <v>2.04</v>
      </c>
      <c r="H3668" s="14">
        <v>0</v>
      </c>
      <c r="I3668" s="14">
        <v>0</v>
      </c>
      <c r="J3668" s="14">
        <v>0</v>
      </c>
      <c r="K3668" s="14">
        <v>2.04</v>
      </c>
      <c r="L3668" t="s">
        <v>794</v>
      </c>
      <c r="M3668">
        <f t="shared" si="57"/>
        <v>2025</v>
      </c>
    </row>
    <row r="3669" spans="1:13" ht="12.75" hidden="1" customHeight="1">
      <c r="A3669" t="s">
        <v>801</v>
      </c>
      <c r="B3669" t="s">
        <v>13</v>
      </c>
      <c r="C3669" t="s">
        <v>726</v>
      </c>
      <c r="D3669" t="s">
        <v>873</v>
      </c>
      <c r="E3669" s="17">
        <v>46015</v>
      </c>
      <c r="F3669" s="17">
        <v>46015</v>
      </c>
      <c r="G3669" s="13">
        <v>4.08</v>
      </c>
      <c r="H3669" s="14">
        <v>0</v>
      </c>
      <c r="I3669" s="14">
        <v>0</v>
      </c>
      <c r="J3669" s="14">
        <v>0</v>
      </c>
      <c r="K3669" s="14">
        <v>4.08</v>
      </c>
      <c r="L3669" t="s">
        <v>794</v>
      </c>
      <c r="M3669">
        <f t="shared" si="57"/>
        <v>2025</v>
      </c>
    </row>
    <row r="3670" spans="1:13" ht="12.75" hidden="1" customHeight="1">
      <c r="A3670" t="s">
        <v>801</v>
      </c>
      <c r="B3670" t="s">
        <v>13</v>
      </c>
      <c r="C3670" t="s">
        <v>726</v>
      </c>
      <c r="D3670" t="s">
        <v>873</v>
      </c>
      <c r="E3670" s="17">
        <v>46017</v>
      </c>
      <c r="F3670" s="17">
        <v>46017</v>
      </c>
      <c r="G3670" s="13">
        <v>2.04</v>
      </c>
      <c r="H3670" s="14">
        <v>0</v>
      </c>
      <c r="I3670" s="14">
        <v>0</v>
      </c>
      <c r="J3670" s="14">
        <v>0</v>
      </c>
      <c r="K3670" s="14">
        <v>2.04</v>
      </c>
      <c r="L3670" t="s">
        <v>794</v>
      </c>
      <c r="M3670">
        <f t="shared" si="57"/>
        <v>2025</v>
      </c>
    </row>
    <row r="3671" spans="1:13" ht="12.75" hidden="1" customHeight="1">
      <c r="A3671" t="s">
        <v>801</v>
      </c>
      <c r="B3671" t="s">
        <v>13</v>
      </c>
      <c r="C3671" t="s">
        <v>717</v>
      </c>
      <c r="D3671" t="s">
        <v>873</v>
      </c>
      <c r="E3671" s="17">
        <v>46017</v>
      </c>
      <c r="F3671" s="17">
        <v>46017</v>
      </c>
      <c r="G3671" s="13">
        <v>1953</v>
      </c>
      <c r="H3671" s="14">
        <v>0</v>
      </c>
      <c r="I3671" s="14">
        <v>0</v>
      </c>
      <c r="J3671" s="14">
        <v>0</v>
      </c>
      <c r="K3671" s="14">
        <v>1953</v>
      </c>
      <c r="L3671" t="s">
        <v>794</v>
      </c>
      <c r="M3671">
        <f t="shared" si="57"/>
        <v>2025</v>
      </c>
    </row>
    <row r="3672" spans="1:13" ht="12.75" hidden="1" customHeight="1">
      <c r="A3672" t="s">
        <v>801</v>
      </c>
      <c r="B3672" t="s">
        <v>13</v>
      </c>
      <c r="C3672" t="s">
        <v>717</v>
      </c>
      <c r="D3672" t="s">
        <v>873</v>
      </c>
      <c r="E3672" s="17">
        <v>46017</v>
      </c>
      <c r="F3672" s="17">
        <v>46017</v>
      </c>
      <c r="G3672" s="13">
        <v>2215.25</v>
      </c>
      <c r="H3672" s="14">
        <v>0</v>
      </c>
      <c r="I3672" s="14">
        <v>0</v>
      </c>
      <c r="J3672" s="14">
        <v>0</v>
      </c>
      <c r="K3672" s="14">
        <v>2215.25</v>
      </c>
      <c r="L3672" t="s">
        <v>794</v>
      </c>
      <c r="M3672">
        <f t="shared" si="57"/>
        <v>2025</v>
      </c>
    </row>
    <row r="3673" spans="1:13" ht="12.75" hidden="1" customHeight="1">
      <c r="A3673" t="s">
        <v>914</v>
      </c>
      <c r="B3673" t="s">
        <v>28</v>
      </c>
      <c r="C3673" t="s">
        <v>724</v>
      </c>
      <c r="D3673" t="s">
        <v>873</v>
      </c>
      <c r="E3673" s="17">
        <v>46013</v>
      </c>
      <c r="F3673" s="17">
        <v>46020</v>
      </c>
      <c r="G3673" s="13">
        <v>547.38</v>
      </c>
      <c r="H3673" s="14">
        <v>0</v>
      </c>
      <c r="I3673" s="14">
        <v>0</v>
      </c>
      <c r="J3673" s="14">
        <v>0</v>
      </c>
      <c r="K3673" s="14">
        <v>547.38</v>
      </c>
      <c r="L3673" t="s">
        <v>794</v>
      </c>
      <c r="M3673">
        <f t="shared" si="57"/>
        <v>2025</v>
      </c>
    </row>
    <row r="3674" spans="1:13" ht="12.75" hidden="1" customHeight="1">
      <c r="A3674" t="s">
        <v>895</v>
      </c>
      <c r="B3674" t="s">
        <v>155</v>
      </c>
      <c r="C3674" t="s">
        <v>384</v>
      </c>
      <c r="D3674" t="s">
        <v>873</v>
      </c>
      <c r="E3674" s="17">
        <v>46016</v>
      </c>
      <c r="F3674" s="17">
        <v>46020</v>
      </c>
      <c r="G3674" s="13">
        <v>390</v>
      </c>
      <c r="H3674" s="14">
        <v>0</v>
      </c>
      <c r="I3674" s="14">
        <v>0</v>
      </c>
      <c r="J3674" s="14">
        <v>0</v>
      </c>
      <c r="K3674" s="14">
        <v>434.19</v>
      </c>
      <c r="L3674" t="s">
        <v>794</v>
      </c>
      <c r="M3674">
        <f t="shared" si="57"/>
        <v>2025</v>
      </c>
    </row>
    <row r="3675" spans="1:13" ht="12.75" hidden="1" customHeight="1">
      <c r="A3675" t="s">
        <v>1225</v>
      </c>
      <c r="B3675" t="s">
        <v>225</v>
      </c>
      <c r="C3675" t="s">
        <v>723</v>
      </c>
      <c r="D3675" t="s">
        <v>873</v>
      </c>
      <c r="E3675" s="17">
        <v>46011</v>
      </c>
      <c r="F3675" s="17">
        <v>46020</v>
      </c>
      <c r="G3675" s="13">
        <v>1000</v>
      </c>
      <c r="H3675" s="14">
        <v>0</v>
      </c>
      <c r="I3675" s="14">
        <v>0</v>
      </c>
      <c r="J3675" s="14">
        <v>0</v>
      </c>
      <c r="K3675" s="14">
        <v>1126.6400000000001</v>
      </c>
      <c r="L3675" t="s">
        <v>794</v>
      </c>
      <c r="M3675">
        <f t="shared" si="57"/>
        <v>2025</v>
      </c>
    </row>
    <row r="3676" spans="1:13" ht="12.75" hidden="1" customHeight="1">
      <c r="A3676" t="s">
        <v>935</v>
      </c>
      <c r="B3676" t="s">
        <v>158</v>
      </c>
      <c r="C3676" t="s">
        <v>741</v>
      </c>
      <c r="D3676" t="s">
        <v>873</v>
      </c>
      <c r="E3676" s="17">
        <v>46016</v>
      </c>
      <c r="F3676" s="17">
        <v>46020</v>
      </c>
      <c r="G3676" s="13">
        <v>370</v>
      </c>
      <c r="H3676" s="14">
        <v>0</v>
      </c>
      <c r="I3676" s="14">
        <v>0</v>
      </c>
      <c r="J3676" s="14">
        <v>0</v>
      </c>
      <c r="K3676" s="14">
        <v>377.22</v>
      </c>
      <c r="L3676" t="s">
        <v>794</v>
      </c>
      <c r="M3676">
        <f t="shared" si="57"/>
        <v>2025</v>
      </c>
    </row>
    <row r="3677" spans="1:13" ht="12.75" hidden="1" customHeight="1">
      <c r="A3677" t="s">
        <v>1069</v>
      </c>
      <c r="B3677" t="s">
        <v>147</v>
      </c>
      <c r="C3677" t="s">
        <v>738</v>
      </c>
      <c r="D3677" t="s">
        <v>873</v>
      </c>
      <c r="E3677" s="17">
        <v>46011</v>
      </c>
      <c r="F3677" s="17">
        <v>46020</v>
      </c>
      <c r="G3677" s="13">
        <v>350</v>
      </c>
      <c r="H3677" s="14">
        <v>0</v>
      </c>
      <c r="I3677" s="14">
        <v>0</v>
      </c>
      <c r="J3677" s="14">
        <v>0</v>
      </c>
      <c r="K3677" s="14">
        <v>359.07</v>
      </c>
      <c r="L3677" t="s">
        <v>794</v>
      </c>
      <c r="M3677">
        <f t="shared" si="57"/>
        <v>2025</v>
      </c>
    </row>
    <row r="3678" spans="1:13" ht="12.75" hidden="1" customHeight="1">
      <c r="A3678" t="s">
        <v>1380</v>
      </c>
      <c r="B3678" t="s">
        <v>364</v>
      </c>
      <c r="C3678" t="s">
        <v>558</v>
      </c>
      <c r="D3678" t="s">
        <v>873</v>
      </c>
      <c r="E3678" s="17">
        <v>46020</v>
      </c>
      <c r="F3678" s="17">
        <v>46020</v>
      </c>
      <c r="G3678" s="13">
        <v>55.1</v>
      </c>
      <c r="H3678" s="14">
        <v>0</v>
      </c>
      <c r="I3678" s="14">
        <v>0</v>
      </c>
      <c r="J3678" s="14">
        <v>0</v>
      </c>
      <c r="K3678" s="14">
        <v>55.1</v>
      </c>
      <c r="L3678" t="s">
        <v>794</v>
      </c>
      <c r="M3678">
        <f t="shared" si="57"/>
        <v>2025</v>
      </c>
    </row>
    <row r="3679" spans="1:13" ht="12.75" hidden="1" customHeight="1">
      <c r="A3679" t="s">
        <v>801</v>
      </c>
      <c r="B3679" t="s">
        <v>13</v>
      </c>
      <c r="C3679" t="s">
        <v>726</v>
      </c>
      <c r="D3679" t="s">
        <v>873</v>
      </c>
      <c r="E3679" s="17">
        <v>46020</v>
      </c>
      <c r="F3679" s="17">
        <v>46020</v>
      </c>
      <c r="G3679" s="13">
        <v>4.08</v>
      </c>
      <c r="H3679" s="14">
        <v>0</v>
      </c>
      <c r="I3679" s="14">
        <v>0</v>
      </c>
      <c r="J3679" s="14">
        <v>0</v>
      </c>
      <c r="K3679" s="14">
        <v>4.08</v>
      </c>
      <c r="L3679" t="s">
        <v>794</v>
      </c>
      <c r="M3679">
        <f t="shared" si="57"/>
        <v>2025</v>
      </c>
    </row>
    <row r="3680" spans="1:13" ht="12.75" hidden="1" customHeight="1">
      <c r="A3680" t="s">
        <v>801</v>
      </c>
      <c r="B3680" t="s">
        <v>13</v>
      </c>
      <c r="C3680" t="s">
        <v>726</v>
      </c>
      <c r="D3680" t="s">
        <v>873</v>
      </c>
      <c r="E3680" s="17">
        <v>46020</v>
      </c>
      <c r="F3680" s="17">
        <v>46020</v>
      </c>
      <c r="G3680" s="13">
        <v>14.280000000000001</v>
      </c>
      <c r="H3680" s="14">
        <v>0</v>
      </c>
      <c r="I3680" s="14">
        <v>0</v>
      </c>
      <c r="J3680" s="14">
        <v>0</v>
      </c>
      <c r="K3680" s="14">
        <v>14.280000000000001</v>
      </c>
      <c r="L3680" t="s">
        <v>794</v>
      </c>
      <c r="M3680">
        <f t="shared" si="57"/>
        <v>2025</v>
      </c>
    </row>
    <row r="3681" spans="1:13" ht="12.75" hidden="1" customHeight="1">
      <c r="A3681" t="s">
        <v>1393</v>
      </c>
      <c r="B3681" t="s">
        <v>424</v>
      </c>
      <c r="C3681" t="s">
        <v>438</v>
      </c>
      <c r="D3681" t="s">
        <v>873</v>
      </c>
      <c r="E3681" s="17">
        <v>46020</v>
      </c>
      <c r="F3681" s="17">
        <v>46020</v>
      </c>
      <c r="G3681" s="13">
        <v>345.90000000000003</v>
      </c>
      <c r="H3681" s="14">
        <v>0</v>
      </c>
      <c r="I3681" s="14">
        <v>0</v>
      </c>
      <c r="J3681" s="14">
        <v>0</v>
      </c>
      <c r="K3681" s="14">
        <v>345.90000000000003</v>
      </c>
      <c r="L3681" t="s">
        <v>794</v>
      </c>
      <c r="M3681">
        <f t="shared" si="57"/>
        <v>2025</v>
      </c>
    </row>
    <row r="3682" spans="1:13" ht="12.75" hidden="1" customHeight="1">
      <c r="A3682" t="s">
        <v>801</v>
      </c>
      <c r="B3682" t="s">
        <v>13</v>
      </c>
      <c r="C3682" t="s">
        <v>718</v>
      </c>
      <c r="D3682" t="s">
        <v>873</v>
      </c>
      <c r="E3682" s="17">
        <v>46021</v>
      </c>
      <c r="F3682" s="17">
        <v>46021</v>
      </c>
      <c r="G3682" s="13">
        <v>13710.130000000001</v>
      </c>
      <c r="H3682" s="14">
        <v>0</v>
      </c>
      <c r="I3682" s="14">
        <v>0</v>
      </c>
      <c r="J3682" s="14">
        <v>0</v>
      </c>
      <c r="K3682" s="14">
        <v>11910</v>
      </c>
      <c r="L3682" t="s">
        <v>794</v>
      </c>
      <c r="M3682">
        <f t="shared" si="57"/>
        <v>2025</v>
      </c>
    </row>
    <row r="3683" spans="1:13" ht="12.75" hidden="1" customHeight="1">
      <c r="A3683" t="s">
        <v>888</v>
      </c>
      <c r="B3683" t="s">
        <v>16</v>
      </c>
      <c r="C3683" t="s">
        <v>716</v>
      </c>
      <c r="D3683" t="s">
        <v>873</v>
      </c>
      <c r="E3683" s="17">
        <v>46006</v>
      </c>
      <c r="F3683" s="17">
        <v>46021</v>
      </c>
      <c r="G3683" s="13">
        <v>10312.460000000001</v>
      </c>
      <c r="H3683" s="14">
        <v>0</v>
      </c>
      <c r="I3683" s="14">
        <v>0</v>
      </c>
      <c r="J3683" s="14">
        <v>0</v>
      </c>
      <c r="K3683" s="14">
        <v>10312.460000000001</v>
      </c>
      <c r="L3683" t="s">
        <v>794</v>
      </c>
      <c r="M3683">
        <f t="shared" si="57"/>
        <v>2025</v>
      </c>
    </row>
    <row r="3684" spans="1:13" ht="12.75" hidden="1" customHeight="1">
      <c r="A3684" t="s">
        <v>879</v>
      </c>
      <c r="B3684" t="s">
        <v>23</v>
      </c>
      <c r="C3684" t="s">
        <v>713</v>
      </c>
      <c r="D3684" t="s">
        <v>873</v>
      </c>
      <c r="E3684" s="17">
        <v>46006</v>
      </c>
      <c r="F3684" s="17">
        <v>46021</v>
      </c>
      <c r="G3684" s="13">
        <v>3084.76</v>
      </c>
      <c r="H3684" s="14">
        <v>0</v>
      </c>
      <c r="I3684" s="14">
        <v>0</v>
      </c>
      <c r="J3684" s="14">
        <v>0</v>
      </c>
      <c r="K3684" s="14">
        <v>3084.76</v>
      </c>
      <c r="L3684" t="s">
        <v>794</v>
      </c>
      <c r="M3684">
        <f t="shared" si="57"/>
        <v>2025</v>
      </c>
    </row>
    <row r="3685" spans="1:13" ht="12.75" hidden="1" customHeight="1">
      <c r="A3685" t="s">
        <v>801</v>
      </c>
      <c r="B3685" t="s">
        <v>13</v>
      </c>
      <c r="C3685" t="s">
        <v>726</v>
      </c>
      <c r="D3685" t="s">
        <v>873</v>
      </c>
      <c r="E3685" s="17">
        <v>46020</v>
      </c>
      <c r="F3685" s="17">
        <v>46021</v>
      </c>
      <c r="G3685" s="13">
        <v>12.24</v>
      </c>
      <c r="H3685" s="14">
        <v>0</v>
      </c>
      <c r="I3685" s="14">
        <v>0</v>
      </c>
      <c r="J3685" s="14">
        <v>0</v>
      </c>
      <c r="K3685" s="14">
        <v>12.24</v>
      </c>
      <c r="L3685" t="s">
        <v>794</v>
      </c>
      <c r="M3685">
        <f t="shared" si="57"/>
        <v>2025</v>
      </c>
    </row>
    <row r="3686" spans="1:13" ht="12.75" hidden="1" customHeight="1">
      <c r="A3686" t="s">
        <v>992</v>
      </c>
      <c r="B3686" t="s">
        <v>277</v>
      </c>
      <c r="C3686" t="s">
        <v>99</v>
      </c>
      <c r="D3686" t="s">
        <v>873</v>
      </c>
      <c r="E3686" s="17">
        <v>46021</v>
      </c>
      <c r="F3686" s="17">
        <v>46021</v>
      </c>
      <c r="G3686" s="13">
        <v>36.880000000000003</v>
      </c>
      <c r="H3686" s="14">
        <v>0</v>
      </c>
      <c r="I3686" s="14">
        <v>0</v>
      </c>
      <c r="J3686" s="14">
        <v>0</v>
      </c>
      <c r="K3686" s="14">
        <v>36.880000000000003</v>
      </c>
      <c r="L3686" t="s">
        <v>843</v>
      </c>
      <c r="M3686">
        <f t="shared" si="57"/>
        <v>2025</v>
      </c>
    </row>
    <row r="3687" spans="1:13" ht="12.75" hidden="1" customHeight="1">
      <c r="A3687" t="s">
        <v>907</v>
      </c>
      <c r="B3687" t="s">
        <v>291</v>
      </c>
      <c r="C3687" t="s">
        <v>483</v>
      </c>
      <c r="D3687" t="s">
        <v>873</v>
      </c>
      <c r="E3687" s="17">
        <v>46021</v>
      </c>
      <c r="F3687" s="17">
        <v>46021</v>
      </c>
      <c r="G3687" s="13">
        <v>38.950000000000003</v>
      </c>
      <c r="H3687" s="14">
        <v>0</v>
      </c>
      <c r="I3687" s="14">
        <v>0</v>
      </c>
      <c r="J3687" s="14">
        <v>0</v>
      </c>
      <c r="K3687" s="14">
        <v>38.950000000000003</v>
      </c>
      <c r="L3687" t="s">
        <v>794</v>
      </c>
      <c r="M3687">
        <f t="shared" si="57"/>
        <v>2025</v>
      </c>
    </row>
    <row r="3688" spans="1:13" ht="12.75" hidden="1" customHeight="1">
      <c r="A3688" t="s">
        <v>833</v>
      </c>
      <c r="B3688" t="s">
        <v>27</v>
      </c>
      <c r="C3688" t="s">
        <v>646</v>
      </c>
      <c r="D3688" t="s">
        <v>873</v>
      </c>
      <c r="E3688" s="17">
        <v>46021</v>
      </c>
      <c r="F3688" s="17">
        <v>46021</v>
      </c>
      <c r="G3688" s="13">
        <v>160</v>
      </c>
      <c r="H3688" s="14">
        <v>0</v>
      </c>
      <c r="I3688" s="14">
        <v>0</v>
      </c>
      <c r="J3688" s="14">
        <v>0</v>
      </c>
      <c r="K3688" s="14">
        <v>160</v>
      </c>
      <c r="L3688" t="s">
        <v>794</v>
      </c>
      <c r="M3688">
        <f t="shared" si="57"/>
        <v>2025</v>
      </c>
    </row>
    <row r="3689" spans="1:13" ht="12.75" hidden="1" customHeight="1">
      <c r="A3689" t="s">
        <v>905</v>
      </c>
      <c r="B3689" t="s">
        <v>15</v>
      </c>
      <c r="C3689" t="s">
        <v>715</v>
      </c>
      <c r="D3689" t="s">
        <v>873</v>
      </c>
      <c r="E3689" s="17">
        <v>46021</v>
      </c>
      <c r="F3689" s="17">
        <v>46021</v>
      </c>
      <c r="G3689" s="13">
        <v>723.57</v>
      </c>
      <c r="H3689" s="14">
        <v>0</v>
      </c>
      <c r="I3689" s="14">
        <v>0</v>
      </c>
      <c r="J3689" s="14">
        <v>0</v>
      </c>
      <c r="K3689" s="14">
        <v>723.57</v>
      </c>
      <c r="L3689" t="s">
        <v>794</v>
      </c>
      <c r="M3689">
        <f t="shared" si="57"/>
        <v>2025</v>
      </c>
    </row>
    <row r="3690" spans="1:13" ht="12.75" hidden="1" customHeight="1">
      <c r="A3690" t="s">
        <v>981</v>
      </c>
      <c r="B3690" t="s">
        <v>55</v>
      </c>
      <c r="C3690" t="s">
        <v>99</v>
      </c>
      <c r="D3690" t="s">
        <v>1394</v>
      </c>
      <c r="E3690" s="17">
        <v>46021</v>
      </c>
      <c r="F3690" s="17">
        <v>46021</v>
      </c>
      <c r="G3690" s="13">
        <v>500</v>
      </c>
      <c r="H3690" s="14">
        <v>0</v>
      </c>
      <c r="I3690" s="14">
        <v>0</v>
      </c>
      <c r="J3690" s="14">
        <v>0</v>
      </c>
      <c r="K3690" s="14">
        <v>500</v>
      </c>
      <c r="L3690" t="s">
        <v>843</v>
      </c>
      <c r="M3690">
        <f t="shared" si="57"/>
        <v>2025</v>
      </c>
    </row>
    <row r="3691" spans="1:13" ht="12.75" hidden="1" customHeight="1">
      <c r="A3691" t="s">
        <v>948</v>
      </c>
      <c r="B3691" t="s">
        <v>89</v>
      </c>
      <c r="C3691" t="s">
        <v>725</v>
      </c>
      <c r="D3691" t="s">
        <v>873</v>
      </c>
      <c r="E3691" s="17">
        <v>46021</v>
      </c>
      <c r="F3691" s="17">
        <v>46022</v>
      </c>
      <c r="G3691" s="13">
        <v>743</v>
      </c>
      <c r="H3691" s="14">
        <v>0</v>
      </c>
      <c r="I3691" s="14">
        <v>0</v>
      </c>
      <c r="J3691" s="14">
        <v>0</v>
      </c>
      <c r="K3691" s="14">
        <v>743</v>
      </c>
      <c r="L3691" t="s">
        <v>794</v>
      </c>
      <c r="M3691">
        <f t="shared" si="57"/>
        <v>2025</v>
      </c>
    </row>
    <row r="3692" spans="1:13" ht="12.75" hidden="1" customHeight="1">
      <c r="A3692" t="s">
        <v>801</v>
      </c>
      <c r="B3692" t="s">
        <v>13</v>
      </c>
      <c r="C3692" t="s">
        <v>718</v>
      </c>
      <c r="D3692" t="s">
        <v>873</v>
      </c>
      <c r="E3692" s="17">
        <v>46021</v>
      </c>
      <c r="F3692" s="17">
        <v>46021</v>
      </c>
      <c r="G3692" s="13">
        <v>13710.130000000001</v>
      </c>
      <c r="H3692" s="14">
        <v>0</v>
      </c>
      <c r="I3692" s="14">
        <v>0</v>
      </c>
      <c r="J3692" s="14">
        <v>0</v>
      </c>
      <c r="K3692" s="14">
        <v>1800</v>
      </c>
      <c r="L3692" t="s">
        <v>843</v>
      </c>
      <c r="M3692">
        <f t="shared" si="57"/>
        <v>2025</v>
      </c>
    </row>
    <row r="3693" spans="1:13" ht="12.75" hidden="1" customHeight="1">
      <c r="A3693" s="28">
        <v>154</v>
      </c>
      <c r="B3693" s="28" t="s">
        <v>435</v>
      </c>
      <c r="C3693" s="28" t="s">
        <v>733</v>
      </c>
      <c r="D3693" s="29">
        <v>46023</v>
      </c>
      <c r="E3693" s="30">
        <v>46030</v>
      </c>
      <c r="F3693" s="30">
        <v>46030</v>
      </c>
      <c r="G3693" s="28">
        <v>47</v>
      </c>
      <c r="H3693" s="28">
        <v>0</v>
      </c>
      <c r="I3693" s="28">
        <v>0</v>
      </c>
      <c r="J3693" s="28">
        <v>0</v>
      </c>
      <c r="K3693" s="33">
        <v>47</v>
      </c>
      <c r="L3693" s="28" t="s">
        <v>794</v>
      </c>
      <c r="M3693">
        <f t="shared" ref="M3693:M3756" si="58">YEAR(F3693)</f>
        <v>2026</v>
      </c>
    </row>
    <row r="3694" spans="1:13" ht="12.75" hidden="1" customHeight="1">
      <c r="A3694" s="28">
        <v>111</v>
      </c>
      <c r="B3694" s="28" t="s">
        <v>27</v>
      </c>
      <c r="C3694" s="28" t="s">
        <v>141</v>
      </c>
      <c r="D3694" s="29">
        <v>46023</v>
      </c>
      <c r="E3694" s="30">
        <v>46031</v>
      </c>
      <c r="F3694" s="30">
        <v>46031</v>
      </c>
      <c r="G3694" s="28">
        <v>550</v>
      </c>
      <c r="H3694" s="28">
        <v>0</v>
      </c>
      <c r="I3694" s="28">
        <v>0</v>
      </c>
      <c r="J3694" s="28">
        <v>0</v>
      </c>
      <c r="K3694" s="33">
        <v>550</v>
      </c>
      <c r="L3694" s="28" t="s">
        <v>794</v>
      </c>
      <c r="M3694">
        <f t="shared" si="58"/>
        <v>2026</v>
      </c>
    </row>
    <row r="3695" spans="1:13" ht="12.75" hidden="1" customHeight="1">
      <c r="A3695" s="28">
        <v>331</v>
      </c>
      <c r="B3695" s="28" t="s">
        <v>49</v>
      </c>
      <c r="C3695" s="28" t="s">
        <v>141</v>
      </c>
      <c r="D3695" s="29">
        <v>46023</v>
      </c>
      <c r="E3695" s="30">
        <v>46031</v>
      </c>
      <c r="F3695" s="30">
        <v>46031</v>
      </c>
      <c r="G3695" s="28">
        <v>275</v>
      </c>
      <c r="H3695" s="28">
        <v>0</v>
      </c>
      <c r="I3695" s="28">
        <v>0</v>
      </c>
      <c r="J3695" s="28">
        <v>0</v>
      </c>
      <c r="K3695" s="33">
        <v>275</v>
      </c>
      <c r="L3695" s="28" t="s">
        <v>794</v>
      </c>
      <c r="M3695">
        <f t="shared" si="58"/>
        <v>2026</v>
      </c>
    </row>
    <row r="3696" spans="1:13" ht="12.75" hidden="1" customHeight="1">
      <c r="A3696" s="28">
        <v>398</v>
      </c>
      <c r="B3696" s="28" t="s">
        <v>388</v>
      </c>
      <c r="C3696" s="28" t="s">
        <v>200</v>
      </c>
      <c r="D3696" s="29">
        <v>46023</v>
      </c>
      <c r="E3696" s="30">
        <v>46032</v>
      </c>
      <c r="F3696" s="30">
        <v>46035</v>
      </c>
      <c r="G3696" s="28">
        <v>320</v>
      </c>
      <c r="H3696" s="28">
        <v>0</v>
      </c>
      <c r="I3696" s="28">
        <v>0</v>
      </c>
      <c r="J3696" s="28">
        <v>0</v>
      </c>
      <c r="K3696" s="33">
        <v>320</v>
      </c>
      <c r="L3696" s="28" t="s">
        <v>794</v>
      </c>
      <c r="M3696">
        <f t="shared" si="58"/>
        <v>2026</v>
      </c>
    </row>
    <row r="3697" spans="1:13" s="23" customFormat="1" ht="12.75" hidden="1" customHeight="1">
      <c r="A3697" s="28">
        <v>409</v>
      </c>
      <c r="B3697" s="28" t="s">
        <v>254</v>
      </c>
      <c r="C3697" s="28" t="s">
        <v>139</v>
      </c>
      <c r="D3697" s="29">
        <v>46023</v>
      </c>
      <c r="E3697" s="30">
        <v>46042</v>
      </c>
      <c r="F3697" s="30">
        <v>46042</v>
      </c>
      <c r="G3697" s="28">
        <v>240</v>
      </c>
      <c r="H3697" s="28">
        <v>0</v>
      </c>
      <c r="I3697" s="28">
        <v>0</v>
      </c>
      <c r="J3697" s="28">
        <v>0</v>
      </c>
      <c r="K3697" s="33">
        <v>240</v>
      </c>
      <c r="L3697" s="28" t="s">
        <v>794</v>
      </c>
      <c r="M3697" s="23">
        <f t="shared" si="58"/>
        <v>2026</v>
      </c>
    </row>
    <row r="3698" spans="1:13" ht="12.75" hidden="1" customHeight="1">
      <c r="A3698" t="s">
        <v>992</v>
      </c>
      <c r="B3698" t="s">
        <v>277</v>
      </c>
      <c r="C3698" t="s">
        <v>99</v>
      </c>
      <c r="D3698" t="s">
        <v>1394</v>
      </c>
      <c r="E3698" s="17">
        <v>46024</v>
      </c>
      <c r="F3698" s="17">
        <v>46024</v>
      </c>
      <c r="G3698" s="13">
        <v>42</v>
      </c>
      <c r="H3698" s="14">
        <v>0</v>
      </c>
      <c r="I3698" s="14">
        <v>0</v>
      </c>
      <c r="J3698" s="14">
        <v>0</v>
      </c>
      <c r="K3698" s="14">
        <v>42</v>
      </c>
      <c r="L3698" t="s">
        <v>794</v>
      </c>
      <c r="M3698" s="23">
        <f t="shared" si="58"/>
        <v>2026</v>
      </c>
    </row>
    <row r="3699" spans="1:13" ht="12.75" hidden="1" customHeight="1">
      <c r="A3699" t="s">
        <v>1385</v>
      </c>
      <c r="B3699" t="s">
        <v>501</v>
      </c>
      <c r="C3699" t="s">
        <v>139</v>
      </c>
      <c r="D3699" t="s">
        <v>1394</v>
      </c>
      <c r="E3699" s="17">
        <v>46024</v>
      </c>
      <c r="F3699" s="17">
        <v>46024</v>
      </c>
      <c r="G3699" s="13">
        <v>11</v>
      </c>
      <c r="H3699" s="14">
        <v>0</v>
      </c>
      <c r="I3699" s="14">
        <v>0</v>
      </c>
      <c r="J3699" s="14">
        <v>0</v>
      </c>
      <c r="K3699" s="14">
        <v>11</v>
      </c>
      <c r="L3699" t="s">
        <v>794</v>
      </c>
      <c r="M3699" s="23">
        <f t="shared" si="58"/>
        <v>2026</v>
      </c>
    </row>
    <row r="3700" spans="1:13" ht="12.75" hidden="1" customHeight="1">
      <c r="A3700" t="s">
        <v>992</v>
      </c>
      <c r="B3700" t="s">
        <v>277</v>
      </c>
      <c r="C3700" t="s">
        <v>99</v>
      </c>
      <c r="D3700" t="s">
        <v>1394</v>
      </c>
      <c r="E3700" s="17">
        <v>46027</v>
      </c>
      <c r="F3700" s="17">
        <v>46027</v>
      </c>
      <c r="G3700" s="13">
        <v>48.7</v>
      </c>
      <c r="H3700" s="14">
        <v>0</v>
      </c>
      <c r="I3700" s="14">
        <v>0</v>
      </c>
      <c r="J3700" s="14">
        <v>0</v>
      </c>
      <c r="K3700" s="14">
        <v>48.7</v>
      </c>
      <c r="L3700" t="s">
        <v>794</v>
      </c>
      <c r="M3700" s="23">
        <f t="shared" si="58"/>
        <v>2026</v>
      </c>
    </row>
    <row r="3701" spans="1:13" ht="12.75" hidden="1" customHeight="1">
      <c r="A3701" t="s">
        <v>1316</v>
      </c>
      <c r="B3701" t="s">
        <v>59</v>
      </c>
      <c r="C3701" t="s">
        <v>141</v>
      </c>
      <c r="D3701" t="s">
        <v>1394</v>
      </c>
      <c r="E3701" s="17">
        <v>46027</v>
      </c>
      <c r="F3701" s="17">
        <v>46027</v>
      </c>
      <c r="G3701" s="13">
        <v>40</v>
      </c>
      <c r="H3701" s="14">
        <v>0</v>
      </c>
      <c r="I3701" s="14">
        <v>0</v>
      </c>
      <c r="J3701" s="14">
        <v>0</v>
      </c>
      <c r="K3701" s="14">
        <v>40</v>
      </c>
      <c r="L3701" t="s">
        <v>794</v>
      </c>
      <c r="M3701" s="23">
        <f t="shared" si="58"/>
        <v>2026</v>
      </c>
    </row>
    <row r="3702" spans="1:13" ht="12.75" hidden="1" customHeight="1">
      <c r="A3702" t="s">
        <v>810</v>
      </c>
      <c r="B3702" t="s">
        <v>54</v>
      </c>
      <c r="C3702" t="s">
        <v>141</v>
      </c>
      <c r="D3702" t="s">
        <v>1394</v>
      </c>
      <c r="E3702" s="17">
        <v>46027</v>
      </c>
      <c r="F3702" s="17">
        <v>46027</v>
      </c>
      <c r="G3702" s="13">
        <v>66</v>
      </c>
      <c r="H3702" s="14">
        <v>0</v>
      </c>
      <c r="I3702" s="14">
        <v>0</v>
      </c>
      <c r="J3702" s="14">
        <v>0</v>
      </c>
      <c r="K3702" s="14">
        <v>66</v>
      </c>
      <c r="L3702" t="s">
        <v>794</v>
      </c>
      <c r="M3702" s="23">
        <f t="shared" si="58"/>
        <v>2026</v>
      </c>
    </row>
    <row r="3703" spans="1:13" ht="12.75" hidden="1" customHeight="1">
      <c r="A3703" t="s">
        <v>1117</v>
      </c>
      <c r="B3703" t="s">
        <v>428</v>
      </c>
      <c r="C3703" t="s">
        <v>710</v>
      </c>
      <c r="D3703" t="s">
        <v>1394</v>
      </c>
      <c r="E3703" s="17">
        <v>46028</v>
      </c>
      <c r="F3703" s="17">
        <v>46028</v>
      </c>
      <c r="G3703" s="13">
        <v>12</v>
      </c>
      <c r="H3703" s="14">
        <v>0</v>
      </c>
      <c r="I3703" s="14">
        <v>0</v>
      </c>
      <c r="J3703" s="14">
        <v>0</v>
      </c>
      <c r="K3703" s="14">
        <v>12</v>
      </c>
      <c r="L3703" t="s">
        <v>794</v>
      </c>
      <c r="M3703" s="23">
        <f t="shared" si="58"/>
        <v>2026</v>
      </c>
    </row>
    <row r="3704" spans="1:13" ht="12.75" hidden="1" customHeight="1">
      <c r="A3704" t="s">
        <v>907</v>
      </c>
      <c r="B3704" t="s">
        <v>291</v>
      </c>
      <c r="C3704" t="s">
        <v>681</v>
      </c>
      <c r="D3704" t="s">
        <v>1394</v>
      </c>
      <c r="E3704" s="17">
        <v>46028</v>
      </c>
      <c r="F3704" s="17">
        <v>46028</v>
      </c>
      <c r="G3704" s="13">
        <v>13.99</v>
      </c>
      <c r="H3704" s="14">
        <v>0</v>
      </c>
      <c r="I3704" s="14">
        <v>0</v>
      </c>
      <c r="J3704" s="14">
        <v>0</v>
      </c>
      <c r="K3704" s="14">
        <v>13.99</v>
      </c>
      <c r="L3704" t="s">
        <v>794</v>
      </c>
      <c r="M3704" s="23">
        <f t="shared" si="58"/>
        <v>2026</v>
      </c>
    </row>
    <row r="3705" spans="1:13" ht="12.75" hidden="1" customHeight="1">
      <c r="A3705" t="s">
        <v>1121</v>
      </c>
      <c r="B3705" t="s">
        <v>295</v>
      </c>
      <c r="C3705" t="s">
        <v>142</v>
      </c>
      <c r="D3705" t="s">
        <v>1394</v>
      </c>
      <c r="E3705" s="17">
        <v>46028</v>
      </c>
      <c r="F3705" s="17">
        <v>46028</v>
      </c>
      <c r="G3705" s="13">
        <v>35</v>
      </c>
      <c r="H3705" s="14">
        <v>0</v>
      </c>
      <c r="I3705" s="14">
        <v>0</v>
      </c>
      <c r="J3705" s="14">
        <v>0</v>
      </c>
      <c r="K3705" s="14">
        <v>35</v>
      </c>
      <c r="L3705" t="s">
        <v>794</v>
      </c>
      <c r="M3705" s="23">
        <f t="shared" si="58"/>
        <v>2026</v>
      </c>
    </row>
    <row r="3706" spans="1:13" ht="12.75" hidden="1" customHeight="1">
      <c r="A3706" t="s">
        <v>852</v>
      </c>
      <c r="B3706" t="s">
        <v>342</v>
      </c>
      <c r="C3706" t="s">
        <v>483</v>
      </c>
      <c r="D3706" t="s">
        <v>1394</v>
      </c>
      <c r="E3706" s="17">
        <v>46028</v>
      </c>
      <c r="F3706" s="17">
        <v>46028</v>
      </c>
      <c r="G3706" s="13">
        <v>14.47</v>
      </c>
      <c r="H3706" s="14">
        <v>0</v>
      </c>
      <c r="I3706" s="14">
        <v>0</v>
      </c>
      <c r="J3706" s="14">
        <v>0</v>
      </c>
      <c r="K3706" s="14">
        <v>14.47</v>
      </c>
      <c r="L3706" t="s">
        <v>794</v>
      </c>
      <c r="M3706" s="23">
        <f t="shared" si="58"/>
        <v>2026</v>
      </c>
    </row>
    <row r="3707" spans="1:13" ht="12.75" hidden="1" customHeight="1">
      <c r="A3707" t="s">
        <v>921</v>
      </c>
      <c r="B3707" t="s">
        <v>184</v>
      </c>
      <c r="C3707" t="s">
        <v>646</v>
      </c>
      <c r="D3707" t="s">
        <v>1394</v>
      </c>
      <c r="E3707" s="17">
        <v>46028</v>
      </c>
      <c r="F3707" s="17">
        <v>46028</v>
      </c>
      <c r="G3707" s="13">
        <v>26.97</v>
      </c>
      <c r="H3707" s="14">
        <v>0</v>
      </c>
      <c r="I3707" s="14">
        <v>0</v>
      </c>
      <c r="J3707" s="14">
        <v>0</v>
      </c>
      <c r="K3707" s="14">
        <v>26.97</v>
      </c>
      <c r="L3707" t="s">
        <v>794</v>
      </c>
      <c r="M3707" s="23">
        <f t="shared" si="58"/>
        <v>2026</v>
      </c>
    </row>
    <row r="3708" spans="1:13" ht="12.75" hidden="1" customHeight="1">
      <c r="A3708" t="s">
        <v>1367</v>
      </c>
      <c r="B3708" t="s">
        <v>356</v>
      </c>
      <c r="C3708" t="s">
        <v>773</v>
      </c>
      <c r="D3708" t="s">
        <v>1394</v>
      </c>
      <c r="E3708" s="17">
        <v>46028</v>
      </c>
      <c r="F3708" s="17">
        <v>46028</v>
      </c>
      <c r="G3708" s="13">
        <v>8.61</v>
      </c>
      <c r="H3708" s="14">
        <v>0</v>
      </c>
      <c r="I3708" s="14">
        <v>0</v>
      </c>
      <c r="J3708" s="14">
        <v>0</v>
      </c>
      <c r="K3708" s="14">
        <v>8.61</v>
      </c>
      <c r="L3708" t="s">
        <v>794</v>
      </c>
      <c r="M3708" s="23">
        <f t="shared" si="58"/>
        <v>2026</v>
      </c>
    </row>
    <row r="3709" spans="1:13" ht="12.75" hidden="1" customHeight="1">
      <c r="A3709" t="s">
        <v>981</v>
      </c>
      <c r="B3709" t="s">
        <v>55</v>
      </c>
      <c r="C3709" t="s">
        <v>99</v>
      </c>
      <c r="D3709" t="s">
        <v>1394</v>
      </c>
      <c r="E3709" s="17">
        <v>46024</v>
      </c>
      <c r="F3709" s="17">
        <v>46028</v>
      </c>
      <c r="G3709" s="13">
        <v>200</v>
      </c>
      <c r="H3709" s="14">
        <v>0</v>
      </c>
      <c r="I3709" s="14">
        <v>0</v>
      </c>
      <c r="J3709" s="14">
        <v>0</v>
      </c>
      <c r="K3709" s="14">
        <v>200</v>
      </c>
      <c r="L3709" t="s">
        <v>794</v>
      </c>
      <c r="M3709" s="23">
        <f t="shared" si="58"/>
        <v>2026</v>
      </c>
    </row>
    <row r="3710" spans="1:13" ht="12.75" hidden="1" customHeight="1">
      <c r="A3710" t="s">
        <v>1121</v>
      </c>
      <c r="B3710" t="s">
        <v>295</v>
      </c>
      <c r="C3710" t="s">
        <v>142</v>
      </c>
      <c r="D3710" t="s">
        <v>1394</v>
      </c>
      <c r="E3710" s="17">
        <v>46028</v>
      </c>
      <c r="F3710" s="17">
        <v>46028</v>
      </c>
      <c r="G3710" s="13">
        <v>70</v>
      </c>
      <c r="H3710" s="14">
        <v>0</v>
      </c>
      <c r="I3710" s="14">
        <v>0</v>
      </c>
      <c r="J3710" s="14">
        <v>0</v>
      </c>
      <c r="K3710" s="14">
        <v>70</v>
      </c>
      <c r="L3710" t="s">
        <v>794</v>
      </c>
      <c r="M3710" s="23">
        <f t="shared" si="58"/>
        <v>2026</v>
      </c>
    </row>
    <row r="3711" spans="1:13" ht="12.75" hidden="1" customHeight="1">
      <c r="A3711" t="s">
        <v>1177</v>
      </c>
      <c r="B3711" t="s">
        <v>639</v>
      </c>
      <c r="C3711" t="s">
        <v>773</v>
      </c>
      <c r="D3711" t="s">
        <v>1394</v>
      </c>
      <c r="E3711" s="17">
        <v>46029</v>
      </c>
      <c r="F3711" s="17">
        <v>46029</v>
      </c>
      <c r="G3711" s="13">
        <v>8.61</v>
      </c>
      <c r="H3711" s="14">
        <v>0</v>
      </c>
      <c r="I3711" s="14">
        <v>0</v>
      </c>
      <c r="J3711" s="14">
        <v>0</v>
      </c>
      <c r="K3711" s="14">
        <v>8.61</v>
      </c>
      <c r="L3711" t="s">
        <v>794</v>
      </c>
      <c r="M3711" s="23">
        <f t="shared" si="58"/>
        <v>2026</v>
      </c>
    </row>
    <row r="3712" spans="1:13" ht="12.75" hidden="1" customHeight="1">
      <c r="A3712" t="s">
        <v>819</v>
      </c>
      <c r="B3712" t="s">
        <v>38</v>
      </c>
      <c r="C3712" t="s">
        <v>141</v>
      </c>
      <c r="D3712" t="s">
        <v>1394</v>
      </c>
      <c r="E3712" s="17">
        <v>46030</v>
      </c>
      <c r="F3712" s="17">
        <v>46030</v>
      </c>
      <c r="G3712" s="13">
        <v>200</v>
      </c>
      <c r="H3712" s="14">
        <v>0</v>
      </c>
      <c r="I3712" s="14">
        <v>0</v>
      </c>
      <c r="J3712" s="14">
        <v>0</v>
      </c>
      <c r="K3712" s="14">
        <v>200</v>
      </c>
      <c r="L3712" t="s">
        <v>794</v>
      </c>
      <c r="M3712" s="23">
        <f t="shared" si="58"/>
        <v>2026</v>
      </c>
    </row>
    <row r="3713" spans="1:13" ht="12.75" hidden="1" customHeight="1">
      <c r="A3713" t="s">
        <v>992</v>
      </c>
      <c r="B3713" t="s">
        <v>277</v>
      </c>
      <c r="C3713" t="s">
        <v>99</v>
      </c>
      <c r="D3713" t="s">
        <v>1394</v>
      </c>
      <c r="E3713" s="17">
        <v>46030</v>
      </c>
      <c r="F3713" s="17">
        <v>46030</v>
      </c>
      <c r="G3713" s="13">
        <v>422.2</v>
      </c>
      <c r="H3713" s="14">
        <v>0</v>
      </c>
      <c r="I3713" s="14">
        <v>0</v>
      </c>
      <c r="J3713" s="14">
        <v>0</v>
      </c>
      <c r="K3713" s="14">
        <v>140</v>
      </c>
      <c r="L3713" t="s">
        <v>794</v>
      </c>
      <c r="M3713" s="23">
        <f t="shared" si="58"/>
        <v>2026</v>
      </c>
    </row>
    <row r="3714" spans="1:13" ht="12.75" hidden="1" customHeight="1">
      <c r="A3714" t="s">
        <v>1313</v>
      </c>
      <c r="B3714" t="s">
        <v>362</v>
      </c>
      <c r="C3714" t="s">
        <v>558</v>
      </c>
      <c r="D3714" t="s">
        <v>1394</v>
      </c>
      <c r="E3714" s="17">
        <v>46031</v>
      </c>
      <c r="F3714" s="17">
        <v>46031</v>
      </c>
      <c r="G3714" s="13">
        <v>8.25</v>
      </c>
      <c r="H3714" s="14">
        <v>0</v>
      </c>
      <c r="I3714" s="14">
        <v>0</v>
      </c>
      <c r="J3714" s="14">
        <v>0</v>
      </c>
      <c r="K3714" s="14">
        <v>8.25</v>
      </c>
      <c r="L3714" t="s">
        <v>794</v>
      </c>
      <c r="M3714" s="23">
        <f t="shared" si="58"/>
        <v>2026</v>
      </c>
    </row>
    <row r="3715" spans="1:13" ht="12.75" hidden="1" customHeight="1">
      <c r="A3715" t="s">
        <v>896</v>
      </c>
      <c r="B3715" t="s">
        <v>293</v>
      </c>
      <c r="C3715" t="s">
        <v>733</v>
      </c>
      <c r="D3715" t="s">
        <v>1394</v>
      </c>
      <c r="E3715" s="17">
        <v>46031</v>
      </c>
      <c r="F3715" s="17">
        <v>46031</v>
      </c>
      <c r="G3715" s="13">
        <v>13.51</v>
      </c>
      <c r="H3715" s="14">
        <v>0</v>
      </c>
      <c r="I3715" s="14">
        <v>0</v>
      </c>
      <c r="J3715" s="14">
        <v>0</v>
      </c>
      <c r="K3715" s="14">
        <v>13.51</v>
      </c>
      <c r="L3715" t="s">
        <v>794</v>
      </c>
      <c r="M3715" s="23">
        <f t="shared" si="58"/>
        <v>2026</v>
      </c>
    </row>
    <row r="3716" spans="1:13" ht="12.75" hidden="1" customHeight="1">
      <c r="A3716" t="s">
        <v>826</v>
      </c>
      <c r="B3716" t="s">
        <v>21</v>
      </c>
      <c r="C3716" t="s">
        <v>141</v>
      </c>
      <c r="D3716" t="s">
        <v>1394</v>
      </c>
      <c r="E3716" s="17">
        <v>46031</v>
      </c>
      <c r="F3716" s="17">
        <v>46031</v>
      </c>
      <c r="G3716" s="13">
        <v>1770</v>
      </c>
      <c r="H3716" s="14">
        <v>0</v>
      </c>
      <c r="I3716" s="14">
        <v>0</v>
      </c>
      <c r="J3716" s="14">
        <v>0</v>
      </c>
      <c r="K3716" s="14">
        <v>1770</v>
      </c>
      <c r="L3716" t="s">
        <v>794</v>
      </c>
      <c r="M3716" s="23">
        <f t="shared" si="58"/>
        <v>2026</v>
      </c>
    </row>
    <row r="3717" spans="1:13" ht="12.75" hidden="1" customHeight="1">
      <c r="A3717" t="s">
        <v>1181</v>
      </c>
      <c r="B3717" t="s">
        <v>75</v>
      </c>
      <c r="C3717" t="s">
        <v>141</v>
      </c>
      <c r="D3717" t="s">
        <v>1394</v>
      </c>
      <c r="E3717" s="17">
        <v>46031</v>
      </c>
      <c r="F3717" s="17">
        <v>46031</v>
      </c>
      <c r="G3717" s="13">
        <v>200</v>
      </c>
      <c r="H3717" s="14">
        <v>0</v>
      </c>
      <c r="I3717" s="14">
        <v>0</v>
      </c>
      <c r="J3717" s="14">
        <v>0</v>
      </c>
      <c r="K3717" s="14">
        <v>200</v>
      </c>
      <c r="L3717" t="s">
        <v>794</v>
      </c>
      <c r="M3717" s="23">
        <f t="shared" si="58"/>
        <v>2026</v>
      </c>
    </row>
    <row r="3718" spans="1:13" ht="12.75" hidden="1" customHeight="1">
      <c r="A3718" t="s">
        <v>1316</v>
      </c>
      <c r="B3718" t="s">
        <v>59</v>
      </c>
      <c r="C3718" t="s">
        <v>141</v>
      </c>
      <c r="D3718" t="s">
        <v>1394</v>
      </c>
      <c r="E3718" s="17">
        <v>46031</v>
      </c>
      <c r="F3718" s="17">
        <v>46031</v>
      </c>
      <c r="G3718" s="13">
        <v>360</v>
      </c>
      <c r="H3718" s="14">
        <v>0</v>
      </c>
      <c r="I3718" s="14">
        <v>0</v>
      </c>
      <c r="J3718" s="14">
        <v>0</v>
      </c>
      <c r="K3718" s="14">
        <v>360</v>
      </c>
      <c r="L3718" t="s">
        <v>794</v>
      </c>
      <c r="M3718" s="23">
        <f t="shared" si="58"/>
        <v>2026</v>
      </c>
    </row>
    <row r="3719" spans="1:13" ht="12.75" hidden="1" customHeight="1">
      <c r="A3719" t="s">
        <v>924</v>
      </c>
      <c r="B3719" t="s">
        <v>87</v>
      </c>
      <c r="C3719" t="s">
        <v>141</v>
      </c>
      <c r="D3719" t="s">
        <v>1394</v>
      </c>
      <c r="E3719" s="17">
        <v>46031</v>
      </c>
      <c r="F3719" s="17">
        <v>46031</v>
      </c>
      <c r="G3719" s="13">
        <v>40</v>
      </c>
      <c r="H3719" s="14">
        <v>0</v>
      </c>
      <c r="I3719" s="14">
        <v>0</v>
      </c>
      <c r="J3719" s="14">
        <v>0</v>
      </c>
      <c r="K3719" s="14">
        <v>40</v>
      </c>
      <c r="L3719" t="s">
        <v>794</v>
      </c>
      <c r="M3719" s="23">
        <f t="shared" si="58"/>
        <v>2026</v>
      </c>
    </row>
    <row r="3720" spans="1:13" ht="12.75" hidden="1" customHeight="1">
      <c r="A3720" t="s">
        <v>810</v>
      </c>
      <c r="B3720" t="s">
        <v>54</v>
      </c>
      <c r="C3720" t="s">
        <v>141</v>
      </c>
      <c r="D3720" t="s">
        <v>1394</v>
      </c>
      <c r="E3720" s="17">
        <v>46031</v>
      </c>
      <c r="F3720" s="17">
        <v>46031</v>
      </c>
      <c r="G3720" s="13">
        <v>440</v>
      </c>
      <c r="H3720" s="14">
        <v>0</v>
      </c>
      <c r="I3720" s="14">
        <v>0</v>
      </c>
      <c r="J3720" s="14">
        <v>0</v>
      </c>
      <c r="K3720" s="14">
        <v>440</v>
      </c>
      <c r="L3720" t="s">
        <v>794</v>
      </c>
      <c r="M3720" s="23">
        <f t="shared" si="58"/>
        <v>2026</v>
      </c>
    </row>
    <row r="3721" spans="1:13" ht="12.75" hidden="1" customHeight="1">
      <c r="A3721" t="s">
        <v>1317</v>
      </c>
      <c r="B3721" t="s">
        <v>64</v>
      </c>
      <c r="C3721" t="s">
        <v>141</v>
      </c>
      <c r="D3721" t="s">
        <v>1394</v>
      </c>
      <c r="E3721" s="17">
        <v>46031</v>
      </c>
      <c r="F3721" s="17">
        <v>46031</v>
      </c>
      <c r="G3721" s="13">
        <v>800</v>
      </c>
      <c r="H3721" s="14">
        <v>0</v>
      </c>
      <c r="I3721" s="14">
        <v>0</v>
      </c>
      <c r="J3721" s="14">
        <v>0</v>
      </c>
      <c r="K3721" s="14">
        <v>800</v>
      </c>
      <c r="L3721" t="s">
        <v>794</v>
      </c>
      <c r="M3721" s="23">
        <f t="shared" si="58"/>
        <v>2026</v>
      </c>
    </row>
    <row r="3722" spans="1:13" ht="12.75" hidden="1" customHeight="1">
      <c r="A3722" t="s">
        <v>818</v>
      </c>
      <c r="B3722" t="s">
        <v>30</v>
      </c>
      <c r="C3722" t="s">
        <v>141</v>
      </c>
      <c r="D3722" t="s">
        <v>1394</v>
      </c>
      <c r="E3722" s="17">
        <v>46031</v>
      </c>
      <c r="F3722" s="17">
        <v>46031</v>
      </c>
      <c r="G3722" s="13">
        <v>360</v>
      </c>
      <c r="H3722" s="14">
        <v>0</v>
      </c>
      <c r="I3722" s="14">
        <v>0</v>
      </c>
      <c r="J3722" s="14">
        <v>0</v>
      </c>
      <c r="K3722" s="14">
        <v>360</v>
      </c>
      <c r="L3722" t="s">
        <v>794</v>
      </c>
      <c r="M3722" s="23">
        <f t="shared" si="58"/>
        <v>2026</v>
      </c>
    </row>
    <row r="3723" spans="1:13" ht="12.75" hidden="1" customHeight="1">
      <c r="A3723" t="s">
        <v>1112</v>
      </c>
      <c r="B3723" t="s">
        <v>68</v>
      </c>
      <c r="C3723" t="s">
        <v>141</v>
      </c>
      <c r="D3723" t="s">
        <v>1394</v>
      </c>
      <c r="E3723" s="17">
        <v>46031</v>
      </c>
      <c r="F3723" s="17">
        <v>46031</v>
      </c>
      <c r="G3723" s="13">
        <v>120</v>
      </c>
      <c r="H3723" s="14">
        <v>0</v>
      </c>
      <c r="I3723" s="14">
        <v>0</v>
      </c>
      <c r="J3723" s="14">
        <v>0</v>
      </c>
      <c r="K3723" s="14">
        <v>120</v>
      </c>
      <c r="L3723" t="s">
        <v>794</v>
      </c>
      <c r="M3723" s="23">
        <f t="shared" si="58"/>
        <v>2026</v>
      </c>
    </row>
    <row r="3724" spans="1:13" ht="12.75" hidden="1" customHeight="1">
      <c r="A3724" t="s">
        <v>1105</v>
      </c>
      <c r="B3724" t="s">
        <v>1395</v>
      </c>
      <c r="C3724" t="s">
        <v>141</v>
      </c>
      <c r="D3724" t="s">
        <v>1394</v>
      </c>
      <c r="E3724" s="17">
        <v>46031</v>
      </c>
      <c r="F3724" s="17">
        <v>46031</v>
      </c>
      <c r="G3724" s="13">
        <v>120</v>
      </c>
      <c r="H3724" s="14">
        <v>0</v>
      </c>
      <c r="I3724" s="14">
        <v>0</v>
      </c>
      <c r="J3724" s="14">
        <v>0</v>
      </c>
      <c r="K3724" s="14">
        <v>120</v>
      </c>
      <c r="L3724" t="s">
        <v>794</v>
      </c>
      <c r="M3724" s="23">
        <f t="shared" si="58"/>
        <v>2026</v>
      </c>
    </row>
    <row r="3725" spans="1:13" ht="12.75" hidden="1" customHeight="1">
      <c r="A3725" t="s">
        <v>855</v>
      </c>
      <c r="B3725" t="s">
        <v>20</v>
      </c>
      <c r="C3725" t="s">
        <v>141</v>
      </c>
      <c r="D3725" t="s">
        <v>1394</v>
      </c>
      <c r="E3725" s="17">
        <v>46032</v>
      </c>
      <c r="F3725" s="17">
        <v>46031</v>
      </c>
      <c r="G3725" s="13">
        <v>550</v>
      </c>
      <c r="H3725" s="14">
        <v>0</v>
      </c>
      <c r="I3725" s="14">
        <v>0</v>
      </c>
      <c r="J3725" s="14">
        <v>0</v>
      </c>
      <c r="K3725" s="14">
        <v>550</v>
      </c>
      <c r="L3725" t="s">
        <v>794</v>
      </c>
      <c r="M3725" s="23">
        <f t="shared" si="58"/>
        <v>2026</v>
      </c>
    </row>
    <row r="3726" spans="1:13" ht="12.75" hidden="1" customHeight="1">
      <c r="A3726" t="s">
        <v>855</v>
      </c>
      <c r="B3726" t="s">
        <v>20</v>
      </c>
      <c r="C3726" t="s">
        <v>140</v>
      </c>
      <c r="D3726" t="s">
        <v>1394</v>
      </c>
      <c r="E3726" s="17">
        <v>46032</v>
      </c>
      <c r="F3726" s="17">
        <v>46031</v>
      </c>
      <c r="G3726" s="13">
        <v>500</v>
      </c>
      <c r="H3726" s="14">
        <v>0</v>
      </c>
      <c r="I3726" s="14">
        <v>0</v>
      </c>
      <c r="J3726" s="14">
        <v>0</v>
      </c>
      <c r="K3726" s="14">
        <v>500</v>
      </c>
      <c r="L3726" t="s">
        <v>794</v>
      </c>
      <c r="M3726" s="23">
        <f t="shared" si="58"/>
        <v>2026</v>
      </c>
    </row>
    <row r="3727" spans="1:13" ht="12.75" hidden="1" customHeight="1">
      <c r="A3727" t="s">
        <v>816</v>
      </c>
      <c r="B3727" t="s">
        <v>148</v>
      </c>
      <c r="C3727" t="s">
        <v>141</v>
      </c>
      <c r="D3727" t="s">
        <v>1394</v>
      </c>
      <c r="E3727" s="17">
        <v>46032</v>
      </c>
      <c r="F3727" s="17">
        <v>46031</v>
      </c>
      <c r="G3727" s="13">
        <v>150</v>
      </c>
      <c r="H3727" s="14">
        <v>0</v>
      </c>
      <c r="I3727" s="14">
        <v>0</v>
      </c>
      <c r="J3727" s="14">
        <v>0</v>
      </c>
      <c r="K3727" s="14">
        <v>150</v>
      </c>
      <c r="L3727" t="s">
        <v>794</v>
      </c>
      <c r="M3727" s="23">
        <f t="shared" si="58"/>
        <v>2026</v>
      </c>
    </row>
    <row r="3728" spans="1:13" ht="12.75" hidden="1" customHeight="1">
      <c r="A3728" t="s">
        <v>961</v>
      </c>
      <c r="B3728" t="s">
        <v>41</v>
      </c>
      <c r="C3728" t="s">
        <v>141</v>
      </c>
      <c r="D3728" t="s">
        <v>1394</v>
      </c>
      <c r="E3728" s="17">
        <v>46031</v>
      </c>
      <c r="F3728" s="17">
        <v>46031</v>
      </c>
      <c r="G3728" s="13">
        <v>200</v>
      </c>
      <c r="H3728" s="14">
        <v>0</v>
      </c>
      <c r="I3728" s="14">
        <v>0</v>
      </c>
      <c r="J3728" s="14">
        <v>0</v>
      </c>
      <c r="K3728" s="14">
        <v>200</v>
      </c>
      <c r="L3728" t="s">
        <v>794</v>
      </c>
      <c r="M3728" s="23">
        <f t="shared" si="58"/>
        <v>2026</v>
      </c>
    </row>
    <row r="3729" spans="1:13" ht="12.75" hidden="1" customHeight="1">
      <c r="A3729" t="s">
        <v>819</v>
      </c>
      <c r="B3729" t="s">
        <v>38</v>
      </c>
      <c r="C3729" t="s">
        <v>141</v>
      </c>
      <c r="D3729" t="s">
        <v>1394</v>
      </c>
      <c r="E3729" s="17">
        <v>46034</v>
      </c>
      <c r="F3729" s="17">
        <v>46034</v>
      </c>
      <c r="G3729" s="13">
        <v>120</v>
      </c>
      <c r="H3729" s="14">
        <v>0</v>
      </c>
      <c r="I3729" s="14">
        <v>0</v>
      </c>
      <c r="J3729" s="14">
        <v>0</v>
      </c>
      <c r="K3729" s="14">
        <v>120</v>
      </c>
      <c r="L3729" t="s">
        <v>794</v>
      </c>
      <c r="M3729" s="23">
        <f t="shared" si="58"/>
        <v>2026</v>
      </c>
    </row>
    <row r="3730" spans="1:13" ht="12.75" hidden="1" customHeight="1">
      <c r="A3730" t="s">
        <v>1104</v>
      </c>
      <c r="B3730" t="s">
        <v>53</v>
      </c>
      <c r="C3730" t="s">
        <v>141</v>
      </c>
      <c r="D3730" t="s">
        <v>1394</v>
      </c>
      <c r="E3730" s="17">
        <v>46034</v>
      </c>
      <c r="F3730" s="17">
        <v>46034</v>
      </c>
      <c r="G3730" s="13">
        <v>150</v>
      </c>
      <c r="H3730" s="14">
        <v>0</v>
      </c>
      <c r="I3730" s="14">
        <v>0</v>
      </c>
      <c r="J3730" s="14">
        <v>0</v>
      </c>
      <c r="K3730" s="14">
        <v>150</v>
      </c>
      <c r="L3730" t="s">
        <v>794</v>
      </c>
      <c r="M3730" s="23">
        <f t="shared" si="58"/>
        <v>2026</v>
      </c>
    </row>
    <row r="3731" spans="1:13" ht="12.75" hidden="1" customHeight="1">
      <c r="A3731" t="s">
        <v>907</v>
      </c>
      <c r="B3731" t="s">
        <v>291</v>
      </c>
      <c r="C3731" t="s">
        <v>681</v>
      </c>
      <c r="D3731" t="s">
        <v>1394</v>
      </c>
      <c r="E3731" s="17">
        <v>46034</v>
      </c>
      <c r="F3731" s="17">
        <v>46034</v>
      </c>
      <c r="G3731" s="13">
        <v>13.99</v>
      </c>
      <c r="H3731" s="14">
        <v>0</v>
      </c>
      <c r="I3731" s="14">
        <v>0</v>
      </c>
      <c r="J3731" s="14">
        <v>0</v>
      </c>
      <c r="K3731" s="14">
        <v>13.99</v>
      </c>
      <c r="L3731" t="s">
        <v>794</v>
      </c>
      <c r="M3731" s="23">
        <f t="shared" si="58"/>
        <v>2026</v>
      </c>
    </row>
    <row r="3732" spans="1:13" ht="12.75" hidden="1" customHeight="1">
      <c r="A3732" t="s">
        <v>1117</v>
      </c>
      <c r="B3732" t="s">
        <v>428</v>
      </c>
      <c r="C3732" t="s">
        <v>710</v>
      </c>
      <c r="D3732" t="s">
        <v>1394</v>
      </c>
      <c r="E3732" s="17">
        <v>46034</v>
      </c>
      <c r="F3732" s="17">
        <v>46034</v>
      </c>
      <c r="G3732" s="13">
        <v>24</v>
      </c>
      <c r="H3732" s="14">
        <v>0</v>
      </c>
      <c r="I3732" s="14">
        <v>0</v>
      </c>
      <c r="J3732" s="14">
        <v>0</v>
      </c>
      <c r="K3732" s="14">
        <v>24</v>
      </c>
      <c r="L3732" t="s">
        <v>794</v>
      </c>
      <c r="M3732" s="23">
        <f t="shared" si="58"/>
        <v>2026</v>
      </c>
    </row>
    <row r="3733" spans="1:13" ht="12.75" hidden="1" customHeight="1">
      <c r="A3733" t="s">
        <v>1192</v>
      </c>
      <c r="B3733" t="s">
        <v>588</v>
      </c>
      <c r="C3733" t="s">
        <v>710</v>
      </c>
      <c r="D3733" t="s">
        <v>1394</v>
      </c>
      <c r="E3733" s="17">
        <v>46034</v>
      </c>
      <c r="F3733" s="17">
        <v>46034</v>
      </c>
      <c r="G3733" s="13">
        <v>24</v>
      </c>
      <c r="H3733" s="14">
        <v>0</v>
      </c>
      <c r="I3733" s="14">
        <v>0</v>
      </c>
      <c r="J3733" s="14">
        <v>0</v>
      </c>
      <c r="K3733" s="14">
        <v>24</v>
      </c>
      <c r="L3733" t="s">
        <v>794</v>
      </c>
      <c r="M3733" s="23">
        <f t="shared" si="58"/>
        <v>2026</v>
      </c>
    </row>
    <row r="3734" spans="1:13" ht="12.75" hidden="1" customHeight="1">
      <c r="A3734" t="s">
        <v>1396</v>
      </c>
      <c r="B3734" t="s">
        <v>617</v>
      </c>
      <c r="C3734" t="s">
        <v>681</v>
      </c>
      <c r="D3734" t="s">
        <v>1394</v>
      </c>
      <c r="E3734" s="17">
        <v>46034</v>
      </c>
      <c r="F3734" s="17">
        <v>46034</v>
      </c>
      <c r="G3734" s="13">
        <v>50</v>
      </c>
      <c r="H3734" s="14">
        <v>0</v>
      </c>
      <c r="I3734" s="14">
        <v>0</v>
      </c>
      <c r="J3734" s="14">
        <v>0</v>
      </c>
      <c r="K3734" s="14">
        <v>50</v>
      </c>
      <c r="L3734" t="s">
        <v>794</v>
      </c>
      <c r="M3734" s="23">
        <f t="shared" si="58"/>
        <v>2026</v>
      </c>
    </row>
    <row r="3735" spans="1:13" ht="12.75" hidden="1" customHeight="1">
      <c r="A3735" t="s">
        <v>907</v>
      </c>
      <c r="B3735" t="s">
        <v>291</v>
      </c>
      <c r="C3735" t="s">
        <v>681</v>
      </c>
      <c r="D3735" t="s">
        <v>1394</v>
      </c>
      <c r="E3735" s="17">
        <v>46034</v>
      </c>
      <c r="F3735" s="17">
        <v>46034</v>
      </c>
      <c r="G3735" s="13">
        <v>14.8</v>
      </c>
      <c r="H3735" s="14">
        <v>0</v>
      </c>
      <c r="I3735" s="14">
        <v>0</v>
      </c>
      <c r="J3735" s="14">
        <v>0</v>
      </c>
      <c r="K3735" s="14">
        <v>14.8</v>
      </c>
      <c r="L3735" t="s">
        <v>794</v>
      </c>
      <c r="M3735" s="23">
        <f t="shared" si="58"/>
        <v>2026</v>
      </c>
    </row>
    <row r="3736" spans="1:13" ht="12.75" hidden="1" customHeight="1">
      <c r="A3736" t="s">
        <v>1176</v>
      </c>
      <c r="B3736" t="s">
        <v>106</v>
      </c>
      <c r="C3736" t="s">
        <v>200</v>
      </c>
      <c r="D3736" t="s">
        <v>1394</v>
      </c>
      <c r="E3736" s="17">
        <v>46032</v>
      </c>
      <c r="F3736" s="17">
        <v>46034</v>
      </c>
      <c r="G3736" s="13">
        <v>720</v>
      </c>
      <c r="H3736" s="14">
        <v>0</v>
      </c>
      <c r="I3736" s="14">
        <v>0</v>
      </c>
      <c r="J3736" s="14">
        <v>0</v>
      </c>
      <c r="K3736" s="14">
        <v>720</v>
      </c>
      <c r="L3736" t="s">
        <v>794</v>
      </c>
      <c r="M3736" s="23">
        <f t="shared" si="58"/>
        <v>2026</v>
      </c>
    </row>
    <row r="3737" spans="1:13" ht="12.75" hidden="1" customHeight="1">
      <c r="A3737" t="s">
        <v>1375</v>
      </c>
      <c r="B3737" t="s">
        <v>290</v>
      </c>
      <c r="C3737" t="s">
        <v>200</v>
      </c>
      <c r="D3737" t="s">
        <v>1394</v>
      </c>
      <c r="E3737" s="17">
        <v>46032</v>
      </c>
      <c r="F3737" s="17">
        <v>46034</v>
      </c>
      <c r="G3737" s="13">
        <v>480</v>
      </c>
      <c r="H3737" s="14">
        <v>0</v>
      </c>
      <c r="I3737" s="14">
        <v>0</v>
      </c>
      <c r="J3737" s="14">
        <v>0</v>
      </c>
      <c r="K3737" s="14">
        <v>480</v>
      </c>
      <c r="L3737" t="s">
        <v>794</v>
      </c>
      <c r="M3737" s="23">
        <f t="shared" si="58"/>
        <v>2026</v>
      </c>
    </row>
    <row r="3738" spans="1:13" ht="12.75" hidden="1" customHeight="1">
      <c r="A3738" t="s">
        <v>836</v>
      </c>
      <c r="B3738" t="s">
        <v>37</v>
      </c>
      <c r="C3738" t="s">
        <v>141</v>
      </c>
      <c r="D3738" t="s">
        <v>1394</v>
      </c>
      <c r="E3738" s="17">
        <v>46034</v>
      </c>
      <c r="F3738" s="17">
        <v>46034</v>
      </c>
      <c r="G3738" s="13">
        <v>200</v>
      </c>
      <c r="H3738" s="14">
        <v>0</v>
      </c>
      <c r="I3738" s="14">
        <v>0</v>
      </c>
      <c r="J3738" s="14">
        <v>0</v>
      </c>
      <c r="K3738" s="14">
        <v>200</v>
      </c>
      <c r="L3738" t="s">
        <v>794</v>
      </c>
      <c r="M3738" s="23">
        <f t="shared" si="58"/>
        <v>2026</v>
      </c>
    </row>
    <row r="3739" spans="1:13" ht="12.75" hidden="1" customHeight="1">
      <c r="A3739" t="s">
        <v>1185</v>
      </c>
      <c r="B3739" t="s">
        <v>637</v>
      </c>
      <c r="C3739" t="s">
        <v>723</v>
      </c>
      <c r="D3739" t="s">
        <v>1394</v>
      </c>
      <c r="E3739" s="17">
        <v>46034</v>
      </c>
      <c r="F3739" s="17">
        <v>46034</v>
      </c>
      <c r="G3739" s="13">
        <v>27</v>
      </c>
      <c r="H3739" s="14">
        <v>0</v>
      </c>
      <c r="I3739" s="14">
        <v>0</v>
      </c>
      <c r="J3739" s="14">
        <v>0</v>
      </c>
      <c r="K3739" s="14">
        <v>27</v>
      </c>
      <c r="L3739" t="s">
        <v>794</v>
      </c>
      <c r="M3739" s="23">
        <f t="shared" si="58"/>
        <v>2026</v>
      </c>
    </row>
    <row r="3740" spans="1:13" ht="12.75" hidden="1" customHeight="1">
      <c r="A3740" t="s">
        <v>818</v>
      </c>
      <c r="B3740" t="s">
        <v>30</v>
      </c>
      <c r="C3740" t="s">
        <v>141</v>
      </c>
      <c r="D3740" t="s">
        <v>1394</v>
      </c>
      <c r="E3740" s="17">
        <v>46034</v>
      </c>
      <c r="F3740" s="17">
        <v>46034</v>
      </c>
      <c r="G3740" s="13">
        <v>276</v>
      </c>
      <c r="H3740" s="14">
        <v>0</v>
      </c>
      <c r="I3740" s="14">
        <v>0</v>
      </c>
      <c r="J3740" s="14">
        <v>0</v>
      </c>
      <c r="K3740" s="14">
        <v>276</v>
      </c>
      <c r="L3740" t="s">
        <v>794</v>
      </c>
      <c r="M3740" s="23">
        <f t="shared" si="58"/>
        <v>2026</v>
      </c>
    </row>
    <row r="3741" spans="1:13" ht="12.75" hidden="1" customHeight="1">
      <c r="A3741" t="s">
        <v>810</v>
      </c>
      <c r="B3741" t="s">
        <v>54</v>
      </c>
      <c r="C3741" t="s">
        <v>141</v>
      </c>
      <c r="D3741" t="s">
        <v>1394</v>
      </c>
      <c r="E3741" s="17">
        <v>46034</v>
      </c>
      <c r="F3741" s="17">
        <v>46034</v>
      </c>
      <c r="G3741" s="13">
        <v>384</v>
      </c>
      <c r="H3741" s="14">
        <v>0</v>
      </c>
      <c r="I3741" s="14">
        <v>0</v>
      </c>
      <c r="J3741" s="14">
        <v>0</v>
      </c>
      <c r="K3741" s="14">
        <v>384</v>
      </c>
      <c r="L3741" t="s">
        <v>794</v>
      </c>
      <c r="M3741" s="23">
        <f t="shared" si="58"/>
        <v>2026</v>
      </c>
    </row>
    <row r="3742" spans="1:13" ht="12.75" hidden="1" customHeight="1">
      <c r="A3742" t="s">
        <v>1316</v>
      </c>
      <c r="B3742" t="s">
        <v>59</v>
      </c>
      <c r="C3742" t="s">
        <v>141</v>
      </c>
      <c r="D3742" t="s">
        <v>1394</v>
      </c>
      <c r="E3742" s="17">
        <v>46034</v>
      </c>
      <c r="F3742" s="17">
        <v>46034</v>
      </c>
      <c r="G3742" s="13">
        <v>356</v>
      </c>
      <c r="H3742" s="14">
        <v>0</v>
      </c>
      <c r="I3742" s="14">
        <v>0</v>
      </c>
      <c r="J3742" s="14">
        <v>0</v>
      </c>
      <c r="K3742" s="14">
        <v>356</v>
      </c>
      <c r="L3742" t="s">
        <v>794</v>
      </c>
      <c r="M3742" s="23">
        <f t="shared" si="58"/>
        <v>2026</v>
      </c>
    </row>
    <row r="3743" spans="1:13" ht="12.75" hidden="1" customHeight="1">
      <c r="A3743" t="s">
        <v>836</v>
      </c>
      <c r="B3743" t="s">
        <v>37</v>
      </c>
      <c r="C3743" t="s">
        <v>141</v>
      </c>
      <c r="D3743" t="s">
        <v>1394</v>
      </c>
      <c r="E3743" s="17">
        <v>46034</v>
      </c>
      <c r="F3743" s="17">
        <v>46034</v>
      </c>
      <c r="G3743" s="13">
        <v>200</v>
      </c>
      <c r="H3743" s="14">
        <v>0</v>
      </c>
      <c r="I3743" s="14">
        <v>0</v>
      </c>
      <c r="J3743" s="14">
        <v>0</v>
      </c>
      <c r="K3743" s="14">
        <v>200</v>
      </c>
      <c r="L3743" t="s">
        <v>794</v>
      </c>
      <c r="M3743" s="23">
        <f t="shared" si="58"/>
        <v>2026</v>
      </c>
    </row>
    <row r="3744" spans="1:13" ht="12.75" hidden="1" customHeight="1">
      <c r="A3744" t="s">
        <v>1317</v>
      </c>
      <c r="B3744" t="s">
        <v>64</v>
      </c>
      <c r="C3744" t="s">
        <v>141</v>
      </c>
      <c r="D3744" t="s">
        <v>1394</v>
      </c>
      <c r="E3744" s="17">
        <v>46035</v>
      </c>
      <c r="F3744" s="17">
        <v>46035</v>
      </c>
      <c r="G3744" s="13">
        <v>276</v>
      </c>
      <c r="H3744" s="14">
        <v>0</v>
      </c>
      <c r="I3744" s="14">
        <v>0</v>
      </c>
      <c r="J3744" s="14">
        <v>0</v>
      </c>
      <c r="K3744" s="14">
        <v>276</v>
      </c>
      <c r="L3744" t="s">
        <v>794</v>
      </c>
      <c r="M3744" s="23">
        <f t="shared" si="58"/>
        <v>2026</v>
      </c>
    </row>
    <row r="3745" spans="1:13" ht="12.75" hidden="1" customHeight="1">
      <c r="A3745" t="s">
        <v>921</v>
      </c>
      <c r="B3745" t="s">
        <v>184</v>
      </c>
      <c r="C3745" t="s">
        <v>646</v>
      </c>
      <c r="D3745" t="s">
        <v>1394</v>
      </c>
      <c r="E3745" s="17">
        <v>46035</v>
      </c>
      <c r="F3745" s="17">
        <v>46035</v>
      </c>
      <c r="G3745" s="13">
        <v>41.7</v>
      </c>
      <c r="H3745" s="14">
        <v>0</v>
      </c>
      <c r="I3745" s="14">
        <v>0</v>
      </c>
      <c r="J3745" s="14">
        <v>0</v>
      </c>
      <c r="K3745" s="14">
        <v>41.7</v>
      </c>
      <c r="L3745" t="s">
        <v>794</v>
      </c>
      <c r="M3745" s="23">
        <f t="shared" si="58"/>
        <v>2026</v>
      </c>
    </row>
    <row r="3746" spans="1:13" ht="12.75" hidden="1" customHeight="1">
      <c r="A3746" t="s">
        <v>1177</v>
      </c>
      <c r="B3746" t="s">
        <v>639</v>
      </c>
      <c r="C3746" t="s">
        <v>773</v>
      </c>
      <c r="D3746" t="s">
        <v>1394</v>
      </c>
      <c r="E3746" s="17">
        <v>46035</v>
      </c>
      <c r="F3746" s="17">
        <v>46035</v>
      </c>
      <c r="G3746" s="13">
        <v>8.93</v>
      </c>
      <c r="H3746" s="14">
        <v>0</v>
      </c>
      <c r="I3746" s="14">
        <v>0</v>
      </c>
      <c r="J3746" s="14">
        <v>0</v>
      </c>
      <c r="K3746" s="14">
        <v>8.93</v>
      </c>
      <c r="L3746" t="s">
        <v>794</v>
      </c>
      <c r="M3746" s="23">
        <f t="shared" si="58"/>
        <v>2026</v>
      </c>
    </row>
    <row r="3747" spans="1:13" ht="12.75" hidden="1" customHeight="1">
      <c r="A3747" t="s">
        <v>1341</v>
      </c>
      <c r="B3747" t="s">
        <v>160</v>
      </c>
      <c r="C3747" t="s">
        <v>201</v>
      </c>
      <c r="D3747" t="s">
        <v>1394</v>
      </c>
      <c r="E3747" s="17">
        <v>46032</v>
      </c>
      <c r="F3747" s="17">
        <v>46035</v>
      </c>
      <c r="G3747" s="13">
        <v>1200</v>
      </c>
      <c r="H3747" s="14">
        <v>0</v>
      </c>
      <c r="I3747" s="14">
        <v>0</v>
      </c>
      <c r="J3747" s="14">
        <v>0</v>
      </c>
      <c r="K3747" s="14">
        <v>1200</v>
      </c>
      <c r="L3747" t="s">
        <v>794</v>
      </c>
      <c r="M3747" s="23">
        <f t="shared" si="58"/>
        <v>2026</v>
      </c>
    </row>
    <row r="3748" spans="1:13" ht="12.75" hidden="1" customHeight="1">
      <c r="A3748" t="s">
        <v>1343</v>
      </c>
      <c r="B3748" t="s">
        <v>92</v>
      </c>
      <c r="C3748" t="s">
        <v>201</v>
      </c>
      <c r="D3748" t="s">
        <v>1394</v>
      </c>
      <c r="E3748" s="17">
        <v>46032</v>
      </c>
      <c r="F3748" s="17">
        <v>46036</v>
      </c>
      <c r="G3748" s="13">
        <v>1200</v>
      </c>
      <c r="H3748" s="14">
        <v>0</v>
      </c>
      <c r="I3748" s="14">
        <v>0</v>
      </c>
      <c r="J3748" s="14">
        <v>0</v>
      </c>
      <c r="K3748" s="14">
        <v>1200</v>
      </c>
      <c r="L3748" t="s">
        <v>794</v>
      </c>
      <c r="M3748" s="23">
        <f t="shared" si="58"/>
        <v>2026</v>
      </c>
    </row>
    <row r="3749" spans="1:13" ht="12.75" hidden="1" customHeight="1">
      <c r="A3749" t="s">
        <v>1104</v>
      </c>
      <c r="B3749" t="s">
        <v>53</v>
      </c>
      <c r="C3749" t="s">
        <v>470</v>
      </c>
      <c r="D3749" t="s">
        <v>1394</v>
      </c>
      <c r="E3749" s="17">
        <v>46036</v>
      </c>
      <c r="F3749" s="17">
        <v>46036</v>
      </c>
      <c r="G3749" s="13">
        <v>5.4</v>
      </c>
      <c r="H3749" s="14">
        <v>0</v>
      </c>
      <c r="I3749" s="14">
        <v>0</v>
      </c>
      <c r="J3749" s="14">
        <v>0</v>
      </c>
      <c r="K3749" s="14">
        <v>5.4</v>
      </c>
      <c r="L3749" t="s">
        <v>794</v>
      </c>
      <c r="M3749" s="23">
        <f t="shared" si="58"/>
        <v>2026</v>
      </c>
    </row>
    <row r="3750" spans="1:13" ht="12.75" hidden="1" customHeight="1">
      <c r="A3750" t="s">
        <v>1104</v>
      </c>
      <c r="B3750" t="s">
        <v>53</v>
      </c>
      <c r="C3750" t="s">
        <v>470</v>
      </c>
      <c r="D3750" t="s">
        <v>1394</v>
      </c>
      <c r="E3750" s="17">
        <v>46036</v>
      </c>
      <c r="F3750" s="17">
        <v>46036</v>
      </c>
      <c r="G3750" s="13">
        <v>5.4</v>
      </c>
      <c r="H3750" s="14">
        <v>0</v>
      </c>
      <c r="I3750" s="14">
        <v>0</v>
      </c>
      <c r="J3750" s="14">
        <v>0</v>
      </c>
      <c r="K3750" s="14">
        <v>5.4</v>
      </c>
      <c r="L3750" t="s">
        <v>794</v>
      </c>
      <c r="M3750" s="23">
        <f t="shared" si="58"/>
        <v>2026</v>
      </c>
    </row>
    <row r="3751" spans="1:13" ht="12.75" hidden="1" customHeight="1">
      <c r="A3751" t="s">
        <v>1104</v>
      </c>
      <c r="B3751" t="s">
        <v>53</v>
      </c>
      <c r="C3751" t="s">
        <v>470</v>
      </c>
      <c r="D3751" t="s">
        <v>1394</v>
      </c>
      <c r="E3751" s="17">
        <v>46036</v>
      </c>
      <c r="F3751" s="17">
        <v>46036</v>
      </c>
      <c r="G3751" s="13">
        <v>16.5</v>
      </c>
      <c r="H3751" s="14">
        <v>0</v>
      </c>
      <c r="I3751" s="14">
        <v>0</v>
      </c>
      <c r="J3751" s="14">
        <v>0</v>
      </c>
      <c r="K3751" s="14">
        <v>16.5</v>
      </c>
      <c r="L3751" t="s">
        <v>794</v>
      </c>
      <c r="M3751" s="23">
        <f t="shared" si="58"/>
        <v>2026</v>
      </c>
    </row>
    <row r="3752" spans="1:13" ht="12.75" hidden="1" customHeight="1">
      <c r="A3752" t="s">
        <v>1104</v>
      </c>
      <c r="B3752" t="s">
        <v>53</v>
      </c>
      <c r="C3752" t="s">
        <v>470</v>
      </c>
      <c r="D3752" t="s">
        <v>1394</v>
      </c>
      <c r="E3752" s="17">
        <v>46036</v>
      </c>
      <c r="F3752" s="17">
        <v>46036</v>
      </c>
      <c r="G3752" s="13">
        <v>13.950000000000001</v>
      </c>
      <c r="H3752" s="14">
        <v>0</v>
      </c>
      <c r="I3752" s="14">
        <v>0</v>
      </c>
      <c r="J3752" s="14">
        <v>0</v>
      </c>
      <c r="K3752" s="14">
        <v>13.950000000000001</v>
      </c>
      <c r="L3752" t="s">
        <v>794</v>
      </c>
      <c r="M3752" s="23">
        <f t="shared" si="58"/>
        <v>2026</v>
      </c>
    </row>
    <row r="3753" spans="1:13" ht="12.75" hidden="1" customHeight="1">
      <c r="A3753" t="s">
        <v>1167</v>
      </c>
      <c r="B3753" t="s">
        <v>47</v>
      </c>
      <c r="C3753" t="s">
        <v>733</v>
      </c>
      <c r="D3753" t="s">
        <v>1394</v>
      </c>
      <c r="E3753" s="17">
        <v>46037</v>
      </c>
      <c r="F3753" s="17">
        <v>46037</v>
      </c>
      <c r="G3753" s="13">
        <v>21.900000000000002</v>
      </c>
      <c r="H3753" s="14">
        <v>0</v>
      </c>
      <c r="I3753" s="14">
        <v>0</v>
      </c>
      <c r="J3753" s="14">
        <v>0</v>
      </c>
      <c r="K3753" s="14">
        <v>21.900000000000002</v>
      </c>
      <c r="L3753" t="s">
        <v>794</v>
      </c>
      <c r="M3753" s="23">
        <f t="shared" si="58"/>
        <v>2026</v>
      </c>
    </row>
    <row r="3754" spans="1:13" ht="12.75" hidden="1" customHeight="1">
      <c r="A3754" t="s">
        <v>1397</v>
      </c>
      <c r="B3754" t="s">
        <v>619</v>
      </c>
      <c r="C3754" t="s">
        <v>599</v>
      </c>
      <c r="D3754" t="s">
        <v>1394</v>
      </c>
      <c r="E3754" s="17">
        <v>46037</v>
      </c>
      <c r="F3754" s="17">
        <v>46037</v>
      </c>
      <c r="G3754" s="13">
        <v>50</v>
      </c>
      <c r="H3754" s="14">
        <v>0</v>
      </c>
      <c r="I3754" s="14">
        <v>0</v>
      </c>
      <c r="J3754" s="14">
        <v>0</v>
      </c>
      <c r="K3754" s="14">
        <v>50</v>
      </c>
      <c r="L3754" t="s">
        <v>794</v>
      </c>
      <c r="M3754" s="23">
        <f t="shared" si="58"/>
        <v>2026</v>
      </c>
    </row>
    <row r="3755" spans="1:13" ht="12.75" hidden="1" customHeight="1">
      <c r="A3755" t="s">
        <v>1398</v>
      </c>
      <c r="B3755" t="s">
        <v>656</v>
      </c>
      <c r="C3755" t="s">
        <v>646</v>
      </c>
      <c r="D3755" t="s">
        <v>1394</v>
      </c>
      <c r="E3755" s="17">
        <v>46037</v>
      </c>
      <c r="F3755" s="17">
        <v>46037</v>
      </c>
      <c r="G3755" s="13">
        <v>35</v>
      </c>
      <c r="H3755" s="14">
        <v>0</v>
      </c>
      <c r="I3755" s="14">
        <v>0</v>
      </c>
      <c r="J3755" s="14">
        <v>0</v>
      </c>
      <c r="K3755" s="14">
        <v>35</v>
      </c>
      <c r="L3755" t="s">
        <v>794</v>
      </c>
      <c r="M3755" s="23">
        <f t="shared" si="58"/>
        <v>2026</v>
      </c>
    </row>
    <row r="3756" spans="1:13" ht="12.75" hidden="1" customHeight="1">
      <c r="A3756" t="s">
        <v>1009</v>
      </c>
      <c r="B3756" t="s">
        <v>62</v>
      </c>
      <c r="C3756" t="s">
        <v>732</v>
      </c>
      <c r="D3756" t="s">
        <v>1394</v>
      </c>
      <c r="E3756" s="17">
        <v>46038</v>
      </c>
      <c r="F3756" s="17">
        <v>46038</v>
      </c>
      <c r="G3756" s="13">
        <v>99.25</v>
      </c>
      <c r="H3756" s="14">
        <v>0</v>
      </c>
      <c r="I3756" s="14">
        <v>0</v>
      </c>
      <c r="J3756" s="14">
        <v>0</v>
      </c>
      <c r="K3756" s="14">
        <v>99.25</v>
      </c>
      <c r="L3756" t="s">
        <v>794</v>
      </c>
      <c r="M3756" s="23">
        <f t="shared" si="58"/>
        <v>2026</v>
      </c>
    </row>
    <row r="3757" spans="1:13" ht="12.75" hidden="1" customHeight="1">
      <c r="A3757" t="s">
        <v>852</v>
      </c>
      <c r="B3757" t="s">
        <v>342</v>
      </c>
      <c r="C3757" t="s">
        <v>483</v>
      </c>
      <c r="D3757" t="s">
        <v>1394</v>
      </c>
      <c r="E3757" s="17">
        <v>46041</v>
      </c>
      <c r="F3757" s="17">
        <v>46041</v>
      </c>
      <c r="G3757" s="13">
        <v>38.980000000000004</v>
      </c>
      <c r="H3757" s="14">
        <v>0</v>
      </c>
      <c r="I3757" s="14">
        <v>0</v>
      </c>
      <c r="J3757" s="14">
        <v>0</v>
      </c>
      <c r="K3757" s="14">
        <v>38.980000000000004</v>
      </c>
      <c r="L3757" t="s">
        <v>794</v>
      </c>
      <c r="M3757" s="23">
        <f t="shared" ref="M3757:M3819" si="59">YEAR(F3757)</f>
        <v>2026</v>
      </c>
    </row>
    <row r="3758" spans="1:13" ht="12.75" hidden="1" customHeight="1">
      <c r="A3758" t="s">
        <v>1313</v>
      </c>
      <c r="B3758" t="s">
        <v>362</v>
      </c>
      <c r="C3758" t="s">
        <v>558</v>
      </c>
      <c r="D3758" t="s">
        <v>1394</v>
      </c>
      <c r="E3758" s="17">
        <v>46041</v>
      </c>
      <c r="F3758" s="17">
        <v>46041</v>
      </c>
      <c r="G3758" s="13">
        <v>84.600000000000009</v>
      </c>
      <c r="H3758" s="14">
        <v>0</v>
      </c>
      <c r="I3758" s="14">
        <v>0</v>
      </c>
      <c r="J3758" s="14">
        <v>0</v>
      </c>
      <c r="K3758" s="14">
        <v>84.600000000000009</v>
      </c>
      <c r="L3758" t="s">
        <v>794</v>
      </c>
      <c r="M3758" s="23">
        <f t="shared" si="59"/>
        <v>2026</v>
      </c>
    </row>
    <row r="3759" spans="1:13" ht="12.75" hidden="1" customHeight="1">
      <c r="A3759" t="s">
        <v>1316</v>
      </c>
      <c r="B3759" t="s">
        <v>59</v>
      </c>
      <c r="C3759" t="s">
        <v>141</v>
      </c>
      <c r="D3759" t="s">
        <v>1394</v>
      </c>
      <c r="E3759" s="17">
        <v>46041</v>
      </c>
      <c r="F3759" s="17">
        <v>46041</v>
      </c>
      <c r="G3759" s="13">
        <v>236</v>
      </c>
      <c r="H3759" s="14">
        <v>0</v>
      </c>
      <c r="I3759" s="14">
        <v>0</v>
      </c>
      <c r="J3759" s="14">
        <v>0</v>
      </c>
      <c r="K3759" s="14">
        <v>236</v>
      </c>
      <c r="L3759" t="s">
        <v>794</v>
      </c>
      <c r="M3759" s="23">
        <f t="shared" si="59"/>
        <v>2026</v>
      </c>
    </row>
    <row r="3760" spans="1:13" ht="12.75" hidden="1" customHeight="1">
      <c r="A3760" t="s">
        <v>1317</v>
      </c>
      <c r="B3760" t="s">
        <v>64</v>
      </c>
      <c r="C3760" t="s">
        <v>141</v>
      </c>
      <c r="D3760" t="s">
        <v>1394</v>
      </c>
      <c r="E3760" s="17">
        <v>46041</v>
      </c>
      <c r="F3760" s="17">
        <v>46041</v>
      </c>
      <c r="G3760" s="13">
        <v>40</v>
      </c>
      <c r="H3760" s="14">
        <v>0</v>
      </c>
      <c r="I3760" s="14">
        <v>0</v>
      </c>
      <c r="J3760" s="14">
        <v>0</v>
      </c>
      <c r="K3760" s="14">
        <v>40</v>
      </c>
      <c r="L3760" t="s">
        <v>794</v>
      </c>
      <c r="M3760" s="23">
        <f t="shared" si="59"/>
        <v>2026</v>
      </c>
    </row>
    <row r="3761" spans="1:13" ht="12.75" hidden="1" customHeight="1">
      <c r="A3761" t="s">
        <v>1181</v>
      </c>
      <c r="B3761" t="s">
        <v>75</v>
      </c>
      <c r="C3761" t="s">
        <v>141</v>
      </c>
      <c r="D3761" t="s">
        <v>1394</v>
      </c>
      <c r="E3761" s="17">
        <v>46041</v>
      </c>
      <c r="F3761" s="17">
        <v>46041</v>
      </c>
      <c r="G3761" s="13">
        <v>272</v>
      </c>
      <c r="H3761" s="14">
        <v>0</v>
      </c>
      <c r="I3761" s="14">
        <v>0</v>
      </c>
      <c r="J3761" s="14">
        <v>0</v>
      </c>
      <c r="K3761" s="14">
        <v>272</v>
      </c>
      <c r="L3761" t="s">
        <v>794</v>
      </c>
      <c r="M3761" s="23">
        <f t="shared" si="59"/>
        <v>2026</v>
      </c>
    </row>
    <row r="3762" spans="1:13" ht="12.75" hidden="1" customHeight="1">
      <c r="A3762" t="s">
        <v>818</v>
      </c>
      <c r="B3762" t="s">
        <v>30</v>
      </c>
      <c r="C3762" t="s">
        <v>141</v>
      </c>
      <c r="D3762" t="s">
        <v>1394</v>
      </c>
      <c r="E3762" s="17">
        <v>46041</v>
      </c>
      <c r="F3762" s="17">
        <v>46041</v>
      </c>
      <c r="G3762" s="13">
        <v>400</v>
      </c>
      <c r="H3762" s="14">
        <v>0</v>
      </c>
      <c r="I3762" s="14">
        <v>0</v>
      </c>
      <c r="J3762" s="14">
        <v>0</v>
      </c>
      <c r="K3762" s="14">
        <v>400</v>
      </c>
      <c r="L3762" t="s">
        <v>794</v>
      </c>
      <c r="M3762" s="23">
        <f t="shared" si="59"/>
        <v>2026</v>
      </c>
    </row>
    <row r="3763" spans="1:13" ht="12.75" hidden="1" customHeight="1">
      <c r="A3763" t="s">
        <v>1399</v>
      </c>
      <c r="B3763" t="s">
        <v>305</v>
      </c>
      <c r="C3763" t="s">
        <v>733</v>
      </c>
      <c r="D3763" t="s">
        <v>1394</v>
      </c>
      <c r="E3763" s="17">
        <v>46041</v>
      </c>
      <c r="F3763" s="17">
        <v>46041</v>
      </c>
      <c r="G3763" s="13">
        <v>122</v>
      </c>
      <c r="H3763" s="14">
        <v>0</v>
      </c>
      <c r="I3763" s="14">
        <v>0</v>
      </c>
      <c r="J3763" s="14">
        <v>0</v>
      </c>
      <c r="K3763" s="14">
        <v>122</v>
      </c>
      <c r="L3763" t="s">
        <v>794</v>
      </c>
      <c r="M3763" s="23">
        <f t="shared" si="59"/>
        <v>2026</v>
      </c>
    </row>
    <row r="3764" spans="1:13" ht="12.75" hidden="1" customHeight="1">
      <c r="A3764" t="s">
        <v>810</v>
      </c>
      <c r="B3764" t="s">
        <v>54</v>
      </c>
      <c r="C3764" t="s">
        <v>141</v>
      </c>
      <c r="D3764" t="s">
        <v>1394</v>
      </c>
      <c r="E3764" s="17">
        <v>46041</v>
      </c>
      <c r="F3764" s="17">
        <v>46041</v>
      </c>
      <c r="G3764" s="13">
        <v>178</v>
      </c>
      <c r="H3764" s="14">
        <v>0</v>
      </c>
      <c r="I3764" s="14">
        <v>0</v>
      </c>
      <c r="J3764" s="14">
        <v>0</v>
      </c>
      <c r="K3764" s="14">
        <v>178</v>
      </c>
      <c r="L3764" t="s">
        <v>794</v>
      </c>
      <c r="M3764" s="23">
        <f t="shared" si="59"/>
        <v>2026</v>
      </c>
    </row>
    <row r="3765" spans="1:13" ht="12.75" hidden="1" customHeight="1">
      <c r="A3765" t="s">
        <v>851</v>
      </c>
      <c r="B3765" t="s">
        <v>369</v>
      </c>
      <c r="C3765" t="s">
        <v>491</v>
      </c>
      <c r="D3765" t="s">
        <v>1394</v>
      </c>
      <c r="E3765" s="17">
        <v>46042</v>
      </c>
      <c r="F3765" s="17">
        <v>46042</v>
      </c>
      <c r="G3765" s="13">
        <v>50</v>
      </c>
      <c r="H3765" s="14">
        <v>0</v>
      </c>
      <c r="I3765" s="14">
        <v>0</v>
      </c>
      <c r="J3765" s="14">
        <v>0</v>
      </c>
      <c r="K3765" s="14">
        <v>50</v>
      </c>
      <c r="L3765" t="s">
        <v>794</v>
      </c>
      <c r="M3765" s="23">
        <f t="shared" si="59"/>
        <v>2026</v>
      </c>
    </row>
    <row r="3766" spans="1:13" ht="12.75" hidden="1" customHeight="1">
      <c r="A3766" t="s">
        <v>998</v>
      </c>
      <c r="B3766" t="s">
        <v>368</v>
      </c>
      <c r="C3766" t="s">
        <v>733</v>
      </c>
      <c r="D3766" t="s">
        <v>1394</v>
      </c>
      <c r="E3766" s="17">
        <v>46043</v>
      </c>
      <c r="F3766" s="17">
        <v>46043</v>
      </c>
      <c r="G3766" s="13">
        <v>23.39</v>
      </c>
      <c r="H3766" s="14">
        <v>0</v>
      </c>
      <c r="I3766" s="14">
        <v>0</v>
      </c>
      <c r="J3766" s="14">
        <v>0</v>
      </c>
      <c r="K3766" s="14">
        <v>23.39</v>
      </c>
      <c r="L3766" t="s">
        <v>794</v>
      </c>
      <c r="M3766" s="23">
        <f t="shared" si="59"/>
        <v>2026</v>
      </c>
    </row>
    <row r="3767" spans="1:13" ht="12.75" hidden="1" customHeight="1">
      <c r="A3767" t="s">
        <v>1313</v>
      </c>
      <c r="B3767" t="s">
        <v>362</v>
      </c>
      <c r="C3767" t="s">
        <v>558</v>
      </c>
      <c r="D3767" t="s">
        <v>1394</v>
      </c>
      <c r="E3767" s="17">
        <v>46044</v>
      </c>
      <c r="F3767" s="17">
        <v>46044</v>
      </c>
      <c r="G3767" s="13">
        <v>23.8</v>
      </c>
      <c r="H3767" s="14">
        <v>0</v>
      </c>
      <c r="I3767" s="14">
        <v>0</v>
      </c>
      <c r="J3767" s="14">
        <v>0</v>
      </c>
      <c r="K3767" s="14">
        <v>23.8</v>
      </c>
      <c r="L3767" t="s">
        <v>794</v>
      </c>
      <c r="M3767" s="23">
        <f t="shared" si="59"/>
        <v>2026</v>
      </c>
    </row>
    <row r="3768" spans="1:13" ht="12.75" hidden="1" customHeight="1">
      <c r="A3768" t="s">
        <v>1108</v>
      </c>
      <c r="B3768" t="s">
        <v>328</v>
      </c>
      <c r="C3768" t="s">
        <v>483</v>
      </c>
      <c r="D3768" t="s">
        <v>1394</v>
      </c>
      <c r="E3768" s="17">
        <v>46044</v>
      </c>
      <c r="F3768" s="17">
        <v>46044</v>
      </c>
      <c r="G3768" s="13">
        <v>34.78</v>
      </c>
      <c r="H3768" s="14">
        <v>0</v>
      </c>
      <c r="I3768" s="14">
        <v>0</v>
      </c>
      <c r="J3768" s="14">
        <v>0</v>
      </c>
      <c r="K3768" s="14">
        <v>34.78</v>
      </c>
      <c r="L3768" t="s">
        <v>794</v>
      </c>
      <c r="M3768" s="23">
        <f t="shared" si="59"/>
        <v>2026</v>
      </c>
    </row>
    <row r="3769" spans="1:13" ht="12.75" hidden="1" customHeight="1">
      <c r="A3769" t="s">
        <v>1318</v>
      </c>
      <c r="B3769" t="s">
        <v>498</v>
      </c>
      <c r="C3769" t="s">
        <v>681</v>
      </c>
      <c r="D3769" t="s">
        <v>1394</v>
      </c>
      <c r="E3769" s="17">
        <v>46045</v>
      </c>
      <c r="F3769" s="17">
        <v>46045</v>
      </c>
      <c r="G3769" s="13">
        <v>12.99</v>
      </c>
      <c r="H3769" s="14">
        <v>0</v>
      </c>
      <c r="I3769" s="14">
        <v>0</v>
      </c>
      <c r="J3769" s="14">
        <v>0</v>
      </c>
      <c r="K3769" s="14">
        <v>12.99</v>
      </c>
      <c r="L3769" t="s">
        <v>794</v>
      </c>
      <c r="M3769" s="23">
        <f t="shared" si="59"/>
        <v>2026</v>
      </c>
    </row>
    <row r="3770" spans="1:13" ht="12.75" hidden="1" customHeight="1">
      <c r="A3770" t="s">
        <v>906</v>
      </c>
      <c r="B3770" t="s">
        <v>289</v>
      </c>
      <c r="C3770" t="s">
        <v>681</v>
      </c>
      <c r="D3770" t="s">
        <v>1394</v>
      </c>
      <c r="E3770" s="17">
        <v>46045</v>
      </c>
      <c r="F3770" s="17">
        <v>46045</v>
      </c>
      <c r="G3770" s="13">
        <v>40</v>
      </c>
      <c r="H3770" s="14">
        <v>0</v>
      </c>
      <c r="I3770" s="14">
        <v>0</v>
      </c>
      <c r="J3770" s="14">
        <v>0</v>
      </c>
      <c r="K3770" s="14">
        <v>40</v>
      </c>
      <c r="L3770" t="s">
        <v>794</v>
      </c>
      <c r="M3770" s="23">
        <f t="shared" si="59"/>
        <v>2026</v>
      </c>
    </row>
    <row r="3771" spans="1:13" ht="12.75" hidden="1" customHeight="1">
      <c r="A3771" t="s">
        <v>1400</v>
      </c>
      <c r="B3771" t="s">
        <v>706</v>
      </c>
      <c r="C3771" t="s">
        <v>773</v>
      </c>
      <c r="D3771" t="s">
        <v>1394</v>
      </c>
      <c r="E3771" s="17">
        <v>46045</v>
      </c>
      <c r="F3771" s="17">
        <v>46045</v>
      </c>
      <c r="G3771" s="13">
        <v>8.93</v>
      </c>
      <c r="H3771" s="14">
        <v>0</v>
      </c>
      <c r="I3771" s="14">
        <v>0</v>
      </c>
      <c r="J3771" s="14">
        <v>0</v>
      </c>
      <c r="K3771" s="14">
        <v>8.93</v>
      </c>
      <c r="L3771" t="s">
        <v>794</v>
      </c>
      <c r="M3771" s="23">
        <f t="shared" si="59"/>
        <v>2026</v>
      </c>
    </row>
    <row r="3772" spans="1:13" ht="12.75" hidden="1" customHeight="1">
      <c r="A3772" t="s">
        <v>998</v>
      </c>
      <c r="B3772" t="s">
        <v>368</v>
      </c>
      <c r="C3772" t="s">
        <v>733</v>
      </c>
      <c r="D3772" t="s">
        <v>1394</v>
      </c>
      <c r="E3772" s="17">
        <v>46045</v>
      </c>
      <c r="F3772" s="17">
        <v>46045</v>
      </c>
      <c r="G3772" s="13">
        <v>22.650000000000002</v>
      </c>
      <c r="H3772" s="14">
        <v>0</v>
      </c>
      <c r="I3772" s="14">
        <v>0</v>
      </c>
      <c r="J3772" s="14">
        <v>0</v>
      </c>
      <c r="K3772" s="14">
        <v>22.650000000000002</v>
      </c>
      <c r="L3772" t="s">
        <v>794</v>
      </c>
      <c r="M3772" s="23">
        <f t="shared" si="59"/>
        <v>2026</v>
      </c>
    </row>
    <row r="3773" spans="1:13" ht="12.75" hidden="1" customHeight="1">
      <c r="A3773" t="s">
        <v>896</v>
      </c>
      <c r="B3773" t="s">
        <v>293</v>
      </c>
      <c r="C3773" t="s">
        <v>733</v>
      </c>
      <c r="D3773" t="s">
        <v>1394</v>
      </c>
      <c r="E3773" s="17">
        <v>46045</v>
      </c>
      <c r="F3773" s="17">
        <v>46045</v>
      </c>
      <c r="G3773" s="13">
        <v>9</v>
      </c>
      <c r="H3773" s="14">
        <v>0</v>
      </c>
      <c r="I3773" s="14">
        <v>0</v>
      </c>
      <c r="J3773" s="14">
        <v>0</v>
      </c>
      <c r="K3773" s="14">
        <v>9</v>
      </c>
      <c r="L3773" t="s">
        <v>794</v>
      </c>
      <c r="M3773" s="23">
        <f t="shared" si="59"/>
        <v>2026</v>
      </c>
    </row>
    <row r="3774" spans="1:13" ht="12.75" hidden="1" customHeight="1">
      <c r="A3774" t="s">
        <v>992</v>
      </c>
      <c r="B3774" t="s">
        <v>277</v>
      </c>
      <c r="C3774" t="s">
        <v>99</v>
      </c>
      <c r="D3774" t="s">
        <v>1394</v>
      </c>
      <c r="E3774" s="17">
        <v>46030</v>
      </c>
      <c r="F3774" s="17">
        <v>46048</v>
      </c>
      <c r="G3774" s="13">
        <v>422.2</v>
      </c>
      <c r="H3774" s="14">
        <v>0</v>
      </c>
      <c r="I3774" s="14">
        <v>0</v>
      </c>
      <c r="J3774" s="14">
        <v>0</v>
      </c>
      <c r="K3774" s="14">
        <v>282.2</v>
      </c>
      <c r="L3774" t="s">
        <v>794</v>
      </c>
      <c r="M3774" s="23">
        <f t="shared" si="59"/>
        <v>2026</v>
      </c>
    </row>
    <row r="3775" spans="1:13" ht="12.75" hidden="1" customHeight="1">
      <c r="A3775" t="s">
        <v>1108</v>
      </c>
      <c r="B3775" t="s">
        <v>328</v>
      </c>
      <c r="C3775" t="s">
        <v>483</v>
      </c>
      <c r="D3775" t="s">
        <v>1394</v>
      </c>
      <c r="E3775" s="17">
        <v>46048</v>
      </c>
      <c r="F3775" s="17">
        <v>46048</v>
      </c>
      <c r="G3775" s="13">
        <v>35.480000000000004</v>
      </c>
      <c r="H3775" s="14">
        <v>0</v>
      </c>
      <c r="I3775" s="14">
        <v>0</v>
      </c>
      <c r="J3775" s="14">
        <v>0</v>
      </c>
      <c r="K3775" s="14">
        <v>35.480000000000004</v>
      </c>
      <c r="L3775" t="s">
        <v>794</v>
      </c>
      <c r="M3775" s="23">
        <f t="shared" si="59"/>
        <v>2026</v>
      </c>
    </row>
    <row r="3776" spans="1:13" ht="12.75" hidden="1" customHeight="1">
      <c r="A3776" t="s">
        <v>1181</v>
      </c>
      <c r="B3776" t="s">
        <v>75</v>
      </c>
      <c r="C3776" t="s">
        <v>141</v>
      </c>
      <c r="D3776" t="s">
        <v>1394</v>
      </c>
      <c r="E3776" s="17">
        <v>46048</v>
      </c>
      <c r="F3776" s="17">
        <v>46048</v>
      </c>
      <c r="G3776" s="13">
        <v>60</v>
      </c>
      <c r="H3776" s="14">
        <v>0</v>
      </c>
      <c r="I3776" s="14">
        <v>0</v>
      </c>
      <c r="J3776" s="14">
        <v>0</v>
      </c>
      <c r="K3776" s="14">
        <v>60</v>
      </c>
      <c r="L3776" t="s">
        <v>794</v>
      </c>
      <c r="M3776" s="23">
        <f t="shared" si="59"/>
        <v>2026</v>
      </c>
    </row>
    <row r="3777" spans="1:13" ht="12.75" hidden="1" customHeight="1">
      <c r="A3777" t="s">
        <v>818</v>
      </c>
      <c r="B3777" t="s">
        <v>30</v>
      </c>
      <c r="C3777" t="s">
        <v>141</v>
      </c>
      <c r="D3777" t="s">
        <v>1394</v>
      </c>
      <c r="E3777" s="17">
        <v>46048</v>
      </c>
      <c r="F3777" s="17">
        <v>46048</v>
      </c>
      <c r="G3777" s="13">
        <v>236</v>
      </c>
      <c r="H3777" s="14">
        <v>0</v>
      </c>
      <c r="I3777" s="14">
        <v>0</v>
      </c>
      <c r="J3777" s="14">
        <v>0</v>
      </c>
      <c r="K3777" s="14">
        <v>236</v>
      </c>
      <c r="L3777" t="s">
        <v>794</v>
      </c>
      <c r="M3777" s="23">
        <f t="shared" si="59"/>
        <v>2026</v>
      </c>
    </row>
    <row r="3778" spans="1:13" ht="12.75" hidden="1" customHeight="1">
      <c r="A3778" t="s">
        <v>1316</v>
      </c>
      <c r="B3778" t="s">
        <v>59</v>
      </c>
      <c r="C3778" t="s">
        <v>141</v>
      </c>
      <c r="D3778" t="s">
        <v>1394</v>
      </c>
      <c r="E3778" s="17">
        <v>46048</v>
      </c>
      <c r="F3778" s="17">
        <v>46048</v>
      </c>
      <c r="G3778" s="13">
        <v>296</v>
      </c>
      <c r="H3778" s="14">
        <v>0</v>
      </c>
      <c r="I3778" s="14">
        <v>0</v>
      </c>
      <c r="J3778" s="14">
        <v>0</v>
      </c>
      <c r="K3778" s="14">
        <v>296</v>
      </c>
      <c r="L3778" t="s">
        <v>794</v>
      </c>
      <c r="M3778" s="23">
        <f t="shared" si="59"/>
        <v>2026</v>
      </c>
    </row>
    <row r="3779" spans="1:13" ht="12.75" hidden="1" customHeight="1">
      <c r="A3779" t="s">
        <v>1313</v>
      </c>
      <c r="B3779" t="s">
        <v>362</v>
      </c>
      <c r="C3779" t="s">
        <v>558</v>
      </c>
      <c r="D3779" t="s">
        <v>1394</v>
      </c>
      <c r="E3779" s="17">
        <v>46050</v>
      </c>
      <c r="F3779" s="17">
        <v>46050</v>
      </c>
      <c r="G3779" s="13">
        <v>23.8</v>
      </c>
      <c r="H3779" s="14">
        <v>0</v>
      </c>
      <c r="I3779" s="14">
        <v>0</v>
      </c>
      <c r="J3779" s="14">
        <v>0</v>
      </c>
      <c r="K3779" s="14">
        <v>23.8</v>
      </c>
      <c r="L3779" t="s">
        <v>794</v>
      </c>
      <c r="M3779" s="23">
        <f t="shared" si="59"/>
        <v>2026</v>
      </c>
    </row>
    <row r="3780" spans="1:13" ht="12.75" hidden="1" customHeight="1">
      <c r="A3780" t="s">
        <v>992</v>
      </c>
      <c r="B3780" t="s">
        <v>277</v>
      </c>
      <c r="C3780" t="s">
        <v>99</v>
      </c>
      <c r="D3780" t="s">
        <v>1394</v>
      </c>
      <c r="E3780" s="17">
        <v>46050</v>
      </c>
      <c r="F3780" s="17">
        <v>46050</v>
      </c>
      <c r="G3780" s="13">
        <v>38.300000000000004</v>
      </c>
      <c r="H3780" s="14">
        <v>0</v>
      </c>
      <c r="I3780" s="14">
        <v>0</v>
      </c>
      <c r="J3780" s="14">
        <v>0</v>
      </c>
      <c r="K3780" s="14">
        <v>38.300000000000004</v>
      </c>
      <c r="L3780" t="s">
        <v>794</v>
      </c>
      <c r="M3780" s="23">
        <f t="shared" si="59"/>
        <v>2026</v>
      </c>
    </row>
    <row r="3781" spans="1:13" ht="12.75" hidden="1" customHeight="1">
      <c r="A3781" t="s">
        <v>1108</v>
      </c>
      <c r="B3781" t="s">
        <v>328</v>
      </c>
      <c r="C3781" t="s">
        <v>483</v>
      </c>
      <c r="D3781" t="s">
        <v>1394</v>
      </c>
      <c r="E3781" s="17">
        <v>46050</v>
      </c>
      <c r="F3781" s="17">
        <v>46050</v>
      </c>
      <c r="G3781" s="13">
        <v>4.49</v>
      </c>
      <c r="H3781" s="14">
        <v>0</v>
      </c>
      <c r="I3781" s="14">
        <v>0</v>
      </c>
      <c r="J3781" s="14">
        <v>0</v>
      </c>
      <c r="K3781" s="14">
        <v>4.49</v>
      </c>
      <c r="L3781" t="s">
        <v>794</v>
      </c>
      <c r="M3781" s="23">
        <f t="shared" si="59"/>
        <v>2026</v>
      </c>
    </row>
    <row r="3782" spans="1:13" ht="12.75" hidden="1" customHeight="1">
      <c r="A3782" t="s">
        <v>1313</v>
      </c>
      <c r="B3782" t="s">
        <v>362</v>
      </c>
      <c r="C3782" t="s">
        <v>558</v>
      </c>
      <c r="D3782" t="s">
        <v>1394</v>
      </c>
      <c r="E3782" s="17">
        <v>46050</v>
      </c>
      <c r="F3782" s="17">
        <v>46050</v>
      </c>
      <c r="G3782" s="13">
        <v>20.5</v>
      </c>
      <c r="H3782" s="14">
        <v>0</v>
      </c>
      <c r="I3782" s="14">
        <v>0</v>
      </c>
      <c r="J3782" s="14">
        <v>0</v>
      </c>
      <c r="K3782" s="14">
        <v>20.5</v>
      </c>
      <c r="L3782" t="s">
        <v>794</v>
      </c>
      <c r="M3782" s="23">
        <f t="shared" si="59"/>
        <v>2026</v>
      </c>
    </row>
    <row r="3783" spans="1:13" ht="12.75" hidden="1" customHeight="1">
      <c r="A3783" t="s">
        <v>855</v>
      </c>
      <c r="B3783" t="s">
        <v>20</v>
      </c>
      <c r="C3783" t="s">
        <v>483</v>
      </c>
      <c r="D3783" t="s">
        <v>1394</v>
      </c>
      <c r="E3783" s="17">
        <v>46052</v>
      </c>
      <c r="F3783" s="17">
        <v>46052</v>
      </c>
      <c r="G3783" s="13">
        <v>216.86</v>
      </c>
      <c r="H3783" s="14">
        <v>0</v>
      </c>
      <c r="I3783" s="14">
        <v>0</v>
      </c>
      <c r="J3783" s="14">
        <v>0</v>
      </c>
      <c r="K3783" s="14">
        <v>216.86</v>
      </c>
      <c r="L3783" t="s">
        <v>794</v>
      </c>
      <c r="M3783" s="23">
        <f t="shared" si="59"/>
        <v>2026</v>
      </c>
    </row>
    <row r="3784" spans="1:13" ht="12.75" hidden="1" customHeight="1">
      <c r="A3784" t="s">
        <v>907</v>
      </c>
      <c r="B3784" t="s">
        <v>291</v>
      </c>
      <c r="C3784" t="s">
        <v>681</v>
      </c>
      <c r="D3784" t="s">
        <v>1394</v>
      </c>
      <c r="E3784" s="17">
        <v>46052</v>
      </c>
      <c r="F3784" s="17">
        <v>46052</v>
      </c>
      <c r="G3784" s="13">
        <v>19.059999999999999</v>
      </c>
      <c r="H3784" s="14">
        <v>0</v>
      </c>
      <c r="I3784" s="14">
        <v>0</v>
      </c>
      <c r="J3784" s="14">
        <v>0</v>
      </c>
      <c r="K3784" s="14">
        <v>19.059999999999999</v>
      </c>
      <c r="L3784" t="s">
        <v>794</v>
      </c>
      <c r="M3784" s="23">
        <f t="shared" si="59"/>
        <v>2026</v>
      </c>
    </row>
    <row r="3785" spans="1:13" ht="12.75" hidden="1" customHeight="1">
      <c r="A3785" t="s">
        <v>906</v>
      </c>
      <c r="B3785" t="s">
        <v>289</v>
      </c>
      <c r="C3785" t="s">
        <v>681</v>
      </c>
      <c r="D3785" t="s">
        <v>1394</v>
      </c>
      <c r="E3785" s="17">
        <v>46052</v>
      </c>
      <c r="F3785" s="17">
        <v>46052</v>
      </c>
      <c r="G3785" s="13">
        <v>40</v>
      </c>
      <c r="H3785" s="14">
        <v>0</v>
      </c>
      <c r="I3785" s="14">
        <v>0</v>
      </c>
      <c r="J3785" s="14">
        <v>0</v>
      </c>
      <c r="K3785" s="14">
        <v>40</v>
      </c>
      <c r="L3785" t="s">
        <v>794</v>
      </c>
      <c r="M3785" s="23">
        <f t="shared" si="59"/>
        <v>2026</v>
      </c>
    </row>
    <row r="3786" spans="1:13" ht="12.75" hidden="1" customHeight="1">
      <c r="A3786" t="s">
        <v>1151</v>
      </c>
      <c r="B3786" t="s">
        <v>413</v>
      </c>
      <c r="C3786" t="s">
        <v>760</v>
      </c>
      <c r="D3786" t="s">
        <v>1394</v>
      </c>
      <c r="E3786" s="17">
        <v>46052</v>
      </c>
      <c r="F3786" s="17">
        <v>46052</v>
      </c>
      <c r="G3786" s="13">
        <v>79</v>
      </c>
      <c r="H3786" s="14">
        <v>0</v>
      </c>
      <c r="I3786" s="14">
        <v>0</v>
      </c>
      <c r="J3786" s="14">
        <v>0</v>
      </c>
      <c r="K3786" s="14">
        <v>79</v>
      </c>
      <c r="L3786" t="s">
        <v>794</v>
      </c>
      <c r="M3786" s="23">
        <f t="shared" si="59"/>
        <v>2026</v>
      </c>
    </row>
    <row r="3787" spans="1:13" ht="12.75" hidden="1" customHeight="1">
      <c r="A3787" t="s">
        <v>1112</v>
      </c>
      <c r="B3787" t="s">
        <v>68</v>
      </c>
      <c r="C3787" t="s">
        <v>139</v>
      </c>
      <c r="D3787" t="s">
        <v>1394</v>
      </c>
      <c r="E3787" s="17">
        <v>46052</v>
      </c>
      <c r="F3787" s="17">
        <v>46052</v>
      </c>
      <c r="G3787" s="13">
        <v>12.200000000000001</v>
      </c>
      <c r="H3787" s="14">
        <v>0</v>
      </c>
      <c r="I3787" s="14">
        <v>0</v>
      </c>
      <c r="J3787" s="14">
        <v>0</v>
      </c>
      <c r="K3787" s="14">
        <v>12.200000000000001</v>
      </c>
      <c r="L3787" t="s">
        <v>794</v>
      </c>
      <c r="M3787" s="23">
        <f t="shared" si="59"/>
        <v>2026</v>
      </c>
    </row>
    <row r="3788" spans="1:13" ht="12.75" hidden="1" customHeight="1">
      <c r="A3788" t="s">
        <v>1401</v>
      </c>
      <c r="B3788" t="s">
        <v>254</v>
      </c>
      <c r="C3788" t="s">
        <v>139</v>
      </c>
      <c r="D3788" t="s">
        <v>1394</v>
      </c>
      <c r="E3788" s="17">
        <v>46052</v>
      </c>
      <c r="F3788" s="17">
        <v>46052</v>
      </c>
      <c r="G3788" s="13">
        <v>410.40000000000003</v>
      </c>
      <c r="H3788" s="14">
        <v>0</v>
      </c>
      <c r="I3788" s="14">
        <v>0</v>
      </c>
      <c r="J3788" s="14">
        <v>0</v>
      </c>
      <c r="K3788" s="14">
        <v>410.40000000000003</v>
      </c>
      <c r="L3788" t="s">
        <v>794</v>
      </c>
      <c r="M3788" s="23">
        <f t="shared" si="59"/>
        <v>2026</v>
      </c>
    </row>
    <row r="3789" spans="1:13" ht="12.75" hidden="1" customHeight="1">
      <c r="A3789" t="s">
        <v>819</v>
      </c>
      <c r="B3789" t="s">
        <v>38</v>
      </c>
      <c r="C3789" t="s">
        <v>138</v>
      </c>
      <c r="D3789" t="s">
        <v>1394</v>
      </c>
      <c r="E3789" s="17">
        <v>46024</v>
      </c>
      <c r="F3789" s="17">
        <v>46023</v>
      </c>
      <c r="G3789" s="13">
        <v>90.53</v>
      </c>
      <c r="H3789" s="14">
        <v>0</v>
      </c>
      <c r="I3789" s="14">
        <v>0</v>
      </c>
      <c r="J3789" s="14">
        <v>0</v>
      </c>
      <c r="K3789" s="14">
        <v>90.53</v>
      </c>
      <c r="L3789" t="s">
        <v>794</v>
      </c>
      <c r="M3789" s="23">
        <f t="shared" si="59"/>
        <v>2026</v>
      </c>
    </row>
    <row r="3790" spans="1:13" ht="12.75" hidden="1" customHeight="1">
      <c r="A3790" t="s">
        <v>833</v>
      </c>
      <c r="B3790" t="s">
        <v>27</v>
      </c>
      <c r="C3790" t="s">
        <v>138</v>
      </c>
      <c r="D3790" t="s">
        <v>1394</v>
      </c>
      <c r="E3790" s="17">
        <v>46024</v>
      </c>
      <c r="F3790" s="17">
        <v>46023</v>
      </c>
      <c r="G3790" s="13">
        <v>255.42000000000002</v>
      </c>
      <c r="H3790" s="14">
        <v>0</v>
      </c>
      <c r="I3790" s="14">
        <v>0</v>
      </c>
      <c r="J3790" s="14">
        <v>0</v>
      </c>
      <c r="K3790" s="14">
        <v>255.42000000000002</v>
      </c>
      <c r="L3790" t="s">
        <v>794</v>
      </c>
      <c r="M3790" s="23">
        <f t="shared" si="59"/>
        <v>2026</v>
      </c>
    </row>
    <row r="3791" spans="1:13" ht="12.75" hidden="1" customHeight="1">
      <c r="A3791" t="s">
        <v>826</v>
      </c>
      <c r="B3791" t="s">
        <v>21</v>
      </c>
      <c r="C3791" t="s">
        <v>138</v>
      </c>
      <c r="D3791" t="s">
        <v>1394</v>
      </c>
      <c r="E3791" s="17">
        <v>46024</v>
      </c>
      <c r="F3791" s="17">
        <v>46023</v>
      </c>
      <c r="G3791" s="13">
        <v>255.42000000000002</v>
      </c>
      <c r="H3791" s="14">
        <v>0</v>
      </c>
      <c r="I3791" s="14">
        <v>0</v>
      </c>
      <c r="J3791" s="14">
        <v>0</v>
      </c>
      <c r="K3791" s="14">
        <v>255.42000000000002</v>
      </c>
      <c r="L3791" t="s">
        <v>794</v>
      </c>
      <c r="M3791" s="23">
        <f t="shared" si="59"/>
        <v>2026</v>
      </c>
    </row>
    <row r="3792" spans="1:13" ht="12.75" hidden="1" customHeight="1">
      <c r="A3792" t="s">
        <v>1388</v>
      </c>
      <c r="B3792" t="s">
        <v>202</v>
      </c>
      <c r="C3792" t="s">
        <v>138</v>
      </c>
      <c r="D3792" t="s">
        <v>1394</v>
      </c>
      <c r="E3792" s="17">
        <v>46024</v>
      </c>
      <c r="F3792" s="17">
        <v>46023</v>
      </c>
      <c r="G3792" s="13">
        <v>255.42000000000002</v>
      </c>
      <c r="H3792" s="14">
        <v>0</v>
      </c>
      <c r="I3792" s="14">
        <v>0</v>
      </c>
      <c r="J3792" s="14">
        <v>0</v>
      </c>
      <c r="K3792" s="14">
        <v>255.42000000000002</v>
      </c>
      <c r="L3792" t="s">
        <v>794</v>
      </c>
      <c r="M3792" s="23">
        <f t="shared" si="59"/>
        <v>2026</v>
      </c>
    </row>
    <row r="3793" spans="1:13" ht="12.75" hidden="1" customHeight="1">
      <c r="A3793" t="s">
        <v>1181</v>
      </c>
      <c r="B3793" t="s">
        <v>75</v>
      </c>
      <c r="C3793" t="s">
        <v>138</v>
      </c>
      <c r="D3793" t="s">
        <v>873</v>
      </c>
      <c r="E3793" s="17">
        <v>46021</v>
      </c>
      <c r="F3793" s="17">
        <v>46023</v>
      </c>
      <c r="G3793" s="13">
        <v>100</v>
      </c>
      <c r="H3793" s="14">
        <v>0</v>
      </c>
      <c r="I3793" s="14">
        <v>0</v>
      </c>
      <c r="J3793" s="14">
        <v>0</v>
      </c>
      <c r="K3793" s="14">
        <v>100</v>
      </c>
      <c r="L3793" t="s">
        <v>794</v>
      </c>
      <c r="M3793" s="23">
        <f t="shared" si="59"/>
        <v>2026</v>
      </c>
    </row>
    <row r="3794" spans="1:13" ht="12.75" hidden="1" customHeight="1">
      <c r="A3794" t="s">
        <v>797</v>
      </c>
      <c r="B3794" t="s">
        <v>25</v>
      </c>
      <c r="C3794" t="s">
        <v>206</v>
      </c>
      <c r="D3794" t="s">
        <v>793</v>
      </c>
      <c r="E3794" s="17">
        <v>45659</v>
      </c>
      <c r="F3794" s="17">
        <v>46024</v>
      </c>
      <c r="G3794" s="13">
        <v>2125.9</v>
      </c>
      <c r="H3794" s="14">
        <v>0</v>
      </c>
      <c r="I3794" s="14">
        <v>0</v>
      </c>
      <c r="J3794" s="14">
        <v>0</v>
      </c>
      <c r="K3794" s="14">
        <v>2125.9</v>
      </c>
      <c r="L3794" t="s">
        <v>794</v>
      </c>
      <c r="M3794" s="23">
        <f t="shared" si="59"/>
        <v>2026</v>
      </c>
    </row>
    <row r="3795" spans="1:13" ht="12.75" hidden="1" customHeight="1">
      <c r="A3795" t="s">
        <v>797</v>
      </c>
      <c r="B3795" t="s">
        <v>25</v>
      </c>
      <c r="C3795" t="s">
        <v>206</v>
      </c>
      <c r="D3795" t="s">
        <v>1394</v>
      </c>
      <c r="E3795" s="17">
        <v>46024</v>
      </c>
      <c r="F3795" s="17">
        <v>46024</v>
      </c>
      <c r="G3795" s="13">
        <v>1208</v>
      </c>
      <c r="H3795" s="14">
        <v>0</v>
      </c>
      <c r="I3795" s="14">
        <v>0</v>
      </c>
      <c r="J3795" s="14">
        <v>0</v>
      </c>
      <c r="K3795" s="14">
        <v>1208</v>
      </c>
      <c r="L3795" t="s">
        <v>794</v>
      </c>
      <c r="M3795" s="23">
        <f t="shared" si="59"/>
        <v>2026</v>
      </c>
    </row>
    <row r="3796" spans="1:13" ht="12.75" hidden="1" customHeight="1">
      <c r="A3796" t="s">
        <v>792</v>
      </c>
      <c r="B3796" t="s">
        <v>35</v>
      </c>
      <c r="C3796" t="s">
        <v>206</v>
      </c>
      <c r="D3796" t="s">
        <v>1394</v>
      </c>
      <c r="E3796" s="17">
        <v>46024</v>
      </c>
      <c r="F3796" s="17">
        <v>46024</v>
      </c>
      <c r="G3796" s="13">
        <v>1374.1000000000001</v>
      </c>
      <c r="H3796" s="14">
        <v>0</v>
      </c>
      <c r="I3796" s="14">
        <v>0</v>
      </c>
      <c r="J3796" s="14">
        <v>0</v>
      </c>
      <c r="K3796" s="14">
        <v>1374.1000000000001</v>
      </c>
      <c r="L3796" t="s">
        <v>794</v>
      </c>
      <c r="M3796" s="23">
        <f t="shared" si="59"/>
        <v>2026</v>
      </c>
    </row>
    <row r="3797" spans="1:13" ht="12.75" hidden="1" customHeight="1">
      <c r="A3797" t="s">
        <v>1210</v>
      </c>
      <c r="B3797" t="s">
        <v>22</v>
      </c>
      <c r="C3797" t="s">
        <v>717</v>
      </c>
      <c r="D3797" t="s">
        <v>1394</v>
      </c>
      <c r="E3797" s="17">
        <v>46011</v>
      </c>
      <c r="F3797" s="17">
        <v>46011</v>
      </c>
      <c r="G3797" s="13">
        <v>2890</v>
      </c>
      <c r="H3797" s="14">
        <v>0</v>
      </c>
      <c r="I3797" s="14">
        <v>0</v>
      </c>
      <c r="J3797" s="14">
        <v>0</v>
      </c>
      <c r="K3797" s="14">
        <v>2890</v>
      </c>
      <c r="L3797" t="s">
        <v>794</v>
      </c>
      <c r="M3797" s="23">
        <f t="shared" si="59"/>
        <v>2025</v>
      </c>
    </row>
    <row r="3798" spans="1:13" ht="12.75" hidden="1" customHeight="1">
      <c r="A3798" t="s">
        <v>801</v>
      </c>
      <c r="B3798" t="s">
        <v>13</v>
      </c>
      <c r="C3798" t="s">
        <v>726</v>
      </c>
      <c r="D3798" t="s">
        <v>1394</v>
      </c>
      <c r="E3798" s="17">
        <v>46024</v>
      </c>
      <c r="F3798" s="17">
        <v>46024</v>
      </c>
      <c r="G3798" s="13">
        <v>6.12</v>
      </c>
      <c r="H3798" s="14">
        <v>0</v>
      </c>
      <c r="I3798" s="14">
        <v>0</v>
      </c>
      <c r="J3798" s="14">
        <v>0</v>
      </c>
      <c r="K3798" s="14">
        <v>6.12</v>
      </c>
      <c r="L3798" t="s">
        <v>794</v>
      </c>
      <c r="M3798" s="23">
        <f t="shared" si="59"/>
        <v>2026</v>
      </c>
    </row>
    <row r="3799" spans="1:13" ht="12.75" hidden="1" customHeight="1">
      <c r="A3799" t="s">
        <v>801</v>
      </c>
      <c r="B3799" t="s">
        <v>13</v>
      </c>
      <c r="C3799" t="s">
        <v>726</v>
      </c>
      <c r="D3799" t="s">
        <v>1394</v>
      </c>
      <c r="E3799" s="17">
        <v>46024</v>
      </c>
      <c r="F3799" s="17">
        <v>46024</v>
      </c>
      <c r="G3799" s="13">
        <v>22.44</v>
      </c>
      <c r="H3799" s="14">
        <v>0</v>
      </c>
      <c r="I3799" s="14">
        <v>0</v>
      </c>
      <c r="J3799" s="14">
        <v>0</v>
      </c>
      <c r="K3799" s="14">
        <v>22.44</v>
      </c>
      <c r="L3799" t="s">
        <v>794</v>
      </c>
      <c r="M3799" s="23">
        <f t="shared" si="59"/>
        <v>2026</v>
      </c>
    </row>
    <row r="3800" spans="1:13" ht="12.75" hidden="1" customHeight="1">
      <c r="A3800" t="s">
        <v>799</v>
      </c>
      <c r="B3800" t="s">
        <v>24</v>
      </c>
      <c r="C3800" t="s">
        <v>139</v>
      </c>
      <c r="D3800" t="s">
        <v>1394</v>
      </c>
      <c r="E3800" s="17">
        <v>46024</v>
      </c>
      <c r="F3800" s="17">
        <v>46024</v>
      </c>
      <c r="G3800" s="13">
        <v>5127.7</v>
      </c>
      <c r="H3800" s="14">
        <v>0</v>
      </c>
      <c r="I3800" s="14">
        <v>0</v>
      </c>
      <c r="J3800" s="14">
        <v>0</v>
      </c>
      <c r="K3800" s="14">
        <v>5127.7</v>
      </c>
      <c r="L3800" t="s">
        <v>794</v>
      </c>
      <c r="M3800" s="23">
        <f t="shared" si="59"/>
        <v>2026</v>
      </c>
    </row>
    <row r="3801" spans="1:13" ht="12.75" hidden="1" customHeight="1">
      <c r="A3801" t="s">
        <v>799</v>
      </c>
      <c r="B3801" t="s">
        <v>24</v>
      </c>
      <c r="C3801" t="s">
        <v>138</v>
      </c>
      <c r="D3801" t="s">
        <v>1394</v>
      </c>
      <c r="E3801" s="17">
        <v>46024</v>
      </c>
      <c r="F3801" s="17">
        <v>46024</v>
      </c>
      <c r="G3801" s="13">
        <v>4340.8999999999996</v>
      </c>
      <c r="H3801" s="14">
        <v>0</v>
      </c>
      <c r="I3801" s="14">
        <v>0</v>
      </c>
      <c r="J3801" s="14">
        <v>0</v>
      </c>
      <c r="K3801" s="14">
        <v>4340.8999999999996</v>
      </c>
      <c r="L3801" t="s">
        <v>794</v>
      </c>
      <c r="M3801" s="23">
        <f t="shared" si="59"/>
        <v>2026</v>
      </c>
    </row>
    <row r="3802" spans="1:13" ht="12.75" hidden="1" customHeight="1">
      <c r="A3802" t="s">
        <v>1373</v>
      </c>
      <c r="B3802" t="s">
        <v>313</v>
      </c>
      <c r="C3802" t="s">
        <v>139</v>
      </c>
      <c r="D3802" t="s">
        <v>1394</v>
      </c>
      <c r="E3802" s="17">
        <v>46024</v>
      </c>
      <c r="F3802" s="17">
        <v>46024</v>
      </c>
      <c r="G3802" s="13">
        <v>243.6</v>
      </c>
      <c r="H3802" s="14">
        <v>0</v>
      </c>
      <c r="I3802" s="14">
        <v>0</v>
      </c>
      <c r="J3802" s="14">
        <v>0</v>
      </c>
      <c r="K3802" s="14">
        <v>243.6</v>
      </c>
      <c r="L3802" t="s">
        <v>794</v>
      </c>
      <c r="M3802" s="23">
        <f t="shared" si="59"/>
        <v>2026</v>
      </c>
    </row>
    <row r="3803" spans="1:13" ht="12.75" hidden="1" customHeight="1">
      <c r="A3803" t="s">
        <v>1388</v>
      </c>
      <c r="B3803" t="s">
        <v>202</v>
      </c>
      <c r="C3803" t="s">
        <v>139</v>
      </c>
      <c r="D3803" t="s">
        <v>1394</v>
      </c>
      <c r="E3803" s="17">
        <v>46024</v>
      </c>
      <c r="F3803" s="17">
        <v>46024</v>
      </c>
      <c r="G3803" s="13">
        <v>264</v>
      </c>
      <c r="H3803" s="14">
        <v>0</v>
      </c>
      <c r="I3803" s="14">
        <v>0</v>
      </c>
      <c r="J3803" s="14">
        <v>0</v>
      </c>
      <c r="K3803" s="14">
        <v>264</v>
      </c>
      <c r="L3803" t="s">
        <v>794</v>
      </c>
      <c r="M3803" s="23">
        <f t="shared" si="59"/>
        <v>2026</v>
      </c>
    </row>
    <row r="3804" spans="1:13" ht="12.75" hidden="1" customHeight="1">
      <c r="A3804" t="s">
        <v>924</v>
      </c>
      <c r="B3804" t="s">
        <v>87</v>
      </c>
      <c r="C3804" t="s">
        <v>139</v>
      </c>
      <c r="D3804" t="s">
        <v>1394</v>
      </c>
      <c r="E3804" s="17">
        <v>46024</v>
      </c>
      <c r="F3804" s="17">
        <v>46024</v>
      </c>
      <c r="G3804" s="13">
        <v>448.8</v>
      </c>
      <c r="H3804" s="14">
        <v>0</v>
      </c>
      <c r="I3804" s="14">
        <v>0</v>
      </c>
      <c r="J3804" s="14">
        <v>0</v>
      </c>
      <c r="K3804" s="14">
        <v>448.8</v>
      </c>
      <c r="L3804" t="s">
        <v>794</v>
      </c>
      <c r="M3804" s="23">
        <f t="shared" si="59"/>
        <v>2026</v>
      </c>
    </row>
    <row r="3805" spans="1:13" ht="12.75" hidden="1" customHeight="1">
      <c r="A3805" t="s">
        <v>826</v>
      </c>
      <c r="B3805" t="s">
        <v>21</v>
      </c>
      <c r="C3805" t="s">
        <v>139</v>
      </c>
      <c r="D3805" t="s">
        <v>1394</v>
      </c>
      <c r="E3805" s="17">
        <v>46024</v>
      </c>
      <c r="F3805" s="17">
        <v>46024</v>
      </c>
      <c r="G3805" s="13">
        <v>469.2</v>
      </c>
      <c r="H3805" s="14">
        <v>0</v>
      </c>
      <c r="I3805" s="14">
        <v>0</v>
      </c>
      <c r="J3805" s="14">
        <v>0</v>
      </c>
      <c r="K3805" s="14">
        <v>469.2</v>
      </c>
      <c r="L3805" t="s">
        <v>794</v>
      </c>
      <c r="M3805" s="23">
        <f t="shared" si="59"/>
        <v>2026</v>
      </c>
    </row>
    <row r="3806" spans="1:13" ht="12.75" hidden="1" customHeight="1">
      <c r="A3806" t="s">
        <v>1004</v>
      </c>
      <c r="B3806" t="s">
        <v>57</v>
      </c>
      <c r="C3806" t="s">
        <v>139</v>
      </c>
      <c r="D3806" t="s">
        <v>1394</v>
      </c>
      <c r="E3806" s="17">
        <v>46024</v>
      </c>
      <c r="F3806" s="17">
        <v>46024</v>
      </c>
      <c r="G3806" s="13">
        <v>290</v>
      </c>
      <c r="H3806" s="14">
        <v>0</v>
      </c>
      <c r="I3806" s="14">
        <v>0</v>
      </c>
      <c r="J3806" s="14">
        <v>0</v>
      </c>
      <c r="K3806" s="14">
        <v>290</v>
      </c>
      <c r="L3806" t="s">
        <v>794</v>
      </c>
      <c r="M3806" s="23">
        <f t="shared" si="59"/>
        <v>2026</v>
      </c>
    </row>
    <row r="3807" spans="1:13" ht="12.75" hidden="1" customHeight="1">
      <c r="A3807" t="s">
        <v>1376</v>
      </c>
      <c r="B3807" t="s">
        <v>427</v>
      </c>
      <c r="C3807" t="s">
        <v>139</v>
      </c>
      <c r="D3807" t="s">
        <v>1394</v>
      </c>
      <c r="E3807" s="17">
        <v>46024</v>
      </c>
      <c r="F3807" s="17">
        <v>46024</v>
      </c>
      <c r="G3807" s="13">
        <v>243.6</v>
      </c>
      <c r="H3807" s="14">
        <v>0</v>
      </c>
      <c r="I3807" s="14">
        <v>0</v>
      </c>
      <c r="J3807" s="14">
        <v>0</v>
      </c>
      <c r="K3807" s="14">
        <v>243.6</v>
      </c>
      <c r="L3807" t="s">
        <v>794</v>
      </c>
      <c r="M3807" s="23">
        <f t="shared" si="59"/>
        <v>2026</v>
      </c>
    </row>
    <row r="3808" spans="1:13" ht="12.75" hidden="1" customHeight="1">
      <c r="A3808" t="s">
        <v>825</v>
      </c>
      <c r="B3808" t="s">
        <v>46</v>
      </c>
      <c r="C3808" t="s">
        <v>139</v>
      </c>
      <c r="D3808" t="s">
        <v>1394</v>
      </c>
      <c r="E3808" s="17">
        <v>46024</v>
      </c>
      <c r="F3808" s="17">
        <v>46024</v>
      </c>
      <c r="G3808" s="13">
        <v>290</v>
      </c>
      <c r="H3808" s="14">
        <v>0</v>
      </c>
      <c r="I3808" s="14">
        <v>0</v>
      </c>
      <c r="J3808" s="14">
        <v>0</v>
      </c>
      <c r="K3808" s="14">
        <v>290</v>
      </c>
      <c r="L3808" t="s">
        <v>794</v>
      </c>
      <c r="M3808" s="23">
        <f t="shared" si="59"/>
        <v>2026</v>
      </c>
    </row>
    <row r="3809" spans="1:13" ht="12.75" hidden="1" customHeight="1">
      <c r="A3809" t="s">
        <v>1340</v>
      </c>
      <c r="B3809" t="s">
        <v>340</v>
      </c>
      <c r="C3809" t="s">
        <v>139</v>
      </c>
      <c r="D3809" t="s">
        <v>1394</v>
      </c>
      <c r="E3809" s="17">
        <v>46024</v>
      </c>
      <c r="F3809" s="17">
        <v>46024</v>
      </c>
      <c r="G3809" s="13">
        <v>232</v>
      </c>
      <c r="H3809" s="14">
        <v>0</v>
      </c>
      <c r="I3809" s="14">
        <v>0</v>
      </c>
      <c r="J3809" s="14">
        <v>0</v>
      </c>
      <c r="K3809" s="14">
        <v>232</v>
      </c>
      <c r="L3809" t="s">
        <v>794</v>
      </c>
      <c r="M3809" s="23">
        <f t="shared" si="59"/>
        <v>2026</v>
      </c>
    </row>
    <row r="3810" spans="1:13" ht="12.75" hidden="1" customHeight="1">
      <c r="A3810" t="s">
        <v>819</v>
      </c>
      <c r="B3810" t="s">
        <v>38</v>
      </c>
      <c r="C3810" t="s">
        <v>139</v>
      </c>
      <c r="D3810" t="s">
        <v>1394</v>
      </c>
      <c r="E3810" s="17">
        <v>46024</v>
      </c>
      <c r="F3810" s="17">
        <v>46024</v>
      </c>
      <c r="G3810" s="13">
        <v>235.62</v>
      </c>
      <c r="H3810" s="14">
        <v>0</v>
      </c>
      <c r="I3810" s="14">
        <v>0</v>
      </c>
      <c r="J3810" s="14">
        <v>0</v>
      </c>
      <c r="K3810" s="14">
        <v>235.62</v>
      </c>
      <c r="L3810" t="s">
        <v>794</v>
      </c>
      <c r="M3810" s="23">
        <f t="shared" si="59"/>
        <v>2026</v>
      </c>
    </row>
    <row r="3811" spans="1:13" ht="12.75" hidden="1" customHeight="1">
      <c r="A3811" t="s">
        <v>1141</v>
      </c>
      <c r="B3811" t="s">
        <v>69</v>
      </c>
      <c r="C3811" t="s">
        <v>139</v>
      </c>
      <c r="D3811" t="s">
        <v>1394</v>
      </c>
      <c r="E3811" s="17">
        <v>46024</v>
      </c>
      <c r="F3811" s="17">
        <v>46024</v>
      </c>
      <c r="G3811" s="13">
        <v>301.60000000000002</v>
      </c>
      <c r="H3811" s="14">
        <v>0</v>
      </c>
      <c r="I3811" s="14">
        <v>0</v>
      </c>
      <c r="J3811" s="14">
        <v>0</v>
      </c>
      <c r="K3811" s="14">
        <v>301.60000000000002</v>
      </c>
      <c r="L3811" t="s">
        <v>794</v>
      </c>
      <c r="M3811" s="23">
        <f t="shared" si="59"/>
        <v>2026</v>
      </c>
    </row>
    <row r="3812" spans="1:13" ht="12.75" hidden="1" customHeight="1">
      <c r="A3812" t="s">
        <v>1112</v>
      </c>
      <c r="B3812" t="s">
        <v>68</v>
      </c>
      <c r="C3812" t="s">
        <v>139</v>
      </c>
      <c r="D3812" t="s">
        <v>1394</v>
      </c>
      <c r="E3812" s="17">
        <v>46024</v>
      </c>
      <c r="F3812" s="17">
        <v>46024</v>
      </c>
      <c r="G3812" s="13">
        <v>266.8</v>
      </c>
      <c r="H3812" s="14">
        <v>0</v>
      </c>
      <c r="I3812" s="14">
        <v>0</v>
      </c>
      <c r="J3812" s="14">
        <v>0</v>
      </c>
      <c r="K3812" s="14">
        <v>266.8</v>
      </c>
      <c r="L3812" t="s">
        <v>794</v>
      </c>
      <c r="M3812" s="23">
        <f t="shared" si="59"/>
        <v>2026</v>
      </c>
    </row>
    <row r="3813" spans="1:13" ht="12.75" hidden="1" customHeight="1">
      <c r="A3813" t="s">
        <v>1370</v>
      </c>
      <c r="B3813" t="s">
        <v>406</v>
      </c>
      <c r="C3813" t="s">
        <v>139</v>
      </c>
      <c r="D3813" t="s">
        <v>1394</v>
      </c>
      <c r="E3813" s="17">
        <v>46024</v>
      </c>
      <c r="F3813" s="17">
        <v>46024</v>
      </c>
      <c r="G3813" s="13">
        <v>232</v>
      </c>
      <c r="H3813" s="14">
        <v>0</v>
      </c>
      <c r="I3813" s="14">
        <v>0</v>
      </c>
      <c r="J3813" s="14">
        <v>0</v>
      </c>
      <c r="K3813" s="14">
        <v>232</v>
      </c>
      <c r="L3813" t="s">
        <v>794</v>
      </c>
      <c r="M3813" s="23">
        <f t="shared" si="59"/>
        <v>2026</v>
      </c>
    </row>
    <row r="3814" spans="1:13" ht="12.75" hidden="1" customHeight="1">
      <c r="A3814" t="s">
        <v>836</v>
      </c>
      <c r="B3814" t="s">
        <v>37</v>
      </c>
      <c r="C3814" t="s">
        <v>139</v>
      </c>
      <c r="D3814" t="s">
        <v>1394</v>
      </c>
      <c r="E3814" s="17">
        <v>46024</v>
      </c>
      <c r="F3814" s="17">
        <v>46024</v>
      </c>
      <c r="G3814" s="13">
        <v>568.1</v>
      </c>
      <c r="H3814" s="14">
        <v>0</v>
      </c>
      <c r="I3814" s="14">
        <v>0</v>
      </c>
      <c r="J3814" s="14">
        <v>0</v>
      </c>
      <c r="K3814" s="14">
        <v>568.1</v>
      </c>
      <c r="L3814" t="s">
        <v>794</v>
      </c>
      <c r="M3814" s="23">
        <f t="shared" si="59"/>
        <v>2026</v>
      </c>
    </row>
    <row r="3815" spans="1:13" ht="12.75" hidden="1" customHeight="1">
      <c r="A3815" t="s">
        <v>833</v>
      </c>
      <c r="B3815" t="s">
        <v>27</v>
      </c>
      <c r="C3815" t="s">
        <v>139</v>
      </c>
      <c r="D3815" t="s">
        <v>1394</v>
      </c>
      <c r="E3815" s="17">
        <v>46024</v>
      </c>
      <c r="F3815" s="17">
        <v>46024</v>
      </c>
      <c r="G3815" s="13">
        <v>406.8</v>
      </c>
      <c r="H3815" s="14">
        <v>0</v>
      </c>
      <c r="I3815" s="14">
        <v>0</v>
      </c>
      <c r="J3815" s="14">
        <v>0</v>
      </c>
      <c r="K3815" s="14">
        <v>406.8</v>
      </c>
      <c r="L3815" t="s">
        <v>794</v>
      </c>
      <c r="M3815" s="23">
        <f t="shared" si="59"/>
        <v>2026</v>
      </c>
    </row>
    <row r="3816" spans="1:13" ht="12.75" hidden="1" customHeight="1">
      <c r="A3816" t="s">
        <v>801</v>
      </c>
      <c r="B3816" t="s">
        <v>13</v>
      </c>
      <c r="C3816" t="s">
        <v>717</v>
      </c>
      <c r="D3816" t="s">
        <v>1394</v>
      </c>
      <c r="E3816" s="17">
        <v>46024</v>
      </c>
      <c r="F3816" s="17">
        <v>46024</v>
      </c>
      <c r="G3816" s="13">
        <v>10.67</v>
      </c>
      <c r="H3816" s="14">
        <v>0</v>
      </c>
      <c r="I3816" s="14">
        <v>0</v>
      </c>
      <c r="J3816" s="14">
        <v>0</v>
      </c>
      <c r="K3816" s="14">
        <v>10.67</v>
      </c>
      <c r="L3816" t="s">
        <v>794</v>
      </c>
      <c r="M3816" s="23">
        <f t="shared" si="59"/>
        <v>2026</v>
      </c>
    </row>
    <row r="3817" spans="1:13" ht="12.75" hidden="1" customHeight="1">
      <c r="A3817" t="s">
        <v>1380</v>
      </c>
      <c r="B3817" t="s">
        <v>364</v>
      </c>
      <c r="C3817" t="s">
        <v>558</v>
      </c>
      <c r="D3817" t="s">
        <v>1394</v>
      </c>
      <c r="E3817" s="17">
        <v>46027</v>
      </c>
      <c r="F3817" s="17">
        <v>46027</v>
      </c>
      <c r="G3817" s="13">
        <v>26.89</v>
      </c>
      <c r="H3817" s="14">
        <v>0</v>
      </c>
      <c r="I3817" s="14">
        <v>0</v>
      </c>
      <c r="J3817" s="14">
        <v>0</v>
      </c>
      <c r="K3817" s="14">
        <v>26.89</v>
      </c>
      <c r="L3817" t="s">
        <v>794</v>
      </c>
      <c r="M3817" s="23">
        <f t="shared" si="59"/>
        <v>2026</v>
      </c>
    </row>
    <row r="3818" spans="1:13" ht="12.75" hidden="1" customHeight="1">
      <c r="A3818" t="s">
        <v>1166</v>
      </c>
      <c r="B3818" t="s">
        <v>274</v>
      </c>
      <c r="C3818" t="s">
        <v>749</v>
      </c>
      <c r="D3818" t="s">
        <v>1394</v>
      </c>
      <c r="E3818" s="17">
        <v>46027</v>
      </c>
      <c r="F3818" s="17">
        <v>46027</v>
      </c>
      <c r="G3818" s="13">
        <v>139.99</v>
      </c>
      <c r="H3818" s="14">
        <v>0</v>
      </c>
      <c r="I3818" s="14">
        <v>0</v>
      </c>
      <c r="J3818" s="14">
        <v>0</v>
      </c>
      <c r="K3818" s="14">
        <v>139.99</v>
      </c>
      <c r="L3818" t="s">
        <v>794</v>
      </c>
      <c r="M3818" s="23">
        <f t="shared" si="59"/>
        <v>2026</v>
      </c>
    </row>
    <row r="3819" spans="1:13" ht="12.75" hidden="1" customHeight="1">
      <c r="A3819" t="s">
        <v>883</v>
      </c>
      <c r="B3819" t="s">
        <v>325</v>
      </c>
      <c r="C3819" t="s">
        <v>99</v>
      </c>
      <c r="D3819" t="s">
        <v>1394</v>
      </c>
      <c r="E3819" s="17">
        <v>46027</v>
      </c>
      <c r="F3819" s="17">
        <v>46027</v>
      </c>
      <c r="G3819" s="13">
        <v>58.9</v>
      </c>
      <c r="H3819" s="14">
        <v>0</v>
      </c>
      <c r="I3819" s="14">
        <v>0</v>
      </c>
      <c r="J3819" s="14">
        <v>0</v>
      </c>
      <c r="K3819" s="14">
        <v>58.9</v>
      </c>
      <c r="L3819" t="s">
        <v>843</v>
      </c>
      <c r="M3819" s="23">
        <f t="shared" si="59"/>
        <v>2026</v>
      </c>
    </row>
    <row r="3820" spans="1:13" ht="12.75" hidden="1" customHeight="1">
      <c r="A3820" t="s">
        <v>801</v>
      </c>
      <c r="B3820" t="s">
        <v>13</v>
      </c>
      <c r="C3820" t="s">
        <v>740</v>
      </c>
      <c r="D3820" t="s">
        <v>1394</v>
      </c>
      <c r="E3820" s="17">
        <v>46027</v>
      </c>
      <c r="F3820" s="17">
        <v>46027</v>
      </c>
      <c r="G3820" s="13">
        <v>207.41</v>
      </c>
      <c r="H3820" s="14">
        <v>0</v>
      </c>
      <c r="I3820" s="14">
        <v>0</v>
      </c>
      <c r="J3820" s="14">
        <v>0</v>
      </c>
      <c r="K3820" s="14">
        <v>207.41</v>
      </c>
      <c r="L3820" t="s">
        <v>794</v>
      </c>
      <c r="M3820" s="23">
        <f t="shared" ref="M3820:M3883" si="60">YEAR(F3820)</f>
        <v>2026</v>
      </c>
    </row>
    <row r="3821" spans="1:13" ht="12.75" hidden="1" customHeight="1">
      <c r="A3821" t="s">
        <v>801</v>
      </c>
      <c r="B3821" t="s">
        <v>13</v>
      </c>
      <c r="C3821" t="s">
        <v>726</v>
      </c>
      <c r="D3821" t="s">
        <v>1394</v>
      </c>
      <c r="E3821" s="17">
        <v>46027</v>
      </c>
      <c r="F3821" s="17">
        <v>46027</v>
      </c>
      <c r="G3821" s="13">
        <v>135.52000000000001</v>
      </c>
      <c r="H3821" s="14">
        <v>0</v>
      </c>
      <c r="I3821" s="14">
        <v>0</v>
      </c>
      <c r="J3821" s="14">
        <v>0</v>
      </c>
      <c r="K3821" s="14">
        <v>135.52000000000001</v>
      </c>
      <c r="L3821" t="s">
        <v>794</v>
      </c>
      <c r="M3821" s="23">
        <f t="shared" si="60"/>
        <v>2026</v>
      </c>
    </row>
    <row r="3822" spans="1:13" ht="12.75" hidden="1" customHeight="1">
      <c r="A3822" t="s">
        <v>801</v>
      </c>
      <c r="B3822" t="s">
        <v>13</v>
      </c>
      <c r="C3822" t="s">
        <v>726</v>
      </c>
      <c r="D3822" t="s">
        <v>1394</v>
      </c>
      <c r="E3822" s="17">
        <v>46027</v>
      </c>
      <c r="F3822" s="17">
        <v>46027</v>
      </c>
      <c r="G3822" s="13">
        <v>18.36</v>
      </c>
      <c r="H3822" s="14">
        <v>0</v>
      </c>
      <c r="I3822" s="14">
        <v>0</v>
      </c>
      <c r="J3822" s="14">
        <v>0</v>
      </c>
      <c r="K3822" s="14">
        <v>18.36</v>
      </c>
      <c r="L3822" t="s">
        <v>794</v>
      </c>
      <c r="M3822" s="23">
        <f t="shared" si="60"/>
        <v>2026</v>
      </c>
    </row>
    <row r="3823" spans="1:13" ht="12.75" hidden="1" customHeight="1">
      <c r="A3823" t="s">
        <v>801</v>
      </c>
      <c r="B3823" t="s">
        <v>13</v>
      </c>
      <c r="C3823" t="s">
        <v>726</v>
      </c>
      <c r="D3823" t="s">
        <v>1394</v>
      </c>
      <c r="E3823" s="17">
        <v>46027</v>
      </c>
      <c r="F3823" s="17">
        <v>46027</v>
      </c>
      <c r="G3823" s="13">
        <v>526.14</v>
      </c>
      <c r="H3823" s="14">
        <v>0</v>
      </c>
      <c r="I3823" s="14">
        <v>0</v>
      </c>
      <c r="J3823" s="14">
        <v>0</v>
      </c>
      <c r="K3823" s="14">
        <v>526.14</v>
      </c>
      <c r="L3823" t="s">
        <v>794</v>
      </c>
      <c r="M3823" s="23">
        <f t="shared" si="60"/>
        <v>2026</v>
      </c>
    </row>
    <row r="3824" spans="1:13" ht="12.75" hidden="1" customHeight="1">
      <c r="A3824" t="s">
        <v>801</v>
      </c>
      <c r="B3824" t="s">
        <v>13</v>
      </c>
      <c r="C3824" t="s">
        <v>726</v>
      </c>
      <c r="D3824" t="s">
        <v>1394</v>
      </c>
      <c r="E3824" s="17">
        <v>46027</v>
      </c>
      <c r="F3824" s="17">
        <v>46027</v>
      </c>
      <c r="G3824" s="13">
        <v>195.84</v>
      </c>
      <c r="H3824" s="14">
        <v>0</v>
      </c>
      <c r="I3824" s="14">
        <v>0</v>
      </c>
      <c r="J3824" s="14">
        <v>0</v>
      </c>
      <c r="K3824" s="14">
        <v>195.84</v>
      </c>
      <c r="L3824" t="s">
        <v>794</v>
      </c>
      <c r="M3824" s="23">
        <f t="shared" si="60"/>
        <v>2026</v>
      </c>
    </row>
    <row r="3825" spans="1:13" ht="12.75" hidden="1" customHeight="1">
      <c r="A3825" t="s">
        <v>801</v>
      </c>
      <c r="B3825" t="s">
        <v>13</v>
      </c>
      <c r="C3825" t="s">
        <v>740</v>
      </c>
      <c r="D3825" t="s">
        <v>1394</v>
      </c>
      <c r="E3825" s="17">
        <v>46027</v>
      </c>
      <c r="F3825" s="17">
        <v>46027</v>
      </c>
      <c r="G3825" s="13">
        <v>159.75</v>
      </c>
      <c r="H3825" s="14">
        <v>0</v>
      </c>
      <c r="I3825" s="14">
        <v>0</v>
      </c>
      <c r="J3825" s="14">
        <v>0</v>
      </c>
      <c r="K3825" s="14">
        <v>159.75</v>
      </c>
      <c r="L3825" t="s">
        <v>794</v>
      </c>
      <c r="M3825" s="23">
        <f t="shared" si="60"/>
        <v>2026</v>
      </c>
    </row>
    <row r="3826" spans="1:13" ht="12.75" hidden="1" customHeight="1">
      <c r="A3826" t="s">
        <v>801</v>
      </c>
      <c r="B3826" t="s">
        <v>13</v>
      </c>
      <c r="C3826" t="s">
        <v>740</v>
      </c>
      <c r="D3826" t="s">
        <v>1394</v>
      </c>
      <c r="E3826" s="17">
        <v>46027</v>
      </c>
      <c r="F3826" s="17">
        <v>46027</v>
      </c>
      <c r="G3826" s="13">
        <v>186.69</v>
      </c>
      <c r="H3826" s="14">
        <v>0</v>
      </c>
      <c r="I3826" s="14">
        <v>0</v>
      </c>
      <c r="J3826" s="14">
        <v>0</v>
      </c>
      <c r="K3826" s="14">
        <v>186.69</v>
      </c>
      <c r="L3826" t="s">
        <v>794</v>
      </c>
      <c r="M3826" s="23">
        <f t="shared" si="60"/>
        <v>2026</v>
      </c>
    </row>
    <row r="3827" spans="1:13" ht="12.75" hidden="1" customHeight="1">
      <c r="A3827" t="s">
        <v>801</v>
      </c>
      <c r="B3827" t="s">
        <v>13</v>
      </c>
      <c r="C3827" t="s">
        <v>726</v>
      </c>
      <c r="D3827" t="s">
        <v>1394</v>
      </c>
      <c r="E3827" s="17">
        <v>46027</v>
      </c>
      <c r="F3827" s="17">
        <v>46027</v>
      </c>
      <c r="G3827" s="13">
        <v>67.320000000000007</v>
      </c>
      <c r="H3827" s="14">
        <v>0</v>
      </c>
      <c r="I3827" s="14">
        <v>0</v>
      </c>
      <c r="J3827" s="14">
        <v>0</v>
      </c>
      <c r="K3827" s="14">
        <v>67.320000000000007</v>
      </c>
      <c r="L3827" t="s">
        <v>794</v>
      </c>
      <c r="M3827" s="23">
        <f t="shared" si="60"/>
        <v>2026</v>
      </c>
    </row>
    <row r="3828" spans="1:13" ht="12.75" hidden="1" customHeight="1">
      <c r="A3828" t="s">
        <v>981</v>
      </c>
      <c r="B3828" t="s">
        <v>55</v>
      </c>
      <c r="C3828" t="s">
        <v>99</v>
      </c>
      <c r="D3828" t="s">
        <v>1394</v>
      </c>
      <c r="E3828" s="17">
        <v>46029</v>
      </c>
      <c r="F3828" s="17">
        <v>46028</v>
      </c>
      <c r="G3828" s="13">
        <v>2000</v>
      </c>
      <c r="H3828" s="14">
        <v>0</v>
      </c>
      <c r="I3828" s="14">
        <v>0</v>
      </c>
      <c r="J3828" s="14">
        <v>0</v>
      </c>
      <c r="K3828" s="14">
        <v>2000</v>
      </c>
      <c r="L3828" t="s">
        <v>843</v>
      </c>
      <c r="M3828" s="23">
        <f t="shared" si="60"/>
        <v>2026</v>
      </c>
    </row>
    <row r="3829" spans="1:13" ht="12.75" hidden="1" customHeight="1">
      <c r="A3829" t="s">
        <v>981</v>
      </c>
      <c r="B3829" t="s">
        <v>55</v>
      </c>
      <c r="C3829" t="s">
        <v>99</v>
      </c>
      <c r="D3829" t="s">
        <v>1394</v>
      </c>
      <c r="E3829" s="17">
        <v>46030</v>
      </c>
      <c r="F3829" s="17">
        <v>46028</v>
      </c>
      <c r="G3829" s="13">
        <v>2000</v>
      </c>
      <c r="H3829" s="14">
        <v>0</v>
      </c>
      <c r="I3829" s="14">
        <v>0</v>
      </c>
      <c r="J3829" s="14">
        <v>0</v>
      </c>
      <c r="K3829" s="14">
        <v>2000</v>
      </c>
      <c r="L3829" t="s">
        <v>843</v>
      </c>
      <c r="M3829" s="23">
        <f t="shared" si="60"/>
        <v>2026</v>
      </c>
    </row>
    <row r="3830" spans="1:13" ht="12.75" hidden="1" customHeight="1">
      <c r="A3830" t="s">
        <v>837</v>
      </c>
      <c r="B3830" t="s">
        <v>58</v>
      </c>
      <c r="C3830" t="s">
        <v>206</v>
      </c>
      <c r="D3830" t="s">
        <v>1394</v>
      </c>
      <c r="E3830" s="17">
        <v>46027</v>
      </c>
      <c r="F3830" s="17">
        <v>46028</v>
      </c>
      <c r="G3830" s="13">
        <v>1915.32</v>
      </c>
      <c r="H3830" s="14">
        <v>0</v>
      </c>
      <c r="I3830" s="14">
        <v>0</v>
      </c>
      <c r="J3830" s="14">
        <v>0</v>
      </c>
      <c r="K3830" s="14">
        <v>1915.32</v>
      </c>
      <c r="L3830" t="s">
        <v>794</v>
      </c>
      <c r="M3830" s="23">
        <f t="shared" si="60"/>
        <v>2026</v>
      </c>
    </row>
    <row r="3831" spans="1:13" ht="12.75" hidden="1" customHeight="1">
      <c r="A3831" t="s">
        <v>914</v>
      </c>
      <c r="B3831" t="s">
        <v>28</v>
      </c>
      <c r="C3831" t="s">
        <v>732</v>
      </c>
      <c r="D3831" t="s">
        <v>1394</v>
      </c>
      <c r="E3831" s="17">
        <v>46028</v>
      </c>
      <c r="F3831" s="17">
        <v>46028</v>
      </c>
      <c r="G3831" s="13">
        <v>131.62</v>
      </c>
      <c r="H3831" s="14">
        <v>0</v>
      </c>
      <c r="I3831" s="14">
        <v>0</v>
      </c>
      <c r="J3831" s="14">
        <v>0</v>
      </c>
      <c r="K3831" s="14">
        <v>131.62</v>
      </c>
      <c r="L3831" t="s">
        <v>794</v>
      </c>
      <c r="M3831" s="23">
        <f t="shared" si="60"/>
        <v>2026</v>
      </c>
    </row>
    <row r="3832" spans="1:13" ht="12.75" hidden="1" customHeight="1">
      <c r="A3832" t="s">
        <v>806</v>
      </c>
      <c r="B3832" t="s">
        <v>19</v>
      </c>
      <c r="C3832" t="s">
        <v>720</v>
      </c>
      <c r="D3832" t="s">
        <v>1394</v>
      </c>
      <c r="E3832" s="17">
        <v>46029</v>
      </c>
      <c r="F3832" s="17">
        <v>46028</v>
      </c>
      <c r="G3832" s="13">
        <v>6000</v>
      </c>
      <c r="H3832" s="14">
        <v>0</v>
      </c>
      <c r="I3832" s="14">
        <v>0</v>
      </c>
      <c r="J3832" s="14">
        <v>0</v>
      </c>
      <c r="K3832" s="14">
        <v>6000</v>
      </c>
      <c r="L3832" t="s">
        <v>794</v>
      </c>
      <c r="M3832" s="23">
        <f t="shared" si="60"/>
        <v>2026</v>
      </c>
    </row>
    <row r="3833" spans="1:13" ht="12.75" hidden="1" customHeight="1">
      <c r="A3833" t="s">
        <v>1402</v>
      </c>
      <c r="B3833" t="s">
        <v>415</v>
      </c>
      <c r="C3833" t="s">
        <v>139</v>
      </c>
      <c r="D3833" t="s">
        <v>1394</v>
      </c>
      <c r="E3833" s="17">
        <v>46028</v>
      </c>
      <c r="F3833" s="17">
        <v>46028</v>
      </c>
      <c r="G3833" s="13">
        <v>216</v>
      </c>
      <c r="H3833" s="14">
        <v>0</v>
      </c>
      <c r="I3833" s="14">
        <v>0</v>
      </c>
      <c r="J3833" s="14">
        <v>0</v>
      </c>
      <c r="K3833" s="14">
        <v>216</v>
      </c>
      <c r="L3833" t="s">
        <v>794</v>
      </c>
      <c r="M3833" s="23">
        <f t="shared" si="60"/>
        <v>2026</v>
      </c>
    </row>
    <row r="3834" spans="1:13" ht="12.75" hidden="1" customHeight="1">
      <c r="A3834" t="s">
        <v>1402</v>
      </c>
      <c r="B3834" t="s">
        <v>415</v>
      </c>
      <c r="C3834" t="s">
        <v>138</v>
      </c>
      <c r="D3834" t="s">
        <v>1394</v>
      </c>
      <c r="E3834" s="17">
        <v>46028</v>
      </c>
      <c r="F3834" s="17">
        <v>46028</v>
      </c>
      <c r="G3834" s="13">
        <v>164.78</v>
      </c>
      <c r="H3834" s="14">
        <v>0</v>
      </c>
      <c r="I3834" s="14">
        <v>0</v>
      </c>
      <c r="J3834" s="14">
        <v>0</v>
      </c>
      <c r="K3834" s="14">
        <v>164.78</v>
      </c>
      <c r="L3834" t="s">
        <v>794</v>
      </c>
      <c r="M3834" s="23">
        <f t="shared" si="60"/>
        <v>2026</v>
      </c>
    </row>
    <row r="3835" spans="1:13" ht="12.75" hidden="1" customHeight="1">
      <c r="A3835" t="s">
        <v>801</v>
      </c>
      <c r="B3835" t="s">
        <v>13</v>
      </c>
      <c r="C3835" t="s">
        <v>726</v>
      </c>
      <c r="D3835" t="s">
        <v>1394</v>
      </c>
      <c r="E3835" s="17">
        <v>46028</v>
      </c>
      <c r="F3835" s="17">
        <v>46028</v>
      </c>
      <c r="G3835" s="13">
        <v>195.84</v>
      </c>
      <c r="H3835" s="14">
        <v>0</v>
      </c>
      <c r="I3835" s="14">
        <v>0</v>
      </c>
      <c r="J3835" s="14">
        <v>0</v>
      </c>
      <c r="K3835" s="14">
        <v>195.84</v>
      </c>
      <c r="L3835" t="s">
        <v>794</v>
      </c>
      <c r="M3835" s="23">
        <f t="shared" si="60"/>
        <v>2026</v>
      </c>
    </row>
    <row r="3836" spans="1:13" ht="12.75" hidden="1" customHeight="1">
      <c r="A3836" t="s">
        <v>1272</v>
      </c>
      <c r="B3836" t="s">
        <v>132</v>
      </c>
      <c r="C3836" t="s">
        <v>732</v>
      </c>
      <c r="D3836" t="s">
        <v>1394</v>
      </c>
      <c r="E3836" s="17">
        <v>46028</v>
      </c>
      <c r="F3836" s="17">
        <v>46028</v>
      </c>
      <c r="G3836" s="13">
        <v>2248.5700000000002</v>
      </c>
      <c r="H3836" s="14">
        <v>0</v>
      </c>
      <c r="I3836" s="14">
        <v>0</v>
      </c>
      <c r="J3836" s="14">
        <v>0</v>
      </c>
      <c r="K3836" s="14">
        <v>2248.5700000000002</v>
      </c>
      <c r="L3836" t="s">
        <v>794</v>
      </c>
      <c r="M3836" s="23">
        <f t="shared" si="60"/>
        <v>2026</v>
      </c>
    </row>
    <row r="3837" spans="1:13" ht="12.75" hidden="1" customHeight="1">
      <c r="A3837" t="s">
        <v>801</v>
      </c>
      <c r="B3837" t="s">
        <v>13</v>
      </c>
      <c r="C3837" t="s">
        <v>726</v>
      </c>
      <c r="D3837" t="s">
        <v>1394</v>
      </c>
      <c r="E3837" s="17">
        <v>46028</v>
      </c>
      <c r="F3837" s="17">
        <v>46028</v>
      </c>
      <c r="G3837" s="13">
        <v>811.92000000000007</v>
      </c>
      <c r="H3837" s="14">
        <v>0</v>
      </c>
      <c r="I3837" s="14">
        <v>0</v>
      </c>
      <c r="J3837" s="14">
        <v>0</v>
      </c>
      <c r="K3837" s="14">
        <v>811.92000000000007</v>
      </c>
      <c r="L3837" t="s">
        <v>794</v>
      </c>
      <c r="M3837" s="23">
        <f t="shared" si="60"/>
        <v>2026</v>
      </c>
    </row>
    <row r="3838" spans="1:13" ht="12.75" hidden="1" customHeight="1">
      <c r="A3838" t="s">
        <v>852</v>
      </c>
      <c r="B3838" t="s">
        <v>342</v>
      </c>
      <c r="C3838" t="s">
        <v>483</v>
      </c>
      <c r="D3838" t="s">
        <v>1394</v>
      </c>
      <c r="E3838" s="17">
        <v>46028</v>
      </c>
      <c r="F3838" s="17">
        <v>46028</v>
      </c>
      <c r="G3838" s="13">
        <v>69.98</v>
      </c>
      <c r="H3838" s="14">
        <v>0</v>
      </c>
      <c r="I3838" s="14">
        <v>0</v>
      </c>
      <c r="J3838" s="14">
        <v>0</v>
      </c>
      <c r="K3838" s="14">
        <v>69.98</v>
      </c>
      <c r="L3838" t="s">
        <v>794</v>
      </c>
      <c r="M3838" s="23">
        <f t="shared" si="60"/>
        <v>2026</v>
      </c>
    </row>
    <row r="3839" spans="1:13" ht="12.75" hidden="1" customHeight="1">
      <c r="A3839" t="s">
        <v>1105</v>
      </c>
      <c r="B3839" t="s">
        <v>1395</v>
      </c>
      <c r="C3839" t="s">
        <v>137</v>
      </c>
      <c r="D3839" t="s">
        <v>1394</v>
      </c>
      <c r="E3839" s="17">
        <v>46029</v>
      </c>
      <c r="F3839" s="17">
        <v>46029</v>
      </c>
      <c r="G3839" s="13">
        <v>1571</v>
      </c>
      <c r="H3839" s="14">
        <v>0</v>
      </c>
      <c r="I3839" s="14">
        <v>0</v>
      </c>
      <c r="J3839" s="14">
        <v>0</v>
      </c>
      <c r="K3839" s="14">
        <v>1571</v>
      </c>
      <c r="L3839" t="s">
        <v>794</v>
      </c>
      <c r="M3839" s="23">
        <f t="shared" si="60"/>
        <v>2026</v>
      </c>
    </row>
    <row r="3840" spans="1:13" ht="12.75" hidden="1" customHeight="1">
      <c r="A3840" t="s">
        <v>1141</v>
      </c>
      <c r="B3840" t="s">
        <v>69</v>
      </c>
      <c r="C3840" t="s">
        <v>137</v>
      </c>
      <c r="D3840" t="s">
        <v>1394</v>
      </c>
      <c r="E3840" s="17">
        <v>46029</v>
      </c>
      <c r="F3840" s="17">
        <v>46029</v>
      </c>
      <c r="G3840" s="13">
        <v>1571</v>
      </c>
      <c r="H3840" s="14">
        <v>0</v>
      </c>
      <c r="I3840" s="14">
        <v>0</v>
      </c>
      <c r="J3840" s="14">
        <v>0</v>
      </c>
      <c r="K3840" s="14">
        <v>1571</v>
      </c>
      <c r="L3840" t="s">
        <v>794</v>
      </c>
      <c r="M3840" s="23">
        <f t="shared" si="60"/>
        <v>2026</v>
      </c>
    </row>
    <row r="3841" spans="1:13" ht="12.75" hidden="1" customHeight="1">
      <c r="A3841" t="s">
        <v>814</v>
      </c>
      <c r="B3841" t="s">
        <v>56</v>
      </c>
      <c r="C3841" t="s">
        <v>137</v>
      </c>
      <c r="D3841" t="s">
        <v>1394</v>
      </c>
      <c r="E3841" s="17">
        <v>46029</v>
      </c>
      <c r="F3841" s="17">
        <v>46029</v>
      </c>
      <c r="G3841" s="13">
        <v>1701</v>
      </c>
      <c r="H3841" s="14">
        <v>0</v>
      </c>
      <c r="I3841" s="14">
        <v>0</v>
      </c>
      <c r="J3841" s="14">
        <v>0</v>
      </c>
      <c r="K3841" s="14">
        <v>1701</v>
      </c>
      <c r="L3841" t="s">
        <v>794</v>
      </c>
      <c r="M3841" s="23">
        <f t="shared" si="60"/>
        <v>2026</v>
      </c>
    </row>
    <row r="3842" spans="1:13" ht="12.75" hidden="1" customHeight="1">
      <c r="A3842" t="s">
        <v>1316</v>
      </c>
      <c r="B3842" t="s">
        <v>59</v>
      </c>
      <c r="C3842" t="s">
        <v>137</v>
      </c>
      <c r="D3842" t="s">
        <v>1394</v>
      </c>
      <c r="E3842" s="17">
        <v>46029</v>
      </c>
      <c r="F3842" s="17">
        <v>46029</v>
      </c>
      <c r="G3842" s="13">
        <v>1571</v>
      </c>
      <c r="H3842" s="14">
        <v>0</v>
      </c>
      <c r="I3842" s="14">
        <v>0</v>
      </c>
      <c r="J3842" s="14">
        <v>0</v>
      </c>
      <c r="K3842" s="14">
        <v>1571</v>
      </c>
      <c r="L3842" t="s">
        <v>794</v>
      </c>
      <c r="M3842" s="23">
        <f t="shared" si="60"/>
        <v>2026</v>
      </c>
    </row>
    <row r="3843" spans="1:13" ht="12.75" hidden="1" customHeight="1">
      <c r="A3843" t="s">
        <v>961</v>
      </c>
      <c r="B3843" t="s">
        <v>41</v>
      </c>
      <c r="C3843" t="s">
        <v>137</v>
      </c>
      <c r="D3843" t="s">
        <v>1394</v>
      </c>
      <c r="E3843" s="17">
        <v>46029</v>
      </c>
      <c r="F3843" s="17">
        <v>46029</v>
      </c>
      <c r="G3843" s="13">
        <v>1571</v>
      </c>
      <c r="H3843" s="14">
        <v>0</v>
      </c>
      <c r="I3843" s="14">
        <v>0</v>
      </c>
      <c r="J3843" s="14">
        <v>0</v>
      </c>
      <c r="K3843" s="14">
        <v>1571</v>
      </c>
      <c r="L3843" t="s">
        <v>794</v>
      </c>
      <c r="M3843" s="23">
        <f t="shared" si="60"/>
        <v>2026</v>
      </c>
    </row>
    <row r="3844" spans="1:13" ht="12.75" hidden="1" customHeight="1">
      <c r="A3844" t="s">
        <v>1167</v>
      </c>
      <c r="B3844" t="s">
        <v>47</v>
      </c>
      <c r="C3844" t="s">
        <v>137</v>
      </c>
      <c r="D3844" t="s">
        <v>1394</v>
      </c>
      <c r="E3844" s="17">
        <v>46029</v>
      </c>
      <c r="F3844" s="17">
        <v>46029</v>
      </c>
      <c r="G3844" s="13">
        <v>1813</v>
      </c>
      <c r="H3844" s="14">
        <v>0</v>
      </c>
      <c r="I3844" s="14">
        <v>0</v>
      </c>
      <c r="J3844" s="14">
        <v>0</v>
      </c>
      <c r="K3844" s="14">
        <v>1813</v>
      </c>
      <c r="L3844" t="s">
        <v>794</v>
      </c>
      <c r="M3844" s="23">
        <f t="shared" si="60"/>
        <v>2026</v>
      </c>
    </row>
    <row r="3845" spans="1:13" ht="12.75" hidden="1" customHeight="1">
      <c r="A3845" t="s">
        <v>819</v>
      </c>
      <c r="B3845" t="s">
        <v>38</v>
      </c>
      <c r="C3845" t="s">
        <v>137</v>
      </c>
      <c r="D3845" t="s">
        <v>1394</v>
      </c>
      <c r="E3845" s="17">
        <v>46029</v>
      </c>
      <c r="F3845" s="17">
        <v>46029</v>
      </c>
      <c r="G3845" s="13">
        <v>1636</v>
      </c>
      <c r="H3845" s="14">
        <v>0</v>
      </c>
      <c r="I3845" s="14">
        <v>0</v>
      </c>
      <c r="J3845" s="14">
        <v>0</v>
      </c>
      <c r="K3845" s="14">
        <v>1636</v>
      </c>
      <c r="L3845" t="s">
        <v>794</v>
      </c>
      <c r="M3845" s="23">
        <f t="shared" si="60"/>
        <v>2026</v>
      </c>
    </row>
    <row r="3846" spans="1:13" ht="12.75" hidden="1" customHeight="1">
      <c r="A3846" t="s">
        <v>1004</v>
      </c>
      <c r="B3846" t="s">
        <v>57</v>
      </c>
      <c r="C3846" t="s">
        <v>137</v>
      </c>
      <c r="D3846" t="s">
        <v>1394</v>
      </c>
      <c r="E3846" s="17">
        <v>46029</v>
      </c>
      <c r="F3846" s="17">
        <v>46029</v>
      </c>
      <c r="G3846" s="13">
        <v>1701</v>
      </c>
      <c r="H3846" s="14">
        <v>0</v>
      </c>
      <c r="I3846" s="14">
        <v>0</v>
      </c>
      <c r="J3846" s="14">
        <v>0</v>
      </c>
      <c r="K3846" s="14">
        <v>1701</v>
      </c>
      <c r="L3846" t="s">
        <v>794</v>
      </c>
      <c r="M3846" s="23">
        <f t="shared" si="60"/>
        <v>2026</v>
      </c>
    </row>
    <row r="3847" spans="1:13" ht="12.75" hidden="1" customHeight="1">
      <c r="A3847" t="s">
        <v>810</v>
      </c>
      <c r="B3847" t="s">
        <v>54</v>
      </c>
      <c r="C3847" t="s">
        <v>137</v>
      </c>
      <c r="D3847" t="s">
        <v>1394</v>
      </c>
      <c r="E3847" s="17">
        <v>46029</v>
      </c>
      <c r="F3847" s="17">
        <v>46029</v>
      </c>
      <c r="G3847" s="13">
        <v>1291</v>
      </c>
      <c r="H3847" s="14">
        <v>0</v>
      </c>
      <c r="I3847" s="14">
        <v>0</v>
      </c>
      <c r="J3847" s="14">
        <v>0</v>
      </c>
      <c r="K3847" s="14">
        <v>1291</v>
      </c>
      <c r="L3847" t="s">
        <v>794</v>
      </c>
      <c r="M3847" s="23">
        <f t="shared" si="60"/>
        <v>2026</v>
      </c>
    </row>
    <row r="3848" spans="1:13" ht="12.75" hidden="1" customHeight="1">
      <c r="A3848" t="s">
        <v>1196</v>
      </c>
      <c r="B3848" t="s">
        <v>1197</v>
      </c>
      <c r="C3848" t="s">
        <v>137</v>
      </c>
      <c r="D3848" t="s">
        <v>1394</v>
      </c>
      <c r="E3848" s="17">
        <v>46029</v>
      </c>
      <c r="F3848" s="17">
        <v>46029</v>
      </c>
      <c r="G3848" s="13">
        <v>1757</v>
      </c>
      <c r="H3848" s="14">
        <v>0</v>
      </c>
      <c r="I3848" s="14">
        <v>0</v>
      </c>
      <c r="J3848" s="14">
        <v>0</v>
      </c>
      <c r="K3848" s="14">
        <v>1757</v>
      </c>
      <c r="L3848" t="s">
        <v>794</v>
      </c>
      <c r="M3848" s="23">
        <f t="shared" si="60"/>
        <v>2026</v>
      </c>
    </row>
    <row r="3849" spans="1:13" ht="12.75" hidden="1" customHeight="1">
      <c r="A3849" t="s">
        <v>1317</v>
      </c>
      <c r="B3849" t="s">
        <v>64</v>
      </c>
      <c r="C3849" t="s">
        <v>137</v>
      </c>
      <c r="D3849" t="s">
        <v>1394</v>
      </c>
      <c r="E3849" s="17">
        <v>46029</v>
      </c>
      <c r="F3849" s="17">
        <v>46029</v>
      </c>
      <c r="G3849" s="13">
        <v>1571</v>
      </c>
      <c r="H3849" s="14">
        <v>0</v>
      </c>
      <c r="I3849" s="14">
        <v>0</v>
      </c>
      <c r="J3849" s="14">
        <v>0</v>
      </c>
      <c r="K3849" s="14">
        <v>1571</v>
      </c>
      <c r="L3849" t="s">
        <v>794</v>
      </c>
      <c r="M3849" s="23">
        <f t="shared" si="60"/>
        <v>2026</v>
      </c>
    </row>
    <row r="3850" spans="1:13" ht="12.75" hidden="1" customHeight="1">
      <c r="A3850" t="s">
        <v>833</v>
      </c>
      <c r="B3850" t="s">
        <v>27</v>
      </c>
      <c r="C3850" t="s">
        <v>137</v>
      </c>
      <c r="D3850" t="s">
        <v>1394</v>
      </c>
      <c r="E3850" s="17">
        <v>46029</v>
      </c>
      <c r="F3850" s="17">
        <v>46029</v>
      </c>
      <c r="G3850" s="13">
        <v>1814</v>
      </c>
      <c r="H3850" s="14">
        <v>0</v>
      </c>
      <c r="I3850" s="14">
        <v>0</v>
      </c>
      <c r="J3850" s="14">
        <v>0</v>
      </c>
      <c r="K3850" s="14">
        <v>1814</v>
      </c>
      <c r="L3850" t="s">
        <v>794</v>
      </c>
      <c r="M3850" s="23">
        <f t="shared" si="60"/>
        <v>2026</v>
      </c>
    </row>
    <row r="3851" spans="1:13" ht="12.75" hidden="1" customHeight="1">
      <c r="A3851" t="s">
        <v>1112</v>
      </c>
      <c r="B3851" t="s">
        <v>68</v>
      </c>
      <c r="C3851" t="s">
        <v>137</v>
      </c>
      <c r="D3851" t="s">
        <v>1394</v>
      </c>
      <c r="E3851" s="17">
        <v>46029</v>
      </c>
      <c r="F3851" s="17">
        <v>46029</v>
      </c>
      <c r="G3851" s="13">
        <v>900</v>
      </c>
      <c r="H3851" s="14">
        <v>0</v>
      </c>
      <c r="I3851" s="14">
        <v>0</v>
      </c>
      <c r="J3851" s="14">
        <v>0</v>
      </c>
      <c r="K3851" s="14">
        <v>900</v>
      </c>
      <c r="L3851" t="s">
        <v>794</v>
      </c>
      <c r="M3851" s="23">
        <f t="shared" si="60"/>
        <v>2026</v>
      </c>
    </row>
    <row r="3852" spans="1:13" ht="12.75" hidden="1" customHeight="1">
      <c r="A3852" t="s">
        <v>818</v>
      </c>
      <c r="B3852" t="s">
        <v>30</v>
      </c>
      <c r="C3852" t="s">
        <v>137</v>
      </c>
      <c r="D3852" t="s">
        <v>1394</v>
      </c>
      <c r="E3852" s="17">
        <v>46029</v>
      </c>
      <c r="F3852" s="17">
        <v>46029</v>
      </c>
      <c r="G3852" s="13">
        <v>1571</v>
      </c>
      <c r="H3852" s="14">
        <v>0</v>
      </c>
      <c r="I3852" s="14">
        <v>0</v>
      </c>
      <c r="J3852" s="14">
        <v>0</v>
      </c>
      <c r="K3852" s="14">
        <v>1571</v>
      </c>
      <c r="L3852" t="s">
        <v>794</v>
      </c>
      <c r="M3852" s="23">
        <f t="shared" si="60"/>
        <v>2026</v>
      </c>
    </row>
    <row r="3853" spans="1:13" ht="12.75" hidden="1" customHeight="1">
      <c r="A3853" t="s">
        <v>1173</v>
      </c>
      <c r="B3853" t="s">
        <v>45</v>
      </c>
      <c r="C3853" t="s">
        <v>137</v>
      </c>
      <c r="D3853" t="s">
        <v>1394</v>
      </c>
      <c r="E3853" s="17">
        <v>46029</v>
      </c>
      <c r="F3853" s="17">
        <v>46029</v>
      </c>
      <c r="G3853" s="13">
        <v>2472</v>
      </c>
      <c r="H3853" s="14">
        <v>0</v>
      </c>
      <c r="I3853" s="14">
        <v>0</v>
      </c>
      <c r="J3853" s="14">
        <v>0</v>
      </c>
      <c r="K3853" s="14">
        <v>2472</v>
      </c>
      <c r="L3853" t="s">
        <v>794</v>
      </c>
      <c r="M3853" s="23">
        <f t="shared" si="60"/>
        <v>2026</v>
      </c>
    </row>
    <row r="3854" spans="1:13" ht="12.75" hidden="1" customHeight="1">
      <c r="A3854" t="s">
        <v>1104</v>
      </c>
      <c r="B3854" t="s">
        <v>53</v>
      </c>
      <c r="C3854" t="s">
        <v>137</v>
      </c>
      <c r="D3854" t="s">
        <v>1394</v>
      </c>
      <c r="E3854" s="17">
        <v>46029</v>
      </c>
      <c r="F3854" s="17">
        <v>46029</v>
      </c>
      <c r="G3854" s="13">
        <v>1384</v>
      </c>
      <c r="H3854" s="14">
        <v>0</v>
      </c>
      <c r="I3854" s="14">
        <v>0</v>
      </c>
      <c r="J3854" s="14">
        <v>0</v>
      </c>
      <c r="K3854" s="14">
        <v>1384</v>
      </c>
      <c r="L3854" t="s">
        <v>794</v>
      </c>
      <c r="M3854" s="23">
        <f t="shared" si="60"/>
        <v>2026</v>
      </c>
    </row>
    <row r="3855" spans="1:13" ht="12.75" hidden="1" customHeight="1">
      <c r="A3855" t="s">
        <v>1181</v>
      </c>
      <c r="B3855" t="s">
        <v>75</v>
      </c>
      <c r="C3855" t="s">
        <v>137</v>
      </c>
      <c r="D3855" t="s">
        <v>1394</v>
      </c>
      <c r="E3855" s="17">
        <v>46029</v>
      </c>
      <c r="F3855" s="17">
        <v>46029</v>
      </c>
      <c r="G3855" s="13">
        <v>1165</v>
      </c>
      <c r="H3855" s="14">
        <v>0</v>
      </c>
      <c r="I3855" s="14">
        <v>0</v>
      </c>
      <c r="J3855" s="14">
        <v>0</v>
      </c>
      <c r="K3855" s="14">
        <v>1165</v>
      </c>
      <c r="L3855" t="s">
        <v>794</v>
      </c>
      <c r="M3855" s="23">
        <f t="shared" si="60"/>
        <v>2026</v>
      </c>
    </row>
    <row r="3856" spans="1:13" ht="12.75" hidden="1" customHeight="1">
      <c r="A3856" t="s">
        <v>1134</v>
      </c>
      <c r="B3856" t="s">
        <v>33</v>
      </c>
      <c r="C3856" t="s">
        <v>137</v>
      </c>
      <c r="D3856" t="s">
        <v>1394</v>
      </c>
      <c r="E3856" s="17">
        <v>46029</v>
      </c>
      <c r="F3856" s="17">
        <v>46029</v>
      </c>
      <c r="G3856" s="13">
        <v>1571</v>
      </c>
      <c r="H3856" s="14">
        <v>0</v>
      </c>
      <c r="I3856" s="14">
        <v>0</v>
      </c>
      <c r="J3856" s="14">
        <v>0</v>
      </c>
      <c r="K3856" s="14">
        <v>1571</v>
      </c>
      <c r="L3856" t="s">
        <v>794</v>
      </c>
      <c r="M3856" s="23">
        <f t="shared" si="60"/>
        <v>2026</v>
      </c>
    </row>
    <row r="3857" spans="1:13" ht="12.75" hidden="1" customHeight="1">
      <c r="A3857" t="s">
        <v>825</v>
      </c>
      <c r="B3857" t="s">
        <v>46</v>
      </c>
      <c r="C3857" t="s">
        <v>137</v>
      </c>
      <c r="D3857" t="s">
        <v>1394</v>
      </c>
      <c r="E3857" s="17">
        <v>46029</v>
      </c>
      <c r="F3857" s="17">
        <v>46029</v>
      </c>
      <c r="G3857" s="13">
        <v>1057</v>
      </c>
      <c r="H3857" s="14">
        <v>0</v>
      </c>
      <c r="I3857" s="14">
        <v>0</v>
      </c>
      <c r="J3857" s="14">
        <v>0</v>
      </c>
      <c r="K3857" s="14">
        <v>1057</v>
      </c>
      <c r="L3857" t="s">
        <v>794</v>
      </c>
      <c r="M3857" s="23">
        <f t="shared" si="60"/>
        <v>2026</v>
      </c>
    </row>
    <row r="3858" spans="1:13" ht="12.75" hidden="1" customHeight="1">
      <c r="A3858" t="s">
        <v>826</v>
      </c>
      <c r="B3858" t="s">
        <v>21</v>
      </c>
      <c r="C3858" t="s">
        <v>137</v>
      </c>
      <c r="D3858" t="s">
        <v>1394</v>
      </c>
      <c r="E3858" s="17">
        <v>46029</v>
      </c>
      <c r="F3858" s="17">
        <v>46029</v>
      </c>
      <c r="G3858" s="13">
        <v>1784</v>
      </c>
      <c r="H3858" s="14">
        <v>0</v>
      </c>
      <c r="I3858" s="14">
        <v>0</v>
      </c>
      <c r="J3858" s="14">
        <v>0</v>
      </c>
      <c r="K3858" s="14">
        <v>1784</v>
      </c>
      <c r="L3858" t="s">
        <v>794</v>
      </c>
      <c r="M3858" s="23">
        <f t="shared" si="60"/>
        <v>2026</v>
      </c>
    </row>
    <row r="3859" spans="1:13" ht="12.75" hidden="1" customHeight="1">
      <c r="A3859" t="s">
        <v>811</v>
      </c>
      <c r="B3859" t="s">
        <v>39</v>
      </c>
      <c r="C3859" t="s">
        <v>137</v>
      </c>
      <c r="D3859" t="s">
        <v>1394</v>
      </c>
      <c r="E3859" s="17">
        <v>46029</v>
      </c>
      <c r="F3859" s="17">
        <v>46029</v>
      </c>
      <c r="G3859" s="13">
        <v>1059</v>
      </c>
      <c r="H3859" s="14">
        <v>0</v>
      </c>
      <c r="I3859" s="14">
        <v>0</v>
      </c>
      <c r="J3859" s="14">
        <v>0</v>
      </c>
      <c r="K3859" s="14">
        <v>1059</v>
      </c>
      <c r="L3859" t="s">
        <v>794</v>
      </c>
      <c r="M3859" s="23">
        <f t="shared" si="60"/>
        <v>2026</v>
      </c>
    </row>
    <row r="3860" spans="1:13" ht="12.75" hidden="1" customHeight="1">
      <c r="A3860" t="s">
        <v>836</v>
      </c>
      <c r="B3860" t="s">
        <v>37</v>
      </c>
      <c r="C3860" t="s">
        <v>137</v>
      </c>
      <c r="D3860" t="s">
        <v>1394</v>
      </c>
      <c r="E3860" s="17">
        <v>46029</v>
      </c>
      <c r="F3860" s="17">
        <v>46029</v>
      </c>
      <c r="G3860" s="13">
        <v>1571</v>
      </c>
      <c r="H3860" s="14">
        <v>0</v>
      </c>
      <c r="I3860" s="14">
        <v>0</v>
      </c>
      <c r="J3860" s="14">
        <v>0</v>
      </c>
      <c r="K3860" s="14">
        <v>1571</v>
      </c>
      <c r="L3860" t="s">
        <v>794</v>
      </c>
      <c r="M3860" s="23">
        <f t="shared" si="60"/>
        <v>2026</v>
      </c>
    </row>
    <row r="3861" spans="1:13" ht="12.75" hidden="1" customHeight="1">
      <c r="A3861" t="s">
        <v>924</v>
      </c>
      <c r="B3861" t="s">
        <v>87</v>
      </c>
      <c r="C3861" t="s">
        <v>736</v>
      </c>
      <c r="D3861" t="s">
        <v>1394</v>
      </c>
      <c r="E3861" s="17">
        <v>46029</v>
      </c>
      <c r="F3861" s="17">
        <v>46029</v>
      </c>
      <c r="G3861" s="13">
        <v>750</v>
      </c>
      <c r="H3861" s="14">
        <v>0</v>
      </c>
      <c r="I3861" s="14">
        <v>0</v>
      </c>
      <c r="J3861" s="14">
        <v>0</v>
      </c>
      <c r="K3861" s="14">
        <v>750</v>
      </c>
      <c r="L3861" t="s">
        <v>794</v>
      </c>
      <c r="M3861" s="23">
        <f t="shared" si="60"/>
        <v>2026</v>
      </c>
    </row>
    <row r="3862" spans="1:13" ht="12.75" hidden="1" customHeight="1">
      <c r="A3862" t="s">
        <v>833</v>
      </c>
      <c r="B3862" t="s">
        <v>27</v>
      </c>
      <c r="C3862" t="s">
        <v>140</v>
      </c>
      <c r="D3862" t="s">
        <v>1394</v>
      </c>
      <c r="E3862" s="17">
        <v>46029</v>
      </c>
      <c r="F3862" s="17">
        <v>46029</v>
      </c>
      <c r="G3862" s="13">
        <v>1000</v>
      </c>
      <c r="H3862" s="14">
        <v>0</v>
      </c>
      <c r="I3862" s="14">
        <v>0</v>
      </c>
      <c r="J3862" s="14">
        <v>0</v>
      </c>
      <c r="K3862" s="14">
        <v>1000</v>
      </c>
      <c r="L3862" t="s">
        <v>794</v>
      </c>
      <c r="M3862" s="23">
        <f t="shared" si="60"/>
        <v>2026</v>
      </c>
    </row>
    <row r="3863" spans="1:13" ht="12.75" hidden="1" customHeight="1">
      <c r="A3863" t="s">
        <v>1009</v>
      </c>
      <c r="B3863" t="s">
        <v>62</v>
      </c>
      <c r="C3863" t="s">
        <v>204</v>
      </c>
      <c r="D3863" t="s">
        <v>1394</v>
      </c>
      <c r="E3863" s="17">
        <v>46029</v>
      </c>
      <c r="F3863" s="17">
        <v>46029</v>
      </c>
      <c r="G3863" s="13">
        <v>1016.14</v>
      </c>
      <c r="H3863" s="14">
        <v>0</v>
      </c>
      <c r="I3863" s="14">
        <v>0</v>
      </c>
      <c r="J3863" s="14">
        <v>0</v>
      </c>
      <c r="K3863" s="14">
        <v>1016.14</v>
      </c>
      <c r="L3863" t="s">
        <v>794</v>
      </c>
      <c r="M3863" s="23">
        <f t="shared" si="60"/>
        <v>2026</v>
      </c>
    </row>
    <row r="3864" spans="1:13" ht="12.75" hidden="1" customHeight="1">
      <c r="A3864" t="s">
        <v>914</v>
      </c>
      <c r="B3864" t="s">
        <v>28</v>
      </c>
      <c r="C3864" t="s">
        <v>732</v>
      </c>
      <c r="D3864" t="s">
        <v>1394</v>
      </c>
      <c r="E3864" s="17">
        <v>46029</v>
      </c>
      <c r="F3864" s="17">
        <v>46029</v>
      </c>
      <c r="G3864" s="13">
        <v>228.32</v>
      </c>
      <c r="H3864" s="14">
        <v>0</v>
      </c>
      <c r="I3864" s="14">
        <v>0</v>
      </c>
      <c r="J3864" s="14">
        <v>0</v>
      </c>
      <c r="K3864" s="14">
        <v>228.32</v>
      </c>
      <c r="L3864" t="s">
        <v>794</v>
      </c>
      <c r="M3864" s="23">
        <f t="shared" si="60"/>
        <v>2026</v>
      </c>
    </row>
    <row r="3865" spans="1:13" ht="12.75" hidden="1" customHeight="1">
      <c r="A3865" t="s">
        <v>1296</v>
      </c>
      <c r="B3865" t="s">
        <v>42</v>
      </c>
      <c r="C3865" t="s">
        <v>728</v>
      </c>
      <c r="D3865" t="s">
        <v>873</v>
      </c>
      <c r="E3865" s="17">
        <v>46021</v>
      </c>
      <c r="F3865" s="17">
        <v>46029</v>
      </c>
      <c r="G3865" s="13">
        <v>4397.03</v>
      </c>
      <c r="H3865" s="14">
        <v>0</v>
      </c>
      <c r="I3865" s="14">
        <v>0</v>
      </c>
      <c r="J3865" s="14">
        <v>0</v>
      </c>
      <c r="K3865" s="14">
        <v>4397.03</v>
      </c>
      <c r="L3865" t="s">
        <v>794</v>
      </c>
      <c r="M3865" s="23">
        <f t="shared" si="60"/>
        <v>2026</v>
      </c>
    </row>
    <row r="3866" spans="1:13" ht="12.75" hidden="1" customHeight="1">
      <c r="A3866" t="s">
        <v>855</v>
      </c>
      <c r="B3866" t="s">
        <v>20</v>
      </c>
      <c r="C3866" t="s">
        <v>721</v>
      </c>
      <c r="D3866" t="s">
        <v>1394</v>
      </c>
      <c r="E3866" s="17">
        <v>46029</v>
      </c>
      <c r="F3866" s="17">
        <v>46029</v>
      </c>
      <c r="G3866" s="13">
        <v>5000</v>
      </c>
      <c r="H3866" s="14">
        <v>0</v>
      </c>
      <c r="I3866" s="14">
        <v>0</v>
      </c>
      <c r="J3866" s="14">
        <v>0</v>
      </c>
      <c r="K3866" s="14">
        <v>5000</v>
      </c>
      <c r="L3866" t="s">
        <v>794</v>
      </c>
      <c r="M3866" s="23">
        <f t="shared" si="60"/>
        <v>2026</v>
      </c>
    </row>
    <row r="3867" spans="1:13" ht="12.75" hidden="1" customHeight="1">
      <c r="A3867" t="s">
        <v>855</v>
      </c>
      <c r="B3867" t="s">
        <v>20</v>
      </c>
      <c r="C3867" t="s">
        <v>721</v>
      </c>
      <c r="D3867" t="s">
        <v>1394</v>
      </c>
      <c r="E3867" s="17">
        <v>46029</v>
      </c>
      <c r="F3867" s="17">
        <v>46029</v>
      </c>
      <c r="G3867" s="13">
        <v>1000</v>
      </c>
      <c r="H3867" s="14">
        <v>0</v>
      </c>
      <c r="I3867" s="14">
        <v>0</v>
      </c>
      <c r="J3867" s="14">
        <v>0</v>
      </c>
      <c r="K3867" s="14">
        <v>1000</v>
      </c>
      <c r="L3867" t="s">
        <v>794</v>
      </c>
      <c r="M3867" s="23">
        <f t="shared" si="60"/>
        <v>2026</v>
      </c>
    </row>
    <row r="3868" spans="1:13" ht="12.75" hidden="1" customHeight="1">
      <c r="A3868" t="s">
        <v>1403</v>
      </c>
      <c r="B3868" t="s">
        <v>542</v>
      </c>
      <c r="C3868" t="s">
        <v>452</v>
      </c>
      <c r="D3868" t="s">
        <v>1394</v>
      </c>
      <c r="E3868" s="17">
        <v>46029</v>
      </c>
      <c r="F3868" s="17">
        <v>46029</v>
      </c>
      <c r="G3868" s="13">
        <v>99</v>
      </c>
      <c r="H3868" s="14">
        <v>0</v>
      </c>
      <c r="I3868" s="14">
        <v>0</v>
      </c>
      <c r="J3868" s="14">
        <v>0</v>
      </c>
      <c r="K3868" s="14">
        <v>99</v>
      </c>
      <c r="L3868" t="s">
        <v>794</v>
      </c>
      <c r="M3868" s="23">
        <f t="shared" si="60"/>
        <v>2026</v>
      </c>
    </row>
    <row r="3869" spans="1:13" ht="12.75" hidden="1" customHeight="1">
      <c r="A3869" t="s">
        <v>801</v>
      </c>
      <c r="B3869" t="s">
        <v>13</v>
      </c>
      <c r="C3869" t="s">
        <v>726</v>
      </c>
      <c r="D3869" t="s">
        <v>1394</v>
      </c>
      <c r="E3869" s="17">
        <v>46029</v>
      </c>
      <c r="F3869" s="17">
        <v>46029</v>
      </c>
      <c r="G3869" s="13">
        <v>22.44</v>
      </c>
      <c r="H3869" s="14">
        <v>0</v>
      </c>
      <c r="I3869" s="14">
        <v>0</v>
      </c>
      <c r="J3869" s="14">
        <v>0</v>
      </c>
      <c r="K3869" s="14">
        <v>22.44</v>
      </c>
      <c r="L3869" t="s">
        <v>794</v>
      </c>
      <c r="M3869" s="23">
        <f t="shared" si="60"/>
        <v>2026</v>
      </c>
    </row>
    <row r="3870" spans="1:13" ht="12.75" hidden="1" customHeight="1">
      <c r="A3870" t="s">
        <v>1404</v>
      </c>
      <c r="B3870" t="s">
        <v>440</v>
      </c>
      <c r="C3870" t="s">
        <v>745</v>
      </c>
      <c r="D3870" t="s">
        <v>1394</v>
      </c>
      <c r="E3870" s="17">
        <v>46029</v>
      </c>
      <c r="F3870" s="17">
        <v>46029</v>
      </c>
      <c r="G3870" s="13">
        <v>280</v>
      </c>
      <c r="H3870" s="14">
        <v>0</v>
      </c>
      <c r="I3870" s="14">
        <v>0</v>
      </c>
      <c r="J3870" s="14">
        <v>0</v>
      </c>
      <c r="K3870" s="14">
        <v>280</v>
      </c>
      <c r="L3870" t="s">
        <v>794</v>
      </c>
      <c r="M3870" s="23">
        <f t="shared" si="60"/>
        <v>2026</v>
      </c>
    </row>
    <row r="3871" spans="1:13" ht="12.75" hidden="1" customHeight="1">
      <c r="A3871" t="s">
        <v>801</v>
      </c>
      <c r="B3871" t="s">
        <v>13</v>
      </c>
      <c r="C3871" t="s">
        <v>726</v>
      </c>
      <c r="D3871" t="s">
        <v>1394</v>
      </c>
      <c r="E3871" s="17">
        <v>46029</v>
      </c>
      <c r="F3871" s="17">
        <v>46029</v>
      </c>
      <c r="G3871" s="13">
        <v>95.88</v>
      </c>
      <c r="H3871" s="14">
        <v>0</v>
      </c>
      <c r="I3871" s="14">
        <v>0</v>
      </c>
      <c r="J3871" s="14">
        <v>0</v>
      </c>
      <c r="K3871" s="14">
        <v>95.88</v>
      </c>
      <c r="L3871" t="s">
        <v>794</v>
      </c>
      <c r="M3871" s="23">
        <f t="shared" si="60"/>
        <v>2026</v>
      </c>
    </row>
    <row r="3872" spans="1:13" ht="12.75" hidden="1" customHeight="1">
      <c r="A3872" t="s">
        <v>879</v>
      </c>
      <c r="B3872" t="s">
        <v>23</v>
      </c>
      <c r="C3872" t="s">
        <v>713</v>
      </c>
      <c r="D3872" t="s">
        <v>873</v>
      </c>
      <c r="E3872" s="17">
        <v>46014</v>
      </c>
      <c r="F3872" s="17">
        <v>46029</v>
      </c>
      <c r="G3872" s="22">
        <v>2898.51</v>
      </c>
      <c r="H3872" s="14">
        <v>0</v>
      </c>
      <c r="I3872" s="14">
        <v>0</v>
      </c>
      <c r="J3872" s="14">
        <v>0</v>
      </c>
      <c r="K3872" s="14">
        <v>2898.51</v>
      </c>
      <c r="L3872" t="s">
        <v>794</v>
      </c>
      <c r="M3872" s="23">
        <f t="shared" si="60"/>
        <v>2026</v>
      </c>
    </row>
    <row r="3873" spans="1:13" ht="12.75" hidden="1" customHeight="1">
      <c r="A3873" t="s">
        <v>879</v>
      </c>
      <c r="B3873" t="s">
        <v>23</v>
      </c>
      <c r="C3873" t="s">
        <v>713</v>
      </c>
      <c r="D3873" t="s">
        <v>873</v>
      </c>
      <c r="E3873" s="17">
        <v>46020</v>
      </c>
      <c r="F3873" s="17">
        <v>46029</v>
      </c>
      <c r="G3873" s="22">
        <v>1588.2</v>
      </c>
      <c r="H3873" s="14">
        <v>0</v>
      </c>
      <c r="I3873" s="14">
        <v>0</v>
      </c>
      <c r="J3873" s="14">
        <v>0</v>
      </c>
      <c r="K3873" s="14">
        <v>186.23</v>
      </c>
      <c r="L3873" t="s">
        <v>794</v>
      </c>
      <c r="M3873" s="23">
        <f t="shared" si="60"/>
        <v>2026</v>
      </c>
    </row>
    <row r="3874" spans="1:13" ht="12.75" hidden="1" customHeight="1">
      <c r="A3874" t="s">
        <v>1382</v>
      </c>
      <c r="B3874" t="s">
        <v>165</v>
      </c>
      <c r="C3874" t="s">
        <v>725</v>
      </c>
      <c r="D3874" t="s">
        <v>1394</v>
      </c>
      <c r="E3874" s="17">
        <v>46028</v>
      </c>
      <c r="F3874" s="17">
        <v>46030</v>
      </c>
      <c r="G3874" s="13">
        <v>1996.8</v>
      </c>
      <c r="H3874" s="14">
        <v>0</v>
      </c>
      <c r="I3874" s="14">
        <v>0</v>
      </c>
      <c r="J3874" s="14">
        <v>0</v>
      </c>
      <c r="K3874" s="14">
        <v>1996.8</v>
      </c>
      <c r="L3874" t="s">
        <v>794</v>
      </c>
      <c r="M3874" s="23">
        <f t="shared" si="60"/>
        <v>2026</v>
      </c>
    </row>
    <row r="3875" spans="1:13" ht="12.75" hidden="1" customHeight="1">
      <c r="A3875" t="s">
        <v>1305</v>
      </c>
      <c r="B3875" t="s">
        <v>96</v>
      </c>
      <c r="C3875" t="s">
        <v>737</v>
      </c>
      <c r="D3875" t="s">
        <v>1394</v>
      </c>
      <c r="E3875" s="17">
        <v>46030</v>
      </c>
      <c r="F3875" s="17">
        <v>46030</v>
      </c>
      <c r="G3875" s="13">
        <v>1249.06</v>
      </c>
      <c r="H3875" s="14">
        <v>0</v>
      </c>
      <c r="I3875" s="14">
        <v>0</v>
      </c>
      <c r="J3875" s="14">
        <v>0</v>
      </c>
      <c r="K3875" s="14">
        <v>1249.06</v>
      </c>
      <c r="L3875" t="s">
        <v>794</v>
      </c>
      <c r="M3875" s="23">
        <f t="shared" si="60"/>
        <v>2026</v>
      </c>
    </row>
    <row r="3876" spans="1:13" ht="12.75" hidden="1" customHeight="1">
      <c r="A3876" t="s">
        <v>941</v>
      </c>
      <c r="B3876" t="s">
        <v>52</v>
      </c>
      <c r="C3876" t="s">
        <v>672</v>
      </c>
      <c r="D3876" t="s">
        <v>873</v>
      </c>
      <c r="E3876" s="17">
        <v>46011</v>
      </c>
      <c r="F3876" s="17">
        <v>46030</v>
      </c>
      <c r="G3876" s="13">
        <v>1542.22</v>
      </c>
      <c r="H3876" s="14">
        <v>0</v>
      </c>
      <c r="I3876" s="14">
        <v>0</v>
      </c>
      <c r="J3876" s="14">
        <v>0</v>
      </c>
      <c r="K3876" s="14">
        <v>1542.22</v>
      </c>
      <c r="L3876" t="s">
        <v>794</v>
      </c>
      <c r="M3876" s="23">
        <f t="shared" si="60"/>
        <v>2026</v>
      </c>
    </row>
    <row r="3877" spans="1:13" ht="12.75" hidden="1" customHeight="1">
      <c r="A3877" t="s">
        <v>1336</v>
      </c>
      <c r="B3877" t="s">
        <v>118</v>
      </c>
      <c r="C3877" t="s">
        <v>558</v>
      </c>
      <c r="D3877" t="s">
        <v>1394</v>
      </c>
      <c r="E3877" s="17">
        <v>46028</v>
      </c>
      <c r="F3877" s="17">
        <v>46030</v>
      </c>
      <c r="G3877" s="13">
        <v>1533.3700000000001</v>
      </c>
      <c r="H3877" s="14">
        <v>0</v>
      </c>
      <c r="I3877" s="14">
        <v>0</v>
      </c>
      <c r="J3877" s="14">
        <v>0</v>
      </c>
      <c r="K3877" s="14">
        <v>1533.3700000000001</v>
      </c>
      <c r="L3877" t="s">
        <v>794</v>
      </c>
      <c r="M3877" s="23">
        <f t="shared" si="60"/>
        <v>2026</v>
      </c>
    </row>
    <row r="3878" spans="1:13" ht="12.75" hidden="1" customHeight="1">
      <c r="A3878" t="s">
        <v>1010</v>
      </c>
      <c r="B3878" t="s">
        <v>466</v>
      </c>
      <c r="C3878" t="s">
        <v>491</v>
      </c>
      <c r="D3878" t="s">
        <v>1394</v>
      </c>
      <c r="E3878" s="17">
        <v>46030</v>
      </c>
      <c r="F3878" s="17">
        <v>46030</v>
      </c>
      <c r="G3878" s="13">
        <v>35</v>
      </c>
      <c r="H3878" s="14">
        <v>0</v>
      </c>
      <c r="I3878" s="14">
        <v>0</v>
      </c>
      <c r="J3878" s="14">
        <v>0</v>
      </c>
      <c r="K3878" s="14">
        <v>35</v>
      </c>
      <c r="L3878" t="s">
        <v>794</v>
      </c>
      <c r="M3878" s="23">
        <f t="shared" si="60"/>
        <v>2026</v>
      </c>
    </row>
    <row r="3879" spans="1:13" ht="12.75" hidden="1" customHeight="1">
      <c r="A3879" t="s">
        <v>801</v>
      </c>
      <c r="B3879" t="s">
        <v>13</v>
      </c>
      <c r="C3879" t="s">
        <v>726</v>
      </c>
      <c r="D3879" t="s">
        <v>1394</v>
      </c>
      <c r="E3879" s="17">
        <v>46030</v>
      </c>
      <c r="F3879" s="17">
        <v>46030</v>
      </c>
      <c r="G3879" s="13">
        <v>16.32</v>
      </c>
      <c r="H3879" s="14">
        <v>0</v>
      </c>
      <c r="I3879" s="14">
        <v>0</v>
      </c>
      <c r="J3879" s="14">
        <v>0</v>
      </c>
      <c r="K3879" s="14">
        <v>16.32</v>
      </c>
      <c r="L3879" t="s">
        <v>794</v>
      </c>
      <c r="M3879" s="23">
        <f t="shared" si="60"/>
        <v>2026</v>
      </c>
    </row>
    <row r="3880" spans="1:13" ht="12.75" hidden="1" customHeight="1">
      <c r="A3880" t="s">
        <v>1069</v>
      </c>
      <c r="B3880" t="s">
        <v>147</v>
      </c>
      <c r="C3880" t="s">
        <v>738</v>
      </c>
      <c r="D3880" t="s">
        <v>1394</v>
      </c>
      <c r="E3880" s="17">
        <v>46030</v>
      </c>
      <c r="F3880" s="17">
        <v>46030</v>
      </c>
      <c r="G3880" s="13">
        <v>1400</v>
      </c>
      <c r="H3880" s="14">
        <v>0</v>
      </c>
      <c r="I3880" s="14">
        <v>0</v>
      </c>
      <c r="J3880" s="14">
        <v>0</v>
      </c>
      <c r="K3880" s="14">
        <v>1400</v>
      </c>
      <c r="L3880" t="s">
        <v>794</v>
      </c>
      <c r="M3880" s="23">
        <f t="shared" si="60"/>
        <v>2026</v>
      </c>
    </row>
    <row r="3881" spans="1:13" ht="12.75" hidden="1" customHeight="1">
      <c r="A3881" t="s">
        <v>1405</v>
      </c>
      <c r="B3881" t="s">
        <v>373</v>
      </c>
      <c r="C3881" t="s">
        <v>749</v>
      </c>
      <c r="D3881" t="s">
        <v>1394</v>
      </c>
      <c r="E3881" s="17">
        <v>46030</v>
      </c>
      <c r="F3881" s="17">
        <v>46030</v>
      </c>
      <c r="G3881" s="13">
        <v>640</v>
      </c>
      <c r="H3881" s="14">
        <v>0</v>
      </c>
      <c r="I3881" s="14">
        <v>0</v>
      </c>
      <c r="J3881" s="14">
        <v>0</v>
      </c>
      <c r="K3881" s="14">
        <v>640</v>
      </c>
      <c r="L3881" t="s">
        <v>794</v>
      </c>
      <c r="M3881" s="23">
        <f t="shared" si="60"/>
        <v>2026</v>
      </c>
    </row>
    <row r="3882" spans="1:13" ht="12.75" hidden="1" customHeight="1">
      <c r="A3882" t="s">
        <v>801</v>
      </c>
      <c r="B3882" t="s">
        <v>13</v>
      </c>
      <c r="C3882" t="s">
        <v>726</v>
      </c>
      <c r="D3882" t="s">
        <v>1394</v>
      </c>
      <c r="E3882" s="17">
        <v>46030</v>
      </c>
      <c r="F3882" s="17">
        <v>46030</v>
      </c>
      <c r="G3882" s="13">
        <v>79.56</v>
      </c>
      <c r="H3882" s="14">
        <v>0</v>
      </c>
      <c r="I3882" s="14">
        <v>0</v>
      </c>
      <c r="J3882" s="14">
        <v>0</v>
      </c>
      <c r="K3882" s="14">
        <v>79.56</v>
      </c>
      <c r="L3882" t="s">
        <v>794</v>
      </c>
      <c r="M3882" s="23">
        <f t="shared" si="60"/>
        <v>2026</v>
      </c>
    </row>
    <row r="3883" spans="1:13" ht="12.75" hidden="1" customHeight="1">
      <c r="A3883" t="s">
        <v>1108</v>
      </c>
      <c r="B3883" t="s">
        <v>328</v>
      </c>
      <c r="C3883" t="s">
        <v>483</v>
      </c>
      <c r="D3883" t="s">
        <v>1394</v>
      </c>
      <c r="E3883" s="17">
        <v>46030</v>
      </c>
      <c r="F3883" s="17">
        <v>46030</v>
      </c>
      <c r="G3883" s="13">
        <v>69.98</v>
      </c>
      <c r="H3883" s="14">
        <v>0</v>
      </c>
      <c r="I3883" s="14">
        <v>0</v>
      </c>
      <c r="J3883" s="14">
        <v>0</v>
      </c>
      <c r="K3883" s="14">
        <v>69.98</v>
      </c>
      <c r="L3883" t="s">
        <v>794</v>
      </c>
      <c r="M3883" s="23">
        <f t="shared" si="60"/>
        <v>2026</v>
      </c>
    </row>
    <row r="3884" spans="1:13" ht="12.75" hidden="1" customHeight="1">
      <c r="A3884" t="s">
        <v>1339</v>
      </c>
      <c r="B3884" t="s">
        <v>66</v>
      </c>
      <c r="C3884" t="s">
        <v>200</v>
      </c>
      <c r="D3884" t="s">
        <v>1394</v>
      </c>
      <c r="E3884" s="17">
        <v>46032</v>
      </c>
      <c r="F3884" s="17">
        <v>46031</v>
      </c>
      <c r="G3884" s="13">
        <v>1720</v>
      </c>
      <c r="H3884" s="14">
        <v>0</v>
      </c>
      <c r="I3884" s="14">
        <v>0</v>
      </c>
      <c r="J3884" s="14">
        <v>0</v>
      </c>
      <c r="K3884" s="14">
        <v>1720</v>
      </c>
      <c r="L3884" t="s">
        <v>794</v>
      </c>
      <c r="M3884" s="23">
        <f t="shared" ref="M3884:M3947" si="61">YEAR(F3884)</f>
        <v>2026</v>
      </c>
    </row>
    <row r="3885" spans="1:13" ht="12.75" hidden="1" customHeight="1">
      <c r="A3885" t="s">
        <v>878</v>
      </c>
      <c r="B3885" t="s">
        <v>32</v>
      </c>
      <c r="C3885" t="s">
        <v>721</v>
      </c>
      <c r="D3885" t="s">
        <v>1394</v>
      </c>
      <c r="E3885" s="17">
        <v>46031</v>
      </c>
      <c r="F3885" s="17">
        <v>46031</v>
      </c>
      <c r="G3885" s="13">
        <v>760</v>
      </c>
      <c r="H3885" s="14">
        <v>0</v>
      </c>
      <c r="I3885" s="14">
        <v>0</v>
      </c>
      <c r="J3885" s="14">
        <v>0</v>
      </c>
      <c r="K3885" s="14">
        <v>760</v>
      </c>
      <c r="L3885" t="s">
        <v>794</v>
      </c>
      <c r="M3885" s="23">
        <f t="shared" si="61"/>
        <v>2026</v>
      </c>
    </row>
    <row r="3886" spans="1:13" ht="12.75" hidden="1" customHeight="1">
      <c r="A3886" t="s">
        <v>801</v>
      </c>
      <c r="B3886" t="s">
        <v>13</v>
      </c>
      <c r="C3886" t="s">
        <v>726</v>
      </c>
      <c r="D3886" t="s">
        <v>1394</v>
      </c>
      <c r="E3886" s="17">
        <v>46031</v>
      </c>
      <c r="F3886" s="17">
        <v>46031</v>
      </c>
      <c r="G3886" s="13">
        <v>2.04</v>
      </c>
      <c r="H3886" s="14">
        <v>0</v>
      </c>
      <c r="I3886" s="14">
        <v>0</v>
      </c>
      <c r="J3886" s="14">
        <v>0</v>
      </c>
      <c r="K3886" s="14">
        <v>2.04</v>
      </c>
      <c r="L3886" t="s">
        <v>794</v>
      </c>
      <c r="M3886" s="23">
        <f t="shared" si="61"/>
        <v>2026</v>
      </c>
    </row>
    <row r="3887" spans="1:13" ht="12.75" hidden="1" customHeight="1">
      <c r="A3887" t="s">
        <v>1390</v>
      </c>
      <c r="B3887" t="s">
        <v>385</v>
      </c>
      <c r="C3887" t="s">
        <v>387</v>
      </c>
      <c r="D3887" t="s">
        <v>1394</v>
      </c>
      <c r="E3887" s="17">
        <v>46032</v>
      </c>
      <c r="F3887" s="17">
        <v>46031</v>
      </c>
      <c r="G3887" s="13">
        <v>475.32</v>
      </c>
      <c r="H3887" s="14">
        <v>0</v>
      </c>
      <c r="I3887" s="14">
        <v>0</v>
      </c>
      <c r="J3887" s="14">
        <v>0</v>
      </c>
      <c r="K3887" s="14">
        <v>475.32</v>
      </c>
      <c r="L3887" t="s">
        <v>794</v>
      </c>
      <c r="M3887" s="23">
        <f t="shared" si="61"/>
        <v>2026</v>
      </c>
    </row>
    <row r="3888" spans="1:13" ht="12.75" hidden="1" customHeight="1">
      <c r="A3888" t="s">
        <v>844</v>
      </c>
      <c r="B3888" t="s">
        <v>43</v>
      </c>
      <c r="C3888" t="s">
        <v>719</v>
      </c>
      <c r="D3888" t="s">
        <v>1394</v>
      </c>
      <c r="E3888" s="17">
        <v>46032</v>
      </c>
      <c r="F3888" s="17">
        <v>46031</v>
      </c>
      <c r="G3888" s="13">
        <v>983.63</v>
      </c>
      <c r="H3888" s="14">
        <v>0</v>
      </c>
      <c r="I3888" s="14">
        <v>0</v>
      </c>
      <c r="J3888" s="14">
        <v>0</v>
      </c>
      <c r="K3888" s="14">
        <v>983.63</v>
      </c>
      <c r="L3888" t="s">
        <v>794</v>
      </c>
      <c r="M3888" s="23">
        <f t="shared" si="61"/>
        <v>2026</v>
      </c>
    </row>
    <row r="3889" spans="1:13" ht="12.75" hidden="1" customHeight="1">
      <c r="A3889" t="s">
        <v>1406</v>
      </c>
      <c r="B3889" t="s">
        <v>146</v>
      </c>
      <c r="C3889" t="s">
        <v>719</v>
      </c>
      <c r="D3889" t="s">
        <v>1394</v>
      </c>
      <c r="E3889" s="17">
        <v>46032</v>
      </c>
      <c r="F3889" s="17">
        <v>46031</v>
      </c>
      <c r="G3889" s="13">
        <v>7692.56</v>
      </c>
      <c r="H3889" s="14">
        <v>0</v>
      </c>
      <c r="I3889" s="14">
        <v>0</v>
      </c>
      <c r="J3889" s="14">
        <v>0</v>
      </c>
      <c r="K3889" s="14">
        <v>7692.56</v>
      </c>
      <c r="L3889" t="s">
        <v>794</v>
      </c>
      <c r="M3889" s="23">
        <f t="shared" si="61"/>
        <v>2026</v>
      </c>
    </row>
    <row r="3890" spans="1:13" ht="12.75" hidden="1" customHeight="1">
      <c r="A3890" t="s">
        <v>847</v>
      </c>
      <c r="B3890" t="s">
        <v>169</v>
      </c>
      <c r="C3890" t="s">
        <v>722</v>
      </c>
      <c r="D3890" t="s">
        <v>1394</v>
      </c>
      <c r="E3890" s="17">
        <v>46032</v>
      </c>
      <c r="F3890" s="17">
        <v>46031</v>
      </c>
      <c r="G3890" s="13">
        <v>276.26</v>
      </c>
      <c r="H3890" s="14">
        <v>0</v>
      </c>
      <c r="I3890" s="14">
        <v>0</v>
      </c>
      <c r="J3890" s="14">
        <v>0</v>
      </c>
      <c r="K3890" s="14">
        <v>276.26</v>
      </c>
      <c r="L3890" t="s">
        <v>794</v>
      </c>
      <c r="M3890" s="23">
        <f t="shared" si="61"/>
        <v>2026</v>
      </c>
    </row>
    <row r="3891" spans="1:13" ht="12.75" hidden="1" customHeight="1">
      <c r="A3891" t="s">
        <v>1248</v>
      </c>
      <c r="B3891" t="s">
        <v>111</v>
      </c>
      <c r="C3891" t="s">
        <v>183</v>
      </c>
      <c r="D3891" t="s">
        <v>1394</v>
      </c>
      <c r="E3891" s="17">
        <v>46032</v>
      </c>
      <c r="F3891" s="17">
        <v>46031</v>
      </c>
      <c r="G3891" s="13">
        <v>997.5</v>
      </c>
      <c r="H3891" s="14">
        <v>0</v>
      </c>
      <c r="I3891" s="14">
        <v>0</v>
      </c>
      <c r="J3891" s="14">
        <v>0</v>
      </c>
      <c r="K3891" s="14">
        <v>997.5</v>
      </c>
      <c r="L3891" t="s">
        <v>794</v>
      </c>
      <c r="M3891" s="23">
        <f t="shared" si="61"/>
        <v>2026</v>
      </c>
    </row>
    <row r="3892" spans="1:13" ht="12.75" hidden="1" customHeight="1">
      <c r="A3892" t="s">
        <v>848</v>
      </c>
      <c r="B3892" t="s">
        <v>14</v>
      </c>
      <c r="C3892" t="s">
        <v>714</v>
      </c>
      <c r="D3892" t="s">
        <v>1394</v>
      </c>
      <c r="E3892" s="17">
        <v>46032</v>
      </c>
      <c r="F3892" s="17">
        <v>46031</v>
      </c>
      <c r="G3892" s="13">
        <v>27343.18</v>
      </c>
      <c r="H3892" s="14">
        <v>0</v>
      </c>
      <c r="I3892" s="14">
        <v>0</v>
      </c>
      <c r="J3892" s="14">
        <v>0</v>
      </c>
      <c r="K3892" s="14">
        <v>27343.18</v>
      </c>
      <c r="L3892" t="s">
        <v>794</v>
      </c>
      <c r="M3892" s="23">
        <f t="shared" si="61"/>
        <v>2026</v>
      </c>
    </row>
    <row r="3893" spans="1:13" ht="12.75" hidden="1" customHeight="1">
      <c r="A3893" t="s">
        <v>995</v>
      </c>
      <c r="B3893" t="s">
        <v>122</v>
      </c>
      <c r="C3893" t="s">
        <v>735</v>
      </c>
      <c r="D3893" t="s">
        <v>1394</v>
      </c>
      <c r="E3893" s="17">
        <v>46032</v>
      </c>
      <c r="F3893" s="17">
        <v>46031</v>
      </c>
      <c r="G3893" s="13">
        <v>605</v>
      </c>
      <c r="H3893" s="14">
        <v>0</v>
      </c>
      <c r="I3893" s="14">
        <v>0</v>
      </c>
      <c r="J3893" s="14">
        <v>0</v>
      </c>
      <c r="K3893" s="14">
        <v>605</v>
      </c>
      <c r="L3893" t="s">
        <v>794</v>
      </c>
      <c r="M3893" s="23">
        <f t="shared" si="61"/>
        <v>2026</v>
      </c>
    </row>
    <row r="3894" spans="1:13" ht="12.75" hidden="1" customHeight="1">
      <c r="A3894" t="s">
        <v>1134</v>
      </c>
      <c r="B3894" t="s">
        <v>33</v>
      </c>
      <c r="C3894" t="s">
        <v>200</v>
      </c>
      <c r="D3894" t="s">
        <v>1394</v>
      </c>
      <c r="E3894" s="17">
        <v>46032</v>
      </c>
      <c r="F3894" s="17">
        <v>46031</v>
      </c>
      <c r="G3894" s="13">
        <v>800</v>
      </c>
      <c r="H3894" s="14">
        <v>0</v>
      </c>
      <c r="I3894" s="14">
        <v>0</v>
      </c>
      <c r="J3894" s="14">
        <v>0</v>
      </c>
      <c r="K3894" s="14">
        <v>800</v>
      </c>
      <c r="L3894" t="s">
        <v>794</v>
      </c>
      <c r="M3894" s="23">
        <f t="shared" si="61"/>
        <v>2026</v>
      </c>
    </row>
    <row r="3895" spans="1:13" ht="12.75" hidden="1" customHeight="1">
      <c r="A3895" t="s">
        <v>881</v>
      </c>
      <c r="B3895" t="s">
        <v>48</v>
      </c>
      <c r="C3895" t="s">
        <v>200</v>
      </c>
      <c r="D3895" t="s">
        <v>1394</v>
      </c>
      <c r="E3895" s="17">
        <v>46032</v>
      </c>
      <c r="F3895" s="17">
        <v>46031</v>
      </c>
      <c r="G3895" s="13">
        <v>2160</v>
      </c>
      <c r="H3895" s="14">
        <v>0</v>
      </c>
      <c r="I3895" s="14">
        <v>0</v>
      </c>
      <c r="J3895" s="14">
        <v>0</v>
      </c>
      <c r="K3895" s="14">
        <v>2160</v>
      </c>
      <c r="L3895" t="s">
        <v>794</v>
      </c>
      <c r="M3895" s="23">
        <f t="shared" si="61"/>
        <v>2026</v>
      </c>
    </row>
    <row r="3896" spans="1:13" ht="12.75" hidden="1" customHeight="1">
      <c r="A3896" t="s">
        <v>1355</v>
      </c>
      <c r="B3896" t="s">
        <v>161</v>
      </c>
      <c r="C3896" t="s">
        <v>200</v>
      </c>
      <c r="D3896" t="s">
        <v>1394</v>
      </c>
      <c r="E3896" s="17">
        <v>46032</v>
      </c>
      <c r="F3896" s="17">
        <v>46031</v>
      </c>
      <c r="G3896" s="13">
        <v>800</v>
      </c>
      <c r="H3896" s="14">
        <v>0</v>
      </c>
      <c r="I3896" s="14">
        <v>0</v>
      </c>
      <c r="J3896" s="14">
        <v>0</v>
      </c>
      <c r="K3896" s="14">
        <v>800</v>
      </c>
      <c r="L3896" t="s">
        <v>794</v>
      </c>
      <c r="M3896" s="23">
        <f t="shared" si="61"/>
        <v>2026</v>
      </c>
    </row>
    <row r="3897" spans="1:13" ht="12.75" hidden="1" customHeight="1">
      <c r="A3897" t="s">
        <v>1170</v>
      </c>
      <c r="B3897" t="s">
        <v>117</v>
      </c>
      <c r="C3897" t="s">
        <v>200</v>
      </c>
      <c r="D3897" t="s">
        <v>1394</v>
      </c>
      <c r="E3897" s="17">
        <v>46032</v>
      </c>
      <c r="F3897" s="17">
        <v>46031</v>
      </c>
      <c r="G3897" s="13">
        <v>560</v>
      </c>
      <c r="H3897" s="14">
        <v>0</v>
      </c>
      <c r="I3897" s="14">
        <v>0</v>
      </c>
      <c r="J3897" s="14">
        <v>0</v>
      </c>
      <c r="K3897" s="14">
        <v>560</v>
      </c>
      <c r="L3897" t="s">
        <v>794</v>
      </c>
      <c r="M3897" s="23">
        <f t="shared" si="61"/>
        <v>2026</v>
      </c>
    </row>
    <row r="3898" spans="1:13" ht="12.75" hidden="1" customHeight="1">
      <c r="A3898" t="s">
        <v>878</v>
      </c>
      <c r="B3898" t="s">
        <v>32</v>
      </c>
      <c r="C3898" t="s">
        <v>200</v>
      </c>
      <c r="D3898" t="s">
        <v>1394</v>
      </c>
      <c r="E3898" s="17">
        <v>46032</v>
      </c>
      <c r="F3898" s="17">
        <v>46031</v>
      </c>
      <c r="G3898" s="13">
        <v>1520</v>
      </c>
      <c r="H3898" s="14">
        <v>0</v>
      </c>
      <c r="I3898" s="14">
        <v>0</v>
      </c>
      <c r="J3898" s="14">
        <v>0</v>
      </c>
      <c r="K3898" s="14">
        <v>1520</v>
      </c>
      <c r="L3898" t="s">
        <v>794</v>
      </c>
      <c r="M3898" s="23">
        <f t="shared" si="61"/>
        <v>2026</v>
      </c>
    </row>
    <row r="3899" spans="1:13" ht="12.75" hidden="1" customHeight="1">
      <c r="A3899" t="s">
        <v>1158</v>
      </c>
      <c r="B3899" t="s">
        <v>60</v>
      </c>
      <c r="C3899" t="s">
        <v>200</v>
      </c>
      <c r="D3899" t="s">
        <v>1394</v>
      </c>
      <c r="E3899" s="17">
        <v>46032</v>
      </c>
      <c r="F3899" s="17">
        <v>46031</v>
      </c>
      <c r="G3899" s="13">
        <v>1440</v>
      </c>
      <c r="H3899" s="14">
        <v>0</v>
      </c>
      <c r="I3899" s="14">
        <v>0</v>
      </c>
      <c r="J3899" s="14">
        <v>0</v>
      </c>
      <c r="K3899" s="14">
        <v>1440</v>
      </c>
      <c r="L3899" t="s">
        <v>794</v>
      </c>
      <c r="M3899" s="23">
        <f t="shared" si="61"/>
        <v>2026</v>
      </c>
    </row>
    <row r="3900" spans="1:13" ht="12.75" hidden="1" customHeight="1">
      <c r="A3900" t="s">
        <v>961</v>
      </c>
      <c r="B3900" t="s">
        <v>41</v>
      </c>
      <c r="C3900" t="s">
        <v>200</v>
      </c>
      <c r="D3900" t="s">
        <v>1394</v>
      </c>
      <c r="E3900" s="17">
        <v>46032</v>
      </c>
      <c r="F3900" s="17">
        <v>46031</v>
      </c>
      <c r="G3900" s="13">
        <v>960</v>
      </c>
      <c r="H3900" s="14">
        <v>0</v>
      </c>
      <c r="I3900" s="14">
        <v>0</v>
      </c>
      <c r="J3900" s="14">
        <v>0</v>
      </c>
      <c r="K3900" s="14">
        <v>960</v>
      </c>
      <c r="L3900" t="s">
        <v>794</v>
      </c>
      <c r="M3900" s="23">
        <f t="shared" si="61"/>
        <v>2026</v>
      </c>
    </row>
    <row r="3901" spans="1:13" ht="12.75" hidden="1" customHeight="1">
      <c r="A3901" t="s">
        <v>1330</v>
      </c>
      <c r="B3901" t="s">
        <v>175</v>
      </c>
      <c r="C3901" t="s">
        <v>200</v>
      </c>
      <c r="D3901" t="s">
        <v>1394</v>
      </c>
      <c r="E3901" s="17">
        <v>46032</v>
      </c>
      <c r="F3901" s="17">
        <v>46031</v>
      </c>
      <c r="G3901" s="13">
        <v>640</v>
      </c>
      <c r="H3901" s="14">
        <v>0</v>
      </c>
      <c r="I3901" s="14">
        <v>0</v>
      </c>
      <c r="J3901" s="14">
        <v>0</v>
      </c>
      <c r="K3901" s="14">
        <v>640</v>
      </c>
      <c r="L3901" t="s">
        <v>794</v>
      </c>
      <c r="M3901" s="23">
        <f t="shared" si="61"/>
        <v>2026</v>
      </c>
    </row>
    <row r="3902" spans="1:13" ht="12.75" hidden="1" customHeight="1">
      <c r="A3902" t="s">
        <v>882</v>
      </c>
      <c r="B3902" t="s">
        <v>34</v>
      </c>
      <c r="C3902" t="s">
        <v>200</v>
      </c>
      <c r="D3902" t="s">
        <v>1394</v>
      </c>
      <c r="E3902" s="17">
        <v>46032</v>
      </c>
      <c r="F3902" s="17">
        <v>46031</v>
      </c>
      <c r="G3902" s="13">
        <v>2080</v>
      </c>
      <c r="H3902" s="14">
        <v>0</v>
      </c>
      <c r="I3902" s="14">
        <v>0</v>
      </c>
      <c r="J3902" s="14">
        <v>0</v>
      </c>
      <c r="K3902" s="14">
        <v>2080</v>
      </c>
      <c r="L3902" t="s">
        <v>794</v>
      </c>
      <c r="M3902" s="23">
        <f t="shared" si="61"/>
        <v>2026</v>
      </c>
    </row>
    <row r="3903" spans="1:13" ht="12.75" hidden="1" customHeight="1">
      <c r="A3903" t="s">
        <v>1356</v>
      </c>
      <c r="B3903" t="s">
        <v>20</v>
      </c>
      <c r="C3903" t="s">
        <v>200</v>
      </c>
      <c r="D3903" t="s">
        <v>1394</v>
      </c>
      <c r="E3903" s="17">
        <v>46032</v>
      </c>
      <c r="F3903" s="17">
        <v>46031</v>
      </c>
      <c r="G3903" s="13">
        <v>560</v>
      </c>
      <c r="H3903" s="14">
        <v>0</v>
      </c>
      <c r="I3903" s="14">
        <v>0</v>
      </c>
      <c r="J3903" s="14">
        <v>0</v>
      </c>
      <c r="K3903" s="14">
        <v>560</v>
      </c>
      <c r="L3903" t="s">
        <v>794</v>
      </c>
      <c r="M3903" s="23">
        <f t="shared" si="61"/>
        <v>2026</v>
      </c>
    </row>
    <row r="3904" spans="1:13" ht="12.75" hidden="1" customHeight="1">
      <c r="A3904" t="s">
        <v>1173</v>
      </c>
      <c r="B3904" t="s">
        <v>45</v>
      </c>
      <c r="C3904" t="s">
        <v>200</v>
      </c>
      <c r="D3904" t="s">
        <v>1394</v>
      </c>
      <c r="E3904" s="17">
        <v>46032</v>
      </c>
      <c r="F3904" s="17">
        <v>46031</v>
      </c>
      <c r="G3904" s="13">
        <v>300</v>
      </c>
      <c r="H3904" s="14">
        <v>0</v>
      </c>
      <c r="I3904" s="14">
        <v>0</v>
      </c>
      <c r="J3904" s="14">
        <v>0</v>
      </c>
      <c r="K3904" s="14">
        <v>300</v>
      </c>
      <c r="L3904" t="s">
        <v>794</v>
      </c>
      <c r="M3904" s="23">
        <f t="shared" si="61"/>
        <v>2026</v>
      </c>
    </row>
    <row r="3905" spans="1:13" ht="12.75" hidden="1" customHeight="1">
      <c r="A3905" t="s">
        <v>864</v>
      </c>
      <c r="B3905" t="s">
        <v>36</v>
      </c>
      <c r="C3905" t="s">
        <v>200</v>
      </c>
      <c r="D3905" t="s">
        <v>1394</v>
      </c>
      <c r="E3905" s="17">
        <v>46032</v>
      </c>
      <c r="F3905" s="17">
        <v>46031</v>
      </c>
      <c r="G3905" s="13">
        <v>720</v>
      </c>
      <c r="H3905" s="14">
        <v>0</v>
      </c>
      <c r="I3905" s="14">
        <v>0</v>
      </c>
      <c r="J3905" s="14">
        <v>0</v>
      </c>
      <c r="K3905" s="14">
        <v>720</v>
      </c>
      <c r="L3905" t="s">
        <v>794</v>
      </c>
      <c r="M3905" s="23">
        <f t="shared" si="61"/>
        <v>2026</v>
      </c>
    </row>
    <row r="3906" spans="1:13" ht="12.75" hidden="1" customHeight="1">
      <c r="A3906" t="s">
        <v>1384</v>
      </c>
      <c r="B3906" t="s">
        <v>159</v>
      </c>
      <c r="C3906" t="s">
        <v>200</v>
      </c>
      <c r="D3906" t="s">
        <v>1394</v>
      </c>
      <c r="E3906" s="17">
        <v>46032</v>
      </c>
      <c r="F3906" s="17">
        <v>46031</v>
      </c>
      <c r="G3906" s="13">
        <v>640</v>
      </c>
      <c r="H3906" s="14">
        <v>0</v>
      </c>
      <c r="I3906" s="14">
        <v>0</v>
      </c>
      <c r="J3906" s="14">
        <v>0</v>
      </c>
      <c r="K3906" s="14">
        <v>640</v>
      </c>
      <c r="L3906" t="s">
        <v>794</v>
      </c>
      <c r="M3906" s="23">
        <f t="shared" si="61"/>
        <v>2026</v>
      </c>
    </row>
    <row r="3907" spans="1:13" ht="12.75" hidden="1" customHeight="1">
      <c r="A3907" t="s">
        <v>1045</v>
      </c>
      <c r="B3907" t="s">
        <v>71</v>
      </c>
      <c r="C3907" t="s">
        <v>201</v>
      </c>
      <c r="D3907" t="s">
        <v>1394</v>
      </c>
      <c r="E3907" s="17">
        <v>46032</v>
      </c>
      <c r="F3907" s="17">
        <v>46031</v>
      </c>
      <c r="G3907" s="13">
        <v>480</v>
      </c>
      <c r="H3907" s="14">
        <v>0</v>
      </c>
      <c r="I3907" s="14">
        <v>0</v>
      </c>
      <c r="J3907" s="14">
        <v>0</v>
      </c>
      <c r="K3907" s="14">
        <v>480</v>
      </c>
      <c r="L3907" t="s">
        <v>794</v>
      </c>
      <c r="M3907" s="23">
        <f t="shared" si="61"/>
        <v>2026</v>
      </c>
    </row>
    <row r="3908" spans="1:13" ht="12.75" hidden="1" customHeight="1">
      <c r="A3908" t="s">
        <v>882</v>
      </c>
      <c r="B3908" t="s">
        <v>34</v>
      </c>
      <c r="C3908" t="s">
        <v>201</v>
      </c>
      <c r="D3908" t="s">
        <v>1394</v>
      </c>
      <c r="E3908" s="17">
        <v>46032</v>
      </c>
      <c r="F3908" s="17">
        <v>46031</v>
      </c>
      <c r="G3908" s="13">
        <v>180</v>
      </c>
      <c r="H3908" s="14">
        <v>0</v>
      </c>
      <c r="I3908" s="14">
        <v>0</v>
      </c>
      <c r="J3908" s="14">
        <v>0</v>
      </c>
      <c r="K3908" s="14">
        <v>180</v>
      </c>
      <c r="L3908" t="s">
        <v>794</v>
      </c>
      <c r="M3908" s="23">
        <f t="shared" si="61"/>
        <v>2026</v>
      </c>
    </row>
    <row r="3909" spans="1:13" ht="12.75" hidden="1" customHeight="1">
      <c r="A3909" t="s">
        <v>1383</v>
      </c>
      <c r="B3909" t="s">
        <v>223</v>
      </c>
      <c r="C3909" t="s">
        <v>200</v>
      </c>
      <c r="D3909" t="s">
        <v>1394</v>
      </c>
      <c r="E3909" s="17">
        <v>46032</v>
      </c>
      <c r="F3909" s="17">
        <v>46031</v>
      </c>
      <c r="G3909" s="13">
        <v>480</v>
      </c>
      <c r="H3909" s="14">
        <v>0</v>
      </c>
      <c r="I3909" s="14">
        <v>0</v>
      </c>
      <c r="J3909" s="14">
        <v>0</v>
      </c>
      <c r="K3909" s="14">
        <v>480</v>
      </c>
      <c r="L3909" t="s">
        <v>794</v>
      </c>
      <c r="M3909" s="23">
        <f t="shared" si="61"/>
        <v>2026</v>
      </c>
    </row>
    <row r="3910" spans="1:13" ht="12.75" hidden="1" customHeight="1">
      <c r="A3910" t="s">
        <v>1374</v>
      </c>
      <c r="B3910" t="s">
        <v>237</v>
      </c>
      <c r="C3910" t="s">
        <v>200</v>
      </c>
      <c r="D3910" t="s">
        <v>1394</v>
      </c>
      <c r="E3910" s="17">
        <v>46032</v>
      </c>
      <c r="F3910" s="17">
        <v>46031</v>
      </c>
      <c r="G3910" s="13">
        <v>400</v>
      </c>
      <c r="H3910" s="14">
        <v>0</v>
      </c>
      <c r="I3910" s="14">
        <v>0</v>
      </c>
      <c r="J3910" s="14">
        <v>0</v>
      </c>
      <c r="K3910" s="14">
        <v>400</v>
      </c>
      <c r="L3910" t="s">
        <v>794</v>
      </c>
      <c r="M3910" s="23">
        <f t="shared" si="61"/>
        <v>2026</v>
      </c>
    </row>
    <row r="3911" spans="1:13" ht="12.75" hidden="1" customHeight="1">
      <c r="A3911" t="s">
        <v>1354</v>
      </c>
      <c r="B3911" t="s">
        <v>113</v>
      </c>
      <c r="C3911" t="s">
        <v>200</v>
      </c>
      <c r="D3911" t="s">
        <v>1394</v>
      </c>
      <c r="E3911" s="17">
        <v>46032</v>
      </c>
      <c r="F3911" s="17">
        <v>46031</v>
      </c>
      <c r="G3911" s="13">
        <v>640</v>
      </c>
      <c r="H3911" s="14">
        <v>0</v>
      </c>
      <c r="I3911" s="14">
        <v>0</v>
      </c>
      <c r="J3911" s="14">
        <v>0</v>
      </c>
      <c r="K3911" s="14">
        <v>640</v>
      </c>
      <c r="L3911" t="s">
        <v>794</v>
      </c>
      <c r="M3911" s="23">
        <f t="shared" si="61"/>
        <v>2026</v>
      </c>
    </row>
    <row r="3912" spans="1:13" ht="12.75" hidden="1" customHeight="1">
      <c r="A3912" t="s">
        <v>1407</v>
      </c>
      <c r="B3912" t="s">
        <v>226</v>
      </c>
      <c r="C3912" t="s">
        <v>200</v>
      </c>
      <c r="D3912" t="s">
        <v>1394</v>
      </c>
      <c r="E3912" s="17">
        <v>46032</v>
      </c>
      <c r="F3912" s="17">
        <v>46031</v>
      </c>
      <c r="G3912" s="13">
        <v>320</v>
      </c>
      <c r="H3912" s="14">
        <v>0</v>
      </c>
      <c r="I3912" s="14">
        <v>0</v>
      </c>
      <c r="J3912" s="14">
        <v>0</v>
      </c>
      <c r="K3912" s="14">
        <v>320</v>
      </c>
      <c r="L3912" t="s">
        <v>794</v>
      </c>
      <c r="M3912" s="23">
        <f t="shared" si="61"/>
        <v>2026</v>
      </c>
    </row>
    <row r="3913" spans="1:13" ht="12.75" hidden="1" customHeight="1">
      <c r="A3913" t="s">
        <v>1408</v>
      </c>
      <c r="B3913" t="s">
        <v>197</v>
      </c>
      <c r="C3913" t="s">
        <v>200</v>
      </c>
      <c r="D3913" t="s">
        <v>1394</v>
      </c>
      <c r="E3913" s="17">
        <v>46032</v>
      </c>
      <c r="F3913" s="17">
        <v>46031</v>
      </c>
      <c r="G3913" s="13">
        <v>240</v>
      </c>
      <c r="H3913" s="14">
        <v>0</v>
      </c>
      <c r="I3913" s="14">
        <v>0</v>
      </c>
      <c r="J3913" s="14">
        <v>0</v>
      </c>
      <c r="K3913" s="14">
        <v>240</v>
      </c>
      <c r="L3913" t="s">
        <v>794</v>
      </c>
      <c r="M3913" s="23">
        <f t="shared" si="61"/>
        <v>2026</v>
      </c>
    </row>
    <row r="3914" spans="1:13" ht="12.75" hidden="1" customHeight="1">
      <c r="A3914" t="s">
        <v>864</v>
      </c>
      <c r="B3914" t="s">
        <v>36</v>
      </c>
      <c r="C3914" t="s">
        <v>201</v>
      </c>
      <c r="D3914" t="s">
        <v>1394</v>
      </c>
      <c r="E3914" s="17">
        <v>46032</v>
      </c>
      <c r="F3914" s="17">
        <v>46031</v>
      </c>
      <c r="G3914" s="13">
        <v>1760</v>
      </c>
      <c r="H3914" s="14">
        <v>0</v>
      </c>
      <c r="I3914" s="14">
        <v>0</v>
      </c>
      <c r="J3914" s="14">
        <v>0</v>
      </c>
      <c r="K3914" s="14">
        <v>1760</v>
      </c>
      <c r="L3914" t="s">
        <v>794</v>
      </c>
      <c r="M3914" s="23">
        <f t="shared" si="61"/>
        <v>2026</v>
      </c>
    </row>
    <row r="3915" spans="1:13" ht="12.75" hidden="1" customHeight="1">
      <c r="A3915" t="s">
        <v>822</v>
      </c>
      <c r="B3915" t="s">
        <v>101</v>
      </c>
      <c r="C3915" t="s">
        <v>201</v>
      </c>
      <c r="D3915" t="s">
        <v>1394</v>
      </c>
      <c r="E3915" s="17">
        <v>46032</v>
      </c>
      <c r="F3915" s="17">
        <v>46031</v>
      </c>
      <c r="G3915" s="13">
        <v>600</v>
      </c>
      <c r="H3915" s="14">
        <v>0</v>
      </c>
      <c r="I3915" s="14">
        <v>0</v>
      </c>
      <c r="J3915" s="14">
        <v>0</v>
      </c>
      <c r="K3915" s="14">
        <v>600</v>
      </c>
      <c r="L3915" t="s">
        <v>794</v>
      </c>
      <c r="M3915" s="23">
        <f t="shared" si="61"/>
        <v>2026</v>
      </c>
    </row>
    <row r="3916" spans="1:13" ht="12.75" hidden="1" customHeight="1">
      <c r="A3916" t="s">
        <v>1199</v>
      </c>
      <c r="B3916" t="s">
        <v>107</v>
      </c>
      <c r="C3916" t="s">
        <v>201</v>
      </c>
      <c r="D3916" t="s">
        <v>1394</v>
      </c>
      <c r="E3916" s="17">
        <v>46032</v>
      </c>
      <c r="F3916" s="17">
        <v>46031</v>
      </c>
      <c r="G3916" s="13">
        <v>1980</v>
      </c>
      <c r="H3916" s="14">
        <v>0</v>
      </c>
      <c r="I3916" s="14">
        <v>0</v>
      </c>
      <c r="J3916" s="14">
        <v>0</v>
      </c>
      <c r="K3916" s="14">
        <v>1980</v>
      </c>
      <c r="L3916" t="s">
        <v>794</v>
      </c>
      <c r="M3916" s="23">
        <f t="shared" si="61"/>
        <v>2026</v>
      </c>
    </row>
    <row r="3917" spans="1:13" ht="12.75" hidden="1" customHeight="1">
      <c r="A3917" t="s">
        <v>1287</v>
      </c>
      <c r="B3917" t="s">
        <v>83</v>
      </c>
      <c r="C3917" t="s">
        <v>201</v>
      </c>
      <c r="D3917" t="s">
        <v>1394</v>
      </c>
      <c r="E3917" s="17">
        <v>46032</v>
      </c>
      <c r="F3917" s="17">
        <v>46031</v>
      </c>
      <c r="G3917" s="13">
        <v>1120</v>
      </c>
      <c r="H3917" s="14">
        <v>0</v>
      </c>
      <c r="I3917" s="14">
        <v>0</v>
      </c>
      <c r="J3917" s="14">
        <v>0</v>
      </c>
      <c r="K3917" s="14">
        <v>1120</v>
      </c>
      <c r="L3917" t="s">
        <v>794</v>
      </c>
      <c r="M3917" s="23">
        <f t="shared" si="61"/>
        <v>2026</v>
      </c>
    </row>
    <row r="3918" spans="1:13" ht="12.75" hidden="1" customHeight="1">
      <c r="A3918" t="s">
        <v>1354</v>
      </c>
      <c r="B3918" t="s">
        <v>113</v>
      </c>
      <c r="C3918" t="s">
        <v>201</v>
      </c>
      <c r="D3918" t="s">
        <v>1394</v>
      </c>
      <c r="E3918" s="17">
        <v>46032</v>
      </c>
      <c r="F3918" s="17">
        <v>46031</v>
      </c>
      <c r="G3918" s="13">
        <v>80</v>
      </c>
      <c r="H3918" s="14">
        <v>0</v>
      </c>
      <c r="I3918" s="14">
        <v>0</v>
      </c>
      <c r="J3918" s="14">
        <v>0</v>
      </c>
      <c r="K3918" s="14">
        <v>80</v>
      </c>
      <c r="L3918" t="s">
        <v>794</v>
      </c>
      <c r="M3918" s="23">
        <f t="shared" si="61"/>
        <v>2026</v>
      </c>
    </row>
    <row r="3919" spans="1:13" ht="12.75" hidden="1" customHeight="1">
      <c r="A3919" t="s">
        <v>1202</v>
      </c>
      <c r="B3919" t="s">
        <v>70</v>
      </c>
      <c r="C3919" t="s">
        <v>201</v>
      </c>
      <c r="D3919" t="s">
        <v>1394</v>
      </c>
      <c r="E3919" s="17">
        <v>46032</v>
      </c>
      <c r="F3919" s="17">
        <v>46031</v>
      </c>
      <c r="G3919" s="13">
        <v>2040</v>
      </c>
      <c r="H3919" s="14">
        <v>0</v>
      </c>
      <c r="I3919" s="14">
        <v>0</v>
      </c>
      <c r="J3919" s="14">
        <v>0</v>
      </c>
      <c r="K3919" s="14">
        <v>2040</v>
      </c>
      <c r="L3919" t="s">
        <v>794</v>
      </c>
      <c r="M3919" s="23">
        <f t="shared" si="61"/>
        <v>2026</v>
      </c>
    </row>
    <row r="3920" spans="1:13" ht="12.75" hidden="1" customHeight="1">
      <c r="A3920" t="s">
        <v>808</v>
      </c>
      <c r="B3920" t="s">
        <v>154</v>
      </c>
      <c r="C3920" t="s">
        <v>693</v>
      </c>
      <c r="D3920" t="s">
        <v>1394</v>
      </c>
      <c r="E3920" s="17">
        <v>46029</v>
      </c>
      <c r="F3920" s="17">
        <v>46031</v>
      </c>
      <c r="G3920" s="13">
        <v>550</v>
      </c>
      <c r="H3920" s="14">
        <v>0</v>
      </c>
      <c r="I3920" s="14">
        <v>0</v>
      </c>
      <c r="J3920" s="14">
        <v>0</v>
      </c>
      <c r="K3920" s="14">
        <v>550</v>
      </c>
      <c r="L3920" t="s">
        <v>794</v>
      </c>
      <c r="M3920" s="23">
        <f t="shared" si="61"/>
        <v>2026</v>
      </c>
    </row>
    <row r="3921" spans="1:13" ht="12.75" hidden="1" customHeight="1">
      <c r="A3921" t="s">
        <v>792</v>
      </c>
      <c r="B3921" t="s">
        <v>35</v>
      </c>
      <c r="C3921" t="s">
        <v>206</v>
      </c>
      <c r="D3921" t="s">
        <v>1394</v>
      </c>
      <c r="E3921" s="17">
        <v>46024</v>
      </c>
      <c r="F3921" s="17">
        <v>46032</v>
      </c>
      <c r="G3921" s="13">
        <v>792</v>
      </c>
      <c r="H3921" s="14">
        <v>0</v>
      </c>
      <c r="I3921" s="14">
        <v>0</v>
      </c>
      <c r="J3921" s="14">
        <v>0</v>
      </c>
      <c r="K3921" s="14">
        <v>792</v>
      </c>
      <c r="L3921" t="s">
        <v>794</v>
      </c>
      <c r="M3921" s="23">
        <f t="shared" si="61"/>
        <v>2026</v>
      </c>
    </row>
    <row r="3922" spans="1:13" ht="12.75" hidden="1" customHeight="1">
      <c r="A3922" t="s">
        <v>1104</v>
      </c>
      <c r="B3922" t="s">
        <v>53</v>
      </c>
      <c r="C3922" t="s">
        <v>99</v>
      </c>
      <c r="D3922" t="s">
        <v>1394</v>
      </c>
      <c r="E3922" s="17">
        <v>46027</v>
      </c>
      <c r="F3922" s="17">
        <v>46032</v>
      </c>
      <c r="G3922" s="13">
        <v>350</v>
      </c>
      <c r="H3922" s="14">
        <v>0</v>
      </c>
      <c r="I3922" s="14">
        <v>0</v>
      </c>
      <c r="J3922" s="14">
        <v>0</v>
      </c>
      <c r="K3922" s="14">
        <v>350</v>
      </c>
      <c r="L3922" t="s">
        <v>843</v>
      </c>
      <c r="M3922" s="23">
        <f t="shared" si="61"/>
        <v>2026</v>
      </c>
    </row>
    <row r="3923" spans="1:13" ht="12.75" hidden="1" customHeight="1">
      <c r="A3923" t="s">
        <v>1362</v>
      </c>
      <c r="B3923" t="s">
        <v>479</v>
      </c>
      <c r="C3923" t="s">
        <v>99</v>
      </c>
      <c r="D3923" t="s">
        <v>1394</v>
      </c>
      <c r="E3923" s="17">
        <v>46030</v>
      </c>
      <c r="F3923" s="17">
        <v>46032</v>
      </c>
      <c r="G3923" s="13">
        <v>46.9</v>
      </c>
      <c r="H3923" s="14">
        <v>0</v>
      </c>
      <c r="I3923" s="14">
        <v>0</v>
      </c>
      <c r="J3923" s="14">
        <v>0</v>
      </c>
      <c r="K3923" s="14">
        <v>46.9</v>
      </c>
      <c r="L3923" t="s">
        <v>843</v>
      </c>
      <c r="M3923" s="23">
        <f t="shared" si="61"/>
        <v>2026</v>
      </c>
    </row>
    <row r="3924" spans="1:13" ht="12.75" hidden="1" customHeight="1">
      <c r="A3924" t="s">
        <v>801</v>
      </c>
      <c r="B3924" t="s">
        <v>13</v>
      </c>
      <c r="C3924" t="s">
        <v>717</v>
      </c>
      <c r="D3924" t="s">
        <v>1394</v>
      </c>
      <c r="E3924" s="17">
        <v>46027</v>
      </c>
      <c r="F3924" s="17">
        <v>46032</v>
      </c>
      <c r="G3924" s="13">
        <v>4511.7</v>
      </c>
      <c r="H3924" s="14">
        <v>0</v>
      </c>
      <c r="I3924" s="14">
        <v>0</v>
      </c>
      <c r="J3924" s="14">
        <v>0</v>
      </c>
      <c r="K3924" s="14">
        <v>4511.7</v>
      </c>
      <c r="L3924" t="s">
        <v>794</v>
      </c>
      <c r="M3924" s="23">
        <f t="shared" si="61"/>
        <v>2026</v>
      </c>
    </row>
    <row r="3925" spans="1:13" ht="12.75" hidden="1" customHeight="1">
      <c r="A3925" t="s">
        <v>801</v>
      </c>
      <c r="B3925" t="s">
        <v>13</v>
      </c>
      <c r="C3925" t="s">
        <v>718</v>
      </c>
      <c r="D3925" t="s">
        <v>1394</v>
      </c>
      <c r="E3925" s="17">
        <v>46029</v>
      </c>
      <c r="F3925" s="17">
        <v>46032</v>
      </c>
      <c r="G3925" s="13">
        <v>1834.98</v>
      </c>
      <c r="H3925" s="14">
        <v>0</v>
      </c>
      <c r="I3925" s="14">
        <v>0</v>
      </c>
      <c r="J3925" s="14">
        <v>0</v>
      </c>
      <c r="K3925" s="14">
        <v>1834.98</v>
      </c>
      <c r="L3925" t="s">
        <v>794</v>
      </c>
      <c r="M3925" s="23">
        <f t="shared" si="61"/>
        <v>2026</v>
      </c>
    </row>
    <row r="3926" spans="1:13" ht="12.75" hidden="1" customHeight="1">
      <c r="A3926" t="s">
        <v>811</v>
      </c>
      <c r="B3926" t="s">
        <v>39</v>
      </c>
      <c r="C3926" t="s">
        <v>141</v>
      </c>
      <c r="D3926" t="s">
        <v>1394</v>
      </c>
      <c r="E3926" s="17">
        <v>46031</v>
      </c>
      <c r="F3926" s="17">
        <v>46032</v>
      </c>
      <c r="G3926" s="13">
        <v>200</v>
      </c>
      <c r="H3926" s="14">
        <v>0</v>
      </c>
      <c r="I3926" s="14">
        <v>0</v>
      </c>
      <c r="J3926" s="14">
        <v>0</v>
      </c>
      <c r="K3926" s="14">
        <v>200</v>
      </c>
      <c r="L3926" t="s">
        <v>794</v>
      </c>
      <c r="M3926" s="23">
        <f t="shared" si="61"/>
        <v>2026</v>
      </c>
    </row>
    <row r="3927" spans="1:13" ht="12.75" hidden="1" customHeight="1">
      <c r="A3927" t="s">
        <v>1409</v>
      </c>
      <c r="B3927" t="s">
        <v>86</v>
      </c>
      <c r="C3927" t="s">
        <v>270</v>
      </c>
      <c r="D3927" t="s">
        <v>1394</v>
      </c>
      <c r="E3927" s="17">
        <v>46042</v>
      </c>
      <c r="F3927" s="17">
        <v>46034</v>
      </c>
      <c r="G3927" s="13">
        <v>333</v>
      </c>
      <c r="H3927" s="14">
        <v>0</v>
      </c>
      <c r="I3927" s="14">
        <v>0</v>
      </c>
      <c r="J3927" s="14">
        <v>0</v>
      </c>
      <c r="K3927" s="14">
        <v>333</v>
      </c>
      <c r="L3927" t="s">
        <v>794</v>
      </c>
      <c r="M3927" s="23">
        <f t="shared" si="61"/>
        <v>2026</v>
      </c>
    </row>
    <row r="3928" spans="1:13" ht="12.75" hidden="1" customHeight="1">
      <c r="A3928" t="s">
        <v>1410</v>
      </c>
      <c r="B3928" t="s">
        <v>93</v>
      </c>
      <c r="C3928" t="s">
        <v>719</v>
      </c>
      <c r="D3928" t="s">
        <v>1394</v>
      </c>
      <c r="E3928" s="17">
        <v>46034</v>
      </c>
      <c r="F3928" s="17">
        <v>46034</v>
      </c>
      <c r="G3928" s="13">
        <v>2564.19</v>
      </c>
      <c r="H3928" s="14">
        <v>0</v>
      </c>
      <c r="I3928" s="14">
        <v>0</v>
      </c>
      <c r="J3928" s="14">
        <v>0</v>
      </c>
      <c r="K3928" s="14">
        <v>2564.19</v>
      </c>
      <c r="L3928" t="s">
        <v>794</v>
      </c>
      <c r="M3928" s="23">
        <f t="shared" si="61"/>
        <v>2026</v>
      </c>
    </row>
    <row r="3929" spans="1:13" ht="12.75" hidden="1" customHeight="1">
      <c r="A3929" t="s">
        <v>1221</v>
      </c>
      <c r="B3929" t="s">
        <v>100</v>
      </c>
      <c r="C3929" t="s">
        <v>183</v>
      </c>
      <c r="D3929" t="s">
        <v>1394</v>
      </c>
      <c r="E3929" s="17">
        <v>46034</v>
      </c>
      <c r="F3929" s="17">
        <v>46034</v>
      </c>
      <c r="G3929" s="13">
        <v>1020</v>
      </c>
      <c r="H3929" s="14">
        <v>0</v>
      </c>
      <c r="I3929" s="14">
        <v>0</v>
      </c>
      <c r="J3929" s="14">
        <v>0</v>
      </c>
      <c r="K3929" s="14">
        <v>1020</v>
      </c>
      <c r="L3929" t="s">
        <v>794</v>
      </c>
      <c r="M3929" s="23">
        <f t="shared" si="61"/>
        <v>2026</v>
      </c>
    </row>
    <row r="3930" spans="1:13" ht="12.75" hidden="1" customHeight="1">
      <c r="A3930" t="s">
        <v>1011</v>
      </c>
      <c r="B3930" t="s">
        <v>77</v>
      </c>
      <c r="C3930" t="s">
        <v>201</v>
      </c>
      <c r="D3930" t="s">
        <v>1394</v>
      </c>
      <c r="E3930" s="17">
        <v>46032</v>
      </c>
      <c r="F3930" s="17">
        <v>46034</v>
      </c>
      <c r="G3930" s="13">
        <v>640</v>
      </c>
      <c r="H3930" s="14">
        <v>0</v>
      </c>
      <c r="I3930" s="14">
        <v>0</v>
      </c>
      <c r="J3930" s="14">
        <v>0</v>
      </c>
      <c r="K3930" s="14">
        <v>640</v>
      </c>
      <c r="L3930" t="s">
        <v>794</v>
      </c>
      <c r="M3930" s="23">
        <f t="shared" si="61"/>
        <v>2026</v>
      </c>
    </row>
    <row r="3931" spans="1:13" ht="12.75" hidden="1" customHeight="1">
      <c r="A3931" t="s">
        <v>1243</v>
      </c>
      <c r="B3931" t="s">
        <v>233</v>
      </c>
      <c r="C3931" t="s">
        <v>200</v>
      </c>
      <c r="D3931" t="s">
        <v>1394</v>
      </c>
      <c r="E3931" s="17">
        <v>46032</v>
      </c>
      <c r="F3931" s="17">
        <v>46034</v>
      </c>
      <c r="G3931" s="13">
        <v>240</v>
      </c>
      <c r="H3931" s="14">
        <v>0</v>
      </c>
      <c r="I3931" s="14">
        <v>0</v>
      </c>
      <c r="J3931" s="14">
        <v>0</v>
      </c>
      <c r="K3931" s="14">
        <v>240</v>
      </c>
      <c r="L3931" t="s">
        <v>794</v>
      </c>
      <c r="M3931" s="23">
        <f t="shared" si="61"/>
        <v>2026</v>
      </c>
    </row>
    <row r="3932" spans="1:13" ht="12.75" hidden="1" customHeight="1">
      <c r="A3932" t="s">
        <v>1155</v>
      </c>
      <c r="B3932" t="s">
        <v>88</v>
      </c>
      <c r="C3932" t="s">
        <v>201</v>
      </c>
      <c r="D3932" t="s">
        <v>1394</v>
      </c>
      <c r="E3932" s="17">
        <v>46032</v>
      </c>
      <c r="F3932" s="17">
        <v>46034</v>
      </c>
      <c r="G3932" s="13">
        <v>400</v>
      </c>
      <c r="H3932" s="14">
        <v>0</v>
      </c>
      <c r="I3932" s="14">
        <v>0</v>
      </c>
      <c r="J3932" s="14">
        <v>0</v>
      </c>
      <c r="K3932" s="14">
        <v>400</v>
      </c>
      <c r="L3932" t="s">
        <v>794</v>
      </c>
      <c r="M3932" s="23">
        <f t="shared" si="61"/>
        <v>2026</v>
      </c>
    </row>
    <row r="3933" spans="1:13" ht="12.75" hidden="1" customHeight="1">
      <c r="A3933" t="s">
        <v>1411</v>
      </c>
      <c r="B3933" t="s">
        <v>228</v>
      </c>
      <c r="C3933" t="s">
        <v>200</v>
      </c>
      <c r="D3933" t="s">
        <v>1394</v>
      </c>
      <c r="E3933" s="17">
        <v>46032</v>
      </c>
      <c r="F3933" s="17">
        <v>46034</v>
      </c>
      <c r="G3933" s="13">
        <v>720</v>
      </c>
      <c r="H3933" s="14">
        <v>0</v>
      </c>
      <c r="I3933" s="14">
        <v>0</v>
      </c>
      <c r="J3933" s="14">
        <v>0</v>
      </c>
      <c r="K3933" s="14">
        <v>720</v>
      </c>
      <c r="L3933" t="s">
        <v>794</v>
      </c>
      <c r="M3933" s="23">
        <f t="shared" si="61"/>
        <v>2026</v>
      </c>
    </row>
    <row r="3934" spans="1:13" ht="12.75" hidden="1" customHeight="1">
      <c r="A3934" t="s">
        <v>1331</v>
      </c>
      <c r="B3934" t="s">
        <v>168</v>
      </c>
      <c r="C3934" t="s">
        <v>200</v>
      </c>
      <c r="D3934" t="s">
        <v>1394</v>
      </c>
      <c r="E3934" s="17">
        <v>46032</v>
      </c>
      <c r="F3934" s="17">
        <v>46034</v>
      </c>
      <c r="G3934" s="13">
        <v>560</v>
      </c>
      <c r="H3934" s="14">
        <v>0</v>
      </c>
      <c r="I3934" s="14">
        <v>0</v>
      </c>
      <c r="J3934" s="14">
        <v>0</v>
      </c>
      <c r="K3934" s="14">
        <v>560</v>
      </c>
      <c r="L3934" t="s">
        <v>794</v>
      </c>
      <c r="M3934" s="23">
        <f t="shared" si="61"/>
        <v>2026</v>
      </c>
    </row>
    <row r="3935" spans="1:13" ht="12.75" hidden="1" customHeight="1">
      <c r="A3935" t="s">
        <v>1412</v>
      </c>
      <c r="B3935" t="s">
        <v>502</v>
      </c>
      <c r="C3935" t="s">
        <v>452</v>
      </c>
      <c r="D3935" t="s">
        <v>1394</v>
      </c>
      <c r="E3935" s="17">
        <v>46034</v>
      </c>
      <c r="F3935" s="17">
        <v>46034</v>
      </c>
      <c r="G3935" s="13">
        <v>69</v>
      </c>
      <c r="H3935" s="14">
        <v>0</v>
      </c>
      <c r="I3935" s="14">
        <v>0</v>
      </c>
      <c r="J3935" s="14">
        <v>0</v>
      </c>
      <c r="K3935" s="14">
        <v>69</v>
      </c>
      <c r="L3935" t="s">
        <v>794</v>
      </c>
      <c r="M3935" s="23">
        <f t="shared" si="61"/>
        <v>2026</v>
      </c>
    </row>
    <row r="3936" spans="1:13" ht="12.75" hidden="1" customHeight="1">
      <c r="A3936" t="s">
        <v>845</v>
      </c>
      <c r="B3936" t="s">
        <v>67</v>
      </c>
      <c r="C3936" t="s">
        <v>729</v>
      </c>
      <c r="D3936" t="s">
        <v>1394</v>
      </c>
      <c r="E3936" s="17">
        <v>46032</v>
      </c>
      <c r="F3936" s="17">
        <v>46034</v>
      </c>
      <c r="G3936" s="13">
        <v>2250.5300000000002</v>
      </c>
      <c r="H3936" s="14">
        <v>0</v>
      </c>
      <c r="I3936" s="14">
        <v>0</v>
      </c>
      <c r="J3936" s="14">
        <v>0</v>
      </c>
      <c r="K3936" s="14">
        <v>2250.5300000000002</v>
      </c>
      <c r="L3936" t="s">
        <v>794</v>
      </c>
      <c r="M3936" s="23">
        <f t="shared" si="61"/>
        <v>2026</v>
      </c>
    </row>
    <row r="3937" spans="1:13" ht="12.75" hidden="1" customHeight="1">
      <c r="A3937" t="s">
        <v>1214</v>
      </c>
      <c r="B3937" t="s">
        <v>229</v>
      </c>
      <c r="C3937" t="s">
        <v>183</v>
      </c>
      <c r="D3937" t="s">
        <v>1394</v>
      </c>
      <c r="E3937" s="17">
        <v>46034</v>
      </c>
      <c r="F3937" s="17">
        <v>46034</v>
      </c>
      <c r="G3937" s="13">
        <v>300</v>
      </c>
      <c r="H3937" s="14">
        <v>0</v>
      </c>
      <c r="I3937" s="14">
        <v>0</v>
      </c>
      <c r="J3937" s="14">
        <v>0</v>
      </c>
      <c r="K3937" s="14">
        <v>300</v>
      </c>
      <c r="L3937" t="s">
        <v>794</v>
      </c>
      <c r="M3937" s="23">
        <f t="shared" si="61"/>
        <v>2026</v>
      </c>
    </row>
    <row r="3938" spans="1:13" ht="12.75" hidden="1" customHeight="1">
      <c r="A3938" t="s">
        <v>801</v>
      </c>
      <c r="B3938" t="s">
        <v>13</v>
      </c>
      <c r="C3938" t="s">
        <v>726</v>
      </c>
      <c r="D3938" t="s">
        <v>1394</v>
      </c>
      <c r="E3938" s="17">
        <v>46034</v>
      </c>
      <c r="F3938" s="17">
        <v>46034</v>
      </c>
      <c r="G3938" s="13">
        <v>1674.66</v>
      </c>
      <c r="H3938" s="14">
        <v>0</v>
      </c>
      <c r="I3938" s="14">
        <v>0</v>
      </c>
      <c r="J3938" s="14">
        <v>0</v>
      </c>
      <c r="K3938" s="14">
        <v>1674.66</v>
      </c>
      <c r="L3938" t="s">
        <v>794</v>
      </c>
      <c r="M3938" s="23">
        <f t="shared" si="61"/>
        <v>2026</v>
      </c>
    </row>
    <row r="3939" spans="1:13" ht="12.75" hidden="1" customHeight="1">
      <c r="A3939" t="s">
        <v>981</v>
      </c>
      <c r="B3939" t="s">
        <v>55</v>
      </c>
      <c r="C3939" t="s">
        <v>99</v>
      </c>
      <c r="D3939" t="s">
        <v>1394</v>
      </c>
      <c r="E3939" s="17">
        <v>46035</v>
      </c>
      <c r="F3939" s="17">
        <v>46034</v>
      </c>
      <c r="G3939" s="13">
        <v>700</v>
      </c>
      <c r="H3939" s="14">
        <v>0</v>
      </c>
      <c r="I3939" s="14">
        <v>0</v>
      </c>
      <c r="J3939" s="14">
        <v>0</v>
      </c>
      <c r="K3939" s="14">
        <v>700</v>
      </c>
      <c r="L3939" t="s">
        <v>794</v>
      </c>
      <c r="M3939" s="23">
        <f t="shared" si="61"/>
        <v>2026</v>
      </c>
    </row>
    <row r="3940" spans="1:13" ht="12.75" hidden="1" customHeight="1">
      <c r="A3940" t="s">
        <v>1308</v>
      </c>
      <c r="B3940" t="s">
        <v>133</v>
      </c>
      <c r="C3940" t="s">
        <v>200</v>
      </c>
      <c r="D3940" t="s">
        <v>1394</v>
      </c>
      <c r="E3940" s="17">
        <v>46032</v>
      </c>
      <c r="F3940" s="17">
        <v>46034</v>
      </c>
      <c r="G3940" s="13">
        <v>880</v>
      </c>
      <c r="H3940" s="14">
        <v>0</v>
      </c>
      <c r="I3940" s="14">
        <v>0</v>
      </c>
      <c r="J3940" s="14">
        <v>0</v>
      </c>
      <c r="K3940" s="14">
        <v>880</v>
      </c>
      <c r="L3940" t="s">
        <v>794</v>
      </c>
      <c r="M3940" s="23">
        <f t="shared" si="61"/>
        <v>2026</v>
      </c>
    </row>
    <row r="3941" spans="1:13" ht="12.75" hidden="1" customHeight="1">
      <c r="A3941" t="s">
        <v>801</v>
      </c>
      <c r="B3941" t="s">
        <v>13</v>
      </c>
      <c r="C3941" t="s">
        <v>717</v>
      </c>
      <c r="D3941" t="s">
        <v>1394</v>
      </c>
      <c r="E3941" s="17">
        <v>46034</v>
      </c>
      <c r="F3941" s="17">
        <v>46034</v>
      </c>
      <c r="G3941" s="13">
        <v>1093.5</v>
      </c>
      <c r="H3941" s="14">
        <v>0</v>
      </c>
      <c r="I3941" s="14">
        <v>0</v>
      </c>
      <c r="J3941" s="14">
        <v>0</v>
      </c>
      <c r="K3941" s="14">
        <v>1093.5</v>
      </c>
      <c r="L3941" t="s">
        <v>794</v>
      </c>
      <c r="M3941" s="23">
        <f t="shared" si="61"/>
        <v>2026</v>
      </c>
    </row>
    <row r="3942" spans="1:13" ht="12.75" hidden="1" customHeight="1">
      <c r="A3942" t="s">
        <v>801</v>
      </c>
      <c r="B3942" t="s">
        <v>13</v>
      </c>
      <c r="C3942" t="s">
        <v>726</v>
      </c>
      <c r="D3942" t="s">
        <v>1394</v>
      </c>
      <c r="E3942" s="17">
        <v>46035</v>
      </c>
      <c r="F3942" s="17">
        <v>46035</v>
      </c>
      <c r="G3942" s="13">
        <v>2.04</v>
      </c>
      <c r="H3942" s="14">
        <v>0</v>
      </c>
      <c r="I3942" s="14">
        <v>0</v>
      </c>
      <c r="J3942" s="14">
        <v>0</v>
      </c>
      <c r="K3942" s="14">
        <v>2.04</v>
      </c>
      <c r="L3942" t="s">
        <v>794</v>
      </c>
      <c r="M3942" s="23">
        <f t="shared" si="61"/>
        <v>2026</v>
      </c>
    </row>
    <row r="3943" spans="1:13" ht="12.75" hidden="1" customHeight="1">
      <c r="A3943" t="s">
        <v>801</v>
      </c>
      <c r="B3943" t="s">
        <v>13</v>
      </c>
      <c r="C3943" t="s">
        <v>726</v>
      </c>
      <c r="D3943" t="s">
        <v>1394</v>
      </c>
      <c r="E3943" s="17">
        <v>46035</v>
      </c>
      <c r="F3943" s="17">
        <v>46035</v>
      </c>
      <c r="G3943" s="13">
        <v>6.12</v>
      </c>
      <c r="H3943" s="14">
        <v>0</v>
      </c>
      <c r="I3943" s="14">
        <v>0</v>
      </c>
      <c r="J3943" s="14">
        <v>0</v>
      </c>
      <c r="K3943" s="14">
        <v>6.12</v>
      </c>
      <c r="L3943" t="s">
        <v>794</v>
      </c>
      <c r="M3943" s="23">
        <f t="shared" si="61"/>
        <v>2026</v>
      </c>
    </row>
    <row r="3944" spans="1:13" ht="12.75" hidden="1" customHeight="1">
      <c r="A3944" t="s">
        <v>1413</v>
      </c>
      <c r="B3944" t="s">
        <v>592</v>
      </c>
      <c r="C3944" t="s">
        <v>733</v>
      </c>
      <c r="D3944" t="s">
        <v>1394</v>
      </c>
      <c r="E3944" s="17">
        <v>46036</v>
      </c>
      <c r="F3944" s="17">
        <v>46036</v>
      </c>
      <c r="G3944" s="13">
        <v>8.1</v>
      </c>
      <c r="H3944" s="14">
        <v>0</v>
      </c>
      <c r="I3944" s="14">
        <v>0</v>
      </c>
      <c r="J3944" s="14">
        <v>0</v>
      </c>
      <c r="K3944" s="14">
        <v>8.1</v>
      </c>
      <c r="L3944" t="s">
        <v>794</v>
      </c>
      <c r="M3944" s="23">
        <f t="shared" si="61"/>
        <v>2026</v>
      </c>
    </row>
    <row r="3945" spans="1:13" ht="12.75" hidden="1" customHeight="1">
      <c r="A3945" t="s">
        <v>894</v>
      </c>
      <c r="B3945" t="s">
        <v>50</v>
      </c>
      <c r="C3945" t="s">
        <v>152</v>
      </c>
      <c r="D3945" t="s">
        <v>1394</v>
      </c>
      <c r="E3945" s="17">
        <v>46037</v>
      </c>
      <c r="F3945" s="17">
        <v>46037</v>
      </c>
      <c r="G3945" s="13">
        <v>1621</v>
      </c>
      <c r="H3945" s="14">
        <v>0</v>
      </c>
      <c r="I3945" s="14">
        <v>0</v>
      </c>
      <c r="J3945" s="14">
        <v>0</v>
      </c>
      <c r="K3945" s="14">
        <v>1621</v>
      </c>
      <c r="L3945" t="s">
        <v>794</v>
      </c>
      <c r="M3945" s="23">
        <f t="shared" si="61"/>
        <v>2026</v>
      </c>
    </row>
    <row r="3946" spans="1:13" ht="12.75" hidden="1" customHeight="1">
      <c r="A3946" t="s">
        <v>1211</v>
      </c>
      <c r="B3946" t="s">
        <v>73</v>
      </c>
      <c r="C3946" t="s">
        <v>721</v>
      </c>
      <c r="D3946" t="s">
        <v>1394</v>
      </c>
      <c r="E3946" s="17">
        <v>46037</v>
      </c>
      <c r="F3946" s="17">
        <v>46037</v>
      </c>
      <c r="G3946" s="13">
        <v>1500</v>
      </c>
      <c r="H3946" s="14">
        <v>0</v>
      </c>
      <c r="I3946" s="14">
        <v>0</v>
      </c>
      <c r="J3946" s="14">
        <v>0</v>
      </c>
      <c r="K3946" s="14">
        <v>1500</v>
      </c>
      <c r="L3946" t="s">
        <v>794</v>
      </c>
      <c r="M3946" s="23">
        <f t="shared" si="61"/>
        <v>2026</v>
      </c>
    </row>
    <row r="3947" spans="1:13" ht="12.75" hidden="1" customHeight="1">
      <c r="A3947" t="s">
        <v>1409</v>
      </c>
      <c r="B3947" t="s">
        <v>86</v>
      </c>
      <c r="C3947" t="s">
        <v>270</v>
      </c>
      <c r="D3947" t="s">
        <v>1394</v>
      </c>
      <c r="E3947" s="17">
        <v>46037</v>
      </c>
      <c r="F3947" s="17">
        <v>46037</v>
      </c>
      <c r="G3947" s="13">
        <v>2000</v>
      </c>
      <c r="H3947" s="14">
        <v>0</v>
      </c>
      <c r="I3947" s="14">
        <v>0</v>
      </c>
      <c r="J3947" s="14">
        <v>0</v>
      </c>
      <c r="K3947" s="14">
        <v>2000</v>
      </c>
      <c r="L3947" t="s">
        <v>794</v>
      </c>
      <c r="M3947" s="23">
        <f t="shared" si="61"/>
        <v>2026</v>
      </c>
    </row>
    <row r="3948" spans="1:13" ht="12.75" hidden="1" customHeight="1">
      <c r="A3948" t="s">
        <v>1414</v>
      </c>
      <c r="B3948" t="s">
        <v>308</v>
      </c>
      <c r="C3948" t="s">
        <v>201</v>
      </c>
      <c r="D3948" t="s">
        <v>1394</v>
      </c>
      <c r="E3948" s="17">
        <v>46032</v>
      </c>
      <c r="F3948" s="17">
        <v>46037</v>
      </c>
      <c r="G3948" s="13">
        <v>1200</v>
      </c>
      <c r="H3948" s="14">
        <v>0</v>
      </c>
      <c r="I3948" s="14">
        <v>0</v>
      </c>
      <c r="J3948" s="14">
        <v>0</v>
      </c>
      <c r="K3948" s="14">
        <v>1200</v>
      </c>
      <c r="L3948" t="s">
        <v>794</v>
      </c>
      <c r="M3948" s="23">
        <f t="shared" ref="M3948:M4011" si="62">YEAR(F3948)</f>
        <v>2026</v>
      </c>
    </row>
    <row r="3949" spans="1:13" ht="12.75" hidden="1" customHeight="1">
      <c r="A3949" t="s">
        <v>1131</v>
      </c>
      <c r="B3949" t="s">
        <v>81</v>
      </c>
      <c r="C3949" t="s">
        <v>183</v>
      </c>
      <c r="D3949" t="s">
        <v>1394</v>
      </c>
      <c r="E3949" s="17">
        <v>46037</v>
      </c>
      <c r="F3949" s="17">
        <v>46037</v>
      </c>
      <c r="G3949" s="13">
        <v>910</v>
      </c>
      <c r="H3949" s="14">
        <v>0</v>
      </c>
      <c r="I3949" s="14">
        <v>0</v>
      </c>
      <c r="J3949" s="14">
        <v>0</v>
      </c>
      <c r="K3949" s="14">
        <v>910</v>
      </c>
      <c r="L3949" t="s">
        <v>794</v>
      </c>
      <c r="M3949" s="23">
        <f t="shared" si="62"/>
        <v>2026</v>
      </c>
    </row>
    <row r="3950" spans="1:13" ht="12.75" hidden="1" customHeight="1">
      <c r="A3950" t="s">
        <v>797</v>
      </c>
      <c r="B3950" t="s">
        <v>25</v>
      </c>
      <c r="C3950" t="s">
        <v>206</v>
      </c>
      <c r="D3950" t="s">
        <v>1394</v>
      </c>
      <c r="E3950" s="17">
        <v>46038</v>
      </c>
      <c r="F3950" s="17">
        <v>46037</v>
      </c>
      <c r="G3950" s="13">
        <v>2319.81</v>
      </c>
      <c r="H3950" s="14">
        <v>0</v>
      </c>
      <c r="I3950" s="14">
        <v>0</v>
      </c>
      <c r="J3950" s="14">
        <v>0</v>
      </c>
      <c r="K3950" s="14">
        <v>2319.81</v>
      </c>
      <c r="L3950" t="s">
        <v>794</v>
      </c>
      <c r="M3950" s="23">
        <f t="shared" si="62"/>
        <v>2026</v>
      </c>
    </row>
    <row r="3951" spans="1:13" ht="12.75" hidden="1" customHeight="1">
      <c r="A3951" t="s">
        <v>891</v>
      </c>
      <c r="B3951" t="s">
        <v>102</v>
      </c>
      <c r="C3951" t="s">
        <v>722</v>
      </c>
      <c r="D3951" t="s">
        <v>1394</v>
      </c>
      <c r="E3951" s="17">
        <v>46037</v>
      </c>
      <c r="F3951" s="17">
        <v>46037</v>
      </c>
      <c r="G3951" s="13">
        <v>650</v>
      </c>
      <c r="H3951" s="14">
        <v>0</v>
      </c>
      <c r="I3951" s="14">
        <v>0</v>
      </c>
      <c r="J3951" s="14">
        <v>0</v>
      </c>
      <c r="K3951" s="14">
        <v>650</v>
      </c>
      <c r="L3951" t="s">
        <v>794</v>
      </c>
      <c r="M3951" s="23">
        <f t="shared" si="62"/>
        <v>2026</v>
      </c>
    </row>
    <row r="3952" spans="1:13" ht="12.75" hidden="1" customHeight="1">
      <c r="A3952" t="s">
        <v>893</v>
      </c>
      <c r="B3952" t="s">
        <v>212</v>
      </c>
      <c r="C3952" t="s">
        <v>746</v>
      </c>
      <c r="D3952" t="s">
        <v>1394</v>
      </c>
      <c r="E3952" s="17">
        <v>46037</v>
      </c>
      <c r="F3952" s="17">
        <v>46037</v>
      </c>
      <c r="G3952" s="13">
        <v>132</v>
      </c>
      <c r="H3952" s="14">
        <v>0</v>
      </c>
      <c r="I3952" s="14">
        <v>0</v>
      </c>
      <c r="J3952" s="14">
        <v>0</v>
      </c>
      <c r="K3952" s="14">
        <v>132</v>
      </c>
      <c r="L3952" t="s">
        <v>794</v>
      </c>
      <c r="M3952" s="23">
        <f t="shared" si="62"/>
        <v>2026</v>
      </c>
    </row>
    <row r="3953" spans="1:13" ht="12.75" hidden="1" customHeight="1">
      <c r="A3953" t="s">
        <v>879</v>
      </c>
      <c r="B3953" t="s">
        <v>23</v>
      </c>
      <c r="C3953" t="s">
        <v>722</v>
      </c>
      <c r="D3953" t="s">
        <v>1394</v>
      </c>
      <c r="E3953" s="17">
        <v>46037</v>
      </c>
      <c r="F3953" s="17">
        <v>46037</v>
      </c>
      <c r="G3953" s="13">
        <v>700</v>
      </c>
      <c r="H3953" s="14">
        <v>0</v>
      </c>
      <c r="I3953" s="14">
        <v>0</v>
      </c>
      <c r="J3953" s="14">
        <v>0</v>
      </c>
      <c r="K3953" s="14">
        <v>700</v>
      </c>
      <c r="L3953" t="s">
        <v>794</v>
      </c>
      <c r="M3953" s="23">
        <f t="shared" si="62"/>
        <v>2026</v>
      </c>
    </row>
    <row r="3954" spans="1:13" ht="12.75" hidden="1" customHeight="1">
      <c r="A3954" t="s">
        <v>879</v>
      </c>
      <c r="B3954" t="s">
        <v>23</v>
      </c>
      <c r="C3954" t="s">
        <v>713</v>
      </c>
      <c r="D3954" t="s">
        <v>873</v>
      </c>
      <c r="E3954" s="17">
        <v>46020</v>
      </c>
      <c r="F3954" s="17">
        <v>46037</v>
      </c>
      <c r="G3954" s="22">
        <v>1588.2</v>
      </c>
      <c r="H3954" s="14">
        <v>0</v>
      </c>
      <c r="I3954" s="14">
        <v>0</v>
      </c>
      <c r="J3954" s="14">
        <v>0</v>
      </c>
      <c r="K3954" s="14">
        <v>1371.97</v>
      </c>
      <c r="L3954" t="s">
        <v>794</v>
      </c>
      <c r="M3954" s="23">
        <f t="shared" si="62"/>
        <v>2026</v>
      </c>
    </row>
    <row r="3955" spans="1:13" ht="12.75" hidden="1" customHeight="1">
      <c r="A3955" t="s">
        <v>886</v>
      </c>
      <c r="B3955" t="s">
        <v>194</v>
      </c>
      <c r="C3955" t="s">
        <v>743</v>
      </c>
      <c r="D3955" t="s">
        <v>1394</v>
      </c>
      <c r="E3955" s="17">
        <v>46037</v>
      </c>
      <c r="F3955" s="17">
        <v>46037</v>
      </c>
      <c r="G3955" s="13">
        <v>217.76</v>
      </c>
      <c r="H3955" s="14">
        <v>0</v>
      </c>
      <c r="I3955" s="14">
        <v>0</v>
      </c>
      <c r="J3955" s="14">
        <v>0</v>
      </c>
      <c r="K3955" s="14">
        <v>217.76</v>
      </c>
      <c r="L3955" t="s">
        <v>794</v>
      </c>
      <c r="M3955" s="23">
        <f t="shared" si="62"/>
        <v>2026</v>
      </c>
    </row>
    <row r="3956" spans="1:13" ht="12.75" hidden="1" customHeight="1">
      <c r="A3956" t="s">
        <v>805</v>
      </c>
      <c r="B3956" t="s">
        <v>17</v>
      </c>
      <c r="C3956" t="s">
        <v>713</v>
      </c>
      <c r="D3956" t="s">
        <v>1242</v>
      </c>
      <c r="E3956" s="17">
        <v>45915</v>
      </c>
      <c r="F3956" s="17">
        <v>46037</v>
      </c>
      <c r="G3956" s="22">
        <v>10698.66</v>
      </c>
      <c r="H3956" s="14">
        <v>0</v>
      </c>
      <c r="I3956" s="14">
        <v>0</v>
      </c>
      <c r="J3956" s="14">
        <v>0</v>
      </c>
      <c r="K3956" s="14">
        <v>10698.66</v>
      </c>
      <c r="L3956" t="s">
        <v>794</v>
      </c>
      <c r="M3956" s="23">
        <f t="shared" si="62"/>
        <v>2026</v>
      </c>
    </row>
    <row r="3957" spans="1:13" ht="12.75" hidden="1" customHeight="1">
      <c r="A3957" t="s">
        <v>800</v>
      </c>
      <c r="B3957" t="s">
        <v>85</v>
      </c>
      <c r="C3957" t="s">
        <v>734</v>
      </c>
      <c r="D3957" t="s">
        <v>1394</v>
      </c>
      <c r="E3957" s="17">
        <v>46037</v>
      </c>
      <c r="F3957" s="17">
        <v>46037</v>
      </c>
      <c r="G3957" s="13">
        <v>900</v>
      </c>
      <c r="H3957" s="14">
        <v>0</v>
      </c>
      <c r="I3957" s="14">
        <v>0</v>
      </c>
      <c r="J3957" s="14">
        <v>0</v>
      </c>
      <c r="K3957" s="14">
        <v>900</v>
      </c>
      <c r="L3957" t="s">
        <v>794</v>
      </c>
      <c r="M3957" s="23">
        <f t="shared" si="62"/>
        <v>2026</v>
      </c>
    </row>
    <row r="3958" spans="1:13" ht="12.75" hidden="1" customHeight="1">
      <c r="A3958" t="s">
        <v>941</v>
      </c>
      <c r="B3958" t="s">
        <v>52</v>
      </c>
      <c r="C3958" t="s">
        <v>672</v>
      </c>
      <c r="D3958" t="s">
        <v>1394</v>
      </c>
      <c r="E3958" s="17">
        <v>46037</v>
      </c>
      <c r="F3958" s="17">
        <v>46037</v>
      </c>
      <c r="G3958" s="13">
        <v>1518</v>
      </c>
      <c r="H3958" s="14">
        <v>0</v>
      </c>
      <c r="I3958" s="14">
        <v>0</v>
      </c>
      <c r="J3958" s="14">
        <v>0</v>
      </c>
      <c r="K3958" s="14">
        <v>1518</v>
      </c>
      <c r="L3958" t="s">
        <v>794</v>
      </c>
      <c r="M3958" s="23">
        <f t="shared" si="62"/>
        <v>2026</v>
      </c>
    </row>
    <row r="3959" spans="1:13" ht="12.75" hidden="1" customHeight="1">
      <c r="A3959" t="s">
        <v>801</v>
      </c>
      <c r="B3959" t="s">
        <v>13</v>
      </c>
      <c r="C3959" t="s">
        <v>726</v>
      </c>
      <c r="D3959" t="s">
        <v>1394</v>
      </c>
      <c r="E3959" s="17">
        <v>46037</v>
      </c>
      <c r="F3959" s="17">
        <v>46037</v>
      </c>
      <c r="G3959" s="13">
        <v>210.38</v>
      </c>
      <c r="H3959" s="14">
        <v>0</v>
      </c>
      <c r="I3959" s="14">
        <v>0</v>
      </c>
      <c r="J3959" s="14">
        <v>0</v>
      </c>
      <c r="K3959" s="14">
        <v>210.38</v>
      </c>
      <c r="L3959" t="s">
        <v>794</v>
      </c>
      <c r="M3959" s="23">
        <f t="shared" si="62"/>
        <v>2026</v>
      </c>
    </row>
    <row r="3960" spans="1:13" ht="12.75" hidden="1" customHeight="1">
      <c r="A3960" t="s">
        <v>801</v>
      </c>
      <c r="B3960" t="s">
        <v>13</v>
      </c>
      <c r="C3960" t="s">
        <v>726</v>
      </c>
      <c r="D3960" t="s">
        <v>1394</v>
      </c>
      <c r="E3960" s="17">
        <v>46037</v>
      </c>
      <c r="F3960" s="17">
        <v>46037</v>
      </c>
      <c r="G3960" s="13">
        <v>2.04</v>
      </c>
      <c r="H3960" s="14">
        <v>0</v>
      </c>
      <c r="I3960" s="14">
        <v>0</v>
      </c>
      <c r="J3960" s="14">
        <v>0</v>
      </c>
      <c r="K3960" s="14">
        <v>2.04</v>
      </c>
      <c r="L3960" t="s">
        <v>794</v>
      </c>
      <c r="M3960" s="23">
        <f t="shared" si="62"/>
        <v>2026</v>
      </c>
    </row>
    <row r="3961" spans="1:13" ht="12.75" hidden="1" customHeight="1">
      <c r="A3961" t="s">
        <v>1415</v>
      </c>
      <c r="B3961" t="s">
        <v>425</v>
      </c>
      <c r="C3961" t="s">
        <v>719</v>
      </c>
      <c r="D3961" t="s">
        <v>1394</v>
      </c>
      <c r="E3961" s="17">
        <v>46038</v>
      </c>
      <c r="F3961" s="17">
        <v>46038</v>
      </c>
      <c r="G3961" s="13">
        <v>327.88</v>
      </c>
      <c r="H3961" s="14">
        <v>0</v>
      </c>
      <c r="I3961" s="14">
        <v>0</v>
      </c>
      <c r="J3961" s="14">
        <v>0</v>
      </c>
      <c r="K3961" s="14">
        <v>327.88</v>
      </c>
      <c r="L3961" t="s">
        <v>794</v>
      </c>
      <c r="M3961" s="23">
        <f t="shared" si="62"/>
        <v>2026</v>
      </c>
    </row>
    <row r="3962" spans="1:13" ht="12.75" hidden="1" customHeight="1">
      <c r="A3962" t="s">
        <v>819</v>
      </c>
      <c r="B3962" t="s">
        <v>38</v>
      </c>
      <c r="C3962" t="s">
        <v>730</v>
      </c>
      <c r="D3962" t="s">
        <v>1394</v>
      </c>
      <c r="E3962" s="17">
        <v>46038</v>
      </c>
      <c r="F3962" s="17">
        <v>46038</v>
      </c>
      <c r="G3962" s="13">
        <v>2243.96</v>
      </c>
      <c r="H3962" s="14">
        <v>0</v>
      </c>
      <c r="I3962" s="14">
        <v>0</v>
      </c>
      <c r="J3962" s="14">
        <v>0</v>
      </c>
      <c r="K3962" s="14">
        <v>2243.96</v>
      </c>
      <c r="L3962" t="s">
        <v>794</v>
      </c>
      <c r="M3962" s="23">
        <f t="shared" si="62"/>
        <v>2026</v>
      </c>
    </row>
    <row r="3963" spans="1:13" ht="12.75" hidden="1" customHeight="1">
      <c r="A3963" t="s">
        <v>892</v>
      </c>
      <c r="B3963" t="s">
        <v>110</v>
      </c>
      <c r="C3963" t="s">
        <v>733</v>
      </c>
      <c r="D3963" t="s">
        <v>1394</v>
      </c>
      <c r="E3963" s="17">
        <v>46038</v>
      </c>
      <c r="F3963" s="17">
        <v>46038</v>
      </c>
      <c r="G3963" s="13">
        <v>330</v>
      </c>
      <c r="H3963" s="14">
        <v>0</v>
      </c>
      <c r="I3963" s="14">
        <v>0</v>
      </c>
      <c r="J3963" s="14">
        <v>0</v>
      </c>
      <c r="K3963" s="14">
        <v>330</v>
      </c>
      <c r="L3963" t="s">
        <v>794</v>
      </c>
      <c r="M3963" s="23">
        <f t="shared" si="62"/>
        <v>2026</v>
      </c>
    </row>
    <row r="3964" spans="1:13" ht="12.75" hidden="1" customHeight="1">
      <c r="A3964" t="s">
        <v>1416</v>
      </c>
      <c r="B3964" t="s">
        <v>248</v>
      </c>
      <c r="C3964" t="s">
        <v>200</v>
      </c>
      <c r="D3964" t="s">
        <v>1394</v>
      </c>
      <c r="E3964" s="17">
        <v>46032</v>
      </c>
      <c r="F3964" s="17">
        <v>46038</v>
      </c>
      <c r="G3964" s="13">
        <v>1040</v>
      </c>
      <c r="H3964" s="14">
        <v>0</v>
      </c>
      <c r="I3964" s="14">
        <v>0</v>
      </c>
      <c r="J3964" s="14">
        <v>0</v>
      </c>
      <c r="K3964" s="14">
        <v>1040</v>
      </c>
      <c r="L3964" t="s">
        <v>794</v>
      </c>
      <c r="M3964" s="23">
        <f t="shared" si="62"/>
        <v>2026</v>
      </c>
    </row>
    <row r="3965" spans="1:13" ht="12.75" hidden="1" customHeight="1">
      <c r="A3965" t="s">
        <v>879</v>
      </c>
      <c r="B3965" t="s">
        <v>23</v>
      </c>
      <c r="C3965" t="s">
        <v>713</v>
      </c>
      <c r="D3965" t="s">
        <v>873</v>
      </c>
      <c r="E3965" s="17">
        <v>46020</v>
      </c>
      <c r="F3965" s="17">
        <v>46038</v>
      </c>
      <c r="G3965" s="22">
        <v>1588.2</v>
      </c>
      <c r="H3965" s="14">
        <v>0</v>
      </c>
      <c r="I3965" s="14">
        <v>0</v>
      </c>
      <c r="J3965" s="14">
        <v>0</v>
      </c>
      <c r="K3965" s="14">
        <v>30</v>
      </c>
      <c r="L3965" t="s">
        <v>794</v>
      </c>
      <c r="M3965" s="23">
        <f t="shared" si="62"/>
        <v>2026</v>
      </c>
    </row>
    <row r="3966" spans="1:13" ht="12.75" hidden="1" customHeight="1">
      <c r="A3966" t="s">
        <v>797</v>
      </c>
      <c r="B3966" t="s">
        <v>25</v>
      </c>
      <c r="C3966" t="s">
        <v>206</v>
      </c>
      <c r="D3966" t="s">
        <v>1394</v>
      </c>
      <c r="E3966" s="17">
        <v>46038</v>
      </c>
      <c r="F3966" s="17">
        <v>46038</v>
      </c>
      <c r="G3966" s="13">
        <v>826.65</v>
      </c>
      <c r="H3966" s="14">
        <v>0</v>
      </c>
      <c r="I3966" s="14">
        <v>0</v>
      </c>
      <c r="J3966" s="14">
        <v>0</v>
      </c>
      <c r="K3966" s="14">
        <v>826.65</v>
      </c>
      <c r="L3966" t="s">
        <v>794</v>
      </c>
      <c r="M3966" s="23">
        <f t="shared" si="62"/>
        <v>2026</v>
      </c>
    </row>
    <row r="3967" spans="1:13" ht="12.75" hidden="1" customHeight="1">
      <c r="A3967" t="s">
        <v>792</v>
      </c>
      <c r="B3967" t="s">
        <v>35</v>
      </c>
      <c r="C3967" t="s">
        <v>206</v>
      </c>
      <c r="D3967" t="s">
        <v>1394</v>
      </c>
      <c r="E3967" s="17">
        <v>46038</v>
      </c>
      <c r="F3967" s="17">
        <v>46038</v>
      </c>
      <c r="G3967" s="13">
        <v>994.2</v>
      </c>
      <c r="H3967" s="14">
        <v>0</v>
      </c>
      <c r="I3967" s="14">
        <v>0</v>
      </c>
      <c r="J3967" s="14">
        <v>0</v>
      </c>
      <c r="K3967" s="14">
        <v>994.2</v>
      </c>
      <c r="L3967" t="s">
        <v>794</v>
      </c>
      <c r="M3967" s="23">
        <f t="shared" si="62"/>
        <v>2026</v>
      </c>
    </row>
    <row r="3968" spans="1:13" ht="12.75" hidden="1" customHeight="1">
      <c r="A3968" t="s">
        <v>792</v>
      </c>
      <c r="B3968" t="s">
        <v>35</v>
      </c>
      <c r="C3968" t="s">
        <v>206</v>
      </c>
      <c r="D3968" t="s">
        <v>1394</v>
      </c>
      <c r="E3968" s="17">
        <v>46038</v>
      </c>
      <c r="F3968" s="17">
        <v>46038</v>
      </c>
      <c r="G3968" s="13">
        <v>354.28000000000003</v>
      </c>
      <c r="H3968" s="14">
        <v>0</v>
      </c>
      <c r="I3968" s="14">
        <v>0</v>
      </c>
      <c r="J3968" s="14">
        <v>0</v>
      </c>
      <c r="K3968" s="14">
        <v>354.28000000000003</v>
      </c>
      <c r="L3968" t="s">
        <v>794</v>
      </c>
      <c r="M3968" s="23">
        <f t="shared" si="62"/>
        <v>2026</v>
      </c>
    </row>
    <row r="3969" spans="1:13" ht="12.75" hidden="1" customHeight="1">
      <c r="A3969" t="s">
        <v>929</v>
      </c>
      <c r="B3969" t="s">
        <v>310</v>
      </c>
      <c r="C3969" t="s">
        <v>723</v>
      </c>
      <c r="D3969" t="s">
        <v>1394</v>
      </c>
      <c r="E3969" s="17">
        <v>46039</v>
      </c>
      <c r="F3969" s="17">
        <v>46039</v>
      </c>
      <c r="G3969" s="13">
        <v>386.36</v>
      </c>
      <c r="H3969" s="14">
        <v>0</v>
      </c>
      <c r="I3969" s="14">
        <v>0</v>
      </c>
      <c r="J3969" s="14">
        <v>0</v>
      </c>
      <c r="K3969" s="14">
        <v>386.36</v>
      </c>
      <c r="L3969" t="s">
        <v>794</v>
      </c>
      <c r="M3969" s="23">
        <f t="shared" si="62"/>
        <v>2026</v>
      </c>
    </row>
    <row r="3970" spans="1:13" ht="12.75" hidden="1" customHeight="1">
      <c r="A3970" t="s">
        <v>801</v>
      </c>
      <c r="B3970" t="s">
        <v>13</v>
      </c>
      <c r="C3970" t="s">
        <v>717</v>
      </c>
      <c r="D3970" t="s">
        <v>1394</v>
      </c>
      <c r="E3970" s="17">
        <v>46039</v>
      </c>
      <c r="F3970" s="17">
        <v>46039</v>
      </c>
      <c r="G3970" s="13">
        <v>5381.79</v>
      </c>
      <c r="H3970" s="14">
        <v>0</v>
      </c>
      <c r="I3970" s="14">
        <v>0</v>
      </c>
      <c r="J3970" s="14">
        <v>0</v>
      </c>
      <c r="K3970" s="14">
        <v>5381.79</v>
      </c>
      <c r="L3970" t="s">
        <v>794</v>
      </c>
      <c r="M3970" s="23">
        <f t="shared" si="62"/>
        <v>2026</v>
      </c>
    </row>
    <row r="3971" spans="1:13" ht="12.75" hidden="1" customHeight="1">
      <c r="A3971" t="s">
        <v>804</v>
      </c>
      <c r="B3971" t="s">
        <v>350</v>
      </c>
      <c r="C3971" t="s">
        <v>733</v>
      </c>
      <c r="D3971" t="s">
        <v>1394</v>
      </c>
      <c r="E3971" s="17">
        <v>46041</v>
      </c>
      <c r="F3971" s="17">
        <v>46041</v>
      </c>
      <c r="G3971" s="13">
        <v>210</v>
      </c>
      <c r="H3971" s="14">
        <v>0</v>
      </c>
      <c r="I3971" s="14">
        <v>0</v>
      </c>
      <c r="J3971" s="14">
        <v>0</v>
      </c>
      <c r="K3971" s="14">
        <v>210</v>
      </c>
      <c r="L3971" t="s">
        <v>794</v>
      </c>
      <c r="M3971" s="23">
        <f t="shared" si="62"/>
        <v>2026</v>
      </c>
    </row>
    <row r="3972" spans="1:13" ht="12.75" hidden="1" customHeight="1">
      <c r="A3972" t="s">
        <v>801</v>
      </c>
      <c r="B3972" t="s">
        <v>13</v>
      </c>
      <c r="C3972" t="s">
        <v>726</v>
      </c>
      <c r="D3972" t="s">
        <v>1394</v>
      </c>
      <c r="E3972" s="17">
        <v>46041</v>
      </c>
      <c r="F3972" s="17">
        <v>46041</v>
      </c>
      <c r="G3972" s="13">
        <v>2.04</v>
      </c>
      <c r="H3972" s="14">
        <v>0</v>
      </c>
      <c r="I3972" s="14">
        <v>0</v>
      </c>
      <c r="J3972" s="14">
        <v>0</v>
      </c>
      <c r="K3972" s="14">
        <v>2.04</v>
      </c>
      <c r="L3972" t="s">
        <v>794</v>
      </c>
      <c r="M3972" s="23">
        <f t="shared" si="62"/>
        <v>2026</v>
      </c>
    </row>
    <row r="3973" spans="1:13" ht="12.75" hidden="1" customHeight="1">
      <c r="A3973" t="s">
        <v>1072</v>
      </c>
      <c r="B3973" t="s">
        <v>65</v>
      </c>
      <c r="C3973" t="s">
        <v>756</v>
      </c>
      <c r="D3973" t="s">
        <v>1394</v>
      </c>
      <c r="E3973" s="17">
        <v>46042</v>
      </c>
      <c r="F3973" s="17">
        <v>46042</v>
      </c>
      <c r="G3973" s="13">
        <v>73.540000000000006</v>
      </c>
      <c r="H3973" s="14">
        <v>0</v>
      </c>
      <c r="I3973" s="14">
        <v>0</v>
      </c>
      <c r="J3973" s="14">
        <v>0</v>
      </c>
      <c r="K3973" s="14">
        <v>73.540000000000006</v>
      </c>
      <c r="L3973" t="s">
        <v>794</v>
      </c>
      <c r="M3973" s="23">
        <f t="shared" si="62"/>
        <v>2026</v>
      </c>
    </row>
    <row r="3974" spans="1:13" ht="12.75" hidden="1" customHeight="1">
      <c r="A3974" t="s">
        <v>839</v>
      </c>
      <c r="B3974" t="s">
        <v>44</v>
      </c>
      <c r="C3974" t="s">
        <v>722</v>
      </c>
      <c r="D3974" t="s">
        <v>1394</v>
      </c>
      <c r="E3974" s="17">
        <v>46042</v>
      </c>
      <c r="F3974" s="17">
        <v>46042</v>
      </c>
      <c r="G3974" s="13">
        <v>1055.17</v>
      </c>
      <c r="H3974" s="14">
        <v>0</v>
      </c>
      <c r="I3974" s="14">
        <v>0</v>
      </c>
      <c r="J3974" s="14">
        <v>0</v>
      </c>
      <c r="K3974" s="14">
        <v>1055.17</v>
      </c>
      <c r="L3974" t="s">
        <v>794</v>
      </c>
      <c r="M3974" s="23">
        <f t="shared" si="62"/>
        <v>2026</v>
      </c>
    </row>
    <row r="3975" spans="1:13" ht="12.75" hidden="1" customHeight="1">
      <c r="A3975" t="s">
        <v>839</v>
      </c>
      <c r="B3975" t="s">
        <v>44</v>
      </c>
      <c r="C3975" t="s">
        <v>722</v>
      </c>
      <c r="D3975" t="s">
        <v>1394</v>
      </c>
      <c r="E3975" s="17">
        <v>46042</v>
      </c>
      <c r="F3975" s="17">
        <v>46042</v>
      </c>
      <c r="G3975" s="13">
        <v>791.23</v>
      </c>
      <c r="H3975" s="14">
        <v>0</v>
      </c>
      <c r="I3975" s="14">
        <v>0</v>
      </c>
      <c r="J3975" s="14">
        <v>0</v>
      </c>
      <c r="K3975" s="14">
        <v>791.23</v>
      </c>
      <c r="L3975" t="s">
        <v>794</v>
      </c>
      <c r="M3975" s="23">
        <f t="shared" si="62"/>
        <v>2026</v>
      </c>
    </row>
    <row r="3976" spans="1:13" ht="12.75" hidden="1" customHeight="1">
      <c r="A3976" t="s">
        <v>1072</v>
      </c>
      <c r="B3976" t="s">
        <v>65</v>
      </c>
      <c r="C3976" t="s">
        <v>727</v>
      </c>
      <c r="D3976" t="s">
        <v>1394</v>
      </c>
      <c r="E3976" s="17">
        <v>46042</v>
      </c>
      <c r="F3976" s="17">
        <v>46042</v>
      </c>
      <c r="G3976" s="13">
        <v>2587.6</v>
      </c>
      <c r="H3976" s="14">
        <v>0</v>
      </c>
      <c r="I3976" s="14">
        <v>0</v>
      </c>
      <c r="J3976" s="14">
        <v>0</v>
      </c>
      <c r="K3976" s="14">
        <v>2587.6</v>
      </c>
      <c r="L3976" t="s">
        <v>794</v>
      </c>
      <c r="M3976" s="23">
        <f t="shared" si="62"/>
        <v>2026</v>
      </c>
    </row>
    <row r="3977" spans="1:13" ht="12.75" hidden="1" customHeight="1">
      <c r="A3977" t="s">
        <v>914</v>
      </c>
      <c r="B3977" t="s">
        <v>28</v>
      </c>
      <c r="C3977" t="s">
        <v>724</v>
      </c>
      <c r="D3977" t="s">
        <v>1394</v>
      </c>
      <c r="E3977" s="17">
        <v>46042</v>
      </c>
      <c r="F3977" s="17">
        <v>46042</v>
      </c>
      <c r="G3977" s="13">
        <v>1220.3700000000001</v>
      </c>
      <c r="H3977" s="14">
        <v>0</v>
      </c>
      <c r="I3977" s="14">
        <v>0</v>
      </c>
      <c r="J3977" s="14">
        <v>0</v>
      </c>
      <c r="K3977" s="14">
        <v>1220.3700000000001</v>
      </c>
      <c r="L3977" t="s">
        <v>794</v>
      </c>
      <c r="M3977" s="23">
        <f t="shared" si="62"/>
        <v>2026</v>
      </c>
    </row>
    <row r="3978" spans="1:13" ht="12.75" hidden="1" customHeight="1">
      <c r="A3978" t="s">
        <v>914</v>
      </c>
      <c r="B3978" t="s">
        <v>28</v>
      </c>
      <c r="C3978" t="s">
        <v>724</v>
      </c>
      <c r="D3978" t="s">
        <v>1394</v>
      </c>
      <c r="E3978" s="17">
        <v>46042</v>
      </c>
      <c r="F3978" s="17">
        <v>46042</v>
      </c>
      <c r="G3978" s="13">
        <v>3112.65</v>
      </c>
      <c r="H3978" s="14">
        <v>0</v>
      </c>
      <c r="I3978" s="14">
        <v>0</v>
      </c>
      <c r="J3978" s="14">
        <v>0</v>
      </c>
      <c r="K3978" s="14">
        <v>3112.65</v>
      </c>
      <c r="L3978" t="s">
        <v>794</v>
      </c>
      <c r="M3978" s="23">
        <f t="shared" si="62"/>
        <v>2026</v>
      </c>
    </row>
    <row r="3979" spans="1:13" ht="12.75" hidden="1" customHeight="1">
      <c r="A3979" t="s">
        <v>1225</v>
      </c>
      <c r="B3979" t="s">
        <v>225</v>
      </c>
      <c r="C3979" t="s">
        <v>723</v>
      </c>
      <c r="D3979" t="s">
        <v>1394</v>
      </c>
      <c r="E3979" s="17">
        <v>46042</v>
      </c>
      <c r="F3979" s="17">
        <v>46042</v>
      </c>
      <c r="G3979" s="13">
        <v>1000</v>
      </c>
      <c r="H3979" s="14">
        <v>0</v>
      </c>
      <c r="I3979" s="14">
        <v>0</v>
      </c>
      <c r="J3979" s="14">
        <v>0</v>
      </c>
      <c r="K3979" s="14">
        <v>1000</v>
      </c>
      <c r="L3979" t="s">
        <v>794</v>
      </c>
      <c r="M3979" s="23">
        <f t="shared" si="62"/>
        <v>2026</v>
      </c>
    </row>
    <row r="3980" spans="1:13" ht="12.75" hidden="1" customHeight="1">
      <c r="A3980" t="s">
        <v>905</v>
      </c>
      <c r="B3980" t="s">
        <v>15</v>
      </c>
      <c r="C3980" t="s">
        <v>715</v>
      </c>
      <c r="D3980" t="s">
        <v>1394</v>
      </c>
      <c r="E3980" s="17">
        <v>46042</v>
      </c>
      <c r="F3980" s="17">
        <v>46042</v>
      </c>
      <c r="G3980" s="13">
        <v>20047.670000000002</v>
      </c>
      <c r="H3980" s="14">
        <v>0</v>
      </c>
      <c r="I3980" s="14">
        <v>0</v>
      </c>
      <c r="J3980" s="14">
        <v>0</v>
      </c>
      <c r="K3980" s="14">
        <v>20047.670000000002</v>
      </c>
      <c r="L3980" t="s">
        <v>794</v>
      </c>
      <c r="M3980" s="23">
        <f t="shared" si="62"/>
        <v>2026</v>
      </c>
    </row>
    <row r="3981" spans="1:13" ht="12.75" hidden="1" customHeight="1">
      <c r="A3981" t="s">
        <v>1069</v>
      </c>
      <c r="B3981" t="s">
        <v>147</v>
      </c>
      <c r="C3981" t="s">
        <v>738</v>
      </c>
      <c r="D3981" t="s">
        <v>1394</v>
      </c>
      <c r="E3981" s="17">
        <v>46042</v>
      </c>
      <c r="F3981" s="17">
        <v>46042</v>
      </c>
      <c r="G3981" s="13">
        <v>350</v>
      </c>
      <c r="H3981" s="14">
        <v>0</v>
      </c>
      <c r="I3981" s="14">
        <v>0</v>
      </c>
      <c r="J3981" s="14">
        <v>0</v>
      </c>
      <c r="K3981" s="14">
        <v>350</v>
      </c>
      <c r="L3981" t="s">
        <v>794</v>
      </c>
      <c r="M3981" s="23">
        <f t="shared" si="62"/>
        <v>2026</v>
      </c>
    </row>
    <row r="3982" spans="1:13" ht="12.75" hidden="1" customHeight="1">
      <c r="A3982" t="s">
        <v>914</v>
      </c>
      <c r="B3982" t="s">
        <v>28</v>
      </c>
      <c r="C3982" t="s">
        <v>724</v>
      </c>
      <c r="D3982" t="s">
        <v>1394</v>
      </c>
      <c r="E3982" s="17">
        <v>46042</v>
      </c>
      <c r="F3982" s="17">
        <v>46042</v>
      </c>
      <c r="G3982" s="13">
        <v>1443.3700000000001</v>
      </c>
      <c r="H3982" s="14">
        <v>0</v>
      </c>
      <c r="I3982" s="14">
        <v>0</v>
      </c>
      <c r="J3982" s="14">
        <v>0</v>
      </c>
      <c r="K3982" s="14">
        <v>1443.3700000000001</v>
      </c>
      <c r="L3982" t="s">
        <v>794</v>
      </c>
      <c r="M3982" s="23">
        <f t="shared" si="62"/>
        <v>2026</v>
      </c>
    </row>
    <row r="3983" spans="1:13" ht="12.75" hidden="1" customHeight="1">
      <c r="A3983" t="s">
        <v>1210</v>
      </c>
      <c r="B3983" t="s">
        <v>22</v>
      </c>
      <c r="C3983" t="s">
        <v>717</v>
      </c>
      <c r="D3983" t="s">
        <v>1394</v>
      </c>
      <c r="E3983" s="17">
        <v>46042</v>
      </c>
      <c r="F3983" s="17">
        <v>46042</v>
      </c>
      <c r="G3983" s="13">
        <v>7266</v>
      </c>
      <c r="H3983" s="14">
        <v>0</v>
      </c>
      <c r="I3983" s="14">
        <v>0</v>
      </c>
      <c r="J3983" s="14">
        <v>0</v>
      </c>
      <c r="K3983" s="14">
        <v>7266</v>
      </c>
      <c r="L3983" t="s">
        <v>794</v>
      </c>
      <c r="M3983" s="23">
        <f t="shared" si="62"/>
        <v>2026</v>
      </c>
    </row>
    <row r="3984" spans="1:13" ht="12.75" hidden="1" customHeight="1">
      <c r="A3984" t="s">
        <v>888</v>
      </c>
      <c r="B3984" t="s">
        <v>16</v>
      </c>
      <c r="C3984" t="s">
        <v>716</v>
      </c>
      <c r="D3984" t="s">
        <v>1178</v>
      </c>
      <c r="E3984" s="17">
        <v>45853</v>
      </c>
      <c r="F3984" s="17">
        <v>46042</v>
      </c>
      <c r="G3984" s="13">
        <v>10094.52</v>
      </c>
      <c r="H3984" s="14">
        <v>0</v>
      </c>
      <c r="I3984" s="14">
        <v>0</v>
      </c>
      <c r="J3984" s="14">
        <v>0</v>
      </c>
      <c r="K3984" s="14">
        <v>10094.52</v>
      </c>
      <c r="L3984" t="s">
        <v>794</v>
      </c>
      <c r="M3984" s="23">
        <f t="shared" si="62"/>
        <v>2026</v>
      </c>
    </row>
    <row r="3985" spans="1:13" ht="12.75" hidden="1" customHeight="1">
      <c r="A3985" t="s">
        <v>801</v>
      </c>
      <c r="B3985" t="s">
        <v>13</v>
      </c>
      <c r="C3985" t="s">
        <v>726</v>
      </c>
      <c r="D3985" t="s">
        <v>1394</v>
      </c>
      <c r="E3985" s="17">
        <v>46042</v>
      </c>
      <c r="F3985" s="17">
        <v>46042</v>
      </c>
      <c r="G3985" s="13">
        <v>4.08</v>
      </c>
      <c r="H3985" s="14">
        <v>0</v>
      </c>
      <c r="I3985" s="14">
        <v>0</v>
      </c>
      <c r="J3985" s="14">
        <v>0</v>
      </c>
      <c r="K3985" s="14">
        <v>4.08</v>
      </c>
      <c r="L3985" t="s">
        <v>794</v>
      </c>
      <c r="M3985" s="23">
        <f t="shared" si="62"/>
        <v>2026</v>
      </c>
    </row>
    <row r="3986" spans="1:13" ht="12.75" hidden="1" customHeight="1">
      <c r="A3986" t="s">
        <v>801</v>
      </c>
      <c r="B3986" t="s">
        <v>13</v>
      </c>
      <c r="C3986" t="s">
        <v>726</v>
      </c>
      <c r="D3986" t="s">
        <v>1394</v>
      </c>
      <c r="E3986" s="17">
        <v>46043</v>
      </c>
      <c r="F3986" s="17">
        <v>46043</v>
      </c>
      <c r="G3986" s="13">
        <v>2.04</v>
      </c>
      <c r="H3986" s="14">
        <v>0</v>
      </c>
      <c r="I3986" s="14">
        <v>0</v>
      </c>
      <c r="J3986" s="14">
        <v>0</v>
      </c>
      <c r="K3986" s="14">
        <v>2.04</v>
      </c>
      <c r="L3986" t="s">
        <v>794</v>
      </c>
      <c r="M3986" s="23">
        <f t="shared" si="62"/>
        <v>2026</v>
      </c>
    </row>
    <row r="3987" spans="1:13" ht="12.75" hidden="1" customHeight="1">
      <c r="A3987" t="s">
        <v>981</v>
      </c>
      <c r="B3987" t="s">
        <v>55</v>
      </c>
      <c r="C3987" t="s">
        <v>99</v>
      </c>
      <c r="D3987" t="s">
        <v>1394</v>
      </c>
      <c r="E3987" s="17">
        <v>46043</v>
      </c>
      <c r="F3987" s="17">
        <v>46043</v>
      </c>
      <c r="G3987" s="13">
        <v>420</v>
      </c>
      <c r="H3987" s="14">
        <v>0</v>
      </c>
      <c r="I3987" s="14">
        <v>0</v>
      </c>
      <c r="J3987" s="14">
        <v>0</v>
      </c>
      <c r="K3987" s="14">
        <v>420</v>
      </c>
      <c r="L3987" t="s">
        <v>843</v>
      </c>
      <c r="M3987" s="23">
        <f t="shared" si="62"/>
        <v>2026</v>
      </c>
    </row>
    <row r="3988" spans="1:13" ht="12.75" hidden="1" customHeight="1">
      <c r="A3988" t="s">
        <v>879</v>
      </c>
      <c r="B3988" t="s">
        <v>23</v>
      </c>
      <c r="C3988" t="s">
        <v>716</v>
      </c>
      <c r="D3988" t="s">
        <v>1394</v>
      </c>
      <c r="E3988" s="17">
        <v>46037</v>
      </c>
      <c r="F3988" s="17">
        <v>46043</v>
      </c>
      <c r="G3988" s="13">
        <v>2623.02</v>
      </c>
      <c r="H3988" s="14">
        <v>0</v>
      </c>
      <c r="I3988" s="14">
        <v>0</v>
      </c>
      <c r="J3988" s="14">
        <v>0</v>
      </c>
      <c r="K3988" s="14">
        <v>2623.02</v>
      </c>
      <c r="L3988" t="s">
        <v>794</v>
      </c>
      <c r="M3988" s="23">
        <f t="shared" si="62"/>
        <v>2026</v>
      </c>
    </row>
    <row r="3989" spans="1:13" ht="12.75" hidden="1" customHeight="1">
      <c r="A3989" t="s">
        <v>801</v>
      </c>
      <c r="B3989" t="s">
        <v>13</v>
      </c>
      <c r="C3989" t="s">
        <v>726</v>
      </c>
      <c r="D3989" t="s">
        <v>1394</v>
      </c>
      <c r="E3989" s="17">
        <v>46045</v>
      </c>
      <c r="F3989" s="17">
        <v>46045</v>
      </c>
      <c r="G3989" s="13">
        <v>2.04</v>
      </c>
      <c r="H3989" s="14">
        <v>0</v>
      </c>
      <c r="I3989" s="14">
        <v>0</v>
      </c>
      <c r="J3989" s="14">
        <v>0</v>
      </c>
      <c r="K3989" s="14">
        <v>2.04</v>
      </c>
      <c r="L3989" t="s">
        <v>794</v>
      </c>
      <c r="M3989" s="23">
        <f t="shared" si="62"/>
        <v>2026</v>
      </c>
    </row>
    <row r="3990" spans="1:13" ht="12.75" hidden="1" customHeight="1">
      <c r="A3990" t="s">
        <v>892</v>
      </c>
      <c r="B3990" t="s">
        <v>110</v>
      </c>
      <c r="C3990" t="s">
        <v>733</v>
      </c>
      <c r="D3990" t="s">
        <v>1394</v>
      </c>
      <c r="E3990" s="17">
        <v>46045</v>
      </c>
      <c r="F3990" s="17">
        <v>46045</v>
      </c>
      <c r="G3990" s="13">
        <v>150</v>
      </c>
      <c r="H3990" s="14">
        <v>0</v>
      </c>
      <c r="I3990" s="14">
        <v>0</v>
      </c>
      <c r="J3990" s="14">
        <v>0</v>
      </c>
      <c r="K3990" s="14">
        <v>150</v>
      </c>
      <c r="L3990" t="s">
        <v>794</v>
      </c>
      <c r="M3990" s="23">
        <f t="shared" si="62"/>
        <v>2026</v>
      </c>
    </row>
    <row r="3991" spans="1:13" ht="12.75" hidden="1" customHeight="1">
      <c r="A3991" t="s">
        <v>1417</v>
      </c>
      <c r="B3991" t="s">
        <v>527</v>
      </c>
      <c r="C3991" t="s">
        <v>452</v>
      </c>
      <c r="D3991" t="s">
        <v>1394</v>
      </c>
      <c r="E3991" s="17">
        <v>46045</v>
      </c>
      <c r="F3991" s="17">
        <v>46045</v>
      </c>
      <c r="G3991" s="13">
        <v>100</v>
      </c>
      <c r="H3991" s="14">
        <v>0</v>
      </c>
      <c r="I3991" s="14">
        <v>0</v>
      </c>
      <c r="J3991" s="14">
        <v>0</v>
      </c>
      <c r="K3991" s="14">
        <v>100</v>
      </c>
      <c r="L3991" t="s">
        <v>794</v>
      </c>
      <c r="M3991" s="23">
        <f t="shared" si="62"/>
        <v>2026</v>
      </c>
    </row>
    <row r="3992" spans="1:13" ht="12.75" hidden="1" customHeight="1">
      <c r="A3992" t="s">
        <v>1053</v>
      </c>
      <c r="B3992" t="s">
        <v>349</v>
      </c>
      <c r="C3992" t="s">
        <v>758</v>
      </c>
      <c r="D3992" t="s">
        <v>1394</v>
      </c>
      <c r="E3992" s="17">
        <v>46045</v>
      </c>
      <c r="F3992" s="17">
        <v>46045</v>
      </c>
      <c r="G3992" s="13">
        <v>254.44</v>
      </c>
      <c r="H3992" s="14">
        <v>0</v>
      </c>
      <c r="I3992" s="14">
        <v>0</v>
      </c>
      <c r="J3992" s="14">
        <v>0</v>
      </c>
      <c r="K3992" s="14">
        <v>254.44</v>
      </c>
      <c r="L3992" t="s">
        <v>794</v>
      </c>
      <c r="M3992" s="23">
        <f t="shared" si="62"/>
        <v>2026</v>
      </c>
    </row>
    <row r="3993" spans="1:13" ht="12.75" hidden="1" customHeight="1">
      <c r="A3993" t="s">
        <v>864</v>
      </c>
      <c r="B3993" t="s">
        <v>36</v>
      </c>
      <c r="C3993" t="s">
        <v>200</v>
      </c>
      <c r="D3993" t="s">
        <v>1394</v>
      </c>
      <c r="E3993" s="17">
        <v>46048</v>
      </c>
      <c r="F3993" s="17">
        <v>46045</v>
      </c>
      <c r="G3993" s="13">
        <v>500</v>
      </c>
      <c r="H3993" s="14">
        <v>0</v>
      </c>
      <c r="I3993" s="14">
        <v>0</v>
      </c>
      <c r="J3993" s="14">
        <v>0</v>
      </c>
      <c r="K3993" s="14">
        <v>500</v>
      </c>
      <c r="L3993" t="s">
        <v>794</v>
      </c>
      <c r="M3993" s="23">
        <f t="shared" si="62"/>
        <v>2026</v>
      </c>
    </row>
    <row r="3994" spans="1:13" ht="12.75" hidden="1" customHeight="1">
      <c r="A3994" t="s">
        <v>1418</v>
      </c>
      <c r="B3994" t="s">
        <v>611</v>
      </c>
      <c r="C3994" t="s">
        <v>452</v>
      </c>
      <c r="D3994" t="s">
        <v>1394</v>
      </c>
      <c r="E3994" s="17">
        <v>46048</v>
      </c>
      <c r="F3994" s="17">
        <v>46045</v>
      </c>
      <c r="G3994" s="13">
        <v>50</v>
      </c>
      <c r="H3994" s="14">
        <v>0</v>
      </c>
      <c r="I3994" s="14">
        <v>0</v>
      </c>
      <c r="J3994" s="14">
        <v>0</v>
      </c>
      <c r="K3994" s="14">
        <v>50</v>
      </c>
      <c r="L3994" t="s">
        <v>794</v>
      </c>
      <c r="M3994" s="23">
        <f t="shared" si="62"/>
        <v>2026</v>
      </c>
    </row>
    <row r="3995" spans="1:13" ht="12.75" hidden="1" customHeight="1">
      <c r="A3995" t="s">
        <v>801</v>
      </c>
      <c r="B3995" t="s">
        <v>13</v>
      </c>
      <c r="C3995" t="s">
        <v>718</v>
      </c>
      <c r="D3995" t="s">
        <v>1394</v>
      </c>
      <c r="E3995" s="17">
        <v>46048</v>
      </c>
      <c r="F3995" s="17">
        <v>46048</v>
      </c>
      <c r="G3995" s="13">
        <v>9942.880000000001</v>
      </c>
      <c r="H3995" s="14">
        <v>0</v>
      </c>
      <c r="I3995" s="14">
        <v>0</v>
      </c>
      <c r="J3995" s="14">
        <v>0</v>
      </c>
      <c r="K3995" s="14">
        <v>9942.880000000001</v>
      </c>
      <c r="L3995" t="s">
        <v>794</v>
      </c>
      <c r="M3995" s="23">
        <f t="shared" si="62"/>
        <v>2026</v>
      </c>
    </row>
    <row r="3996" spans="1:13" ht="12.75" hidden="1" customHeight="1">
      <c r="A3996" t="s">
        <v>801</v>
      </c>
      <c r="B3996" t="s">
        <v>13</v>
      </c>
      <c r="C3996" t="s">
        <v>726</v>
      </c>
      <c r="D3996" t="s">
        <v>1394</v>
      </c>
      <c r="E3996" s="17">
        <v>46048</v>
      </c>
      <c r="F3996" s="17">
        <v>46048</v>
      </c>
      <c r="G3996" s="13">
        <v>2.04</v>
      </c>
      <c r="H3996" s="14">
        <v>0</v>
      </c>
      <c r="I3996" s="14">
        <v>0</v>
      </c>
      <c r="J3996" s="14">
        <v>0</v>
      </c>
      <c r="K3996" s="14">
        <v>2.04</v>
      </c>
      <c r="L3996" t="s">
        <v>794</v>
      </c>
      <c r="M3996" s="23">
        <f t="shared" si="62"/>
        <v>2026</v>
      </c>
    </row>
    <row r="3997" spans="1:13" ht="12.75" hidden="1" customHeight="1">
      <c r="A3997" t="s">
        <v>935</v>
      </c>
      <c r="B3997" t="s">
        <v>158</v>
      </c>
      <c r="C3997" t="s">
        <v>741</v>
      </c>
      <c r="D3997" t="s">
        <v>1394</v>
      </c>
      <c r="E3997" s="17">
        <v>46048</v>
      </c>
      <c r="F3997" s="17">
        <v>46048</v>
      </c>
      <c r="G3997" s="13">
        <v>370</v>
      </c>
      <c r="H3997" s="14">
        <v>0</v>
      </c>
      <c r="I3997" s="14">
        <v>0</v>
      </c>
      <c r="J3997" s="14">
        <v>0</v>
      </c>
      <c r="K3997" s="14">
        <v>370</v>
      </c>
      <c r="L3997" t="s">
        <v>794</v>
      </c>
      <c r="M3997" s="23">
        <f t="shared" si="62"/>
        <v>2026</v>
      </c>
    </row>
    <row r="3998" spans="1:13" ht="12.75" hidden="1" customHeight="1">
      <c r="A3998" t="s">
        <v>895</v>
      </c>
      <c r="B3998" t="s">
        <v>155</v>
      </c>
      <c r="C3998" t="s">
        <v>384</v>
      </c>
      <c r="D3998" t="s">
        <v>1394</v>
      </c>
      <c r="E3998" s="17">
        <v>46047</v>
      </c>
      <c r="F3998" s="17">
        <v>46048</v>
      </c>
      <c r="G3998" s="13">
        <v>390</v>
      </c>
      <c r="H3998" s="14">
        <v>0</v>
      </c>
      <c r="I3998" s="14">
        <v>0</v>
      </c>
      <c r="J3998" s="14">
        <v>0</v>
      </c>
      <c r="K3998" s="14">
        <v>390</v>
      </c>
      <c r="L3998" t="s">
        <v>794</v>
      </c>
      <c r="M3998" s="23">
        <f t="shared" si="62"/>
        <v>2026</v>
      </c>
    </row>
    <row r="3999" spans="1:13" ht="12.75" hidden="1" customHeight="1">
      <c r="A3999" t="s">
        <v>849</v>
      </c>
      <c r="B3999" t="s">
        <v>283</v>
      </c>
      <c r="C3999" t="s">
        <v>722</v>
      </c>
      <c r="D3999" t="s">
        <v>1394</v>
      </c>
      <c r="E3999" s="17">
        <v>46039</v>
      </c>
      <c r="F3999" s="17">
        <v>46048</v>
      </c>
      <c r="G3999" s="13">
        <v>99</v>
      </c>
      <c r="H3999" s="14">
        <v>0</v>
      </c>
      <c r="I3999" s="14">
        <v>0</v>
      </c>
      <c r="J3999" s="14">
        <v>0</v>
      </c>
      <c r="K3999" s="14">
        <v>99</v>
      </c>
      <c r="L3999" t="s">
        <v>794</v>
      </c>
      <c r="M3999" s="23">
        <f t="shared" si="62"/>
        <v>2026</v>
      </c>
    </row>
    <row r="4000" spans="1:13" ht="12.75" hidden="1" customHeight="1">
      <c r="A4000" t="s">
        <v>801</v>
      </c>
      <c r="B4000" t="s">
        <v>13</v>
      </c>
      <c r="C4000" t="s">
        <v>726</v>
      </c>
      <c r="D4000" t="s">
        <v>1394</v>
      </c>
      <c r="E4000" s="17">
        <v>46048</v>
      </c>
      <c r="F4000" s="17">
        <v>46048</v>
      </c>
      <c r="G4000" s="13">
        <v>751.98</v>
      </c>
      <c r="H4000" s="14">
        <v>0</v>
      </c>
      <c r="I4000" s="14">
        <v>0</v>
      </c>
      <c r="J4000" s="14">
        <v>0</v>
      </c>
      <c r="K4000" s="14">
        <v>751.98</v>
      </c>
      <c r="L4000" t="s">
        <v>794</v>
      </c>
      <c r="M4000" s="23">
        <f t="shared" si="62"/>
        <v>2026</v>
      </c>
    </row>
    <row r="4001" spans="1:13" ht="12.75" hidden="1" customHeight="1">
      <c r="A4001" t="s">
        <v>801</v>
      </c>
      <c r="B4001" t="s">
        <v>13</v>
      </c>
      <c r="C4001" t="s">
        <v>717</v>
      </c>
      <c r="D4001" t="s">
        <v>1394</v>
      </c>
      <c r="E4001" s="17">
        <v>46048</v>
      </c>
      <c r="F4001" s="17">
        <v>46048</v>
      </c>
      <c r="G4001" s="13">
        <v>1092.19</v>
      </c>
      <c r="H4001" s="14">
        <v>0</v>
      </c>
      <c r="I4001" s="14">
        <v>0</v>
      </c>
      <c r="J4001" s="14">
        <v>0</v>
      </c>
      <c r="K4001" s="14">
        <v>1092.19</v>
      </c>
      <c r="L4001" t="s">
        <v>794</v>
      </c>
      <c r="M4001" s="23">
        <f t="shared" si="62"/>
        <v>2026</v>
      </c>
    </row>
    <row r="4002" spans="1:13" ht="12.75" hidden="1" customHeight="1">
      <c r="A4002" t="s">
        <v>801</v>
      </c>
      <c r="B4002" t="s">
        <v>13</v>
      </c>
      <c r="C4002" t="s">
        <v>726</v>
      </c>
      <c r="D4002" t="s">
        <v>1394</v>
      </c>
      <c r="E4002" s="17">
        <v>46049</v>
      </c>
      <c r="F4002" s="17">
        <v>46049</v>
      </c>
      <c r="G4002" s="13">
        <v>2.04</v>
      </c>
      <c r="H4002" s="14">
        <v>0</v>
      </c>
      <c r="I4002" s="14">
        <v>0</v>
      </c>
      <c r="J4002" s="14">
        <v>0</v>
      </c>
      <c r="K4002" s="14">
        <v>2.04</v>
      </c>
      <c r="L4002" t="s">
        <v>794</v>
      </c>
      <c r="M4002" s="23">
        <f t="shared" si="62"/>
        <v>2026</v>
      </c>
    </row>
    <row r="4003" spans="1:13" ht="12.75" hidden="1" customHeight="1">
      <c r="A4003" t="s">
        <v>1419</v>
      </c>
      <c r="B4003" t="s">
        <v>341</v>
      </c>
      <c r="C4003" t="s">
        <v>387</v>
      </c>
      <c r="D4003" t="s">
        <v>1394</v>
      </c>
      <c r="E4003" s="17">
        <v>46047</v>
      </c>
      <c r="F4003" s="17">
        <v>46050</v>
      </c>
      <c r="G4003" s="13">
        <v>431</v>
      </c>
      <c r="H4003" s="14">
        <v>0</v>
      </c>
      <c r="I4003" s="14">
        <v>0</v>
      </c>
      <c r="J4003" s="14">
        <v>0</v>
      </c>
      <c r="K4003" s="14">
        <v>431</v>
      </c>
      <c r="L4003" t="s">
        <v>794</v>
      </c>
      <c r="M4003" s="23">
        <f t="shared" si="62"/>
        <v>2026</v>
      </c>
    </row>
    <row r="4004" spans="1:13" ht="12.75" hidden="1" customHeight="1">
      <c r="A4004" t="s">
        <v>801</v>
      </c>
      <c r="B4004" t="s">
        <v>13</v>
      </c>
      <c r="C4004" t="s">
        <v>726</v>
      </c>
      <c r="D4004" t="s">
        <v>1394</v>
      </c>
      <c r="E4004" s="17">
        <v>46050</v>
      </c>
      <c r="F4004" s="17">
        <v>46050</v>
      </c>
      <c r="G4004" s="13">
        <v>4.08</v>
      </c>
      <c r="H4004" s="14">
        <v>0</v>
      </c>
      <c r="I4004" s="14">
        <v>0</v>
      </c>
      <c r="J4004" s="14">
        <v>0</v>
      </c>
      <c r="K4004" s="14">
        <v>4.08</v>
      </c>
      <c r="L4004" t="s">
        <v>794</v>
      </c>
      <c r="M4004" s="23">
        <f t="shared" si="62"/>
        <v>2026</v>
      </c>
    </row>
    <row r="4005" spans="1:13" ht="12.75" hidden="1" customHeight="1">
      <c r="A4005" t="s">
        <v>1412</v>
      </c>
      <c r="B4005" t="s">
        <v>502</v>
      </c>
      <c r="C4005" t="s">
        <v>452</v>
      </c>
      <c r="D4005" t="s">
        <v>1394</v>
      </c>
      <c r="E4005" s="17">
        <v>46051</v>
      </c>
      <c r="F4005" s="17">
        <v>46051</v>
      </c>
      <c r="G4005" s="13">
        <v>69</v>
      </c>
      <c r="H4005" s="14">
        <v>0</v>
      </c>
      <c r="I4005" s="14">
        <v>0</v>
      </c>
      <c r="J4005" s="14">
        <v>0</v>
      </c>
      <c r="K4005" s="14">
        <v>69</v>
      </c>
      <c r="L4005" t="s">
        <v>794</v>
      </c>
      <c r="M4005" s="23">
        <f t="shared" si="62"/>
        <v>2026</v>
      </c>
    </row>
    <row r="4006" spans="1:13" ht="12.75" hidden="1" customHeight="1">
      <c r="A4006" t="s">
        <v>823</v>
      </c>
      <c r="B4006" t="s">
        <v>245</v>
      </c>
      <c r="C4006" t="s">
        <v>736</v>
      </c>
      <c r="D4006" t="s">
        <v>1394</v>
      </c>
      <c r="E4006" s="17">
        <v>46051</v>
      </c>
      <c r="F4006" s="17">
        <v>46051</v>
      </c>
      <c r="G4006" s="13">
        <v>133.85</v>
      </c>
      <c r="H4006" s="14">
        <v>0</v>
      </c>
      <c r="I4006" s="14">
        <v>0</v>
      </c>
      <c r="J4006" s="14">
        <v>0</v>
      </c>
      <c r="K4006" s="14">
        <v>133.85</v>
      </c>
      <c r="L4006" t="s">
        <v>794</v>
      </c>
      <c r="M4006" s="23">
        <f t="shared" si="62"/>
        <v>2026</v>
      </c>
    </row>
    <row r="4007" spans="1:13" ht="12.75" hidden="1" customHeight="1">
      <c r="A4007" t="s">
        <v>801</v>
      </c>
      <c r="B4007" t="s">
        <v>13</v>
      </c>
      <c r="C4007" t="s">
        <v>726</v>
      </c>
      <c r="D4007" t="s">
        <v>1394</v>
      </c>
      <c r="E4007" s="17">
        <v>46052</v>
      </c>
      <c r="F4007" s="17">
        <v>46052</v>
      </c>
      <c r="G4007" s="13">
        <v>18.36</v>
      </c>
      <c r="H4007" s="14">
        <v>0</v>
      </c>
      <c r="I4007" s="14">
        <v>0</v>
      </c>
      <c r="J4007" s="14">
        <v>0</v>
      </c>
      <c r="K4007" s="14">
        <v>18.36</v>
      </c>
      <c r="L4007" t="s">
        <v>794</v>
      </c>
      <c r="M4007" s="23">
        <f t="shared" si="62"/>
        <v>2026</v>
      </c>
    </row>
    <row r="4008" spans="1:13" ht="12.75" hidden="1" customHeight="1">
      <c r="A4008" t="s">
        <v>905</v>
      </c>
      <c r="B4008" t="s">
        <v>15</v>
      </c>
      <c r="C4008" t="s">
        <v>715</v>
      </c>
      <c r="D4008" t="s">
        <v>1394</v>
      </c>
      <c r="E4008" s="17">
        <v>46052</v>
      </c>
      <c r="F4008" s="17">
        <v>46052</v>
      </c>
      <c r="G4008" s="13">
        <v>731.30000000000007</v>
      </c>
      <c r="H4008" s="14">
        <v>0</v>
      </c>
      <c r="I4008" s="14">
        <v>0</v>
      </c>
      <c r="J4008" s="14">
        <v>0</v>
      </c>
      <c r="K4008" s="14">
        <v>731.30000000000007</v>
      </c>
      <c r="L4008" t="s">
        <v>794</v>
      </c>
      <c r="M4008" s="23">
        <f t="shared" si="62"/>
        <v>2026</v>
      </c>
    </row>
    <row r="4009" spans="1:13" ht="12.75" hidden="1" customHeight="1">
      <c r="A4009" t="s">
        <v>801</v>
      </c>
      <c r="B4009" t="s">
        <v>13</v>
      </c>
      <c r="C4009" t="s">
        <v>726</v>
      </c>
      <c r="D4009" t="s">
        <v>1394</v>
      </c>
      <c r="E4009" s="17">
        <v>46052</v>
      </c>
      <c r="F4009" s="17">
        <v>46052</v>
      </c>
      <c r="G4009" s="13">
        <v>4.08</v>
      </c>
      <c r="H4009" s="14">
        <v>0</v>
      </c>
      <c r="I4009" s="14">
        <v>0</v>
      </c>
      <c r="J4009" s="14">
        <v>0</v>
      </c>
      <c r="K4009" s="14">
        <v>4.08</v>
      </c>
      <c r="L4009" t="s">
        <v>794</v>
      </c>
      <c r="M4009" s="23">
        <f t="shared" si="62"/>
        <v>2026</v>
      </c>
    </row>
    <row r="4010" spans="1:13" ht="12.75" hidden="1" customHeight="1">
      <c r="A4010" t="s">
        <v>806</v>
      </c>
      <c r="B4010" t="s">
        <v>19</v>
      </c>
      <c r="C4010" t="s">
        <v>720</v>
      </c>
      <c r="D4010" t="s">
        <v>1394</v>
      </c>
      <c r="E4010" s="17">
        <v>46053</v>
      </c>
      <c r="F4010" s="17">
        <v>46053</v>
      </c>
      <c r="G4010" s="13">
        <v>6000</v>
      </c>
      <c r="H4010" s="14">
        <v>0</v>
      </c>
      <c r="I4010" s="14">
        <v>0</v>
      </c>
      <c r="J4010" s="14">
        <v>0</v>
      </c>
      <c r="K4010" s="14">
        <v>6000</v>
      </c>
      <c r="L4010" t="s">
        <v>794</v>
      </c>
      <c r="M4010" s="23">
        <f t="shared" si="62"/>
        <v>2026</v>
      </c>
    </row>
    <row r="4011" spans="1:13" ht="12.75" hidden="1" customHeight="1">
      <c r="A4011" t="s">
        <v>907</v>
      </c>
      <c r="B4011" t="s">
        <v>291</v>
      </c>
      <c r="C4011" t="s">
        <v>646</v>
      </c>
      <c r="D4011" t="s">
        <v>1378</v>
      </c>
      <c r="E4011" s="17">
        <v>46055</v>
      </c>
      <c r="F4011" s="17">
        <v>46055</v>
      </c>
      <c r="G4011" s="13">
        <v>2.4500000000000002</v>
      </c>
      <c r="H4011" s="14">
        <v>0</v>
      </c>
      <c r="I4011" s="14">
        <v>0</v>
      </c>
      <c r="J4011" s="14">
        <v>0</v>
      </c>
      <c r="K4011" s="14">
        <v>2.4500000000000002</v>
      </c>
      <c r="L4011" t="s">
        <v>794</v>
      </c>
      <c r="M4011" s="23">
        <f t="shared" si="62"/>
        <v>2026</v>
      </c>
    </row>
    <row r="4012" spans="1:13" ht="12.75" hidden="1" customHeight="1">
      <c r="A4012" t="s">
        <v>818</v>
      </c>
      <c r="B4012" t="s">
        <v>30</v>
      </c>
      <c r="C4012" t="s">
        <v>141</v>
      </c>
      <c r="D4012" t="s">
        <v>1378</v>
      </c>
      <c r="E4012" s="17">
        <v>46055</v>
      </c>
      <c r="F4012" s="17">
        <v>46055</v>
      </c>
      <c r="G4012" s="13">
        <v>228</v>
      </c>
      <c r="H4012" s="14">
        <v>0</v>
      </c>
      <c r="I4012" s="14">
        <v>0</v>
      </c>
      <c r="J4012" s="14">
        <v>0</v>
      </c>
      <c r="K4012" s="14">
        <v>228</v>
      </c>
      <c r="L4012" t="s">
        <v>794</v>
      </c>
      <c r="M4012" s="23">
        <f t="shared" ref="M4012:M4074" si="63">YEAR(F4012)</f>
        <v>2026</v>
      </c>
    </row>
    <row r="4013" spans="1:13" ht="12.75" hidden="1" customHeight="1">
      <c r="A4013" t="s">
        <v>1181</v>
      </c>
      <c r="B4013" t="s">
        <v>75</v>
      </c>
      <c r="C4013" t="s">
        <v>141</v>
      </c>
      <c r="D4013" t="s">
        <v>1378</v>
      </c>
      <c r="E4013" s="17">
        <v>46055</v>
      </c>
      <c r="F4013" s="17">
        <v>46055</v>
      </c>
      <c r="G4013" s="13">
        <v>248</v>
      </c>
      <c r="H4013" s="14">
        <v>0</v>
      </c>
      <c r="I4013" s="14">
        <v>0</v>
      </c>
      <c r="J4013" s="14">
        <v>0</v>
      </c>
      <c r="K4013" s="14">
        <v>248</v>
      </c>
      <c r="L4013" t="s">
        <v>794</v>
      </c>
      <c r="M4013" s="23">
        <f t="shared" si="63"/>
        <v>2026</v>
      </c>
    </row>
    <row r="4014" spans="1:13" ht="12.75" hidden="1" customHeight="1">
      <c r="A4014" t="s">
        <v>1317</v>
      </c>
      <c r="B4014" t="s">
        <v>64</v>
      </c>
      <c r="C4014" t="s">
        <v>141</v>
      </c>
      <c r="D4014" t="s">
        <v>1378</v>
      </c>
      <c r="E4014" s="17">
        <v>46055</v>
      </c>
      <c r="F4014" s="17">
        <v>46055</v>
      </c>
      <c r="G4014" s="13">
        <v>346</v>
      </c>
      <c r="H4014" s="14">
        <v>0</v>
      </c>
      <c r="I4014" s="14">
        <v>0</v>
      </c>
      <c r="J4014" s="14">
        <v>0</v>
      </c>
      <c r="K4014" s="14">
        <v>346</v>
      </c>
      <c r="L4014" t="s">
        <v>794</v>
      </c>
      <c r="M4014" s="23">
        <f t="shared" si="63"/>
        <v>2026</v>
      </c>
    </row>
    <row r="4015" spans="1:13" ht="12.75" hidden="1" customHeight="1">
      <c r="A4015" t="s">
        <v>1316</v>
      </c>
      <c r="B4015" t="s">
        <v>59</v>
      </c>
      <c r="C4015" t="s">
        <v>141</v>
      </c>
      <c r="D4015" t="s">
        <v>1378</v>
      </c>
      <c r="E4015" s="17">
        <v>46055</v>
      </c>
      <c r="F4015" s="17">
        <v>46055</v>
      </c>
      <c r="G4015" s="13">
        <v>236</v>
      </c>
      <c r="H4015" s="14">
        <v>0</v>
      </c>
      <c r="I4015" s="14">
        <v>0</v>
      </c>
      <c r="J4015" s="14">
        <v>0</v>
      </c>
      <c r="K4015" s="14">
        <v>236</v>
      </c>
      <c r="L4015" t="s">
        <v>794</v>
      </c>
      <c r="M4015" s="23">
        <f t="shared" si="63"/>
        <v>2026</v>
      </c>
    </row>
    <row r="4016" spans="1:13" ht="12.75" hidden="1" customHeight="1">
      <c r="A4016" t="s">
        <v>810</v>
      </c>
      <c r="B4016" t="s">
        <v>54</v>
      </c>
      <c r="C4016" t="s">
        <v>141</v>
      </c>
      <c r="D4016" t="s">
        <v>1378</v>
      </c>
      <c r="E4016" s="17">
        <v>46055</v>
      </c>
      <c r="F4016" s="17">
        <v>46055</v>
      </c>
      <c r="G4016" s="13">
        <v>186</v>
      </c>
      <c r="H4016" s="14">
        <v>0</v>
      </c>
      <c r="I4016" s="14">
        <v>0</v>
      </c>
      <c r="J4016" s="14">
        <v>0</v>
      </c>
      <c r="K4016" s="14">
        <v>186</v>
      </c>
      <c r="L4016" t="s">
        <v>794</v>
      </c>
      <c r="M4016" s="23">
        <f t="shared" si="63"/>
        <v>2026</v>
      </c>
    </row>
    <row r="4017" spans="1:13" ht="12.75" hidden="1" customHeight="1">
      <c r="A4017" t="s">
        <v>1108</v>
      </c>
      <c r="B4017" t="s">
        <v>328</v>
      </c>
      <c r="C4017" t="s">
        <v>483</v>
      </c>
      <c r="D4017" t="s">
        <v>1378</v>
      </c>
      <c r="E4017" s="17">
        <v>46055</v>
      </c>
      <c r="F4017" s="17">
        <v>46055</v>
      </c>
      <c r="G4017" s="13">
        <v>4.49</v>
      </c>
      <c r="H4017" s="14">
        <v>0</v>
      </c>
      <c r="I4017" s="14">
        <v>0</v>
      </c>
      <c r="J4017" s="14">
        <v>0</v>
      </c>
      <c r="K4017" s="14">
        <v>4.49</v>
      </c>
      <c r="L4017" t="s">
        <v>794</v>
      </c>
      <c r="M4017" s="23">
        <f t="shared" si="63"/>
        <v>2026</v>
      </c>
    </row>
    <row r="4018" spans="1:13" ht="12.75" hidden="1" customHeight="1">
      <c r="A4018" t="s">
        <v>932</v>
      </c>
      <c r="B4018" t="s">
        <v>933</v>
      </c>
      <c r="C4018" t="s">
        <v>728</v>
      </c>
      <c r="D4018" t="s">
        <v>1378</v>
      </c>
      <c r="E4018" s="17">
        <v>46057</v>
      </c>
      <c r="F4018" s="17">
        <v>46057</v>
      </c>
      <c r="G4018" s="13">
        <v>26</v>
      </c>
      <c r="H4018" s="14">
        <v>0</v>
      </c>
      <c r="I4018" s="14">
        <v>0</v>
      </c>
      <c r="J4018" s="14">
        <v>0</v>
      </c>
      <c r="K4018" s="14">
        <v>26</v>
      </c>
      <c r="L4018" t="s">
        <v>794</v>
      </c>
      <c r="M4018" s="23">
        <f t="shared" si="63"/>
        <v>2026</v>
      </c>
    </row>
    <row r="4019" spans="1:13" ht="12.75" hidden="1" customHeight="1">
      <c r="A4019" t="s">
        <v>932</v>
      </c>
      <c r="B4019" t="s">
        <v>933</v>
      </c>
      <c r="C4019" t="s">
        <v>728</v>
      </c>
      <c r="D4019" t="s">
        <v>1378</v>
      </c>
      <c r="E4019" s="17">
        <v>46057</v>
      </c>
      <c r="F4019" s="17">
        <v>46057</v>
      </c>
      <c r="G4019" s="13">
        <v>25</v>
      </c>
      <c r="H4019" s="14">
        <v>0</v>
      </c>
      <c r="I4019" s="14">
        <v>0</v>
      </c>
      <c r="J4019" s="14">
        <v>0</v>
      </c>
      <c r="K4019" s="14">
        <v>25</v>
      </c>
      <c r="L4019" t="s">
        <v>794</v>
      </c>
      <c r="M4019" s="23">
        <f t="shared" si="63"/>
        <v>2026</v>
      </c>
    </row>
    <row r="4020" spans="1:13" ht="12.75" hidden="1" customHeight="1">
      <c r="A4020" t="s">
        <v>910</v>
      </c>
      <c r="B4020" t="s">
        <v>567</v>
      </c>
      <c r="C4020" t="s">
        <v>99</v>
      </c>
      <c r="D4020" t="s">
        <v>1378</v>
      </c>
      <c r="E4020" s="17">
        <v>46057</v>
      </c>
      <c r="F4020" s="17">
        <v>46057</v>
      </c>
      <c r="G4020" s="13">
        <v>5.2</v>
      </c>
      <c r="H4020" s="14">
        <v>0</v>
      </c>
      <c r="I4020" s="14">
        <v>0</v>
      </c>
      <c r="J4020" s="14">
        <v>0</v>
      </c>
      <c r="K4020" s="14">
        <v>5.2</v>
      </c>
      <c r="L4020" t="s">
        <v>794</v>
      </c>
      <c r="M4020" s="23">
        <f t="shared" si="63"/>
        <v>2026</v>
      </c>
    </row>
    <row r="4021" spans="1:13" ht="12.75" hidden="1" customHeight="1">
      <c r="A4021" t="s">
        <v>1108</v>
      </c>
      <c r="B4021" t="s">
        <v>328</v>
      </c>
      <c r="C4021" t="s">
        <v>558</v>
      </c>
      <c r="D4021" t="s">
        <v>1378</v>
      </c>
      <c r="E4021" s="17">
        <v>46057</v>
      </c>
      <c r="F4021" s="17">
        <v>46057</v>
      </c>
      <c r="G4021" s="13">
        <v>10.99</v>
      </c>
      <c r="H4021" s="14">
        <v>0</v>
      </c>
      <c r="I4021" s="14">
        <v>0</v>
      </c>
      <c r="J4021" s="14">
        <v>0</v>
      </c>
      <c r="K4021" s="14">
        <v>10.99</v>
      </c>
      <c r="L4021" t="s">
        <v>794</v>
      </c>
      <c r="M4021" s="23">
        <f t="shared" si="63"/>
        <v>2026</v>
      </c>
    </row>
    <row r="4022" spans="1:13" ht="12.75" hidden="1" customHeight="1">
      <c r="A4022" t="s">
        <v>917</v>
      </c>
      <c r="B4022" t="s">
        <v>456</v>
      </c>
      <c r="C4022" t="s">
        <v>728</v>
      </c>
      <c r="D4022" t="s">
        <v>1378</v>
      </c>
      <c r="E4022" s="17">
        <v>46057</v>
      </c>
      <c r="F4022" s="17">
        <v>46057</v>
      </c>
      <c r="G4022" s="13">
        <v>10</v>
      </c>
      <c r="H4022" s="14">
        <v>0</v>
      </c>
      <c r="I4022" s="14">
        <v>0</v>
      </c>
      <c r="J4022" s="14">
        <v>0</v>
      </c>
      <c r="K4022" s="14">
        <v>10</v>
      </c>
      <c r="L4022" t="s">
        <v>794</v>
      </c>
      <c r="M4022" s="23">
        <f t="shared" si="63"/>
        <v>2026</v>
      </c>
    </row>
    <row r="4023" spans="1:13" ht="12.75" hidden="1" customHeight="1">
      <c r="A4023" t="s">
        <v>981</v>
      </c>
      <c r="B4023" t="s">
        <v>55</v>
      </c>
      <c r="C4023" t="s">
        <v>99</v>
      </c>
      <c r="D4023" t="s">
        <v>1378</v>
      </c>
      <c r="E4023" s="17">
        <v>46058</v>
      </c>
      <c r="F4023" s="17">
        <v>46058</v>
      </c>
      <c r="G4023" s="13">
        <v>700</v>
      </c>
      <c r="H4023" s="14">
        <v>0</v>
      </c>
      <c r="I4023" s="14">
        <v>0</v>
      </c>
      <c r="J4023" s="14">
        <v>0</v>
      </c>
      <c r="K4023" s="14">
        <v>700</v>
      </c>
      <c r="L4023" t="s">
        <v>794</v>
      </c>
      <c r="M4023" s="23">
        <f t="shared" si="63"/>
        <v>2026</v>
      </c>
    </row>
    <row r="4024" spans="1:13" ht="12.75" hidden="1" customHeight="1">
      <c r="A4024" t="s">
        <v>981</v>
      </c>
      <c r="B4024" t="s">
        <v>55</v>
      </c>
      <c r="C4024" t="s">
        <v>99</v>
      </c>
      <c r="D4024" t="s">
        <v>1378</v>
      </c>
      <c r="E4024" s="17">
        <v>46058</v>
      </c>
      <c r="F4024" s="17">
        <v>46058</v>
      </c>
      <c r="G4024" s="13">
        <v>150</v>
      </c>
      <c r="H4024" s="14">
        <v>0</v>
      </c>
      <c r="I4024" s="14">
        <v>0</v>
      </c>
      <c r="J4024" s="14">
        <v>0</v>
      </c>
      <c r="K4024" s="14">
        <v>150</v>
      </c>
      <c r="L4024" t="s">
        <v>794</v>
      </c>
      <c r="M4024" s="23">
        <f t="shared" si="63"/>
        <v>2026</v>
      </c>
    </row>
    <row r="4025" spans="1:13" ht="12.75" hidden="1" customHeight="1">
      <c r="A4025" t="s">
        <v>808</v>
      </c>
      <c r="B4025" t="s">
        <v>154</v>
      </c>
      <c r="C4025" t="s">
        <v>693</v>
      </c>
      <c r="D4025" t="s">
        <v>1378</v>
      </c>
      <c r="E4025" s="17">
        <v>46059</v>
      </c>
      <c r="F4025" s="17">
        <v>46059</v>
      </c>
      <c r="G4025" s="13">
        <v>550</v>
      </c>
      <c r="H4025" s="14">
        <v>0</v>
      </c>
      <c r="I4025" s="14">
        <v>0</v>
      </c>
      <c r="J4025" s="14">
        <v>0</v>
      </c>
      <c r="K4025" s="14">
        <v>550</v>
      </c>
      <c r="L4025" t="s">
        <v>794</v>
      </c>
      <c r="M4025" s="23">
        <f t="shared" si="63"/>
        <v>2026</v>
      </c>
    </row>
    <row r="4026" spans="1:13" ht="12.75" hidden="1" customHeight="1">
      <c r="A4026" t="s">
        <v>896</v>
      </c>
      <c r="B4026" t="s">
        <v>293</v>
      </c>
      <c r="C4026" t="s">
        <v>733</v>
      </c>
      <c r="D4026" t="s">
        <v>1378</v>
      </c>
      <c r="E4026" s="17">
        <v>46059</v>
      </c>
      <c r="F4026" s="17">
        <v>46059</v>
      </c>
      <c r="G4026" s="13">
        <v>30</v>
      </c>
      <c r="H4026" s="14">
        <v>0</v>
      </c>
      <c r="I4026" s="14">
        <v>0</v>
      </c>
      <c r="J4026" s="14">
        <v>0</v>
      </c>
      <c r="K4026" s="14">
        <v>30</v>
      </c>
      <c r="L4026" t="s">
        <v>794</v>
      </c>
      <c r="M4026" s="23">
        <f t="shared" si="63"/>
        <v>2026</v>
      </c>
    </row>
    <row r="4027" spans="1:13" ht="12.75" hidden="1" customHeight="1">
      <c r="A4027" t="s">
        <v>833</v>
      </c>
      <c r="B4027" t="s">
        <v>27</v>
      </c>
      <c r="C4027" t="s">
        <v>733</v>
      </c>
      <c r="D4027" t="s">
        <v>1378</v>
      </c>
      <c r="E4027" s="17">
        <v>46059</v>
      </c>
      <c r="F4027" s="17">
        <v>46059</v>
      </c>
      <c r="G4027" s="13">
        <v>60</v>
      </c>
      <c r="H4027" s="14">
        <v>0</v>
      </c>
      <c r="I4027" s="14">
        <v>0</v>
      </c>
      <c r="J4027" s="14">
        <v>0</v>
      </c>
      <c r="K4027" s="14">
        <v>60</v>
      </c>
      <c r="L4027" t="s">
        <v>794</v>
      </c>
      <c r="M4027" s="23">
        <f t="shared" si="63"/>
        <v>2026</v>
      </c>
    </row>
    <row r="4028" spans="1:13" ht="12.75" hidden="1" customHeight="1">
      <c r="A4028" t="s">
        <v>1420</v>
      </c>
      <c r="B4028" t="s">
        <v>136</v>
      </c>
      <c r="C4028" t="s">
        <v>140</v>
      </c>
      <c r="D4028" t="s">
        <v>1378</v>
      </c>
      <c r="E4028" s="17">
        <v>46060</v>
      </c>
      <c r="F4028" s="17">
        <v>46060</v>
      </c>
      <c r="G4028" s="13">
        <v>30</v>
      </c>
      <c r="H4028" s="14">
        <v>0</v>
      </c>
      <c r="I4028" s="14">
        <v>0</v>
      </c>
      <c r="J4028" s="14">
        <v>0</v>
      </c>
      <c r="K4028" s="14">
        <v>30</v>
      </c>
      <c r="L4028" t="s">
        <v>794</v>
      </c>
      <c r="M4028" s="23">
        <f t="shared" si="63"/>
        <v>2026</v>
      </c>
    </row>
    <row r="4029" spans="1:13" ht="12.75" hidden="1" customHeight="1">
      <c r="A4029" t="s">
        <v>1421</v>
      </c>
      <c r="B4029" t="s">
        <v>489</v>
      </c>
      <c r="C4029" t="s">
        <v>398</v>
      </c>
      <c r="D4029" t="s">
        <v>1378</v>
      </c>
      <c r="E4029" s="17">
        <v>46060</v>
      </c>
      <c r="F4029" s="17">
        <v>46060</v>
      </c>
      <c r="G4029" s="13">
        <v>150</v>
      </c>
      <c r="H4029" s="14">
        <v>0</v>
      </c>
      <c r="I4029" s="14">
        <v>0</v>
      </c>
      <c r="J4029" s="14">
        <v>0</v>
      </c>
      <c r="K4029" s="14">
        <v>150</v>
      </c>
      <c r="L4029" t="s">
        <v>794</v>
      </c>
      <c r="M4029" s="23">
        <f t="shared" si="63"/>
        <v>2026</v>
      </c>
    </row>
    <row r="4030" spans="1:13" ht="12.75" hidden="1" customHeight="1">
      <c r="A4030" t="s">
        <v>998</v>
      </c>
      <c r="B4030" t="s">
        <v>368</v>
      </c>
      <c r="C4030" t="s">
        <v>733</v>
      </c>
      <c r="D4030" t="s">
        <v>1378</v>
      </c>
      <c r="E4030" s="17">
        <v>46062</v>
      </c>
      <c r="F4030" s="17">
        <v>46062</v>
      </c>
      <c r="G4030" s="13">
        <v>50</v>
      </c>
      <c r="H4030" s="14">
        <v>0</v>
      </c>
      <c r="I4030" s="14">
        <v>0</v>
      </c>
      <c r="J4030" s="14">
        <v>0</v>
      </c>
      <c r="K4030" s="14">
        <v>50</v>
      </c>
      <c r="L4030" t="s">
        <v>794</v>
      </c>
      <c r="M4030" s="23">
        <f t="shared" si="63"/>
        <v>2026</v>
      </c>
    </row>
    <row r="4031" spans="1:13" ht="12.75" hidden="1" customHeight="1">
      <c r="A4031" t="s">
        <v>819</v>
      </c>
      <c r="B4031" t="s">
        <v>38</v>
      </c>
      <c r="C4031" t="s">
        <v>141</v>
      </c>
      <c r="D4031" t="s">
        <v>1378</v>
      </c>
      <c r="E4031" s="17">
        <v>46059</v>
      </c>
      <c r="F4031" s="17">
        <v>46062</v>
      </c>
      <c r="G4031" s="13">
        <v>200</v>
      </c>
      <c r="H4031" s="14">
        <v>0</v>
      </c>
      <c r="I4031" s="14">
        <v>0</v>
      </c>
      <c r="J4031" s="14">
        <v>0</v>
      </c>
      <c r="K4031" s="14">
        <v>200</v>
      </c>
      <c r="L4031" t="s">
        <v>794</v>
      </c>
      <c r="M4031" s="23">
        <f t="shared" si="63"/>
        <v>2026</v>
      </c>
    </row>
    <row r="4032" spans="1:13" ht="12.75" hidden="1" customHeight="1">
      <c r="A4032" t="s">
        <v>811</v>
      </c>
      <c r="B4032" t="s">
        <v>39</v>
      </c>
      <c r="C4032" t="s">
        <v>141</v>
      </c>
      <c r="D4032" t="s">
        <v>1378</v>
      </c>
      <c r="E4032" s="17">
        <v>46062</v>
      </c>
      <c r="F4032" s="17">
        <v>46062</v>
      </c>
      <c r="G4032" s="13">
        <v>36</v>
      </c>
      <c r="H4032" s="14">
        <v>0</v>
      </c>
      <c r="I4032" s="14">
        <v>0</v>
      </c>
      <c r="J4032" s="14">
        <v>0</v>
      </c>
      <c r="K4032" s="14">
        <v>36</v>
      </c>
      <c r="L4032" t="s">
        <v>794</v>
      </c>
      <c r="M4032" s="23">
        <f t="shared" si="63"/>
        <v>2026</v>
      </c>
    </row>
    <row r="4033" spans="1:13" ht="12.75" hidden="1" customHeight="1">
      <c r="A4033" t="s">
        <v>818</v>
      </c>
      <c r="B4033" t="s">
        <v>30</v>
      </c>
      <c r="C4033" t="s">
        <v>141</v>
      </c>
      <c r="D4033" t="s">
        <v>1378</v>
      </c>
      <c r="E4033" s="17">
        <v>46062</v>
      </c>
      <c r="F4033" s="17">
        <v>46062</v>
      </c>
      <c r="G4033" s="13">
        <v>228</v>
      </c>
      <c r="H4033" s="14">
        <v>0</v>
      </c>
      <c r="I4033" s="14">
        <v>0</v>
      </c>
      <c r="J4033" s="14">
        <v>0</v>
      </c>
      <c r="K4033" s="14">
        <v>228</v>
      </c>
      <c r="L4033" t="s">
        <v>794</v>
      </c>
      <c r="M4033" s="23">
        <f t="shared" si="63"/>
        <v>2026</v>
      </c>
    </row>
    <row r="4034" spans="1:13" ht="12.75" hidden="1" customHeight="1">
      <c r="A4034" t="s">
        <v>1317</v>
      </c>
      <c r="B4034" t="s">
        <v>64</v>
      </c>
      <c r="C4034" t="s">
        <v>141</v>
      </c>
      <c r="D4034" t="s">
        <v>1378</v>
      </c>
      <c r="E4034" s="17">
        <v>46062</v>
      </c>
      <c r="F4034" s="17">
        <v>46062</v>
      </c>
      <c r="G4034" s="13">
        <v>160</v>
      </c>
      <c r="H4034" s="14">
        <v>0</v>
      </c>
      <c r="I4034" s="14">
        <v>0</v>
      </c>
      <c r="J4034" s="14">
        <v>0</v>
      </c>
      <c r="K4034" s="14">
        <v>160</v>
      </c>
      <c r="L4034" t="s">
        <v>794</v>
      </c>
      <c r="M4034" s="23">
        <f t="shared" si="63"/>
        <v>2026</v>
      </c>
    </row>
    <row r="4035" spans="1:13" ht="12.75" hidden="1" customHeight="1">
      <c r="A4035" t="s">
        <v>1316</v>
      </c>
      <c r="B4035" t="s">
        <v>59</v>
      </c>
      <c r="C4035" t="s">
        <v>141</v>
      </c>
      <c r="D4035" t="s">
        <v>1378</v>
      </c>
      <c r="E4035" s="17">
        <v>46062</v>
      </c>
      <c r="F4035" s="17">
        <v>46062</v>
      </c>
      <c r="G4035" s="13">
        <v>106</v>
      </c>
      <c r="H4035" s="14">
        <v>0</v>
      </c>
      <c r="I4035" s="14">
        <v>0</v>
      </c>
      <c r="J4035" s="14">
        <v>0</v>
      </c>
      <c r="K4035" s="14">
        <v>106</v>
      </c>
      <c r="L4035" t="s">
        <v>794</v>
      </c>
      <c r="M4035" s="23">
        <f t="shared" si="63"/>
        <v>2026</v>
      </c>
    </row>
    <row r="4036" spans="1:13" ht="12.75" hidden="1" customHeight="1">
      <c r="A4036" t="s">
        <v>1420</v>
      </c>
      <c r="B4036" t="s">
        <v>136</v>
      </c>
      <c r="C4036" t="s">
        <v>140</v>
      </c>
      <c r="D4036" t="s">
        <v>1378</v>
      </c>
      <c r="E4036" s="17">
        <v>46062</v>
      </c>
      <c r="F4036" s="17">
        <v>46062</v>
      </c>
      <c r="G4036" s="13">
        <v>30</v>
      </c>
      <c r="H4036" s="14">
        <v>0</v>
      </c>
      <c r="I4036" s="14">
        <v>0</v>
      </c>
      <c r="J4036" s="14">
        <v>0</v>
      </c>
      <c r="K4036" s="14">
        <v>30</v>
      </c>
      <c r="L4036" t="s">
        <v>794</v>
      </c>
      <c r="M4036" s="23">
        <f t="shared" si="63"/>
        <v>2026</v>
      </c>
    </row>
    <row r="4037" spans="1:13" ht="12.75" hidden="1" customHeight="1">
      <c r="A4037" t="s">
        <v>851</v>
      </c>
      <c r="B4037" t="s">
        <v>369</v>
      </c>
      <c r="C4037" t="s">
        <v>491</v>
      </c>
      <c r="D4037" t="s">
        <v>1378</v>
      </c>
      <c r="E4037" s="17">
        <v>46063</v>
      </c>
      <c r="F4037" s="17">
        <v>46063</v>
      </c>
      <c r="G4037" s="13">
        <v>100</v>
      </c>
      <c r="H4037" s="14">
        <v>0</v>
      </c>
      <c r="I4037" s="14">
        <v>0</v>
      </c>
      <c r="J4037" s="14">
        <v>0</v>
      </c>
      <c r="K4037" s="14">
        <v>100</v>
      </c>
      <c r="L4037" t="s">
        <v>794</v>
      </c>
      <c r="M4037" s="23">
        <f t="shared" si="63"/>
        <v>2026</v>
      </c>
    </row>
    <row r="4038" spans="1:13" ht="12.75" hidden="1" customHeight="1">
      <c r="A4038" t="s">
        <v>1420</v>
      </c>
      <c r="B4038" t="s">
        <v>136</v>
      </c>
      <c r="C4038" t="s">
        <v>140</v>
      </c>
      <c r="D4038" t="s">
        <v>1378</v>
      </c>
      <c r="E4038" s="17">
        <v>46063</v>
      </c>
      <c r="F4038" s="17">
        <v>46063</v>
      </c>
      <c r="G4038" s="13">
        <v>150</v>
      </c>
      <c r="H4038" s="14">
        <v>0</v>
      </c>
      <c r="I4038" s="14">
        <v>0</v>
      </c>
      <c r="J4038" s="14">
        <v>0</v>
      </c>
      <c r="K4038" s="14">
        <v>150</v>
      </c>
      <c r="L4038" t="s">
        <v>794</v>
      </c>
      <c r="M4038" s="23">
        <f t="shared" si="63"/>
        <v>2026</v>
      </c>
    </row>
    <row r="4039" spans="1:13" ht="12.75" hidden="1" customHeight="1">
      <c r="A4039" t="s">
        <v>1105</v>
      </c>
      <c r="B4039" t="s">
        <v>1395</v>
      </c>
      <c r="C4039" t="s">
        <v>141</v>
      </c>
      <c r="D4039" t="s">
        <v>1378</v>
      </c>
      <c r="E4039" s="17">
        <v>46063</v>
      </c>
      <c r="F4039" s="17">
        <v>46063</v>
      </c>
      <c r="G4039" s="13">
        <v>150</v>
      </c>
      <c r="H4039" s="14">
        <v>0</v>
      </c>
      <c r="I4039" s="14">
        <v>0</v>
      </c>
      <c r="J4039" s="14">
        <v>0</v>
      </c>
      <c r="K4039" s="14">
        <v>150</v>
      </c>
      <c r="L4039" t="s">
        <v>794</v>
      </c>
      <c r="M4039" s="23">
        <f t="shared" si="63"/>
        <v>2026</v>
      </c>
    </row>
    <row r="4040" spans="1:13" ht="12.75" hidden="1" customHeight="1">
      <c r="A4040" t="s">
        <v>1112</v>
      </c>
      <c r="B4040" t="s">
        <v>68</v>
      </c>
      <c r="C4040" t="s">
        <v>141</v>
      </c>
      <c r="D4040" t="s">
        <v>1378</v>
      </c>
      <c r="E4040" s="17">
        <v>46063</v>
      </c>
      <c r="F4040" s="17">
        <v>46063</v>
      </c>
      <c r="G4040" s="13">
        <v>150</v>
      </c>
      <c r="H4040" s="14">
        <v>0</v>
      </c>
      <c r="I4040" s="14">
        <v>0</v>
      </c>
      <c r="J4040" s="14">
        <v>0</v>
      </c>
      <c r="K4040" s="14">
        <v>150</v>
      </c>
      <c r="L4040" t="s">
        <v>794</v>
      </c>
      <c r="M4040" s="23">
        <f t="shared" si="63"/>
        <v>2026</v>
      </c>
    </row>
    <row r="4041" spans="1:13" ht="12.75" hidden="1" customHeight="1">
      <c r="A4041" t="s">
        <v>1316</v>
      </c>
      <c r="B4041" t="s">
        <v>59</v>
      </c>
      <c r="C4041" t="s">
        <v>141</v>
      </c>
      <c r="D4041" t="s">
        <v>1378</v>
      </c>
      <c r="E4041" s="17">
        <v>46063</v>
      </c>
      <c r="F4041" s="17">
        <v>46063</v>
      </c>
      <c r="G4041" s="13">
        <v>1800</v>
      </c>
      <c r="H4041" s="14">
        <v>0</v>
      </c>
      <c r="I4041" s="14">
        <v>0</v>
      </c>
      <c r="J4041" s="14">
        <v>0</v>
      </c>
      <c r="K4041" s="14">
        <v>1800</v>
      </c>
      <c r="L4041" t="s">
        <v>794</v>
      </c>
      <c r="M4041" s="23">
        <f t="shared" si="63"/>
        <v>2026</v>
      </c>
    </row>
    <row r="4042" spans="1:13" ht="12.75" hidden="1" customHeight="1">
      <c r="A4042" t="s">
        <v>818</v>
      </c>
      <c r="B4042" t="s">
        <v>30</v>
      </c>
      <c r="C4042" t="s">
        <v>141</v>
      </c>
      <c r="D4042" t="s">
        <v>1378</v>
      </c>
      <c r="E4042" s="17">
        <v>46063</v>
      </c>
      <c r="F4042" s="17">
        <v>46063</v>
      </c>
      <c r="G4042" s="13">
        <v>1850</v>
      </c>
      <c r="H4042" s="14">
        <v>0</v>
      </c>
      <c r="I4042" s="14">
        <v>0</v>
      </c>
      <c r="J4042" s="14">
        <v>0</v>
      </c>
      <c r="K4042" s="14">
        <v>1850</v>
      </c>
      <c r="L4042" t="s">
        <v>794</v>
      </c>
      <c r="M4042" s="23">
        <f t="shared" si="63"/>
        <v>2026</v>
      </c>
    </row>
    <row r="4043" spans="1:13" ht="12.75" hidden="1" customHeight="1">
      <c r="A4043" t="s">
        <v>836</v>
      </c>
      <c r="B4043" t="s">
        <v>37</v>
      </c>
      <c r="C4043" t="s">
        <v>141</v>
      </c>
      <c r="D4043" t="s">
        <v>1378</v>
      </c>
      <c r="E4043" s="17">
        <v>46063</v>
      </c>
      <c r="F4043" s="17">
        <v>46063</v>
      </c>
      <c r="G4043" s="13">
        <v>200</v>
      </c>
      <c r="H4043" s="14">
        <v>0</v>
      </c>
      <c r="I4043" s="14">
        <v>0</v>
      </c>
      <c r="J4043" s="14">
        <v>0</v>
      </c>
      <c r="K4043" s="14">
        <v>200</v>
      </c>
      <c r="L4043" t="s">
        <v>794</v>
      </c>
      <c r="M4043" s="23">
        <f t="shared" si="63"/>
        <v>2026</v>
      </c>
    </row>
    <row r="4044" spans="1:13" ht="12.75" hidden="1" customHeight="1">
      <c r="A4044" t="s">
        <v>1388</v>
      </c>
      <c r="B4044" t="s">
        <v>202</v>
      </c>
      <c r="C4044" t="s">
        <v>141</v>
      </c>
      <c r="D4044" t="s">
        <v>1378</v>
      </c>
      <c r="E4044" s="17">
        <v>46063</v>
      </c>
      <c r="F4044" s="17">
        <v>46063</v>
      </c>
      <c r="G4044" s="13">
        <v>150</v>
      </c>
      <c r="H4044" s="14">
        <v>0</v>
      </c>
      <c r="I4044" s="14">
        <v>0</v>
      </c>
      <c r="J4044" s="14">
        <v>0</v>
      </c>
      <c r="K4044" s="14">
        <v>150</v>
      </c>
      <c r="L4044" t="s">
        <v>794</v>
      </c>
      <c r="M4044" s="23">
        <f t="shared" si="63"/>
        <v>2026</v>
      </c>
    </row>
    <row r="4045" spans="1:13" ht="12.75" hidden="1" customHeight="1">
      <c r="A4045" t="s">
        <v>836</v>
      </c>
      <c r="B4045" t="s">
        <v>37</v>
      </c>
      <c r="C4045" t="s">
        <v>141</v>
      </c>
      <c r="D4045" t="s">
        <v>1378</v>
      </c>
      <c r="E4045" s="17">
        <v>46063</v>
      </c>
      <c r="F4045" s="17">
        <v>46063</v>
      </c>
      <c r="G4045" s="13">
        <v>120</v>
      </c>
      <c r="H4045" s="14">
        <v>0</v>
      </c>
      <c r="I4045" s="14">
        <v>0</v>
      </c>
      <c r="J4045" s="14">
        <v>0</v>
      </c>
      <c r="K4045" s="14">
        <v>120</v>
      </c>
      <c r="L4045" t="s">
        <v>794</v>
      </c>
      <c r="M4045" s="23">
        <f t="shared" si="63"/>
        <v>2026</v>
      </c>
    </row>
    <row r="4046" spans="1:13" ht="12.75" hidden="1" customHeight="1">
      <c r="A4046" t="s">
        <v>836</v>
      </c>
      <c r="B4046" t="s">
        <v>37</v>
      </c>
      <c r="C4046" t="s">
        <v>141</v>
      </c>
      <c r="D4046" t="s">
        <v>1378</v>
      </c>
      <c r="E4046" s="17">
        <v>46063</v>
      </c>
      <c r="F4046" s="17">
        <v>46063</v>
      </c>
      <c r="G4046" s="13">
        <v>150</v>
      </c>
      <c r="H4046" s="14">
        <v>0</v>
      </c>
      <c r="I4046" s="14">
        <v>0</v>
      </c>
      <c r="J4046" s="14">
        <v>0</v>
      </c>
      <c r="K4046" s="14">
        <v>150</v>
      </c>
      <c r="L4046" t="s">
        <v>794</v>
      </c>
      <c r="M4046" s="23">
        <f t="shared" si="63"/>
        <v>2026</v>
      </c>
    </row>
    <row r="4047" spans="1:13" ht="12.75" hidden="1" customHeight="1">
      <c r="A4047" t="s">
        <v>1196</v>
      </c>
      <c r="B4047" t="s">
        <v>1197</v>
      </c>
      <c r="C4047" t="s">
        <v>141</v>
      </c>
      <c r="D4047" t="s">
        <v>1378</v>
      </c>
      <c r="E4047" s="17">
        <v>46063</v>
      </c>
      <c r="F4047" s="17">
        <v>46063</v>
      </c>
      <c r="G4047" s="13">
        <v>350</v>
      </c>
      <c r="H4047" s="14">
        <v>0</v>
      </c>
      <c r="I4047" s="14">
        <v>0</v>
      </c>
      <c r="J4047" s="14">
        <v>0</v>
      </c>
      <c r="K4047" s="14">
        <v>350</v>
      </c>
      <c r="L4047" t="s">
        <v>794</v>
      </c>
      <c r="M4047" s="23">
        <f t="shared" si="63"/>
        <v>2026</v>
      </c>
    </row>
    <row r="4048" spans="1:13" ht="12.75" hidden="1" customHeight="1">
      <c r="A4048" t="s">
        <v>833</v>
      </c>
      <c r="B4048" t="s">
        <v>27</v>
      </c>
      <c r="C4048" t="s">
        <v>141</v>
      </c>
      <c r="D4048" t="s">
        <v>1378</v>
      </c>
      <c r="E4048" s="17">
        <v>46063</v>
      </c>
      <c r="F4048" s="17">
        <v>46063</v>
      </c>
      <c r="G4048" s="13">
        <v>750</v>
      </c>
      <c r="H4048" s="14">
        <v>0</v>
      </c>
      <c r="I4048" s="14">
        <v>0</v>
      </c>
      <c r="J4048" s="14">
        <v>0</v>
      </c>
      <c r="K4048" s="14">
        <v>750</v>
      </c>
      <c r="L4048" t="s">
        <v>794</v>
      </c>
      <c r="M4048" s="23">
        <f t="shared" si="63"/>
        <v>2026</v>
      </c>
    </row>
    <row r="4049" spans="1:13" ht="12.75" hidden="1" customHeight="1">
      <c r="A4049" t="s">
        <v>961</v>
      </c>
      <c r="B4049" t="s">
        <v>41</v>
      </c>
      <c r="C4049" t="s">
        <v>141</v>
      </c>
      <c r="D4049" t="s">
        <v>1378</v>
      </c>
      <c r="E4049" s="17">
        <v>46063</v>
      </c>
      <c r="F4049" s="17">
        <v>46063</v>
      </c>
      <c r="G4049" s="13">
        <v>150</v>
      </c>
      <c r="H4049" s="14">
        <v>0</v>
      </c>
      <c r="I4049" s="14">
        <v>0</v>
      </c>
      <c r="J4049" s="14">
        <v>0</v>
      </c>
      <c r="K4049" s="14">
        <v>150</v>
      </c>
      <c r="L4049" t="s">
        <v>794</v>
      </c>
      <c r="M4049" s="23">
        <f t="shared" si="63"/>
        <v>2026</v>
      </c>
    </row>
    <row r="4050" spans="1:13" ht="12.75" hidden="1" customHeight="1">
      <c r="A4050" t="s">
        <v>961</v>
      </c>
      <c r="B4050" t="s">
        <v>41</v>
      </c>
      <c r="C4050" t="s">
        <v>141</v>
      </c>
      <c r="D4050" t="s">
        <v>1378</v>
      </c>
      <c r="E4050" s="17">
        <v>46063</v>
      </c>
      <c r="F4050" s="17">
        <v>46063</v>
      </c>
      <c r="G4050" s="13">
        <v>100</v>
      </c>
      <c r="H4050" s="14">
        <v>0</v>
      </c>
      <c r="I4050" s="14">
        <v>0</v>
      </c>
      <c r="J4050" s="14">
        <v>0</v>
      </c>
      <c r="K4050" s="14">
        <v>100</v>
      </c>
      <c r="L4050" t="s">
        <v>794</v>
      </c>
      <c r="M4050" s="23">
        <f t="shared" si="63"/>
        <v>2026</v>
      </c>
    </row>
    <row r="4051" spans="1:13" ht="12.75" hidden="1" customHeight="1">
      <c r="A4051" t="s">
        <v>826</v>
      </c>
      <c r="B4051" t="s">
        <v>21</v>
      </c>
      <c r="C4051" t="s">
        <v>141</v>
      </c>
      <c r="D4051" t="s">
        <v>1378</v>
      </c>
      <c r="E4051" s="17">
        <v>46063</v>
      </c>
      <c r="F4051" s="17">
        <v>46063</v>
      </c>
      <c r="G4051" s="13">
        <v>6230</v>
      </c>
      <c r="H4051" s="14">
        <v>0</v>
      </c>
      <c r="I4051" s="14">
        <v>0</v>
      </c>
      <c r="J4051" s="14">
        <v>0</v>
      </c>
      <c r="K4051" s="14">
        <v>230</v>
      </c>
      <c r="L4051" t="s">
        <v>794</v>
      </c>
      <c r="M4051" s="23">
        <f t="shared" si="63"/>
        <v>2026</v>
      </c>
    </row>
    <row r="4052" spans="1:13" ht="12.75" hidden="1" customHeight="1">
      <c r="A4052" t="s">
        <v>1375</v>
      </c>
      <c r="B4052" t="s">
        <v>290</v>
      </c>
      <c r="C4052" t="s">
        <v>200</v>
      </c>
      <c r="D4052" t="s">
        <v>1378</v>
      </c>
      <c r="E4052" s="17">
        <v>46063</v>
      </c>
      <c r="F4052" s="17">
        <v>46063</v>
      </c>
      <c r="G4052" s="13">
        <v>252</v>
      </c>
      <c r="H4052" s="14">
        <v>0</v>
      </c>
      <c r="I4052" s="14">
        <v>0</v>
      </c>
      <c r="J4052" s="14">
        <v>0</v>
      </c>
      <c r="K4052" s="14">
        <v>252</v>
      </c>
      <c r="L4052" t="s">
        <v>794</v>
      </c>
      <c r="M4052" s="23">
        <f t="shared" si="63"/>
        <v>2026</v>
      </c>
    </row>
    <row r="4053" spans="1:13" ht="12.75" hidden="1" customHeight="1">
      <c r="A4053" t="s">
        <v>819</v>
      </c>
      <c r="B4053" t="s">
        <v>38</v>
      </c>
      <c r="C4053" t="s">
        <v>141</v>
      </c>
      <c r="D4053" t="s">
        <v>1378</v>
      </c>
      <c r="E4053" s="17">
        <v>46063</v>
      </c>
      <c r="F4053" s="17">
        <v>46063</v>
      </c>
      <c r="G4053" s="13">
        <v>100</v>
      </c>
      <c r="H4053" s="14">
        <v>0</v>
      </c>
      <c r="I4053" s="14">
        <v>0</v>
      </c>
      <c r="J4053" s="14">
        <v>0</v>
      </c>
      <c r="K4053" s="14">
        <v>100</v>
      </c>
      <c r="L4053" t="s">
        <v>794</v>
      </c>
      <c r="M4053" s="23">
        <f t="shared" si="63"/>
        <v>2026</v>
      </c>
    </row>
    <row r="4054" spans="1:13" ht="12.75" hidden="1" customHeight="1">
      <c r="A4054" t="s">
        <v>1112</v>
      </c>
      <c r="B4054" t="s">
        <v>68</v>
      </c>
      <c r="C4054" t="s">
        <v>141</v>
      </c>
      <c r="D4054" t="s">
        <v>1378</v>
      </c>
      <c r="E4054" s="17">
        <v>46064</v>
      </c>
      <c r="F4054" s="17">
        <v>46064</v>
      </c>
      <c r="G4054" s="13">
        <v>500</v>
      </c>
      <c r="H4054" s="14">
        <v>0</v>
      </c>
      <c r="I4054" s="14">
        <v>0</v>
      </c>
      <c r="J4054" s="14">
        <v>0</v>
      </c>
      <c r="K4054" s="14">
        <v>500</v>
      </c>
      <c r="L4054" t="s">
        <v>794</v>
      </c>
      <c r="M4054" s="23">
        <f t="shared" si="63"/>
        <v>2026</v>
      </c>
    </row>
    <row r="4055" spans="1:13" ht="12.75" hidden="1" customHeight="1">
      <c r="A4055" t="s">
        <v>1377</v>
      </c>
      <c r="B4055" t="s">
        <v>299</v>
      </c>
      <c r="C4055" t="s">
        <v>141</v>
      </c>
      <c r="D4055" t="s">
        <v>1378</v>
      </c>
      <c r="E4055" s="17">
        <v>46064</v>
      </c>
      <c r="F4055" s="17">
        <v>46064</v>
      </c>
      <c r="G4055" s="13">
        <v>280</v>
      </c>
      <c r="H4055" s="14">
        <v>0</v>
      </c>
      <c r="I4055" s="14">
        <v>0</v>
      </c>
      <c r="J4055" s="14">
        <v>0</v>
      </c>
      <c r="K4055" s="14">
        <v>280</v>
      </c>
      <c r="L4055" t="s">
        <v>794</v>
      </c>
      <c r="M4055" s="23">
        <f t="shared" si="63"/>
        <v>2026</v>
      </c>
    </row>
    <row r="4056" spans="1:13" ht="12.75" hidden="1" customHeight="1">
      <c r="A4056" t="s">
        <v>1167</v>
      </c>
      <c r="B4056" t="s">
        <v>47</v>
      </c>
      <c r="C4056" t="s">
        <v>141</v>
      </c>
      <c r="D4056" t="s">
        <v>1378</v>
      </c>
      <c r="E4056" s="17">
        <v>46064</v>
      </c>
      <c r="F4056" s="17">
        <v>46064</v>
      </c>
      <c r="G4056" s="13">
        <v>40</v>
      </c>
      <c r="H4056" s="14">
        <v>0</v>
      </c>
      <c r="I4056" s="14">
        <v>0</v>
      </c>
      <c r="J4056" s="14">
        <v>0</v>
      </c>
      <c r="K4056" s="14">
        <v>40</v>
      </c>
      <c r="L4056" t="s">
        <v>794</v>
      </c>
      <c r="M4056" s="23">
        <f t="shared" si="63"/>
        <v>2026</v>
      </c>
    </row>
    <row r="4057" spans="1:13" ht="12.75" hidden="1" customHeight="1">
      <c r="A4057" t="s">
        <v>1167</v>
      </c>
      <c r="B4057" t="s">
        <v>47</v>
      </c>
      <c r="C4057" t="s">
        <v>141</v>
      </c>
      <c r="D4057" t="s">
        <v>1378</v>
      </c>
      <c r="E4057" s="17">
        <v>46064</v>
      </c>
      <c r="F4057" s="17">
        <v>46064</v>
      </c>
      <c r="G4057" s="13">
        <v>150</v>
      </c>
      <c r="H4057" s="14">
        <v>0</v>
      </c>
      <c r="I4057" s="14">
        <v>0</v>
      </c>
      <c r="J4057" s="14">
        <v>0</v>
      </c>
      <c r="K4057" s="14">
        <v>150</v>
      </c>
      <c r="L4057" t="s">
        <v>794</v>
      </c>
      <c r="M4057" s="23">
        <f t="shared" si="63"/>
        <v>2026</v>
      </c>
    </row>
    <row r="4058" spans="1:13" ht="12.75" hidden="1" customHeight="1">
      <c r="A4058" t="s">
        <v>1104</v>
      </c>
      <c r="B4058" t="s">
        <v>53</v>
      </c>
      <c r="C4058" t="s">
        <v>141</v>
      </c>
      <c r="D4058" t="s">
        <v>1378</v>
      </c>
      <c r="E4058" s="17">
        <v>46064</v>
      </c>
      <c r="F4058" s="17">
        <v>46064</v>
      </c>
      <c r="G4058" s="13">
        <v>200</v>
      </c>
      <c r="H4058" s="14">
        <v>0</v>
      </c>
      <c r="I4058" s="14">
        <v>0</v>
      </c>
      <c r="J4058" s="14">
        <v>0</v>
      </c>
      <c r="K4058" s="14">
        <v>200</v>
      </c>
      <c r="L4058" t="s">
        <v>794</v>
      </c>
      <c r="M4058" s="23">
        <f t="shared" si="63"/>
        <v>2026</v>
      </c>
    </row>
    <row r="4059" spans="1:13" ht="12.75" hidden="1" customHeight="1">
      <c r="A4059" t="s">
        <v>1104</v>
      </c>
      <c r="B4059" t="s">
        <v>53</v>
      </c>
      <c r="C4059" t="s">
        <v>141</v>
      </c>
      <c r="D4059" t="s">
        <v>1378</v>
      </c>
      <c r="E4059" s="17">
        <v>46064</v>
      </c>
      <c r="F4059" s="17">
        <v>46064</v>
      </c>
      <c r="G4059" s="13">
        <v>150</v>
      </c>
      <c r="H4059" s="14">
        <v>0</v>
      </c>
      <c r="I4059" s="14">
        <v>0</v>
      </c>
      <c r="J4059" s="14">
        <v>0</v>
      </c>
      <c r="K4059" s="14">
        <v>150</v>
      </c>
      <c r="L4059" t="s">
        <v>794</v>
      </c>
      <c r="M4059" s="23">
        <f t="shared" si="63"/>
        <v>2026</v>
      </c>
    </row>
    <row r="4060" spans="1:13" ht="12.75" hidden="1" customHeight="1">
      <c r="A4060" t="s">
        <v>1422</v>
      </c>
      <c r="B4060" t="s">
        <v>645</v>
      </c>
      <c r="C4060" t="s">
        <v>647</v>
      </c>
      <c r="D4060" t="s">
        <v>1378</v>
      </c>
      <c r="E4060" s="17">
        <v>46064</v>
      </c>
      <c r="F4060" s="17">
        <v>46064</v>
      </c>
      <c r="G4060" s="13">
        <v>9.9</v>
      </c>
      <c r="H4060" s="14">
        <v>0</v>
      </c>
      <c r="I4060" s="14">
        <v>0</v>
      </c>
      <c r="J4060" s="14">
        <v>0</v>
      </c>
      <c r="K4060" s="14">
        <v>9.9</v>
      </c>
      <c r="L4060" t="s">
        <v>794</v>
      </c>
      <c r="M4060" s="23">
        <f t="shared" si="63"/>
        <v>2026</v>
      </c>
    </row>
    <row r="4061" spans="1:13" ht="12.75" hidden="1" customHeight="1">
      <c r="A4061" t="s">
        <v>811</v>
      </c>
      <c r="B4061" t="s">
        <v>39</v>
      </c>
      <c r="C4061" t="s">
        <v>141</v>
      </c>
      <c r="D4061" t="s">
        <v>1378</v>
      </c>
      <c r="E4061" s="17">
        <v>46063</v>
      </c>
      <c r="F4061" s="17">
        <v>46065</v>
      </c>
      <c r="G4061" s="13">
        <v>200</v>
      </c>
      <c r="H4061" s="14">
        <v>0</v>
      </c>
      <c r="I4061" s="14">
        <v>0</v>
      </c>
      <c r="J4061" s="14">
        <v>0</v>
      </c>
      <c r="K4061" s="14">
        <v>200</v>
      </c>
      <c r="L4061" t="s">
        <v>794</v>
      </c>
      <c r="M4061" s="23">
        <f t="shared" si="63"/>
        <v>2026</v>
      </c>
    </row>
    <row r="4062" spans="1:13" ht="12.75" hidden="1" customHeight="1">
      <c r="A4062" t="s">
        <v>998</v>
      </c>
      <c r="B4062" t="s">
        <v>368</v>
      </c>
      <c r="C4062" t="s">
        <v>733</v>
      </c>
      <c r="D4062" t="s">
        <v>1378</v>
      </c>
      <c r="E4062" s="17">
        <v>46065</v>
      </c>
      <c r="F4062" s="17">
        <v>46065</v>
      </c>
      <c r="G4062" s="13">
        <v>11.450000000000001</v>
      </c>
      <c r="H4062" s="14">
        <v>0</v>
      </c>
      <c r="I4062" s="14">
        <v>0</v>
      </c>
      <c r="J4062" s="14">
        <v>0</v>
      </c>
      <c r="K4062" s="14">
        <v>11.450000000000001</v>
      </c>
      <c r="L4062" t="s">
        <v>794</v>
      </c>
      <c r="M4062" s="23">
        <f t="shared" si="63"/>
        <v>2026</v>
      </c>
    </row>
    <row r="4063" spans="1:13" ht="12.75" hidden="1" customHeight="1">
      <c r="A4063" t="s">
        <v>1423</v>
      </c>
      <c r="B4063" t="s">
        <v>680</v>
      </c>
      <c r="C4063" t="s">
        <v>681</v>
      </c>
      <c r="D4063" t="s">
        <v>1378</v>
      </c>
      <c r="E4063" s="17">
        <v>46066</v>
      </c>
      <c r="F4063" s="17">
        <v>46066</v>
      </c>
      <c r="G4063" s="13">
        <v>19.95</v>
      </c>
      <c r="H4063" s="14">
        <v>0</v>
      </c>
      <c r="I4063" s="14">
        <v>0</v>
      </c>
      <c r="J4063" s="14">
        <v>0</v>
      </c>
      <c r="K4063" s="14">
        <v>19.95</v>
      </c>
      <c r="L4063" t="s">
        <v>794</v>
      </c>
      <c r="M4063" s="23">
        <f t="shared" si="63"/>
        <v>2026</v>
      </c>
    </row>
    <row r="4064" spans="1:13" ht="12.75" hidden="1" customHeight="1">
      <c r="A4064" t="s">
        <v>992</v>
      </c>
      <c r="B4064" t="s">
        <v>277</v>
      </c>
      <c r="C4064" t="s">
        <v>99</v>
      </c>
      <c r="D4064" t="s">
        <v>1378</v>
      </c>
      <c r="E4064" s="17">
        <v>46066</v>
      </c>
      <c r="F4064" s="17">
        <v>46066</v>
      </c>
      <c r="G4064" s="13">
        <v>17.900000000000002</v>
      </c>
      <c r="H4064" s="14">
        <v>0</v>
      </c>
      <c r="I4064" s="14">
        <v>0</v>
      </c>
      <c r="J4064" s="14">
        <v>0</v>
      </c>
      <c r="K4064" s="14">
        <v>17.900000000000002</v>
      </c>
      <c r="L4064" t="s">
        <v>794</v>
      </c>
      <c r="M4064" s="23">
        <f t="shared" si="63"/>
        <v>2026</v>
      </c>
    </row>
    <row r="4065" spans="1:13" ht="12.75" hidden="1" customHeight="1">
      <c r="A4065" t="s">
        <v>812</v>
      </c>
      <c r="B4065" t="s">
        <v>31</v>
      </c>
      <c r="C4065" t="s">
        <v>140</v>
      </c>
      <c r="D4065" t="s">
        <v>1378</v>
      </c>
      <c r="E4065" s="17">
        <v>46066</v>
      </c>
      <c r="F4065" s="17">
        <v>46066</v>
      </c>
      <c r="G4065" s="13">
        <v>255.42000000000002</v>
      </c>
      <c r="H4065" s="14">
        <v>0</v>
      </c>
      <c r="I4065" s="14">
        <v>0</v>
      </c>
      <c r="J4065" s="14">
        <v>0</v>
      </c>
      <c r="K4065" s="14">
        <v>255.42000000000002</v>
      </c>
      <c r="L4065" t="s">
        <v>794</v>
      </c>
      <c r="M4065" s="23">
        <f t="shared" si="63"/>
        <v>2026</v>
      </c>
    </row>
    <row r="4066" spans="1:13" ht="12.75" hidden="1" customHeight="1">
      <c r="A4066" t="s">
        <v>806</v>
      </c>
      <c r="B4066" t="s">
        <v>19</v>
      </c>
      <c r="C4066" t="s">
        <v>483</v>
      </c>
      <c r="D4066" t="s">
        <v>1378</v>
      </c>
      <c r="E4066" s="17">
        <v>46071</v>
      </c>
      <c r="F4066" s="17">
        <v>46071</v>
      </c>
      <c r="G4066" s="13">
        <v>104</v>
      </c>
      <c r="H4066" s="14">
        <v>0</v>
      </c>
      <c r="I4066" s="14">
        <v>0</v>
      </c>
      <c r="J4066" s="14">
        <v>0</v>
      </c>
      <c r="K4066" s="14">
        <v>104</v>
      </c>
      <c r="L4066" t="s">
        <v>794</v>
      </c>
      <c r="M4066" s="23">
        <f t="shared" si="63"/>
        <v>2026</v>
      </c>
    </row>
    <row r="4067" spans="1:13" ht="12.75" hidden="1" customHeight="1">
      <c r="A4067" t="s">
        <v>992</v>
      </c>
      <c r="B4067" t="s">
        <v>277</v>
      </c>
      <c r="C4067" t="s">
        <v>558</v>
      </c>
      <c r="D4067" t="s">
        <v>1378</v>
      </c>
      <c r="E4067" s="17">
        <v>46071</v>
      </c>
      <c r="F4067" s="17">
        <v>46071</v>
      </c>
      <c r="G4067" s="13">
        <v>29.900000000000002</v>
      </c>
      <c r="H4067" s="14">
        <v>0</v>
      </c>
      <c r="I4067" s="14">
        <v>0</v>
      </c>
      <c r="J4067" s="14">
        <v>0</v>
      </c>
      <c r="K4067" s="14">
        <v>29.900000000000002</v>
      </c>
      <c r="L4067" t="s">
        <v>794</v>
      </c>
      <c r="M4067" s="23">
        <f t="shared" si="63"/>
        <v>2026</v>
      </c>
    </row>
    <row r="4068" spans="1:13" ht="12.75" hidden="1" customHeight="1">
      <c r="A4068" t="s">
        <v>1420</v>
      </c>
      <c r="B4068" t="s">
        <v>136</v>
      </c>
      <c r="C4068" t="s">
        <v>141</v>
      </c>
      <c r="D4068" t="s">
        <v>1378</v>
      </c>
      <c r="E4068" s="17">
        <v>46071</v>
      </c>
      <c r="F4068" s="17">
        <v>46071</v>
      </c>
      <c r="G4068" s="13">
        <v>36</v>
      </c>
      <c r="H4068" s="14">
        <v>0</v>
      </c>
      <c r="I4068" s="14">
        <v>0</v>
      </c>
      <c r="J4068" s="14">
        <v>0</v>
      </c>
      <c r="K4068" s="14">
        <v>36</v>
      </c>
      <c r="L4068" t="s">
        <v>794</v>
      </c>
      <c r="M4068" s="23">
        <f t="shared" si="63"/>
        <v>2026</v>
      </c>
    </row>
    <row r="4069" spans="1:13" ht="12.75" hidden="1" customHeight="1">
      <c r="A4069" t="s">
        <v>1420</v>
      </c>
      <c r="B4069" t="s">
        <v>136</v>
      </c>
      <c r="C4069" t="s">
        <v>139</v>
      </c>
      <c r="D4069" t="s">
        <v>1378</v>
      </c>
      <c r="E4069" s="17">
        <v>46071</v>
      </c>
      <c r="F4069" s="17">
        <v>46071</v>
      </c>
      <c r="G4069" s="13">
        <v>36.6</v>
      </c>
      <c r="H4069" s="14">
        <v>0</v>
      </c>
      <c r="I4069" s="14">
        <v>0</v>
      </c>
      <c r="J4069" s="14">
        <v>0</v>
      </c>
      <c r="K4069" s="14">
        <v>36.6</v>
      </c>
      <c r="L4069" t="s">
        <v>794</v>
      </c>
      <c r="M4069" s="23">
        <f t="shared" si="63"/>
        <v>2026</v>
      </c>
    </row>
    <row r="4070" spans="1:13" ht="12.75" hidden="1" customHeight="1">
      <c r="A4070" t="s">
        <v>818</v>
      </c>
      <c r="B4070" t="s">
        <v>30</v>
      </c>
      <c r="C4070" t="s">
        <v>141</v>
      </c>
      <c r="D4070" t="s">
        <v>1378</v>
      </c>
      <c r="E4070" s="17">
        <v>46071</v>
      </c>
      <c r="F4070" s="17">
        <v>46071</v>
      </c>
      <c r="G4070" s="13">
        <v>286</v>
      </c>
      <c r="H4070" s="14">
        <v>0</v>
      </c>
      <c r="I4070" s="14">
        <v>0</v>
      </c>
      <c r="J4070" s="14">
        <v>0</v>
      </c>
      <c r="K4070" s="14">
        <v>286</v>
      </c>
      <c r="L4070" t="s">
        <v>794</v>
      </c>
      <c r="M4070" s="23">
        <f t="shared" si="63"/>
        <v>2026</v>
      </c>
    </row>
    <row r="4071" spans="1:13" ht="12.75" hidden="1" customHeight="1">
      <c r="A4071" t="s">
        <v>1420</v>
      </c>
      <c r="B4071" t="s">
        <v>136</v>
      </c>
      <c r="C4071" t="s">
        <v>142</v>
      </c>
      <c r="D4071" t="s">
        <v>1378</v>
      </c>
      <c r="E4071" s="17">
        <v>46073</v>
      </c>
      <c r="F4071" s="17">
        <v>46073</v>
      </c>
      <c r="G4071" s="13">
        <v>35</v>
      </c>
      <c r="H4071" s="14">
        <v>0</v>
      </c>
      <c r="I4071" s="14">
        <v>0</v>
      </c>
      <c r="J4071" s="14">
        <v>0</v>
      </c>
      <c r="K4071" s="14">
        <v>35</v>
      </c>
      <c r="L4071" t="s">
        <v>794</v>
      </c>
      <c r="M4071" s="23">
        <f t="shared" si="63"/>
        <v>2026</v>
      </c>
    </row>
    <row r="4072" spans="1:13" ht="12.75" hidden="1" customHeight="1">
      <c r="A4072" t="s">
        <v>1424</v>
      </c>
      <c r="B4072" t="s">
        <v>602</v>
      </c>
      <c r="C4072" t="s">
        <v>599</v>
      </c>
      <c r="D4072" t="s">
        <v>1378</v>
      </c>
      <c r="E4072" s="17">
        <v>46076</v>
      </c>
      <c r="F4072" s="17">
        <v>46076</v>
      </c>
      <c r="G4072" s="13">
        <v>50</v>
      </c>
      <c r="H4072" s="14">
        <v>0</v>
      </c>
      <c r="I4072" s="14">
        <v>0</v>
      </c>
      <c r="J4072" s="14">
        <v>0</v>
      </c>
      <c r="K4072" s="14">
        <v>50</v>
      </c>
      <c r="L4072" t="s">
        <v>794</v>
      </c>
      <c r="M4072" s="23">
        <f t="shared" si="63"/>
        <v>2026</v>
      </c>
    </row>
    <row r="4073" spans="1:13" ht="12.75" hidden="1" customHeight="1">
      <c r="A4073" t="s">
        <v>811</v>
      </c>
      <c r="B4073" t="s">
        <v>39</v>
      </c>
      <c r="C4073" t="s">
        <v>141</v>
      </c>
      <c r="D4073" t="s">
        <v>1378</v>
      </c>
      <c r="E4073" s="17">
        <v>46076</v>
      </c>
      <c r="F4073" s="17">
        <v>46076</v>
      </c>
      <c r="G4073" s="13">
        <v>36</v>
      </c>
      <c r="H4073" s="14">
        <v>0</v>
      </c>
      <c r="I4073" s="14">
        <v>0</v>
      </c>
      <c r="J4073" s="14">
        <v>0</v>
      </c>
      <c r="K4073" s="14">
        <v>36</v>
      </c>
      <c r="L4073" t="s">
        <v>794</v>
      </c>
      <c r="M4073" s="23">
        <f t="shared" si="63"/>
        <v>2026</v>
      </c>
    </row>
    <row r="4074" spans="1:13" ht="12.75" hidden="1" customHeight="1">
      <c r="A4074" t="s">
        <v>818</v>
      </c>
      <c r="B4074" t="s">
        <v>30</v>
      </c>
      <c r="C4074" t="s">
        <v>141</v>
      </c>
      <c r="D4074" t="s">
        <v>1378</v>
      </c>
      <c r="E4074" s="17">
        <v>46076</v>
      </c>
      <c r="F4074" s="17">
        <v>46076</v>
      </c>
      <c r="G4074" s="13">
        <v>40</v>
      </c>
      <c r="H4074" s="14">
        <v>0</v>
      </c>
      <c r="I4074" s="14">
        <v>0</v>
      </c>
      <c r="J4074" s="14">
        <v>0</v>
      </c>
      <c r="K4074" s="14">
        <v>40</v>
      </c>
      <c r="L4074" t="s">
        <v>794</v>
      </c>
      <c r="M4074" s="23">
        <f t="shared" si="63"/>
        <v>2026</v>
      </c>
    </row>
    <row r="4075" spans="1:13" ht="12.75" hidden="1" customHeight="1">
      <c r="A4075" t="s">
        <v>1420</v>
      </c>
      <c r="B4075" t="s">
        <v>136</v>
      </c>
      <c r="C4075" t="s">
        <v>141</v>
      </c>
      <c r="D4075" t="s">
        <v>1378</v>
      </c>
      <c r="E4075" s="17">
        <v>46076</v>
      </c>
      <c r="F4075" s="17">
        <v>46076</v>
      </c>
      <c r="G4075" s="13">
        <v>36</v>
      </c>
      <c r="H4075" s="14">
        <v>0</v>
      </c>
      <c r="I4075" s="14">
        <v>0</v>
      </c>
      <c r="J4075" s="14">
        <v>0</v>
      </c>
      <c r="K4075" s="14">
        <v>36</v>
      </c>
      <c r="L4075" t="s">
        <v>794</v>
      </c>
      <c r="M4075" s="23">
        <f t="shared" ref="M4075:M4137" si="64">YEAR(F4075)</f>
        <v>2026</v>
      </c>
    </row>
    <row r="4076" spans="1:13" ht="12.75" hidden="1" customHeight="1">
      <c r="A4076" t="s">
        <v>1420</v>
      </c>
      <c r="B4076" t="s">
        <v>136</v>
      </c>
      <c r="C4076" t="s">
        <v>139</v>
      </c>
      <c r="D4076" t="s">
        <v>1378</v>
      </c>
      <c r="E4076" s="17">
        <v>46076</v>
      </c>
      <c r="F4076" s="17">
        <v>46076</v>
      </c>
      <c r="G4076" s="13">
        <v>73.2</v>
      </c>
      <c r="H4076" s="14">
        <v>0</v>
      </c>
      <c r="I4076" s="14">
        <v>0</v>
      </c>
      <c r="J4076" s="14">
        <v>0</v>
      </c>
      <c r="K4076" s="14">
        <v>73.2</v>
      </c>
      <c r="L4076" t="s">
        <v>794</v>
      </c>
      <c r="M4076" s="23">
        <f t="shared" si="64"/>
        <v>2026</v>
      </c>
    </row>
    <row r="4077" spans="1:13" ht="12.75" hidden="1" customHeight="1">
      <c r="A4077" t="s">
        <v>1316</v>
      </c>
      <c r="B4077" t="s">
        <v>59</v>
      </c>
      <c r="C4077" t="s">
        <v>141</v>
      </c>
      <c r="D4077" t="s">
        <v>1378</v>
      </c>
      <c r="E4077" s="17">
        <v>46076</v>
      </c>
      <c r="F4077" s="17">
        <v>46076</v>
      </c>
      <c r="G4077" s="13">
        <v>80</v>
      </c>
      <c r="H4077" s="14">
        <v>0</v>
      </c>
      <c r="I4077" s="14">
        <v>0</v>
      </c>
      <c r="J4077" s="14">
        <v>0</v>
      </c>
      <c r="K4077" s="14">
        <v>80</v>
      </c>
      <c r="L4077" t="s">
        <v>794</v>
      </c>
      <c r="M4077" s="23">
        <f t="shared" si="64"/>
        <v>2026</v>
      </c>
    </row>
    <row r="4078" spans="1:13" ht="12.75" hidden="1" customHeight="1">
      <c r="A4078" t="s">
        <v>1167</v>
      </c>
      <c r="B4078" t="s">
        <v>47</v>
      </c>
      <c r="C4078" t="s">
        <v>599</v>
      </c>
      <c r="D4078" t="s">
        <v>1378</v>
      </c>
      <c r="E4078" s="17">
        <v>46078</v>
      </c>
      <c r="F4078" s="17">
        <v>46078</v>
      </c>
      <c r="G4078" s="13">
        <v>50</v>
      </c>
      <c r="H4078" s="14">
        <v>0</v>
      </c>
      <c r="I4078" s="14">
        <v>0</v>
      </c>
      <c r="J4078" s="14">
        <v>0</v>
      </c>
      <c r="K4078" s="14">
        <v>50</v>
      </c>
      <c r="L4078" t="s">
        <v>794</v>
      </c>
      <c r="M4078" s="23">
        <f t="shared" si="64"/>
        <v>2026</v>
      </c>
    </row>
    <row r="4079" spans="1:13" ht="12.75" hidden="1" customHeight="1">
      <c r="A4079" t="s">
        <v>1313</v>
      </c>
      <c r="B4079" t="s">
        <v>362</v>
      </c>
      <c r="C4079" t="s">
        <v>558</v>
      </c>
      <c r="D4079" t="s">
        <v>1378</v>
      </c>
      <c r="E4079" s="17">
        <v>46078</v>
      </c>
      <c r="F4079" s="17">
        <v>46078</v>
      </c>
      <c r="G4079" s="13">
        <v>8.25</v>
      </c>
      <c r="H4079" s="14">
        <v>0</v>
      </c>
      <c r="I4079" s="14">
        <v>0</v>
      </c>
      <c r="J4079" s="14">
        <v>0</v>
      </c>
      <c r="K4079" s="14">
        <v>8.25</v>
      </c>
      <c r="L4079" t="s">
        <v>794</v>
      </c>
      <c r="M4079" s="23">
        <f t="shared" si="64"/>
        <v>2026</v>
      </c>
    </row>
    <row r="4080" spans="1:13" ht="12.75" hidden="1" customHeight="1">
      <c r="A4080" t="s">
        <v>826</v>
      </c>
      <c r="B4080" t="s">
        <v>21</v>
      </c>
      <c r="C4080" t="s">
        <v>140</v>
      </c>
      <c r="D4080" t="s">
        <v>1378</v>
      </c>
      <c r="E4080" s="17">
        <v>46079</v>
      </c>
      <c r="F4080" s="17">
        <v>46079</v>
      </c>
      <c r="G4080" s="13">
        <v>20</v>
      </c>
      <c r="H4080" s="14">
        <v>0</v>
      </c>
      <c r="I4080" s="14">
        <v>0</v>
      </c>
      <c r="J4080" s="14">
        <v>0</v>
      </c>
      <c r="K4080" s="14">
        <v>20</v>
      </c>
      <c r="L4080" t="s">
        <v>1114</v>
      </c>
      <c r="M4080" s="23">
        <f t="shared" si="64"/>
        <v>2026</v>
      </c>
    </row>
    <row r="4081" spans="1:13" ht="12.75" hidden="1" customHeight="1">
      <c r="A4081" t="s">
        <v>878</v>
      </c>
      <c r="B4081" t="s">
        <v>32</v>
      </c>
      <c r="C4081" t="s">
        <v>599</v>
      </c>
      <c r="D4081" t="s">
        <v>1378</v>
      </c>
      <c r="E4081" s="17">
        <v>46079</v>
      </c>
      <c r="F4081" s="17">
        <v>46079</v>
      </c>
      <c r="G4081" s="13">
        <v>100</v>
      </c>
      <c r="H4081" s="14">
        <v>0</v>
      </c>
      <c r="I4081" s="14">
        <v>0</v>
      </c>
      <c r="J4081" s="14">
        <v>0</v>
      </c>
      <c r="K4081" s="14">
        <v>100</v>
      </c>
      <c r="L4081" t="s">
        <v>794</v>
      </c>
      <c r="M4081" s="23">
        <f t="shared" si="64"/>
        <v>2026</v>
      </c>
    </row>
    <row r="4082" spans="1:13" ht="12.75" hidden="1" customHeight="1">
      <c r="A4082" t="s">
        <v>826</v>
      </c>
      <c r="B4082" t="s">
        <v>21</v>
      </c>
      <c r="C4082" t="s">
        <v>733</v>
      </c>
      <c r="D4082" t="s">
        <v>1378</v>
      </c>
      <c r="E4082" s="17">
        <v>46080</v>
      </c>
      <c r="F4082" s="17">
        <v>46080</v>
      </c>
      <c r="G4082" s="13">
        <v>59</v>
      </c>
      <c r="H4082" s="14">
        <v>0</v>
      </c>
      <c r="I4082" s="14">
        <v>0</v>
      </c>
      <c r="J4082" s="14">
        <v>0</v>
      </c>
      <c r="K4082" s="14">
        <v>59</v>
      </c>
      <c r="L4082" t="s">
        <v>794</v>
      </c>
      <c r="M4082" s="23">
        <f t="shared" si="64"/>
        <v>2026</v>
      </c>
    </row>
    <row r="4083" spans="1:13" ht="12.75" hidden="1" customHeight="1">
      <c r="A4083" t="s">
        <v>1425</v>
      </c>
      <c r="E4083"/>
      <c r="F4083"/>
      <c r="G4083"/>
      <c r="K4083"/>
      <c r="M4083" s="23"/>
    </row>
    <row r="4084" spans="1:13" ht="12.75" hidden="1" customHeight="1">
      <c r="A4084" t="s">
        <v>1252</v>
      </c>
      <c r="B4084" t="s">
        <v>477</v>
      </c>
      <c r="C4084" t="s">
        <v>139</v>
      </c>
      <c r="D4084" t="s">
        <v>1378</v>
      </c>
      <c r="E4084" s="17">
        <v>46054</v>
      </c>
      <c r="F4084" s="17">
        <v>46054</v>
      </c>
      <c r="G4084" s="13">
        <v>170.8</v>
      </c>
      <c r="H4084" s="14">
        <v>0</v>
      </c>
      <c r="I4084" s="14">
        <v>0</v>
      </c>
      <c r="J4084" s="14">
        <v>0</v>
      </c>
      <c r="K4084" s="14">
        <v>170.8</v>
      </c>
      <c r="L4084" t="s">
        <v>794</v>
      </c>
      <c r="M4084" s="23">
        <f t="shared" si="64"/>
        <v>2026</v>
      </c>
    </row>
    <row r="4085" spans="1:13" ht="12.75" hidden="1" customHeight="1">
      <c r="A4085" t="s">
        <v>836</v>
      </c>
      <c r="B4085" t="s">
        <v>37</v>
      </c>
      <c r="C4085" t="s">
        <v>139</v>
      </c>
      <c r="D4085" t="s">
        <v>1378</v>
      </c>
      <c r="E4085" s="17">
        <v>46054</v>
      </c>
      <c r="F4085" s="17">
        <v>46054</v>
      </c>
      <c r="G4085" s="13">
        <v>340.6</v>
      </c>
      <c r="H4085" s="14">
        <v>0</v>
      </c>
      <c r="I4085" s="14">
        <v>0</v>
      </c>
      <c r="J4085" s="14">
        <v>0</v>
      </c>
      <c r="K4085" s="14">
        <v>340.6</v>
      </c>
      <c r="L4085" t="s">
        <v>794</v>
      </c>
      <c r="M4085" s="23">
        <f t="shared" si="64"/>
        <v>2026</v>
      </c>
    </row>
    <row r="4086" spans="1:13" ht="12.75" hidden="1" customHeight="1">
      <c r="A4086" t="s">
        <v>1112</v>
      </c>
      <c r="B4086" t="s">
        <v>68</v>
      </c>
      <c r="C4086" t="s">
        <v>139</v>
      </c>
      <c r="D4086" t="s">
        <v>1378</v>
      </c>
      <c r="E4086" s="17">
        <v>46054</v>
      </c>
      <c r="F4086" s="17">
        <v>46054</v>
      </c>
      <c r="G4086" s="13">
        <v>219.6</v>
      </c>
      <c r="H4086" s="14">
        <v>0</v>
      </c>
      <c r="I4086" s="14">
        <v>0</v>
      </c>
      <c r="J4086" s="14">
        <v>0</v>
      </c>
      <c r="K4086" s="14">
        <v>219.6</v>
      </c>
      <c r="L4086" t="s">
        <v>794</v>
      </c>
      <c r="M4086" s="23">
        <f t="shared" si="64"/>
        <v>2026</v>
      </c>
    </row>
    <row r="4087" spans="1:13" ht="12.75" hidden="1" customHeight="1">
      <c r="A4087" t="s">
        <v>833</v>
      </c>
      <c r="B4087" t="s">
        <v>27</v>
      </c>
      <c r="C4087" t="s">
        <v>139</v>
      </c>
      <c r="D4087" t="s">
        <v>1378</v>
      </c>
      <c r="E4087" s="17">
        <v>46054</v>
      </c>
      <c r="F4087" s="17">
        <v>46054</v>
      </c>
      <c r="G4087" s="13">
        <v>363.8</v>
      </c>
      <c r="H4087" s="14">
        <v>0</v>
      </c>
      <c r="I4087" s="14">
        <v>0</v>
      </c>
      <c r="J4087" s="14">
        <v>0</v>
      </c>
      <c r="K4087" s="14">
        <v>363.8</v>
      </c>
      <c r="L4087" t="s">
        <v>794</v>
      </c>
      <c r="M4087" s="23">
        <f t="shared" si="64"/>
        <v>2026</v>
      </c>
    </row>
    <row r="4088" spans="1:13" ht="12.75" hidden="1" customHeight="1">
      <c r="A4088" t="s">
        <v>799</v>
      </c>
      <c r="B4088" t="s">
        <v>24</v>
      </c>
      <c r="C4088" t="s">
        <v>139</v>
      </c>
      <c r="D4088" t="s">
        <v>1378</v>
      </c>
      <c r="E4088" s="17">
        <v>46054</v>
      </c>
      <c r="F4088" s="17">
        <v>46054</v>
      </c>
      <c r="G4088" s="13">
        <v>4384.28</v>
      </c>
      <c r="H4088" s="14">
        <v>0</v>
      </c>
      <c r="I4088" s="14">
        <v>0</v>
      </c>
      <c r="J4088" s="14">
        <v>0</v>
      </c>
      <c r="K4088" s="14">
        <v>4384.28</v>
      </c>
      <c r="L4088" t="s">
        <v>794</v>
      </c>
      <c r="M4088" s="23">
        <f t="shared" si="64"/>
        <v>2026</v>
      </c>
    </row>
    <row r="4089" spans="1:13" ht="12.75" hidden="1" customHeight="1">
      <c r="A4089" t="s">
        <v>1399</v>
      </c>
      <c r="B4089" t="s">
        <v>305</v>
      </c>
      <c r="C4089" t="s">
        <v>139</v>
      </c>
      <c r="D4089" t="s">
        <v>1378</v>
      </c>
      <c r="E4089" s="17">
        <v>46054</v>
      </c>
      <c r="F4089" s="17">
        <v>46054</v>
      </c>
      <c r="G4089" s="13">
        <v>219.6</v>
      </c>
      <c r="H4089" s="14">
        <v>0</v>
      </c>
      <c r="I4089" s="14">
        <v>0</v>
      </c>
      <c r="J4089" s="14">
        <v>0</v>
      </c>
      <c r="K4089" s="14">
        <v>219.6</v>
      </c>
      <c r="L4089" t="s">
        <v>794</v>
      </c>
      <c r="M4089" s="23">
        <f t="shared" si="64"/>
        <v>2026</v>
      </c>
    </row>
    <row r="4090" spans="1:13" ht="12.75" hidden="1" customHeight="1">
      <c r="A4090" t="s">
        <v>825</v>
      </c>
      <c r="B4090" t="s">
        <v>46</v>
      </c>
      <c r="C4090" t="s">
        <v>139</v>
      </c>
      <c r="D4090" t="s">
        <v>1378</v>
      </c>
      <c r="E4090" s="17">
        <v>46054</v>
      </c>
      <c r="F4090" s="17">
        <v>46054</v>
      </c>
      <c r="G4090" s="13">
        <v>244</v>
      </c>
      <c r="H4090" s="14">
        <v>0</v>
      </c>
      <c r="I4090" s="14">
        <v>0</v>
      </c>
      <c r="J4090" s="14">
        <v>0</v>
      </c>
      <c r="K4090" s="14">
        <v>244</v>
      </c>
      <c r="L4090" t="s">
        <v>794</v>
      </c>
      <c r="M4090" s="23">
        <f t="shared" si="64"/>
        <v>2026</v>
      </c>
    </row>
    <row r="4091" spans="1:13" ht="12.75" hidden="1" customHeight="1">
      <c r="A4091" t="s">
        <v>1377</v>
      </c>
      <c r="B4091" t="s">
        <v>299</v>
      </c>
      <c r="C4091" t="s">
        <v>139</v>
      </c>
      <c r="D4091" t="s">
        <v>1378</v>
      </c>
      <c r="E4091" s="17">
        <v>46054</v>
      </c>
      <c r="F4091" s="17">
        <v>46054</v>
      </c>
      <c r="G4091" s="13">
        <v>433.2</v>
      </c>
      <c r="H4091" s="14">
        <v>0</v>
      </c>
      <c r="I4091" s="14">
        <v>0</v>
      </c>
      <c r="J4091" s="14">
        <v>0</v>
      </c>
      <c r="K4091" s="14">
        <v>433.2</v>
      </c>
      <c r="L4091" t="s">
        <v>794</v>
      </c>
      <c r="M4091" s="23">
        <f t="shared" si="64"/>
        <v>2026</v>
      </c>
    </row>
    <row r="4092" spans="1:13" ht="12.75" hidden="1" customHeight="1">
      <c r="A4092" t="s">
        <v>811</v>
      </c>
      <c r="B4092" t="s">
        <v>39</v>
      </c>
      <c r="C4092" t="s">
        <v>139</v>
      </c>
      <c r="D4092" t="s">
        <v>1378</v>
      </c>
      <c r="E4092" s="17">
        <v>46054</v>
      </c>
      <c r="F4092" s="17">
        <v>46054</v>
      </c>
      <c r="G4092" s="13">
        <v>356.44</v>
      </c>
      <c r="H4092" s="14">
        <v>0</v>
      </c>
      <c r="I4092" s="14">
        <v>0</v>
      </c>
      <c r="J4092" s="14">
        <v>0</v>
      </c>
      <c r="K4092" s="14">
        <v>356.44</v>
      </c>
      <c r="L4092" t="s">
        <v>794</v>
      </c>
      <c r="M4092" s="23">
        <f t="shared" si="64"/>
        <v>2026</v>
      </c>
    </row>
    <row r="4093" spans="1:13" ht="12.75" hidden="1" customHeight="1">
      <c r="A4093" t="s">
        <v>1388</v>
      </c>
      <c r="B4093" t="s">
        <v>202</v>
      </c>
      <c r="C4093" t="s">
        <v>139</v>
      </c>
      <c r="D4093" t="s">
        <v>1378</v>
      </c>
      <c r="E4093" s="17">
        <v>46054</v>
      </c>
      <c r="F4093" s="17">
        <v>46054</v>
      </c>
      <c r="G4093" s="13">
        <v>219.6</v>
      </c>
      <c r="H4093" s="14">
        <v>0</v>
      </c>
      <c r="I4093" s="14">
        <v>0</v>
      </c>
      <c r="J4093" s="14">
        <v>0</v>
      </c>
      <c r="K4093" s="14">
        <v>219.6</v>
      </c>
      <c r="L4093" t="s">
        <v>794</v>
      </c>
      <c r="M4093" s="23">
        <f t="shared" si="64"/>
        <v>2026</v>
      </c>
    </row>
    <row r="4094" spans="1:13" ht="12.75" hidden="1" customHeight="1">
      <c r="A4094" t="s">
        <v>819</v>
      </c>
      <c r="B4094" t="s">
        <v>38</v>
      </c>
      <c r="C4094" t="s">
        <v>139</v>
      </c>
      <c r="D4094" t="s">
        <v>1378</v>
      </c>
      <c r="E4094" s="17">
        <v>46054</v>
      </c>
      <c r="F4094" s="17">
        <v>46054</v>
      </c>
      <c r="G4094" s="13">
        <v>281.40000000000003</v>
      </c>
      <c r="H4094" s="14">
        <v>0</v>
      </c>
      <c r="I4094" s="14">
        <v>0</v>
      </c>
      <c r="J4094" s="14">
        <v>0</v>
      </c>
      <c r="K4094" s="14">
        <v>281.40000000000003</v>
      </c>
      <c r="L4094" t="s">
        <v>794</v>
      </c>
      <c r="M4094" s="23">
        <f t="shared" si="64"/>
        <v>2026</v>
      </c>
    </row>
    <row r="4095" spans="1:13" ht="12.75" hidden="1" customHeight="1">
      <c r="A4095" t="s">
        <v>1004</v>
      </c>
      <c r="B4095" t="s">
        <v>57</v>
      </c>
      <c r="C4095" t="s">
        <v>139</v>
      </c>
      <c r="D4095" t="s">
        <v>1378</v>
      </c>
      <c r="E4095" s="17">
        <v>46054</v>
      </c>
      <c r="F4095" s="17">
        <v>46054</v>
      </c>
      <c r="G4095" s="13">
        <v>207.4</v>
      </c>
      <c r="H4095" s="14">
        <v>0</v>
      </c>
      <c r="I4095" s="14">
        <v>0</v>
      </c>
      <c r="J4095" s="14">
        <v>0</v>
      </c>
      <c r="K4095" s="14">
        <v>207.4</v>
      </c>
      <c r="L4095" t="s">
        <v>794</v>
      </c>
      <c r="M4095" s="23">
        <f t="shared" si="64"/>
        <v>2026</v>
      </c>
    </row>
    <row r="4096" spans="1:13" ht="12.75" hidden="1" customHeight="1">
      <c r="A4096" t="s">
        <v>1373</v>
      </c>
      <c r="B4096" t="s">
        <v>313</v>
      </c>
      <c r="C4096" t="s">
        <v>139</v>
      </c>
      <c r="D4096" t="s">
        <v>1378</v>
      </c>
      <c r="E4096" s="17">
        <v>46054</v>
      </c>
      <c r="F4096" s="17">
        <v>46054</v>
      </c>
      <c r="G4096" s="13">
        <v>207.4</v>
      </c>
      <c r="H4096" s="14">
        <v>0</v>
      </c>
      <c r="I4096" s="14">
        <v>0</v>
      </c>
      <c r="J4096" s="14">
        <v>0</v>
      </c>
      <c r="K4096" s="14">
        <v>207.4</v>
      </c>
      <c r="L4096" t="s">
        <v>794</v>
      </c>
      <c r="M4096" s="23">
        <f t="shared" si="64"/>
        <v>2026</v>
      </c>
    </row>
    <row r="4097" spans="1:13" ht="12.75" hidden="1" customHeight="1">
      <c r="A4097" t="s">
        <v>1340</v>
      </c>
      <c r="B4097" t="s">
        <v>340</v>
      </c>
      <c r="C4097" t="s">
        <v>139</v>
      </c>
      <c r="D4097" t="s">
        <v>1378</v>
      </c>
      <c r="E4097" s="17">
        <v>46054</v>
      </c>
      <c r="F4097" s="17">
        <v>46054</v>
      </c>
      <c r="G4097" s="13">
        <v>207.4</v>
      </c>
      <c r="H4097" s="14">
        <v>0</v>
      </c>
      <c r="I4097" s="14">
        <v>0</v>
      </c>
      <c r="J4097" s="14">
        <v>0</v>
      </c>
      <c r="K4097" s="14">
        <v>207.4</v>
      </c>
      <c r="L4097" t="s">
        <v>794</v>
      </c>
      <c r="M4097" s="23">
        <f t="shared" si="64"/>
        <v>2026</v>
      </c>
    </row>
    <row r="4098" spans="1:13" ht="12.75" hidden="1" customHeight="1">
      <c r="A4098" t="s">
        <v>841</v>
      </c>
      <c r="B4098" t="s">
        <v>164</v>
      </c>
      <c r="C4098" t="s">
        <v>722</v>
      </c>
      <c r="D4098" t="s">
        <v>1394</v>
      </c>
      <c r="E4098" s="17">
        <v>46052</v>
      </c>
      <c r="F4098" s="17">
        <v>46055</v>
      </c>
      <c r="G4098" s="13">
        <v>380.03000000000003</v>
      </c>
      <c r="H4098" s="14">
        <v>0</v>
      </c>
      <c r="I4098" s="14">
        <v>0</v>
      </c>
      <c r="J4098" s="14">
        <v>0</v>
      </c>
      <c r="K4098" s="14">
        <v>389.85</v>
      </c>
      <c r="L4098" t="s">
        <v>794</v>
      </c>
      <c r="M4098" s="23">
        <f t="shared" si="64"/>
        <v>2026</v>
      </c>
    </row>
    <row r="4099" spans="1:13" ht="12.75" hidden="1" customHeight="1">
      <c r="A4099" t="s">
        <v>1298</v>
      </c>
      <c r="B4099" t="s">
        <v>128</v>
      </c>
      <c r="C4099" t="s">
        <v>152</v>
      </c>
      <c r="D4099" t="s">
        <v>1378</v>
      </c>
      <c r="E4099" s="17">
        <v>46055</v>
      </c>
      <c r="F4099" s="17">
        <v>46055</v>
      </c>
      <c r="G4099" s="13">
        <v>6906.92</v>
      </c>
      <c r="H4099" s="14">
        <v>0</v>
      </c>
      <c r="I4099" s="14">
        <v>0</v>
      </c>
      <c r="J4099" s="14">
        <v>0</v>
      </c>
      <c r="K4099" s="14">
        <v>6906.92</v>
      </c>
      <c r="L4099" t="s">
        <v>794</v>
      </c>
      <c r="M4099" s="23">
        <f t="shared" si="64"/>
        <v>2026</v>
      </c>
    </row>
    <row r="4100" spans="1:13" ht="12.75" hidden="1" customHeight="1">
      <c r="A4100" t="s">
        <v>1426</v>
      </c>
      <c r="B4100" t="s">
        <v>151</v>
      </c>
      <c r="C4100" t="s">
        <v>152</v>
      </c>
      <c r="D4100" t="s">
        <v>1378</v>
      </c>
      <c r="E4100" s="17">
        <v>46055</v>
      </c>
      <c r="F4100" s="17">
        <v>46055</v>
      </c>
      <c r="G4100" s="13">
        <v>800</v>
      </c>
      <c r="H4100" s="14">
        <v>0</v>
      </c>
      <c r="I4100" s="14">
        <v>0</v>
      </c>
      <c r="J4100" s="14">
        <v>0</v>
      </c>
      <c r="K4100" s="14">
        <v>800</v>
      </c>
      <c r="L4100" t="s">
        <v>794</v>
      </c>
      <c r="M4100" s="23">
        <f t="shared" si="64"/>
        <v>2026</v>
      </c>
    </row>
    <row r="4101" spans="1:13" ht="12.75" hidden="1" customHeight="1">
      <c r="A4101" t="s">
        <v>855</v>
      </c>
      <c r="B4101" t="s">
        <v>20</v>
      </c>
      <c r="C4101" t="s">
        <v>721</v>
      </c>
      <c r="D4101" t="s">
        <v>1378</v>
      </c>
      <c r="E4101" s="17">
        <v>46055</v>
      </c>
      <c r="F4101" s="17">
        <v>46055</v>
      </c>
      <c r="G4101" s="13">
        <v>1000</v>
      </c>
      <c r="H4101" s="14">
        <v>0</v>
      </c>
      <c r="I4101" s="14">
        <v>0</v>
      </c>
      <c r="J4101" s="14">
        <v>0</v>
      </c>
      <c r="K4101" s="14">
        <v>1000</v>
      </c>
      <c r="L4101" t="s">
        <v>794</v>
      </c>
      <c r="M4101" s="23">
        <f t="shared" si="64"/>
        <v>2026</v>
      </c>
    </row>
    <row r="4102" spans="1:13" ht="12.75" hidden="1" customHeight="1">
      <c r="A4102" t="s">
        <v>810</v>
      </c>
      <c r="B4102" t="s">
        <v>54</v>
      </c>
      <c r="C4102" t="s">
        <v>138</v>
      </c>
      <c r="D4102" t="s">
        <v>1378</v>
      </c>
      <c r="E4102" s="17">
        <v>46055</v>
      </c>
      <c r="F4102" s="17">
        <v>46055</v>
      </c>
      <c r="G4102" s="13">
        <v>255.42000000000002</v>
      </c>
      <c r="H4102" s="14">
        <v>0</v>
      </c>
      <c r="I4102" s="14">
        <v>0</v>
      </c>
      <c r="J4102" s="14">
        <v>0</v>
      </c>
      <c r="K4102" s="14">
        <v>255.42000000000002</v>
      </c>
      <c r="L4102" t="s">
        <v>794</v>
      </c>
      <c r="M4102" s="23">
        <f t="shared" si="64"/>
        <v>2026</v>
      </c>
    </row>
    <row r="4103" spans="1:13" ht="12.75" hidden="1" customHeight="1">
      <c r="A4103" t="s">
        <v>1305</v>
      </c>
      <c r="B4103" t="s">
        <v>96</v>
      </c>
      <c r="C4103" t="s">
        <v>737</v>
      </c>
      <c r="D4103" t="s">
        <v>1378</v>
      </c>
      <c r="E4103" s="17">
        <v>46047</v>
      </c>
      <c r="F4103" s="17">
        <v>46055</v>
      </c>
      <c r="G4103" s="13">
        <v>1159.95</v>
      </c>
      <c r="H4103" s="14">
        <v>0</v>
      </c>
      <c r="I4103" s="14">
        <v>0</v>
      </c>
      <c r="J4103" s="14">
        <v>0</v>
      </c>
      <c r="K4103" s="14">
        <v>1159.95</v>
      </c>
      <c r="L4103" t="s">
        <v>794</v>
      </c>
      <c r="M4103" s="23">
        <f t="shared" si="64"/>
        <v>2026</v>
      </c>
    </row>
    <row r="4104" spans="1:13" ht="12.75" hidden="1" customHeight="1">
      <c r="A4104" t="s">
        <v>801</v>
      </c>
      <c r="B4104" t="s">
        <v>13</v>
      </c>
      <c r="C4104" t="s">
        <v>726</v>
      </c>
      <c r="D4104" t="s">
        <v>1378</v>
      </c>
      <c r="E4104" s="17">
        <v>46055</v>
      </c>
      <c r="F4104" s="17">
        <v>46055</v>
      </c>
      <c r="G4104" s="13">
        <v>6.12</v>
      </c>
      <c r="H4104" s="14">
        <v>0</v>
      </c>
      <c r="I4104" s="14">
        <v>0</v>
      </c>
      <c r="J4104" s="14">
        <v>0</v>
      </c>
      <c r="K4104" s="14">
        <v>6.12</v>
      </c>
      <c r="L4104" t="s">
        <v>794</v>
      </c>
      <c r="M4104" s="23">
        <f t="shared" si="64"/>
        <v>2026</v>
      </c>
    </row>
    <row r="4105" spans="1:13" ht="12.75" hidden="1" customHeight="1">
      <c r="A4105" t="s">
        <v>814</v>
      </c>
      <c r="B4105" t="s">
        <v>56</v>
      </c>
      <c r="C4105" t="s">
        <v>138</v>
      </c>
      <c r="D4105" t="s">
        <v>1378</v>
      </c>
      <c r="E4105" s="17">
        <v>46055</v>
      </c>
      <c r="F4105" s="17">
        <v>46055</v>
      </c>
      <c r="G4105" s="13">
        <v>255.42000000000002</v>
      </c>
      <c r="H4105" s="14">
        <v>0</v>
      </c>
      <c r="I4105" s="14">
        <v>0</v>
      </c>
      <c r="J4105" s="14">
        <v>0</v>
      </c>
      <c r="K4105" s="14">
        <v>255.42000000000002</v>
      </c>
      <c r="L4105" t="s">
        <v>794</v>
      </c>
      <c r="M4105" s="23">
        <f t="shared" si="64"/>
        <v>2026</v>
      </c>
    </row>
    <row r="4106" spans="1:13" ht="12.75" hidden="1" customHeight="1">
      <c r="A4106" t="s">
        <v>826</v>
      </c>
      <c r="B4106" t="s">
        <v>21</v>
      </c>
      <c r="C4106" t="s">
        <v>138</v>
      </c>
      <c r="D4106" t="s">
        <v>1378</v>
      </c>
      <c r="E4106" s="17">
        <v>46055</v>
      </c>
      <c r="F4106" s="17">
        <v>46055</v>
      </c>
      <c r="G4106" s="13">
        <v>255.42000000000002</v>
      </c>
      <c r="H4106" s="14">
        <v>0</v>
      </c>
      <c r="I4106" s="14">
        <v>0</v>
      </c>
      <c r="J4106" s="14">
        <v>0</v>
      </c>
      <c r="K4106" s="14">
        <v>255.42000000000002</v>
      </c>
      <c r="L4106" t="s">
        <v>794</v>
      </c>
      <c r="M4106" s="23">
        <f t="shared" si="64"/>
        <v>2026</v>
      </c>
    </row>
    <row r="4107" spans="1:13" ht="12.75" hidden="1" customHeight="1">
      <c r="A4107" t="s">
        <v>1316</v>
      </c>
      <c r="B4107" t="s">
        <v>59</v>
      </c>
      <c r="C4107" t="s">
        <v>138</v>
      </c>
      <c r="D4107" t="s">
        <v>1378</v>
      </c>
      <c r="E4107" s="17">
        <v>46055</v>
      </c>
      <c r="F4107" s="17">
        <v>46055</v>
      </c>
      <c r="G4107" s="13">
        <v>255.42000000000002</v>
      </c>
      <c r="H4107" s="14">
        <v>0</v>
      </c>
      <c r="I4107" s="14">
        <v>0</v>
      </c>
      <c r="J4107" s="14">
        <v>0</v>
      </c>
      <c r="K4107" s="14">
        <v>255.42000000000002</v>
      </c>
      <c r="L4107" t="s">
        <v>794</v>
      </c>
      <c r="M4107" s="23">
        <f t="shared" si="64"/>
        <v>2026</v>
      </c>
    </row>
    <row r="4108" spans="1:13" ht="12.75" hidden="1" customHeight="1">
      <c r="A4108" t="s">
        <v>1388</v>
      </c>
      <c r="B4108" t="s">
        <v>202</v>
      </c>
      <c r="C4108" t="s">
        <v>138</v>
      </c>
      <c r="D4108" t="s">
        <v>1378</v>
      </c>
      <c r="E4108" s="17">
        <v>46055</v>
      </c>
      <c r="F4108" s="17">
        <v>46055</v>
      </c>
      <c r="G4108" s="13">
        <v>255.42000000000002</v>
      </c>
      <c r="H4108" s="14">
        <v>0</v>
      </c>
      <c r="I4108" s="14">
        <v>0</v>
      </c>
      <c r="J4108" s="14">
        <v>0</v>
      </c>
      <c r="K4108" s="14">
        <v>255.42000000000002</v>
      </c>
      <c r="L4108" t="s">
        <v>794</v>
      </c>
      <c r="M4108" s="23">
        <f t="shared" si="64"/>
        <v>2026</v>
      </c>
    </row>
    <row r="4109" spans="1:13" ht="12.75" hidden="1" customHeight="1">
      <c r="A4109" t="s">
        <v>833</v>
      </c>
      <c r="B4109" t="s">
        <v>27</v>
      </c>
      <c r="C4109" t="s">
        <v>138</v>
      </c>
      <c r="D4109" t="s">
        <v>1378</v>
      </c>
      <c r="E4109" s="17">
        <v>46055</v>
      </c>
      <c r="F4109" s="17">
        <v>46055</v>
      </c>
      <c r="G4109" s="13">
        <v>255.42000000000002</v>
      </c>
      <c r="H4109" s="14">
        <v>0</v>
      </c>
      <c r="I4109" s="14">
        <v>0</v>
      </c>
      <c r="J4109" s="14">
        <v>0</v>
      </c>
      <c r="K4109" s="14">
        <v>255.42000000000002</v>
      </c>
      <c r="L4109" t="s">
        <v>794</v>
      </c>
      <c r="M4109" s="23">
        <f t="shared" si="64"/>
        <v>2026</v>
      </c>
    </row>
    <row r="4110" spans="1:13" ht="12.75" hidden="1" customHeight="1">
      <c r="A4110" t="s">
        <v>1167</v>
      </c>
      <c r="B4110" t="s">
        <v>47</v>
      </c>
      <c r="C4110" t="s">
        <v>138</v>
      </c>
      <c r="D4110" t="s">
        <v>1378</v>
      </c>
      <c r="E4110" s="17">
        <v>46055</v>
      </c>
      <c r="F4110" s="17">
        <v>46055</v>
      </c>
      <c r="G4110" s="13">
        <v>255.42000000000002</v>
      </c>
      <c r="H4110" s="14">
        <v>0</v>
      </c>
      <c r="I4110" s="14">
        <v>0</v>
      </c>
      <c r="J4110" s="14">
        <v>0</v>
      </c>
      <c r="K4110" s="14">
        <v>255.42000000000002</v>
      </c>
      <c r="L4110" t="s">
        <v>794</v>
      </c>
      <c r="M4110" s="23">
        <f t="shared" si="64"/>
        <v>2026</v>
      </c>
    </row>
    <row r="4111" spans="1:13" ht="12.75" hidden="1" customHeight="1">
      <c r="A4111" t="s">
        <v>1134</v>
      </c>
      <c r="B4111" t="s">
        <v>33</v>
      </c>
      <c r="C4111" t="s">
        <v>138</v>
      </c>
      <c r="D4111" t="s">
        <v>1378</v>
      </c>
      <c r="E4111" s="17">
        <v>46055</v>
      </c>
      <c r="F4111" s="17">
        <v>46055</v>
      </c>
      <c r="G4111" s="13">
        <v>255.42000000000002</v>
      </c>
      <c r="H4111" s="14">
        <v>0</v>
      </c>
      <c r="I4111" s="14">
        <v>0</v>
      </c>
      <c r="J4111" s="14">
        <v>0</v>
      </c>
      <c r="K4111" s="14">
        <v>255.42000000000002</v>
      </c>
      <c r="L4111" t="s">
        <v>794</v>
      </c>
      <c r="M4111" s="23">
        <f t="shared" si="64"/>
        <v>2026</v>
      </c>
    </row>
    <row r="4112" spans="1:13" ht="12.75" hidden="1" customHeight="1">
      <c r="A4112" t="s">
        <v>1317</v>
      </c>
      <c r="B4112" t="s">
        <v>64</v>
      </c>
      <c r="C4112" t="s">
        <v>138</v>
      </c>
      <c r="D4112" t="s">
        <v>1378</v>
      </c>
      <c r="E4112" s="17">
        <v>46055</v>
      </c>
      <c r="F4112" s="17">
        <v>46055</v>
      </c>
      <c r="G4112" s="13">
        <v>255.42000000000002</v>
      </c>
      <c r="H4112" s="14">
        <v>0</v>
      </c>
      <c r="I4112" s="14">
        <v>0</v>
      </c>
      <c r="J4112" s="14">
        <v>0</v>
      </c>
      <c r="K4112" s="14">
        <v>255.42000000000002</v>
      </c>
      <c r="L4112" t="s">
        <v>794</v>
      </c>
      <c r="M4112" s="23">
        <f t="shared" si="64"/>
        <v>2026</v>
      </c>
    </row>
    <row r="4113" spans="1:13" ht="12.75" hidden="1" customHeight="1">
      <c r="A4113" t="s">
        <v>836</v>
      </c>
      <c r="B4113" t="s">
        <v>37</v>
      </c>
      <c r="C4113" t="s">
        <v>138</v>
      </c>
      <c r="D4113" t="s">
        <v>1378</v>
      </c>
      <c r="E4113" s="17">
        <v>46055</v>
      </c>
      <c r="F4113" s="17">
        <v>46055</v>
      </c>
      <c r="G4113" s="13">
        <v>255.42000000000002</v>
      </c>
      <c r="H4113" s="14">
        <v>0</v>
      </c>
      <c r="I4113" s="14">
        <v>0</v>
      </c>
      <c r="J4113" s="14">
        <v>0</v>
      </c>
      <c r="K4113" s="14">
        <v>255.42000000000002</v>
      </c>
      <c r="L4113" t="s">
        <v>794</v>
      </c>
      <c r="M4113" s="23">
        <f t="shared" si="64"/>
        <v>2026</v>
      </c>
    </row>
    <row r="4114" spans="1:13" ht="12.75" hidden="1" customHeight="1">
      <c r="A4114" t="s">
        <v>811</v>
      </c>
      <c r="B4114" t="s">
        <v>39</v>
      </c>
      <c r="C4114" t="s">
        <v>138</v>
      </c>
      <c r="D4114" t="s">
        <v>1378</v>
      </c>
      <c r="E4114" s="17">
        <v>46055</v>
      </c>
      <c r="F4114" s="17">
        <v>46055</v>
      </c>
      <c r="G4114" s="13">
        <v>255.42000000000002</v>
      </c>
      <c r="H4114" s="14">
        <v>0</v>
      </c>
      <c r="I4114" s="14">
        <v>0</v>
      </c>
      <c r="J4114" s="14">
        <v>0</v>
      </c>
      <c r="K4114" s="14">
        <v>255.42000000000002</v>
      </c>
      <c r="L4114" t="s">
        <v>794</v>
      </c>
      <c r="M4114" s="23">
        <f t="shared" si="64"/>
        <v>2026</v>
      </c>
    </row>
    <row r="4115" spans="1:13" ht="12.75" hidden="1" customHeight="1">
      <c r="A4115" t="s">
        <v>819</v>
      </c>
      <c r="B4115" t="s">
        <v>38</v>
      </c>
      <c r="C4115" t="s">
        <v>138</v>
      </c>
      <c r="D4115" t="s">
        <v>1378</v>
      </c>
      <c r="E4115" s="17">
        <v>46055</v>
      </c>
      <c r="F4115" s="17">
        <v>46055</v>
      </c>
      <c r="G4115" s="13">
        <v>255.42000000000002</v>
      </c>
      <c r="H4115" s="14">
        <v>0</v>
      </c>
      <c r="I4115" s="14">
        <v>0</v>
      </c>
      <c r="J4115" s="14">
        <v>0</v>
      </c>
      <c r="K4115" s="14">
        <v>255.42000000000002</v>
      </c>
      <c r="L4115" t="s">
        <v>794</v>
      </c>
      <c r="M4115" s="23">
        <f t="shared" si="64"/>
        <v>2026</v>
      </c>
    </row>
    <row r="4116" spans="1:13" ht="12.75" hidden="1" customHeight="1">
      <c r="A4116" t="s">
        <v>1173</v>
      </c>
      <c r="B4116" t="s">
        <v>45</v>
      </c>
      <c r="C4116" t="s">
        <v>138</v>
      </c>
      <c r="D4116" t="s">
        <v>1378</v>
      </c>
      <c r="E4116" s="17">
        <v>46055</v>
      </c>
      <c r="F4116" s="17">
        <v>46055</v>
      </c>
      <c r="G4116" s="13">
        <v>255.42000000000002</v>
      </c>
      <c r="H4116" s="14">
        <v>0</v>
      </c>
      <c r="I4116" s="14">
        <v>0</v>
      </c>
      <c r="J4116" s="14">
        <v>0</v>
      </c>
      <c r="K4116" s="14">
        <v>255.42000000000002</v>
      </c>
      <c r="L4116" t="s">
        <v>794</v>
      </c>
      <c r="M4116" s="23">
        <f t="shared" si="64"/>
        <v>2026</v>
      </c>
    </row>
    <row r="4117" spans="1:13" ht="12.75" hidden="1" customHeight="1">
      <c r="A4117" t="s">
        <v>818</v>
      </c>
      <c r="B4117" t="s">
        <v>30</v>
      </c>
      <c r="C4117" t="s">
        <v>138</v>
      </c>
      <c r="D4117" t="s">
        <v>1378</v>
      </c>
      <c r="E4117" s="17">
        <v>46055</v>
      </c>
      <c r="F4117" s="17">
        <v>46055</v>
      </c>
      <c r="G4117" s="13">
        <v>255.42000000000002</v>
      </c>
      <c r="H4117" s="14">
        <v>0</v>
      </c>
      <c r="I4117" s="14">
        <v>0</v>
      </c>
      <c r="J4117" s="14">
        <v>0</v>
      </c>
      <c r="K4117" s="14">
        <v>255.42000000000002</v>
      </c>
      <c r="L4117" t="s">
        <v>794</v>
      </c>
      <c r="M4117" s="23">
        <f t="shared" si="64"/>
        <v>2026</v>
      </c>
    </row>
    <row r="4118" spans="1:13" ht="12.75" hidden="1" customHeight="1">
      <c r="A4118" t="s">
        <v>961</v>
      </c>
      <c r="B4118" t="s">
        <v>41</v>
      </c>
      <c r="C4118" t="s">
        <v>138</v>
      </c>
      <c r="D4118" t="s">
        <v>1378</v>
      </c>
      <c r="E4118" s="17">
        <v>46055</v>
      </c>
      <c r="F4118" s="17">
        <v>46055</v>
      </c>
      <c r="G4118" s="13">
        <v>255.42000000000002</v>
      </c>
      <c r="H4118" s="14">
        <v>0</v>
      </c>
      <c r="I4118" s="14">
        <v>0</v>
      </c>
      <c r="J4118" s="14">
        <v>0</v>
      </c>
      <c r="K4118" s="14">
        <v>255.42000000000002</v>
      </c>
      <c r="L4118" t="s">
        <v>794</v>
      </c>
      <c r="M4118" s="23">
        <f t="shared" si="64"/>
        <v>2026</v>
      </c>
    </row>
    <row r="4119" spans="1:13" ht="12.75" hidden="1" customHeight="1">
      <c r="A4119" t="s">
        <v>1196</v>
      </c>
      <c r="B4119" t="s">
        <v>1197</v>
      </c>
      <c r="C4119" t="s">
        <v>138</v>
      </c>
      <c r="D4119" t="s">
        <v>1378</v>
      </c>
      <c r="E4119" s="17">
        <v>46055</v>
      </c>
      <c r="F4119" s="17">
        <v>46055</v>
      </c>
      <c r="G4119" s="13">
        <v>255.42000000000002</v>
      </c>
      <c r="H4119" s="14">
        <v>0</v>
      </c>
      <c r="I4119" s="14">
        <v>0</v>
      </c>
      <c r="J4119" s="14">
        <v>0</v>
      </c>
      <c r="K4119" s="14">
        <v>255.42000000000002</v>
      </c>
      <c r="L4119" t="s">
        <v>794</v>
      </c>
      <c r="M4119" s="23">
        <f t="shared" si="64"/>
        <v>2026</v>
      </c>
    </row>
    <row r="4120" spans="1:13" ht="12.75" hidden="1" customHeight="1">
      <c r="A4120" t="s">
        <v>1141</v>
      </c>
      <c r="B4120" t="s">
        <v>69</v>
      </c>
      <c r="C4120" t="s">
        <v>138</v>
      </c>
      <c r="D4120" t="s">
        <v>1378</v>
      </c>
      <c r="E4120" s="17">
        <v>46055</v>
      </c>
      <c r="F4120" s="17">
        <v>46055</v>
      </c>
      <c r="G4120" s="13">
        <v>255.42000000000002</v>
      </c>
      <c r="H4120" s="14">
        <v>0</v>
      </c>
      <c r="I4120" s="14">
        <v>0</v>
      </c>
      <c r="J4120" s="14">
        <v>0</v>
      </c>
      <c r="K4120" s="14">
        <v>255.42000000000002</v>
      </c>
      <c r="L4120" t="s">
        <v>794</v>
      </c>
      <c r="M4120" s="23">
        <f t="shared" si="64"/>
        <v>2026</v>
      </c>
    </row>
    <row r="4121" spans="1:13" ht="12.75" hidden="1" customHeight="1">
      <c r="A4121" t="s">
        <v>1004</v>
      </c>
      <c r="B4121" t="s">
        <v>57</v>
      </c>
      <c r="C4121" t="s">
        <v>138</v>
      </c>
      <c r="D4121" t="s">
        <v>1378</v>
      </c>
      <c r="E4121" s="17">
        <v>46055</v>
      </c>
      <c r="F4121" s="17">
        <v>46055</v>
      </c>
      <c r="G4121" s="13">
        <v>255.42000000000002</v>
      </c>
      <c r="H4121" s="14">
        <v>0</v>
      </c>
      <c r="I4121" s="14">
        <v>0</v>
      </c>
      <c r="J4121" s="14">
        <v>0</v>
      </c>
      <c r="K4121" s="14">
        <v>255.42000000000002</v>
      </c>
      <c r="L4121" t="s">
        <v>794</v>
      </c>
      <c r="M4121" s="23">
        <f t="shared" si="64"/>
        <v>2026</v>
      </c>
    </row>
    <row r="4122" spans="1:13" ht="12.75" hidden="1" customHeight="1">
      <c r="A4122" t="s">
        <v>1181</v>
      </c>
      <c r="B4122" t="s">
        <v>75</v>
      </c>
      <c r="C4122" t="s">
        <v>138</v>
      </c>
      <c r="D4122" t="s">
        <v>1378</v>
      </c>
      <c r="E4122" s="17">
        <v>46055</v>
      </c>
      <c r="F4122" s="17">
        <v>46055</v>
      </c>
      <c r="G4122" s="13">
        <v>255.42000000000002</v>
      </c>
      <c r="H4122" s="14">
        <v>0</v>
      </c>
      <c r="I4122" s="14">
        <v>0</v>
      </c>
      <c r="J4122" s="14">
        <v>0</v>
      </c>
      <c r="K4122" s="14">
        <v>255.42000000000002</v>
      </c>
      <c r="L4122" t="s">
        <v>794</v>
      </c>
      <c r="M4122" s="23">
        <f t="shared" si="64"/>
        <v>2026</v>
      </c>
    </row>
    <row r="4123" spans="1:13" ht="12.75" hidden="1" customHeight="1">
      <c r="A4123" t="s">
        <v>1104</v>
      </c>
      <c r="B4123" t="s">
        <v>53</v>
      </c>
      <c r="C4123" t="s">
        <v>138</v>
      </c>
      <c r="D4123" t="s">
        <v>1378</v>
      </c>
      <c r="E4123" s="17">
        <v>46055</v>
      </c>
      <c r="F4123" s="17">
        <v>46055</v>
      </c>
      <c r="G4123" s="13">
        <v>255.42000000000002</v>
      </c>
      <c r="H4123" s="14">
        <v>0</v>
      </c>
      <c r="I4123" s="14">
        <v>0</v>
      </c>
      <c r="J4123" s="14">
        <v>0</v>
      </c>
      <c r="K4123" s="14">
        <v>255.42000000000002</v>
      </c>
      <c r="L4123" t="s">
        <v>794</v>
      </c>
      <c r="M4123" s="23">
        <f t="shared" si="64"/>
        <v>2026</v>
      </c>
    </row>
    <row r="4124" spans="1:13" ht="12.75" hidden="1" customHeight="1">
      <c r="A4124" t="s">
        <v>825</v>
      </c>
      <c r="B4124" t="s">
        <v>46</v>
      </c>
      <c r="C4124" t="s">
        <v>138</v>
      </c>
      <c r="D4124" t="s">
        <v>1378</v>
      </c>
      <c r="E4124" s="17">
        <v>46055</v>
      </c>
      <c r="F4124" s="17">
        <v>46055</v>
      </c>
      <c r="G4124" s="13">
        <v>255.42000000000002</v>
      </c>
      <c r="H4124" s="14">
        <v>0</v>
      </c>
      <c r="I4124" s="14">
        <v>0</v>
      </c>
      <c r="J4124" s="14">
        <v>0</v>
      </c>
      <c r="K4124" s="14">
        <v>255.42000000000002</v>
      </c>
      <c r="L4124" t="s">
        <v>794</v>
      </c>
      <c r="M4124" s="23">
        <f t="shared" si="64"/>
        <v>2026</v>
      </c>
    </row>
    <row r="4125" spans="1:13" ht="12.75" hidden="1" customHeight="1">
      <c r="A4125" t="s">
        <v>801</v>
      </c>
      <c r="B4125" t="s">
        <v>13</v>
      </c>
      <c r="C4125" t="s">
        <v>726</v>
      </c>
      <c r="D4125" t="s">
        <v>1378</v>
      </c>
      <c r="E4125" s="17">
        <v>46055</v>
      </c>
      <c r="F4125" s="17">
        <v>46055</v>
      </c>
      <c r="G4125" s="13">
        <v>28.560000000000002</v>
      </c>
      <c r="H4125" s="14">
        <v>0</v>
      </c>
      <c r="I4125" s="14">
        <v>0</v>
      </c>
      <c r="J4125" s="14">
        <v>0</v>
      </c>
      <c r="K4125" s="14">
        <v>28.560000000000002</v>
      </c>
      <c r="L4125" t="s">
        <v>794</v>
      </c>
      <c r="M4125" s="23">
        <f t="shared" si="64"/>
        <v>2026</v>
      </c>
    </row>
    <row r="4126" spans="1:13" ht="12.75" hidden="1" customHeight="1">
      <c r="A4126" t="s">
        <v>801</v>
      </c>
      <c r="B4126" t="s">
        <v>13</v>
      </c>
      <c r="C4126" t="s">
        <v>726</v>
      </c>
      <c r="D4126" t="s">
        <v>1378</v>
      </c>
      <c r="E4126" s="17">
        <v>46056</v>
      </c>
      <c r="F4126" s="17">
        <v>46055</v>
      </c>
      <c r="G4126" s="13">
        <v>62.92</v>
      </c>
      <c r="H4126" s="14">
        <v>0</v>
      </c>
      <c r="I4126" s="14">
        <v>0</v>
      </c>
      <c r="J4126" s="14">
        <v>0</v>
      </c>
      <c r="K4126" s="14">
        <v>62.92</v>
      </c>
      <c r="L4126" t="s">
        <v>794</v>
      </c>
      <c r="M4126" s="23">
        <f t="shared" si="64"/>
        <v>2026</v>
      </c>
    </row>
    <row r="4127" spans="1:13" ht="12.75" hidden="1" customHeight="1">
      <c r="A4127" t="s">
        <v>797</v>
      </c>
      <c r="B4127" t="s">
        <v>25</v>
      </c>
      <c r="C4127" t="s">
        <v>206</v>
      </c>
      <c r="D4127" t="s">
        <v>1378</v>
      </c>
      <c r="E4127" s="17">
        <v>46056</v>
      </c>
      <c r="F4127" s="17">
        <v>46056</v>
      </c>
      <c r="G4127" s="13">
        <v>2625</v>
      </c>
      <c r="H4127" s="14">
        <v>0</v>
      </c>
      <c r="I4127" s="14">
        <v>0</v>
      </c>
      <c r="J4127" s="14">
        <v>0</v>
      </c>
      <c r="K4127" s="14">
        <v>2625</v>
      </c>
      <c r="L4127" t="s">
        <v>794</v>
      </c>
      <c r="M4127" s="23">
        <f t="shared" si="64"/>
        <v>2026</v>
      </c>
    </row>
    <row r="4128" spans="1:13" ht="12.75" hidden="1" customHeight="1">
      <c r="A4128" t="s">
        <v>801</v>
      </c>
      <c r="B4128" t="s">
        <v>13</v>
      </c>
      <c r="C4128" t="s">
        <v>726</v>
      </c>
      <c r="D4128" t="s">
        <v>1378</v>
      </c>
      <c r="E4128" s="17">
        <v>46056</v>
      </c>
      <c r="F4128" s="17">
        <v>46056</v>
      </c>
      <c r="G4128" s="13">
        <v>26.52</v>
      </c>
      <c r="H4128" s="14">
        <v>0</v>
      </c>
      <c r="I4128" s="14">
        <v>0</v>
      </c>
      <c r="J4128" s="14">
        <v>0</v>
      </c>
      <c r="K4128" s="14">
        <v>26.52</v>
      </c>
      <c r="L4128" t="s">
        <v>794</v>
      </c>
      <c r="M4128" s="23">
        <f t="shared" si="64"/>
        <v>2026</v>
      </c>
    </row>
    <row r="4129" spans="1:13" ht="12.75" hidden="1" customHeight="1">
      <c r="A4129" t="s">
        <v>801</v>
      </c>
      <c r="B4129" t="s">
        <v>13</v>
      </c>
      <c r="C4129" t="s">
        <v>726</v>
      </c>
      <c r="D4129" t="s">
        <v>1378</v>
      </c>
      <c r="E4129" s="17">
        <v>46056</v>
      </c>
      <c r="F4129" s="17">
        <v>46056</v>
      </c>
      <c r="G4129" s="13">
        <v>6.12</v>
      </c>
      <c r="H4129" s="14">
        <v>0</v>
      </c>
      <c r="I4129" s="14">
        <v>0</v>
      </c>
      <c r="J4129" s="14">
        <v>0</v>
      </c>
      <c r="K4129" s="14">
        <v>6.12</v>
      </c>
      <c r="L4129" t="s">
        <v>794</v>
      </c>
      <c r="M4129" s="23">
        <f t="shared" si="64"/>
        <v>2026</v>
      </c>
    </row>
    <row r="4130" spans="1:13" ht="12.75" hidden="1" customHeight="1">
      <c r="A4130" t="s">
        <v>801</v>
      </c>
      <c r="B4130" t="s">
        <v>13</v>
      </c>
      <c r="C4130" t="s">
        <v>717</v>
      </c>
      <c r="D4130" t="s">
        <v>1378</v>
      </c>
      <c r="E4130" s="17">
        <v>46056</v>
      </c>
      <c r="F4130" s="17">
        <v>46056</v>
      </c>
      <c r="G4130" s="13">
        <v>4564.22</v>
      </c>
      <c r="H4130" s="14">
        <v>0</v>
      </c>
      <c r="I4130" s="14">
        <v>0</v>
      </c>
      <c r="J4130" s="14">
        <v>0</v>
      </c>
      <c r="K4130" s="14">
        <v>4564.22</v>
      </c>
      <c r="L4130" t="s">
        <v>794</v>
      </c>
      <c r="M4130" s="23">
        <f t="shared" si="64"/>
        <v>2026</v>
      </c>
    </row>
    <row r="4131" spans="1:13" ht="12.75" hidden="1" customHeight="1">
      <c r="A4131" t="s">
        <v>801</v>
      </c>
      <c r="B4131" t="s">
        <v>13</v>
      </c>
      <c r="C4131" t="s">
        <v>726</v>
      </c>
      <c r="D4131" t="s">
        <v>1378</v>
      </c>
      <c r="E4131" s="17">
        <v>46056</v>
      </c>
      <c r="F4131" s="17">
        <v>46056</v>
      </c>
      <c r="G4131" s="13">
        <v>429.91</v>
      </c>
      <c r="H4131" s="14">
        <v>0</v>
      </c>
      <c r="I4131" s="14">
        <v>0</v>
      </c>
      <c r="J4131" s="14">
        <v>0</v>
      </c>
      <c r="K4131" s="14">
        <v>429.91</v>
      </c>
      <c r="L4131" t="s">
        <v>794</v>
      </c>
      <c r="M4131" s="23">
        <f t="shared" si="64"/>
        <v>2026</v>
      </c>
    </row>
    <row r="4132" spans="1:13" ht="12.75" hidden="1" customHeight="1">
      <c r="A4132" t="s">
        <v>801</v>
      </c>
      <c r="B4132" t="s">
        <v>13</v>
      </c>
      <c r="C4132" t="s">
        <v>726</v>
      </c>
      <c r="D4132" t="s">
        <v>1378</v>
      </c>
      <c r="E4132" s="17">
        <v>46056</v>
      </c>
      <c r="F4132" s="17">
        <v>46056</v>
      </c>
      <c r="G4132" s="13">
        <v>267.24</v>
      </c>
      <c r="H4132" s="14">
        <v>0</v>
      </c>
      <c r="I4132" s="14">
        <v>0</v>
      </c>
      <c r="J4132" s="14">
        <v>0</v>
      </c>
      <c r="K4132" s="14">
        <v>267.24</v>
      </c>
      <c r="L4132" t="s">
        <v>794</v>
      </c>
      <c r="M4132" s="23">
        <f t="shared" si="64"/>
        <v>2026</v>
      </c>
    </row>
    <row r="4133" spans="1:13" ht="12.75" hidden="1" customHeight="1">
      <c r="A4133" t="s">
        <v>792</v>
      </c>
      <c r="B4133" t="s">
        <v>35</v>
      </c>
      <c r="C4133" t="s">
        <v>206</v>
      </c>
      <c r="D4133" t="s">
        <v>1378</v>
      </c>
      <c r="E4133" s="17">
        <v>46056</v>
      </c>
      <c r="F4133" s="17">
        <v>46056</v>
      </c>
      <c r="G4133" s="13">
        <v>875</v>
      </c>
      <c r="H4133" s="14">
        <v>0</v>
      </c>
      <c r="I4133" s="14">
        <v>0</v>
      </c>
      <c r="J4133" s="14">
        <v>0</v>
      </c>
      <c r="K4133" s="14">
        <v>875</v>
      </c>
      <c r="L4133" t="s">
        <v>794</v>
      </c>
      <c r="M4133" s="23">
        <f t="shared" si="64"/>
        <v>2026</v>
      </c>
    </row>
    <row r="4134" spans="1:13" ht="12.75" hidden="1" customHeight="1">
      <c r="A4134" t="s">
        <v>792</v>
      </c>
      <c r="B4134" t="s">
        <v>35</v>
      </c>
      <c r="C4134" t="s">
        <v>206</v>
      </c>
      <c r="D4134" t="s">
        <v>1378</v>
      </c>
      <c r="E4134" s="17">
        <v>46056</v>
      </c>
      <c r="F4134" s="17">
        <v>46056</v>
      </c>
      <c r="G4134" s="13">
        <v>500</v>
      </c>
      <c r="H4134" s="14">
        <v>0</v>
      </c>
      <c r="I4134" s="14">
        <v>0</v>
      </c>
      <c r="J4134" s="14">
        <v>0</v>
      </c>
      <c r="K4134" s="14">
        <v>500</v>
      </c>
      <c r="L4134" t="s">
        <v>794</v>
      </c>
      <c r="M4134" s="23">
        <f t="shared" si="64"/>
        <v>2026</v>
      </c>
    </row>
    <row r="4135" spans="1:13" ht="12.75" hidden="1" customHeight="1">
      <c r="A4135" t="s">
        <v>801</v>
      </c>
      <c r="B4135" t="s">
        <v>13</v>
      </c>
      <c r="C4135" t="s">
        <v>726</v>
      </c>
      <c r="D4135" t="s">
        <v>1378</v>
      </c>
      <c r="E4135" s="17">
        <v>46056</v>
      </c>
      <c r="F4135" s="17">
        <v>46056</v>
      </c>
      <c r="G4135" s="13">
        <v>29.46</v>
      </c>
      <c r="H4135" s="14">
        <v>0</v>
      </c>
      <c r="I4135" s="14">
        <v>0</v>
      </c>
      <c r="J4135" s="14">
        <v>0</v>
      </c>
      <c r="K4135" s="14">
        <v>29.46</v>
      </c>
      <c r="L4135" t="s">
        <v>794</v>
      </c>
      <c r="M4135" s="23">
        <f t="shared" si="64"/>
        <v>2026</v>
      </c>
    </row>
    <row r="4136" spans="1:13" ht="12.75" hidden="1" customHeight="1">
      <c r="A4136" t="s">
        <v>892</v>
      </c>
      <c r="B4136" t="s">
        <v>110</v>
      </c>
      <c r="C4136" t="s">
        <v>733</v>
      </c>
      <c r="D4136" t="s">
        <v>1378</v>
      </c>
      <c r="E4136" s="17">
        <v>46056</v>
      </c>
      <c r="F4136" s="17">
        <v>46056</v>
      </c>
      <c r="G4136" s="13">
        <v>300</v>
      </c>
      <c r="H4136" s="14">
        <v>0</v>
      </c>
      <c r="I4136" s="14">
        <v>0</v>
      </c>
      <c r="J4136" s="14">
        <v>0</v>
      </c>
      <c r="K4136" s="14">
        <v>300</v>
      </c>
      <c r="L4136" t="s">
        <v>794</v>
      </c>
      <c r="M4136" s="23">
        <f t="shared" si="64"/>
        <v>2026</v>
      </c>
    </row>
    <row r="4137" spans="1:13" ht="12.75" hidden="1" customHeight="1">
      <c r="A4137" t="s">
        <v>797</v>
      </c>
      <c r="B4137" t="s">
        <v>25</v>
      </c>
      <c r="C4137" t="s">
        <v>206</v>
      </c>
      <c r="D4137" t="s">
        <v>1378</v>
      </c>
      <c r="E4137" s="17">
        <v>46056</v>
      </c>
      <c r="F4137" s="17">
        <v>46056</v>
      </c>
      <c r="G4137" s="13">
        <v>1500</v>
      </c>
      <c r="H4137" s="14">
        <v>0</v>
      </c>
      <c r="I4137" s="14">
        <v>0</v>
      </c>
      <c r="J4137" s="14">
        <v>0</v>
      </c>
      <c r="K4137" s="14">
        <v>1500</v>
      </c>
      <c r="L4137" t="s">
        <v>794</v>
      </c>
      <c r="M4137" s="23">
        <f t="shared" si="64"/>
        <v>2026</v>
      </c>
    </row>
    <row r="4138" spans="1:13" ht="12.75" hidden="1" customHeight="1">
      <c r="A4138" t="s">
        <v>1105</v>
      </c>
      <c r="B4138" t="s">
        <v>1395</v>
      </c>
      <c r="C4138" t="s">
        <v>138</v>
      </c>
      <c r="D4138" t="s">
        <v>1378</v>
      </c>
      <c r="E4138" s="17">
        <v>46055</v>
      </c>
      <c r="F4138" s="17">
        <v>46056</v>
      </c>
      <c r="G4138" s="13">
        <v>255.42000000000002</v>
      </c>
      <c r="H4138" s="14">
        <v>0</v>
      </c>
      <c r="I4138" s="14">
        <v>0</v>
      </c>
      <c r="J4138" s="14">
        <v>0</v>
      </c>
      <c r="K4138" s="14">
        <v>255.42000000000002</v>
      </c>
      <c r="L4138" t="s">
        <v>794</v>
      </c>
      <c r="M4138" s="23">
        <f t="shared" ref="M4138:M4201" si="65">YEAR(F4138)</f>
        <v>2026</v>
      </c>
    </row>
    <row r="4139" spans="1:13" ht="12.75" hidden="1" customHeight="1">
      <c r="A4139" t="s">
        <v>1388</v>
      </c>
      <c r="B4139" t="s">
        <v>202</v>
      </c>
      <c r="C4139" t="s">
        <v>139</v>
      </c>
      <c r="D4139" t="s">
        <v>1378</v>
      </c>
      <c r="E4139" s="17">
        <v>46055</v>
      </c>
      <c r="F4139" s="17">
        <v>46056</v>
      </c>
      <c r="G4139" s="13">
        <v>194.4</v>
      </c>
      <c r="H4139" s="14">
        <v>0</v>
      </c>
      <c r="I4139" s="14">
        <v>0</v>
      </c>
      <c r="J4139" s="14">
        <v>0</v>
      </c>
      <c r="K4139" s="14">
        <v>194.4</v>
      </c>
      <c r="L4139" t="s">
        <v>794</v>
      </c>
      <c r="M4139" s="23">
        <f t="shared" si="65"/>
        <v>2026</v>
      </c>
    </row>
    <row r="4140" spans="1:13" ht="12.75" hidden="1" customHeight="1">
      <c r="A4140" t="s">
        <v>801</v>
      </c>
      <c r="B4140" t="s">
        <v>13</v>
      </c>
      <c r="C4140" t="s">
        <v>726</v>
      </c>
      <c r="D4140" t="s">
        <v>1378</v>
      </c>
      <c r="E4140" s="17">
        <v>46056</v>
      </c>
      <c r="F4140" s="17">
        <v>46056</v>
      </c>
      <c r="G4140" s="13">
        <v>12.3</v>
      </c>
      <c r="H4140" s="14">
        <v>0</v>
      </c>
      <c r="I4140" s="14">
        <v>0</v>
      </c>
      <c r="J4140" s="14">
        <v>0</v>
      </c>
      <c r="K4140" s="14">
        <v>12.3</v>
      </c>
      <c r="L4140" t="s">
        <v>794</v>
      </c>
      <c r="M4140" s="23">
        <f t="shared" si="65"/>
        <v>2026</v>
      </c>
    </row>
    <row r="4141" spans="1:13" ht="12.75" hidden="1" customHeight="1">
      <c r="A4141" t="s">
        <v>801</v>
      </c>
      <c r="B4141" t="s">
        <v>13</v>
      </c>
      <c r="C4141" t="s">
        <v>726</v>
      </c>
      <c r="D4141" t="s">
        <v>1378</v>
      </c>
      <c r="E4141" s="17">
        <v>46057</v>
      </c>
      <c r="F4141" s="17">
        <v>46057</v>
      </c>
      <c r="G4141" s="13">
        <v>22.44</v>
      </c>
      <c r="H4141" s="14">
        <v>0</v>
      </c>
      <c r="I4141" s="14">
        <v>0</v>
      </c>
      <c r="J4141" s="14">
        <v>0</v>
      </c>
      <c r="K4141" s="14">
        <v>22.44</v>
      </c>
      <c r="L4141" t="s">
        <v>794</v>
      </c>
      <c r="M4141" s="23">
        <f t="shared" si="65"/>
        <v>2026</v>
      </c>
    </row>
    <row r="4142" spans="1:13" ht="12.75" hidden="1" customHeight="1">
      <c r="A4142" t="s">
        <v>801</v>
      </c>
      <c r="B4142" t="s">
        <v>13</v>
      </c>
      <c r="C4142" t="s">
        <v>726</v>
      </c>
      <c r="D4142" t="s">
        <v>1378</v>
      </c>
      <c r="E4142" s="17">
        <v>46057</v>
      </c>
      <c r="F4142" s="17">
        <v>46057</v>
      </c>
      <c r="G4142" s="13">
        <v>8.16</v>
      </c>
      <c r="H4142" s="14">
        <v>0</v>
      </c>
      <c r="I4142" s="14">
        <v>0</v>
      </c>
      <c r="J4142" s="14">
        <v>0</v>
      </c>
      <c r="K4142" s="14">
        <v>8.16</v>
      </c>
      <c r="L4142" t="s">
        <v>794</v>
      </c>
      <c r="M4142" s="23">
        <f t="shared" si="65"/>
        <v>2026</v>
      </c>
    </row>
    <row r="4143" spans="1:13" ht="12.75" hidden="1" customHeight="1">
      <c r="A4143" t="s">
        <v>948</v>
      </c>
      <c r="B4143" t="s">
        <v>89</v>
      </c>
      <c r="C4143" t="s">
        <v>725</v>
      </c>
      <c r="D4143" t="s">
        <v>1394</v>
      </c>
      <c r="E4143" s="17">
        <v>46052</v>
      </c>
      <c r="F4143" s="17">
        <v>46057</v>
      </c>
      <c r="G4143" s="13">
        <v>743</v>
      </c>
      <c r="H4143" s="14">
        <v>0</v>
      </c>
      <c r="I4143" s="14">
        <v>0</v>
      </c>
      <c r="J4143" s="14">
        <v>0</v>
      </c>
      <c r="K4143" s="14">
        <v>743</v>
      </c>
      <c r="L4143" t="s">
        <v>794</v>
      </c>
      <c r="M4143" s="23">
        <f t="shared" si="65"/>
        <v>2026</v>
      </c>
    </row>
    <row r="4144" spans="1:13" ht="12.75" hidden="1" customHeight="1">
      <c r="A4144" t="s">
        <v>811</v>
      </c>
      <c r="B4144" t="s">
        <v>39</v>
      </c>
      <c r="C4144" t="s">
        <v>140</v>
      </c>
      <c r="D4144" t="s">
        <v>1378</v>
      </c>
      <c r="E4144" s="17">
        <v>46057</v>
      </c>
      <c r="F4144" s="17">
        <v>46057</v>
      </c>
      <c r="G4144" s="13">
        <v>400</v>
      </c>
      <c r="H4144" s="14">
        <v>0</v>
      </c>
      <c r="I4144" s="14">
        <v>0</v>
      </c>
      <c r="J4144" s="14">
        <v>0</v>
      </c>
      <c r="K4144" s="14">
        <v>400</v>
      </c>
      <c r="L4144" t="s">
        <v>794</v>
      </c>
      <c r="M4144" s="23">
        <f t="shared" si="65"/>
        <v>2026</v>
      </c>
    </row>
    <row r="4145" spans="1:13" ht="12.75" hidden="1" customHeight="1">
      <c r="A4145" t="s">
        <v>929</v>
      </c>
      <c r="B4145" t="s">
        <v>310</v>
      </c>
      <c r="C4145" t="s">
        <v>723</v>
      </c>
      <c r="D4145" t="s">
        <v>1394</v>
      </c>
      <c r="E4145" s="17">
        <v>46055</v>
      </c>
      <c r="F4145" s="17">
        <v>46057</v>
      </c>
      <c r="G4145" s="13">
        <v>405.87</v>
      </c>
      <c r="H4145" s="14">
        <v>0</v>
      </c>
      <c r="I4145" s="14">
        <v>0</v>
      </c>
      <c r="J4145" s="14">
        <v>0</v>
      </c>
      <c r="K4145" s="14">
        <v>405.87</v>
      </c>
      <c r="L4145" t="s">
        <v>794</v>
      </c>
      <c r="M4145" s="23">
        <f t="shared" si="65"/>
        <v>2026</v>
      </c>
    </row>
    <row r="4146" spans="1:13" ht="12.75" hidden="1" customHeight="1">
      <c r="A4146" t="s">
        <v>1427</v>
      </c>
      <c r="B4146" t="s">
        <v>403</v>
      </c>
      <c r="C4146" t="s">
        <v>404</v>
      </c>
      <c r="D4146" t="s">
        <v>1378</v>
      </c>
      <c r="E4146" s="17">
        <v>46057</v>
      </c>
      <c r="F4146" s="17">
        <v>46057</v>
      </c>
      <c r="G4146" s="13">
        <v>466.28000000000003</v>
      </c>
      <c r="H4146" s="14">
        <v>0</v>
      </c>
      <c r="I4146" s="14">
        <v>0</v>
      </c>
      <c r="J4146" s="14">
        <v>0</v>
      </c>
      <c r="K4146" s="14">
        <v>466.28000000000003</v>
      </c>
      <c r="L4146" t="s">
        <v>794</v>
      </c>
      <c r="M4146" s="23">
        <f t="shared" si="65"/>
        <v>2026</v>
      </c>
    </row>
    <row r="4147" spans="1:13" ht="12.75" hidden="1" customHeight="1">
      <c r="A4147" t="s">
        <v>801</v>
      </c>
      <c r="B4147" t="s">
        <v>13</v>
      </c>
      <c r="C4147" t="s">
        <v>726</v>
      </c>
      <c r="D4147" t="s">
        <v>1378</v>
      </c>
      <c r="E4147" s="17">
        <v>46058</v>
      </c>
      <c r="F4147" s="17">
        <v>46058</v>
      </c>
      <c r="G4147" s="13">
        <v>869.43000000000006</v>
      </c>
      <c r="H4147" s="14">
        <v>0</v>
      </c>
      <c r="I4147" s="14">
        <v>0</v>
      </c>
      <c r="J4147" s="14">
        <v>0</v>
      </c>
      <c r="K4147" s="14">
        <v>869.43000000000006</v>
      </c>
      <c r="L4147" t="s">
        <v>794</v>
      </c>
      <c r="M4147" s="23">
        <f t="shared" si="65"/>
        <v>2026</v>
      </c>
    </row>
    <row r="4148" spans="1:13" ht="12.75" hidden="1" customHeight="1">
      <c r="A4148" t="s">
        <v>801</v>
      </c>
      <c r="B4148" t="s">
        <v>13</v>
      </c>
      <c r="C4148" t="s">
        <v>717</v>
      </c>
      <c r="D4148" t="s">
        <v>1378</v>
      </c>
      <c r="E4148" s="17">
        <v>46058</v>
      </c>
      <c r="F4148" s="17">
        <v>46058</v>
      </c>
      <c r="G4148" s="13">
        <v>135.52000000000001</v>
      </c>
      <c r="H4148" s="14">
        <v>0</v>
      </c>
      <c r="I4148" s="14">
        <v>0</v>
      </c>
      <c r="J4148" s="14">
        <v>0</v>
      </c>
      <c r="K4148" s="14">
        <v>135.52000000000001</v>
      </c>
      <c r="L4148" t="s">
        <v>794</v>
      </c>
      <c r="M4148" s="23">
        <f t="shared" si="65"/>
        <v>2026</v>
      </c>
    </row>
    <row r="4149" spans="1:13" ht="12.75" hidden="1" customHeight="1">
      <c r="A4149" t="s">
        <v>801</v>
      </c>
      <c r="B4149" t="s">
        <v>13</v>
      </c>
      <c r="C4149" t="s">
        <v>726</v>
      </c>
      <c r="D4149" t="s">
        <v>1378</v>
      </c>
      <c r="E4149" s="17">
        <v>46058</v>
      </c>
      <c r="F4149" s="17">
        <v>46058</v>
      </c>
      <c r="G4149" s="13">
        <v>229.95000000000002</v>
      </c>
      <c r="H4149" s="14">
        <v>0</v>
      </c>
      <c r="I4149" s="14">
        <v>0</v>
      </c>
      <c r="J4149" s="14">
        <v>0</v>
      </c>
      <c r="K4149" s="14">
        <v>229.95000000000002</v>
      </c>
      <c r="L4149" t="s">
        <v>794</v>
      </c>
      <c r="M4149" s="23">
        <f t="shared" si="65"/>
        <v>2026</v>
      </c>
    </row>
    <row r="4150" spans="1:13" ht="12.75" hidden="1" customHeight="1">
      <c r="A4150" t="s">
        <v>837</v>
      </c>
      <c r="B4150" t="s">
        <v>58</v>
      </c>
      <c r="C4150" t="s">
        <v>206</v>
      </c>
      <c r="D4150" t="s">
        <v>1378</v>
      </c>
      <c r="E4150" s="17">
        <v>46058</v>
      </c>
      <c r="F4150" s="17">
        <v>46058</v>
      </c>
      <c r="G4150" s="13">
        <v>2046.7</v>
      </c>
      <c r="H4150" s="14">
        <v>0</v>
      </c>
      <c r="I4150" s="14">
        <v>0</v>
      </c>
      <c r="J4150" s="14">
        <v>0</v>
      </c>
      <c r="K4150" s="14">
        <v>2046.7</v>
      </c>
      <c r="L4150" t="s">
        <v>794</v>
      </c>
      <c r="M4150" s="23">
        <f t="shared" si="65"/>
        <v>2026</v>
      </c>
    </row>
    <row r="4151" spans="1:13" ht="12.75" hidden="1" customHeight="1">
      <c r="A4151" t="s">
        <v>801</v>
      </c>
      <c r="B4151" t="s">
        <v>13</v>
      </c>
      <c r="C4151" t="s">
        <v>726</v>
      </c>
      <c r="D4151" t="s">
        <v>1378</v>
      </c>
      <c r="E4151" s="17">
        <v>46059</v>
      </c>
      <c r="F4151" s="17">
        <v>46059</v>
      </c>
      <c r="G4151" s="13">
        <v>87.600000000000009</v>
      </c>
      <c r="H4151" s="14">
        <v>0</v>
      </c>
      <c r="I4151" s="14">
        <v>0</v>
      </c>
      <c r="J4151" s="14">
        <v>0</v>
      </c>
      <c r="K4151" s="14">
        <v>87.600000000000009</v>
      </c>
      <c r="L4151" t="s">
        <v>794</v>
      </c>
      <c r="M4151" s="23">
        <f t="shared" si="65"/>
        <v>2026</v>
      </c>
    </row>
    <row r="4152" spans="1:13" ht="12.75" hidden="1" customHeight="1">
      <c r="A4152" t="s">
        <v>801</v>
      </c>
      <c r="B4152" t="s">
        <v>13</v>
      </c>
      <c r="C4152" t="s">
        <v>726</v>
      </c>
      <c r="D4152" t="s">
        <v>1378</v>
      </c>
      <c r="E4152" s="17">
        <v>46059</v>
      </c>
      <c r="F4152" s="17">
        <v>46059</v>
      </c>
      <c r="G4152" s="13">
        <v>24.09</v>
      </c>
      <c r="H4152" s="14">
        <v>0</v>
      </c>
      <c r="I4152" s="14">
        <v>0</v>
      </c>
      <c r="J4152" s="14">
        <v>0</v>
      </c>
      <c r="K4152" s="14">
        <v>24.09</v>
      </c>
      <c r="L4152" t="s">
        <v>794</v>
      </c>
      <c r="M4152" s="23">
        <f t="shared" si="65"/>
        <v>2026</v>
      </c>
    </row>
    <row r="4153" spans="1:13" ht="12.75" hidden="1" customHeight="1">
      <c r="A4153" t="s">
        <v>879</v>
      </c>
      <c r="B4153" t="s">
        <v>23</v>
      </c>
      <c r="C4153" t="s">
        <v>716</v>
      </c>
      <c r="D4153" t="s">
        <v>1378</v>
      </c>
      <c r="E4153" s="17">
        <v>46058</v>
      </c>
      <c r="F4153" s="17">
        <v>46059</v>
      </c>
      <c r="G4153" s="13">
        <v>2849.31</v>
      </c>
      <c r="H4153" s="14">
        <v>0</v>
      </c>
      <c r="I4153" s="14">
        <v>0</v>
      </c>
      <c r="J4153" s="14">
        <v>0</v>
      </c>
      <c r="K4153" s="14">
        <v>2849.31</v>
      </c>
      <c r="L4153" t="s">
        <v>794</v>
      </c>
      <c r="M4153" s="23">
        <f t="shared" si="65"/>
        <v>2026</v>
      </c>
    </row>
    <row r="4154" spans="1:13" ht="12.75" hidden="1" customHeight="1">
      <c r="A4154" t="s">
        <v>823</v>
      </c>
      <c r="B4154" t="s">
        <v>245</v>
      </c>
      <c r="C4154" t="s">
        <v>736</v>
      </c>
      <c r="D4154" t="s">
        <v>1378</v>
      </c>
      <c r="E4154" s="17">
        <v>46059</v>
      </c>
      <c r="F4154" s="17">
        <v>46059</v>
      </c>
      <c r="G4154" s="13">
        <v>129.97</v>
      </c>
      <c r="H4154" s="14">
        <v>0</v>
      </c>
      <c r="I4154" s="14">
        <v>0</v>
      </c>
      <c r="J4154" s="14">
        <v>0</v>
      </c>
      <c r="K4154" s="14">
        <v>129.97</v>
      </c>
      <c r="L4154" t="s">
        <v>794</v>
      </c>
      <c r="M4154" s="23">
        <f t="shared" si="65"/>
        <v>2026</v>
      </c>
    </row>
    <row r="4155" spans="1:13" ht="12.75" hidden="1" customHeight="1">
      <c r="A4155" t="s">
        <v>819</v>
      </c>
      <c r="B4155" t="s">
        <v>38</v>
      </c>
      <c r="C4155" t="s">
        <v>137</v>
      </c>
      <c r="D4155" t="s">
        <v>1378</v>
      </c>
      <c r="E4155" s="17">
        <v>46059</v>
      </c>
      <c r="F4155" s="17">
        <v>46059</v>
      </c>
      <c r="G4155" s="13">
        <v>916</v>
      </c>
      <c r="H4155" s="14">
        <v>0</v>
      </c>
      <c r="I4155" s="14">
        <v>0</v>
      </c>
      <c r="J4155" s="14">
        <v>0</v>
      </c>
      <c r="K4155" s="14">
        <v>916</v>
      </c>
      <c r="L4155" t="s">
        <v>794</v>
      </c>
      <c r="M4155" s="23">
        <f t="shared" si="65"/>
        <v>2026</v>
      </c>
    </row>
    <row r="4156" spans="1:13" ht="12.75" hidden="1" customHeight="1">
      <c r="A4156" t="s">
        <v>1173</v>
      </c>
      <c r="B4156" t="s">
        <v>45</v>
      </c>
      <c r="C4156" t="s">
        <v>137</v>
      </c>
      <c r="D4156" t="s">
        <v>1378</v>
      </c>
      <c r="E4156" s="17">
        <v>46059</v>
      </c>
      <c r="F4156" s="17">
        <v>46059</v>
      </c>
      <c r="G4156" s="13">
        <v>1172</v>
      </c>
      <c r="H4156" s="14">
        <v>0</v>
      </c>
      <c r="I4156" s="14">
        <v>0</v>
      </c>
      <c r="J4156" s="14">
        <v>0</v>
      </c>
      <c r="K4156" s="14">
        <v>1172</v>
      </c>
      <c r="L4156" t="s">
        <v>794</v>
      </c>
      <c r="M4156" s="23">
        <f t="shared" si="65"/>
        <v>2026</v>
      </c>
    </row>
    <row r="4157" spans="1:13" ht="12.75" hidden="1" customHeight="1">
      <c r="A4157" t="s">
        <v>924</v>
      </c>
      <c r="B4157" t="s">
        <v>87</v>
      </c>
      <c r="C4157" t="s">
        <v>736</v>
      </c>
      <c r="D4157" t="s">
        <v>1378</v>
      </c>
      <c r="E4157" s="17">
        <v>46059</v>
      </c>
      <c r="F4157" s="17">
        <v>46059</v>
      </c>
      <c r="G4157" s="13">
        <v>750</v>
      </c>
      <c r="H4157" s="14">
        <v>0</v>
      </c>
      <c r="I4157" s="14">
        <v>0</v>
      </c>
      <c r="J4157" s="14">
        <v>0</v>
      </c>
      <c r="K4157" s="14">
        <v>750</v>
      </c>
      <c r="L4157" t="s">
        <v>794</v>
      </c>
      <c r="M4157" s="23">
        <f t="shared" si="65"/>
        <v>2026</v>
      </c>
    </row>
    <row r="4158" spans="1:13" ht="12.75" hidden="1" customHeight="1">
      <c r="A4158" t="s">
        <v>855</v>
      </c>
      <c r="B4158" t="s">
        <v>20</v>
      </c>
      <c r="C4158" t="s">
        <v>721</v>
      </c>
      <c r="D4158" t="s">
        <v>1378</v>
      </c>
      <c r="E4158" s="17">
        <v>46059</v>
      </c>
      <c r="F4158" s="17">
        <v>46059</v>
      </c>
      <c r="G4158" s="13">
        <v>5000</v>
      </c>
      <c r="H4158" s="14">
        <v>0</v>
      </c>
      <c r="I4158" s="14">
        <v>0</v>
      </c>
      <c r="J4158" s="14">
        <v>0</v>
      </c>
      <c r="K4158" s="14">
        <v>5000</v>
      </c>
      <c r="L4158" t="s">
        <v>794</v>
      </c>
      <c r="M4158" s="23">
        <f t="shared" si="65"/>
        <v>2026</v>
      </c>
    </row>
    <row r="4159" spans="1:13" ht="12.75" hidden="1" customHeight="1">
      <c r="A4159" t="s">
        <v>836</v>
      </c>
      <c r="B4159" t="s">
        <v>37</v>
      </c>
      <c r="C4159" t="s">
        <v>137</v>
      </c>
      <c r="D4159" t="s">
        <v>1378</v>
      </c>
      <c r="E4159" s="17">
        <v>46059</v>
      </c>
      <c r="F4159" s="17">
        <v>46059</v>
      </c>
      <c r="G4159" s="13">
        <v>1572</v>
      </c>
      <c r="H4159" s="14">
        <v>0</v>
      </c>
      <c r="I4159" s="14">
        <v>0</v>
      </c>
      <c r="J4159" s="14">
        <v>0</v>
      </c>
      <c r="K4159" s="14">
        <v>1572</v>
      </c>
      <c r="L4159" t="s">
        <v>794</v>
      </c>
      <c r="M4159" s="23">
        <f t="shared" si="65"/>
        <v>2026</v>
      </c>
    </row>
    <row r="4160" spans="1:13" ht="12.75" hidden="1" customHeight="1">
      <c r="A4160" t="s">
        <v>825</v>
      </c>
      <c r="B4160" t="s">
        <v>46</v>
      </c>
      <c r="C4160" t="s">
        <v>137</v>
      </c>
      <c r="D4160" t="s">
        <v>1378</v>
      </c>
      <c r="E4160" s="17">
        <v>46059</v>
      </c>
      <c r="F4160" s="17">
        <v>46059</v>
      </c>
      <c r="G4160" s="13">
        <v>1059</v>
      </c>
      <c r="H4160" s="14">
        <v>0</v>
      </c>
      <c r="I4160" s="14">
        <v>0</v>
      </c>
      <c r="J4160" s="14">
        <v>0</v>
      </c>
      <c r="K4160" s="14">
        <v>1059</v>
      </c>
      <c r="L4160" t="s">
        <v>794</v>
      </c>
      <c r="M4160" s="23">
        <f t="shared" si="65"/>
        <v>2026</v>
      </c>
    </row>
    <row r="4161" spans="1:13" ht="12.75" hidden="1" customHeight="1">
      <c r="A4161" t="s">
        <v>1388</v>
      </c>
      <c r="B4161" t="s">
        <v>202</v>
      </c>
      <c r="C4161" t="s">
        <v>137</v>
      </c>
      <c r="D4161" t="s">
        <v>1378</v>
      </c>
      <c r="E4161" s="17">
        <v>46059</v>
      </c>
      <c r="F4161" s="17">
        <v>46059</v>
      </c>
      <c r="G4161" s="13">
        <v>1359</v>
      </c>
      <c r="H4161" s="14">
        <v>0</v>
      </c>
      <c r="I4161" s="14">
        <v>0</v>
      </c>
      <c r="J4161" s="14">
        <v>0</v>
      </c>
      <c r="K4161" s="14">
        <v>1359</v>
      </c>
      <c r="L4161" t="s">
        <v>794</v>
      </c>
      <c r="M4161" s="23">
        <f t="shared" si="65"/>
        <v>2026</v>
      </c>
    </row>
    <row r="4162" spans="1:13" ht="12.75" hidden="1" customHeight="1">
      <c r="A4162" t="s">
        <v>1173</v>
      </c>
      <c r="B4162" t="s">
        <v>45</v>
      </c>
      <c r="C4162" t="s">
        <v>137</v>
      </c>
      <c r="D4162" t="s">
        <v>1378</v>
      </c>
      <c r="E4162" s="17">
        <v>46059</v>
      </c>
      <c r="F4162" s="17">
        <v>46059</v>
      </c>
      <c r="G4162" s="13">
        <v>846</v>
      </c>
      <c r="H4162" s="14">
        <v>0</v>
      </c>
      <c r="I4162" s="14">
        <v>0</v>
      </c>
      <c r="J4162" s="14">
        <v>0</v>
      </c>
      <c r="K4162" s="14">
        <v>846</v>
      </c>
      <c r="L4162" t="s">
        <v>794</v>
      </c>
      <c r="M4162" s="23">
        <f t="shared" si="65"/>
        <v>2026</v>
      </c>
    </row>
    <row r="4163" spans="1:13" ht="12.75" hidden="1" customHeight="1">
      <c r="A4163" t="s">
        <v>833</v>
      </c>
      <c r="B4163" t="s">
        <v>27</v>
      </c>
      <c r="C4163" t="s">
        <v>140</v>
      </c>
      <c r="D4163" t="s">
        <v>1378</v>
      </c>
      <c r="E4163" s="17">
        <v>46059</v>
      </c>
      <c r="F4163" s="17">
        <v>46059</v>
      </c>
      <c r="G4163" s="13">
        <v>1000</v>
      </c>
      <c r="H4163" s="14">
        <v>0</v>
      </c>
      <c r="I4163" s="14">
        <v>0</v>
      </c>
      <c r="J4163" s="14">
        <v>0</v>
      </c>
      <c r="K4163" s="14">
        <v>1000</v>
      </c>
      <c r="L4163" t="s">
        <v>794</v>
      </c>
      <c r="M4163" s="23">
        <f t="shared" si="65"/>
        <v>2026</v>
      </c>
    </row>
    <row r="4164" spans="1:13" ht="12.75" hidden="1" customHeight="1">
      <c r="A4164" t="s">
        <v>1112</v>
      </c>
      <c r="B4164" t="s">
        <v>68</v>
      </c>
      <c r="C4164" t="s">
        <v>137</v>
      </c>
      <c r="D4164" t="s">
        <v>1378</v>
      </c>
      <c r="E4164" s="17">
        <v>46059</v>
      </c>
      <c r="F4164" s="17">
        <v>46059</v>
      </c>
      <c r="G4164" s="13">
        <v>900</v>
      </c>
      <c r="H4164" s="14">
        <v>0</v>
      </c>
      <c r="I4164" s="14">
        <v>0</v>
      </c>
      <c r="J4164" s="14">
        <v>0</v>
      </c>
      <c r="K4164" s="14">
        <v>900</v>
      </c>
      <c r="L4164" t="s">
        <v>794</v>
      </c>
      <c r="M4164" s="23">
        <f t="shared" si="65"/>
        <v>2026</v>
      </c>
    </row>
    <row r="4165" spans="1:13" ht="12.75" hidden="1" customHeight="1">
      <c r="A4165" t="s">
        <v>814</v>
      </c>
      <c r="B4165" t="s">
        <v>56</v>
      </c>
      <c r="C4165" t="s">
        <v>137</v>
      </c>
      <c r="D4165" t="s">
        <v>1378</v>
      </c>
      <c r="E4165" s="17">
        <v>46059</v>
      </c>
      <c r="F4165" s="17">
        <v>46059</v>
      </c>
      <c r="G4165" s="13">
        <v>1707</v>
      </c>
      <c r="H4165" s="14">
        <v>0</v>
      </c>
      <c r="I4165" s="14">
        <v>0</v>
      </c>
      <c r="J4165" s="14">
        <v>0</v>
      </c>
      <c r="K4165" s="14">
        <v>1707</v>
      </c>
      <c r="L4165" t="s">
        <v>794</v>
      </c>
      <c r="M4165" s="23">
        <f t="shared" si="65"/>
        <v>2026</v>
      </c>
    </row>
    <row r="4166" spans="1:13" ht="12.75" hidden="1" customHeight="1">
      <c r="A4166" t="s">
        <v>961</v>
      </c>
      <c r="B4166" t="s">
        <v>41</v>
      </c>
      <c r="C4166" t="s">
        <v>137</v>
      </c>
      <c r="D4166" t="s">
        <v>1378</v>
      </c>
      <c r="E4166" s="17">
        <v>46059</v>
      </c>
      <c r="F4166" s="17">
        <v>46059</v>
      </c>
      <c r="G4166" s="13">
        <v>1572</v>
      </c>
      <c r="H4166" s="14">
        <v>0</v>
      </c>
      <c r="I4166" s="14">
        <v>0</v>
      </c>
      <c r="J4166" s="14">
        <v>0</v>
      </c>
      <c r="K4166" s="14">
        <v>1572</v>
      </c>
      <c r="L4166" t="s">
        <v>794</v>
      </c>
      <c r="M4166" s="23">
        <f t="shared" si="65"/>
        <v>2026</v>
      </c>
    </row>
    <row r="4167" spans="1:13" ht="12.75" hidden="1" customHeight="1">
      <c r="A4167" t="s">
        <v>816</v>
      </c>
      <c r="B4167" t="s">
        <v>148</v>
      </c>
      <c r="C4167" t="s">
        <v>137</v>
      </c>
      <c r="D4167" t="s">
        <v>1378</v>
      </c>
      <c r="E4167" s="17">
        <v>46059</v>
      </c>
      <c r="F4167" s="17">
        <v>46059</v>
      </c>
      <c r="G4167" s="13">
        <v>1816</v>
      </c>
      <c r="H4167" s="14">
        <v>0</v>
      </c>
      <c r="I4167" s="14">
        <v>0</v>
      </c>
      <c r="J4167" s="14">
        <v>0</v>
      </c>
      <c r="K4167" s="14">
        <v>1816</v>
      </c>
      <c r="L4167" t="s">
        <v>794</v>
      </c>
      <c r="M4167" s="23">
        <f t="shared" si="65"/>
        <v>2026</v>
      </c>
    </row>
    <row r="4168" spans="1:13" ht="12.75" hidden="1" customHeight="1">
      <c r="A4168" t="s">
        <v>1141</v>
      </c>
      <c r="B4168" t="s">
        <v>69</v>
      </c>
      <c r="C4168" t="s">
        <v>137</v>
      </c>
      <c r="D4168" t="s">
        <v>1378</v>
      </c>
      <c r="E4168" s="17">
        <v>46059</v>
      </c>
      <c r="F4168" s="17">
        <v>46059</v>
      </c>
      <c r="G4168" s="13">
        <v>1465</v>
      </c>
      <c r="H4168" s="14">
        <v>0</v>
      </c>
      <c r="I4168" s="14">
        <v>0</v>
      </c>
      <c r="J4168" s="14">
        <v>0</v>
      </c>
      <c r="K4168" s="14">
        <v>1465</v>
      </c>
      <c r="L4168" t="s">
        <v>794</v>
      </c>
      <c r="M4168" s="23">
        <f t="shared" si="65"/>
        <v>2026</v>
      </c>
    </row>
    <row r="4169" spans="1:13" ht="12.75" hidden="1" customHeight="1">
      <c r="A4169" t="s">
        <v>1105</v>
      </c>
      <c r="B4169" t="s">
        <v>1395</v>
      </c>
      <c r="C4169" t="s">
        <v>137</v>
      </c>
      <c r="D4169" t="s">
        <v>1378</v>
      </c>
      <c r="E4169" s="17">
        <v>46059</v>
      </c>
      <c r="F4169" s="17">
        <v>46059</v>
      </c>
      <c r="G4169" s="13">
        <v>1573</v>
      </c>
      <c r="H4169" s="14">
        <v>0</v>
      </c>
      <c r="I4169" s="14">
        <v>0</v>
      </c>
      <c r="J4169" s="14">
        <v>0</v>
      </c>
      <c r="K4169" s="14">
        <v>1573</v>
      </c>
      <c r="L4169" t="s">
        <v>794</v>
      </c>
      <c r="M4169" s="23">
        <f t="shared" si="65"/>
        <v>2026</v>
      </c>
    </row>
    <row r="4170" spans="1:13" ht="12.75" hidden="1" customHeight="1">
      <c r="A4170" t="s">
        <v>1104</v>
      </c>
      <c r="B4170" t="s">
        <v>53</v>
      </c>
      <c r="C4170" t="s">
        <v>137</v>
      </c>
      <c r="D4170" t="s">
        <v>1378</v>
      </c>
      <c r="E4170" s="17">
        <v>46059</v>
      </c>
      <c r="F4170" s="17">
        <v>46059</v>
      </c>
      <c r="G4170" s="13">
        <v>1388</v>
      </c>
      <c r="H4170" s="14">
        <v>0</v>
      </c>
      <c r="I4170" s="14">
        <v>0</v>
      </c>
      <c r="J4170" s="14">
        <v>0</v>
      </c>
      <c r="K4170" s="14">
        <v>1388</v>
      </c>
      <c r="L4170" t="s">
        <v>794</v>
      </c>
      <c r="M4170" s="23">
        <f t="shared" si="65"/>
        <v>2026</v>
      </c>
    </row>
    <row r="4171" spans="1:13" ht="12.75" hidden="1" customHeight="1">
      <c r="A4171" t="s">
        <v>1181</v>
      </c>
      <c r="B4171" t="s">
        <v>75</v>
      </c>
      <c r="C4171" t="s">
        <v>137</v>
      </c>
      <c r="D4171" t="s">
        <v>1378</v>
      </c>
      <c r="E4171" s="17">
        <v>46059</v>
      </c>
      <c r="F4171" s="17">
        <v>46059</v>
      </c>
      <c r="G4171" s="13">
        <v>1455</v>
      </c>
      <c r="H4171" s="14">
        <v>0</v>
      </c>
      <c r="I4171" s="14">
        <v>0</v>
      </c>
      <c r="J4171" s="14">
        <v>0</v>
      </c>
      <c r="K4171" s="14">
        <v>1455</v>
      </c>
      <c r="L4171" t="s">
        <v>794</v>
      </c>
      <c r="M4171" s="23">
        <f t="shared" si="65"/>
        <v>2026</v>
      </c>
    </row>
    <row r="4172" spans="1:13" ht="12.75" hidden="1" customHeight="1">
      <c r="A4172" t="s">
        <v>1134</v>
      </c>
      <c r="B4172" t="s">
        <v>33</v>
      </c>
      <c r="C4172" t="s">
        <v>137</v>
      </c>
      <c r="D4172" t="s">
        <v>1378</v>
      </c>
      <c r="E4172" s="17">
        <v>46059</v>
      </c>
      <c r="F4172" s="17">
        <v>46059</v>
      </c>
      <c r="G4172" s="13">
        <v>1572</v>
      </c>
      <c r="H4172" s="14">
        <v>0</v>
      </c>
      <c r="I4172" s="14">
        <v>0</v>
      </c>
      <c r="J4172" s="14">
        <v>0</v>
      </c>
      <c r="K4172" s="14">
        <v>1572</v>
      </c>
      <c r="L4172" t="s">
        <v>794</v>
      </c>
      <c r="M4172" s="23">
        <f t="shared" si="65"/>
        <v>2026</v>
      </c>
    </row>
    <row r="4173" spans="1:13" ht="12.75" hidden="1" customHeight="1">
      <c r="A4173" t="s">
        <v>826</v>
      </c>
      <c r="B4173" t="s">
        <v>21</v>
      </c>
      <c r="C4173" t="s">
        <v>137</v>
      </c>
      <c r="D4173" t="s">
        <v>1378</v>
      </c>
      <c r="E4173" s="17">
        <v>46059</v>
      </c>
      <c r="F4173" s="17">
        <v>46059</v>
      </c>
      <c r="G4173" s="13">
        <v>1586</v>
      </c>
      <c r="H4173" s="14">
        <v>0</v>
      </c>
      <c r="I4173" s="14">
        <v>0</v>
      </c>
      <c r="J4173" s="14">
        <v>0</v>
      </c>
      <c r="K4173" s="14">
        <v>1586</v>
      </c>
      <c r="L4173" t="s">
        <v>794</v>
      </c>
      <c r="M4173" s="23">
        <f t="shared" si="65"/>
        <v>2026</v>
      </c>
    </row>
    <row r="4174" spans="1:13" ht="12.75" hidden="1" customHeight="1">
      <c r="A4174" t="s">
        <v>811</v>
      </c>
      <c r="B4174" t="s">
        <v>39</v>
      </c>
      <c r="C4174" t="s">
        <v>137</v>
      </c>
      <c r="D4174" t="s">
        <v>1378</v>
      </c>
      <c r="E4174" s="17">
        <v>46059</v>
      </c>
      <c r="F4174" s="17">
        <v>46059</v>
      </c>
      <c r="G4174" s="13">
        <v>551</v>
      </c>
      <c r="H4174" s="14">
        <v>0</v>
      </c>
      <c r="I4174" s="14">
        <v>0</v>
      </c>
      <c r="J4174" s="14">
        <v>0</v>
      </c>
      <c r="K4174" s="14">
        <v>551</v>
      </c>
      <c r="L4174" t="s">
        <v>794</v>
      </c>
      <c r="M4174" s="23">
        <f t="shared" si="65"/>
        <v>2026</v>
      </c>
    </row>
    <row r="4175" spans="1:13" ht="12.75" hidden="1" customHeight="1">
      <c r="A4175" t="s">
        <v>1004</v>
      </c>
      <c r="B4175" t="s">
        <v>57</v>
      </c>
      <c r="C4175" t="s">
        <v>137</v>
      </c>
      <c r="D4175" t="s">
        <v>1378</v>
      </c>
      <c r="E4175" s="17">
        <v>46059</v>
      </c>
      <c r="F4175" s="17">
        <v>46059</v>
      </c>
      <c r="G4175" s="13">
        <v>1696</v>
      </c>
      <c r="H4175" s="14">
        <v>0</v>
      </c>
      <c r="I4175" s="14">
        <v>0</v>
      </c>
      <c r="J4175" s="14">
        <v>0</v>
      </c>
      <c r="K4175" s="14">
        <v>1696</v>
      </c>
      <c r="L4175" t="s">
        <v>794</v>
      </c>
      <c r="M4175" s="23">
        <f t="shared" si="65"/>
        <v>2026</v>
      </c>
    </row>
    <row r="4176" spans="1:13" ht="12.75" hidden="1" customHeight="1">
      <c r="A4176" t="s">
        <v>1316</v>
      </c>
      <c r="B4176" t="s">
        <v>59</v>
      </c>
      <c r="C4176" t="s">
        <v>137</v>
      </c>
      <c r="D4176" t="s">
        <v>908</v>
      </c>
      <c r="E4176" s="17">
        <v>46059</v>
      </c>
      <c r="F4176" s="17">
        <v>46059</v>
      </c>
      <c r="G4176" s="13">
        <v>1573</v>
      </c>
      <c r="H4176" s="14">
        <v>0</v>
      </c>
      <c r="I4176" s="14">
        <v>0</v>
      </c>
      <c r="J4176" s="14">
        <v>0</v>
      </c>
      <c r="K4176" s="14">
        <v>1573</v>
      </c>
      <c r="L4176" t="s">
        <v>794</v>
      </c>
      <c r="M4176" s="23">
        <f t="shared" si="65"/>
        <v>2026</v>
      </c>
    </row>
    <row r="4177" spans="1:13" ht="12.75" hidden="1" customHeight="1">
      <c r="A4177" t="s">
        <v>810</v>
      </c>
      <c r="B4177" t="s">
        <v>54</v>
      </c>
      <c r="C4177" t="s">
        <v>137</v>
      </c>
      <c r="D4177" t="s">
        <v>1378</v>
      </c>
      <c r="E4177" s="17">
        <v>46059</v>
      </c>
      <c r="F4177" s="17">
        <v>46059</v>
      </c>
      <c r="G4177" s="13">
        <v>1640</v>
      </c>
      <c r="H4177" s="14">
        <v>0</v>
      </c>
      <c r="I4177" s="14">
        <v>0</v>
      </c>
      <c r="J4177" s="14">
        <v>0</v>
      </c>
      <c r="K4177" s="14">
        <v>1640</v>
      </c>
      <c r="L4177" t="s">
        <v>794</v>
      </c>
      <c r="M4177" s="23">
        <f t="shared" si="65"/>
        <v>2026</v>
      </c>
    </row>
    <row r="4178" spans="1:13" ht="12.75" hidden="1" customHeight="1">
      <c r="A4178" t="s">
        <v>1196</v>
      </c>
      <c r="B4178" t="s">
        <v>1197</v>
      </c>
      <c r="C4178" t="s">
        <v>137</v>
      </c>
      <c r="D4178" t="s">
        <v>1378</v>
      </c>
      <c r="E4178" s="17">
        <v>46059</v>
      </c>
      <c r="F4178" s="17">
        <v>46059</v>
      </c>
      <c r="G4178" s="13">
        <v>1725</v>
      </c>
      <c r="H4178" s="14">
        <v>0</v>
      </c>
      <c r="I4178" s="14">
        <v>0</v>
      </c>
      <c r="J4178" s="14">
        <v>0</v>
      </c>
      <c r="K4178" s="14">
        <v>1725</v>
      </c>
      <c r="L4178" t="s">
        <v>794</v>
      </c>
      <c r="M4178" s="23">
        <f t="shared" si="65"/>
        <v>2026</v>
      </c>
    </row>
    <row r="4179" spans="1:13" ht="12.75" hidden="1" customHeight="1">
      <c r="A4179" t="s">
        <v>1317</v>
      </c>
      <c r="B4179" t="s">
        <v>64</v>
      </c>
      <c r="C4179" t="s">
        <v>137</v>
      </c>
      <c r="D4179" t="s">
        <v>1378</v>
      </c>
      <c r="E4179" s="17">
        <v>46059</v>
      </c>
      <c r="F4179" s="17">
        <v>46059</v>
      </c>
      <c r="G4179" s="13">
        <v>1573</v>
      </c>
      <c r="H4179" s="14">
        <v>0</v>
      </c>
      <c r="I4179" s="14">
        <v>0</v>
      </c>
      <c r="J4179" s="14">
        <v>0</v>
      </c>
      <c r="K4179" s="14">
        <v>1573</v>
      </c>
      <c r="L4179" t="s">
        <v>794</v>
      </c>
      <c r="M4179" s="23">
        <f t="shared" si="65"/>
        <v>2026</v>
      </c>
    </row>
    <row r="4180" spans="1:13" ht="12.75" hidden="1" customHeight="1">
      <c r="A4180" t="s">
        <v>833</v>
      </c>
      <c r="B4180" t="s">
        <v>27</v>
      </c>
      <c r="C4180" t="s">
        <v>137</v>
      </c>
      <c r="D4180" t="s">
        <v>1378</v>
      </c>
      <c r="E4180" s="17">
        <v>46059</v>
      </c>
      <c r="F4180" s="17">
        <v>46059</v>
      </c>
      <c r="G4180" s="13">
        <v>1815</v>
      </c>
      <c r="H4180" s="14">
        <v>0</v>
      </c>
      <c r="I4180" s="14">
        <v>0</v>
      </c>
      <c r="J4180" s="14">
        <v>0</v>
      </c>
      <c r="K4180" s="14">
        <v>1815</v>
      </c>
      <c r="L4180" t="s">
        <v>794</v>
      </c>
      <c r="M4180" s="23">
        <f t="shared" si="65"/>
        <v>2026</v>
      </c>
    </row>
    <row r="4181" spans="1:13" ht="12.75" hidden="1" customHeight="1">
      <c r="A4181" t="s">
        <v>818</v>
      </c>
      <c r="B4181" t="s">
        <v>30</v>
      </c>
      <c r="C4181" t="s">
        <v>137</v>
      </c>
      <c r="D4181" t="s">
        <v>1378</v>
      </c>
      <c r="E4181" s="17">
        <v>46059</v>
      </c>
      <c r="F4181" s="17">
        <v>46059</v>
      </c>
      <c r="G4181" s="13">
        <v>1572</v>
      </c>
      <c r="H4181" s="14">
        <v>0</v>
      </c>
      <c r="I4181" s="14">
        <v>0</v>
      </c>
      <c r="J4181" s="14">
        <v>0</v>
      </c>
      <c r="K4181" s="14">
        <v>1572</v>
      </c>
      <c r="L4181" t="s">
        <v>794</v>
      </c>
      <c r="M4181" s="23">
        <f t="shared" si="65"/>
        <v>2026</v>
      </c>
    </row>
    <row r="4182" spans="1:13" ht="12.75" hidden="1" customHeight="1">
      <c r="A4182" t="s">
        <v>801</v>
      </c>
      <c r="B4182" t="s">
        <v>13</v>
      </c>
      <c r="C4182" t="s">
        <v>726</v>
      </c>
      <c r="D4182" t="s">
        <v>1378</v>
      </c>
      <c r="E4182" s="17">
        <v>46062</v>
      </c>
      <c r="F4182" s="17">
        <v>46062</v>
      </c>
      <c r="G4182" s="13">
        <v>116.07000000000001</v>
      </c>
      <c r="H4182" s="14">
        <v>0</v>
      </c>
      <c r="I4182" s="14">
        <v>0</v>
      </c>
      <c r="J4182" s="14">
        <v>0</v>
      </c>
      <c r="K4182" s="14">
        <v>116.07000000000001</v>
      </c>
      <c r="L4182" t="s">
        <v>794</v>
      </c>
      <c r="M4182" s="23">
        <f t="shared" si="65"/>
        <v>2026</v>
      </c>
    </row>
    <row r="4183" spans="1:13" ht="12.75" hidden="1" customHeight="1">
      <c r="A4183" t="s">
        <v>801</v>
      </c>
      <c r="B4183" t="s">
        <v>13</v>
      </c>
      <c r="C4183" t="s">
        <v>726</v>
      </c>
      <c r="D4183" t="s">
        <v>1378</v>
      </c>
      <c r="E4183" s="17">
        <v>46062</v>
      </c>
      <c r="F4183" s="17">
        <v>46062</v>
      </c>
      <c r="G4183" s="13">
        <v>30.66</v>
      </c>
      <c r="H4183" s="14">
        <v>0</v>
      </c>
      <c r="I4183" s="14">
        <v>0</v>
      </c>
      <c r="J4183" s="14">
        <v>0</v>
      </c>
      <c r="K4183" s="14">
        <v>30.66</v>
      </c>
      <c r="L4183" t="s">
        <v>794</v>
      </c>
      <c r="M4183" s="23">
        <f t="shared" si="65"/>
        <v>2026</v>
      </c>
    </row>
    <row r="4184" spans="1:13" ht="12.75" hidden="1" customHeight="1">
      <c r="A4184" t="s">
        <v>995</v>
      </c>
      <c r="B4184" t="s">
        <v>122</v>
      </c>
      <c r="C4184" t="s">
        <v>735</v>
      </c>
      <c r="D4184" t="s">
        <v>1378</v>
      </c>
      <c r="E4184" s="17">
        <v>46063</v>
      </c>
      <c r="F4184" s="17">
        <v>46063</v>
      </c>
      <c r="G4184" s="13">
        <v>605</v>
      </c>
      <c r="H4184" s="14">
        <v>0</v>
      </c>
      <c r="I4184" s="14">
        <v>0</v>
      </c>
      <c r="J4184" s="14">
        <v>0</v>
      </c>
      <c r="K4184" s="14">
        <v>605</v>
      </c>
      <c r="L4184" t="s">
        <v>794</v>
      </c>
      <c r="M4184" s="23">
        <f t="shared" si="65"/>
        <v>2026</v>
      </c>
    </row>
    <row r="4185" spans="1:13" ht="12.75" hidden="1" customHeight="1">
      <c r="A4185" t="s">
        <v>801</v>
      </c>
      <c r="B4185" t="s">
        <v>13</v>
      </c>
      <c r="C4185" t="s">
        <v>726</v>
      </c>
      <c r="D4185" t="s">
        <v>1378</v>
      </c>
      <c r="E4185" s="17">
        <v>46063</v>
      </c>
      <c r="F4185" s="17">
        <v>46063</v>
      </c>
      <c r="G4185" s="13">
        <v>4.38</v>
      </c>
      <c r="H4185" s="14">
        <v>0</v>
      </c>
      <c r="I4185" s="14">
        <v>0</v>
      </c>
      <c r="J4185" s="14">
        <v>0</v>
      </c>
      <c r="K4185" s="14">
        <v>4.38</v>
      </c>
      <c r="L4185" t="s">
        <v>794</v>
      </c>
      <c r="M4185" s="23">
        <f t="shared" si="65"/>
        <v>2026</v>
      </c>
    </row>
    <row r="4186" spans="1:13" ht="12.75" hidden="1" customHeight="1">
      <c r="A4186" t="s">
        <v>1428</v>
      </c>
      <c r="B4186" t="s">
        <v>664</v>
      </c>
      <c r="C4186" t="s">
        <v>398</v>
      </c>
      <c r="D4186" t="s">
        <v>1378</v>
      </c>
      <c r="E4186" s="17">
        <v>46063</v>
      </c>
      <c r="F4186" s="17">
        <v>46063</v>
      </c>
      <c r="G4186" s="13">
        <v>30</v>
      </c>
      <c r="H4186" s="14">
        <v>0</v>
      </c>
      <c r="I4186" s="14">
        <v>0</v>
      </c>
      <c r="J4186" s="14">
        <v>0</v>
      </c>
      <c r="K4186" s="14">
        <v>30</v>
      </c>
      <c r="L4186" t="s">
        <v>794</v>
      </c>
      <c r="M4186" s="23">
        <f t="shared" si="65"/>
        <v>2026</v>
      </c>
    </row>
    <row r="4187" spans="1:13" ht="12.75" hidden="1" customHeight="1">
      <c r="A4187" t="s">
        <v>888</v>
      </c>
      <c r="B4187" t="s">
        <v>16</v>
      </c>
      <c r="C4187" t="s">
        <v>713</v>
      </c>
      <c r="D4187" t="s">
        <v>1378</v>
      </c>
      <c r="E4187" s="17">
        <v>46064</v>
      </c>
      <c r="F4187" s="17">
        <v>46063</v>
      </c>
      <c r="G4187" s="22">
        <v>1573.5</v>
      </c>
      <c r="H4187" s="14">
        <v>0</v>
      </c>
      <c r="I4187" s="14">
        <v>0</v>
      </c>
      <c r="J4187" s="14">
        <v>0</v>
      </c>
      <c r="K4187" s="14">
        <v>1573.5</v>
      </c>
      <c r="L4187" t="s">
        <v>794</v>
      </c>
      <c r="M4187" s="23">
        <f t="shared" si="65"/>
        <v>2026</v>
      </c>
    </row>
    <row r="4188" spans="1:13" ht="12.75" hidden="1" customHeight="1">
      <c r="A4188" t="s">
        <v>879</v>
      </c>
      <c r="B4188" t="s">
        <v>23</v>
      </c>
      <c r="C4188" t="s">
        <v>713</v>
      </c>
      <c r="D4188" t="s">
        <v>1378</v>
      </c>
      <c r="E4188" s="17">
        <v>46064</v>
      </c>
      <c r="F4188" s="17">
        <v>46063</v>
      </c>
      <c r="G4188" s="22">
        <v>134.46</v>
      </c>
      <c r="H4188" s="14">
        <v>0</v>
      </c>
      <c r="I4188" s="14">
        <v>0</v>
      </c>
      <c r="J4188" s="14">
        <v>0</v>
      </c>
      <c r="K4188" s="14">
        <v>134.46</v>
      </c>
      <c r="L4188" t="s">
        <v>794</v>
      </c>
      <c r="M4188" s="23">
        <f t="shared" si="65"/>
        <v>2026</v>
      </c>
    </row>
    <row r="4189" spans="1:13" ht="12.75" hidden="1" customHeight="1">
      <c r="A4189" t="s">
        <v>879</v>
      </c>
      <c r="B4189" t="s">
        <v>23</v>
      </c>
      <c r="C4189" t="s">
        <v>713</v>
      </c>
      <c r="D4189" t="s">
        <v>1378</v>
      </c>
      <c r="E4189" s="17">
        <v>46063</v>
      </c>
      <c r="F4189" s="17">
        <v>46063</v>
      </c>
      <c r="G4189" s="22">
        <v>1444.6100000000001</v>
      </c>
      <c r="H4189" s="14">
        <v>0</v>
      </c>
      <c r="I4189" s="14">
        <v>0</v>
      </c>
      <c r="J4189" s="14">
        <v>0</v>
      </c>
      <c r="K4189" s="14">
        <v>1444.6100000000001</v>
      </c>
      <c r="L4189" t="s">
        <v>794</v>
      </c>
      <c r="M4189" s="23">
        <f t="shared" si="65"/>
        <v>2026</v>
      </c>
    </row>
    <row r="4190" spans="1:13" ht="12.75" hidden="1" customHeight="1">
      <c r="A4190" t="s">
        <v>847</v>
      </c>
      <c r="B4190" t="s">
        <v>169</v>
      </c>
      <c r="C4190" t="s">
        <v>722</v>
      </c>
      <c r="D4190" t="s">
        <v>1378</v>
      </c>
      <c r="E4190" s="17">
        <v>46063</v>
      </c>
      <c r="F4190" s="17">
        <v>46063</v>
      </c>
      <c r="G4190" s="13">
        <v>276.26</v>
      </c>
      <c r="H4190" s="14">
        <v>0</v>
      </c>
      <c r="I4190" s="14">
        <v>0</v>
      </c>
      <c r="J4190" s="14">
        <v>0</v>
      </c>
      <c r="K4190" s="14">
        <v>276.26</v>
      </c>
      <c r="L4190" t="s">
        <v>794</v>
      </c>
      <c r="M4190" s="23">
        <f t="shared" si="65"/>
        <v>2026</v>
      </c>
    </row>
    <row r="4191" spans="1:13" ht="12.75" hidden="1" customHeight="1">
      <c r="A4191" t="s">
        <v>848</v>
      </c>
      <c r="B4191" t="s">
        <v>14</v>
      </c>
      <c r="C4191" t="s">
        <v>714</v>
      </c>
      <c r="D4191" t="s">
        <v>1378</v>
      </c>
      <c r="E4191" s="17">
        <v>46063</v>
      </c>
      <c r="F4191" s="17">
        <v>46063</v>
      </c>
      <c r="G4191" s="13">
        <v>27343.18</v>
      </c>
      <c r="H4191" s="14">
        <v>0</v>
      </c>
      <c r="I4191" s="14">
        <v>0</v>
      </c>
      <c r="J4191" s="14">
        <v>0</v>
      </c>
      <c r="K4191" s="14">
        <v>27343.18</v>
      </c>
      <c r="L4191" t="s">
        <v>794</v>
      </c>
      <c r="M4191" s="23">
        <f t="shared" si="65"/>
        <v>2026</v>
      </c>
    </row>
    <row r="4192" spans="1:13" ht="12.75" hidden="1" customHeight="1">
      <c r="A4192" t="s">
        <v>1222</v>
      </c>
      <c r="B4192" t="s">
        <v>176</v>
      </c>
      <c r="C4192" t="s">
        <v>387</v>
      </c>
      <c r="D4192" t="s">
        <v>1378</v>
      </c>
      <c r="E4192" s="17">
        <v>46063</v>
      </c>
      <c r="F4192" s="17">
        <v>46063</v>
      </c>
      <c r="G4192" s="13">
        <v>475.32</v>
      </c>
      <c r="H4192" s="14">
        <v>0</v>
      </c>
      <c r="I4192" s="14">
        <v>0</v>
      </c>
      <c r="J4192" s="14">
        <v>0</v>
      </c>
      <c r="K4192" s="14">
        <v>475.32</v>
      </c>
      <c r="L4192" t="s">
        <v>794</v>
      </c>
      <c r="M4192" s="23">
        <f t="shared" si="65"/>
        <v>2026</v>
      </c>
    </row>
    <row r="4193" spans="1:13" ht="12.75" hidden="1" customHeight="1">
      <c r="A4193" t="s">
        <v>1248</v>
      </c>
      <c r="B4193" t="s">
        <v>111</v>
      </c>
      <c r="C4193" t="s">
        <v>183</v>
      </c>
      <c r="D4193" t="s">
        <v>1429</v>
      </c>
      <c r="E4193" s="17">
        <v>46063</v>
      </c>
      <c r="F4193" s="17">
        <v>46063</v>
      </c>
      <c r="G4193" s="13">
        <v>997.5</v>
      </c>
      <c r="H4193" s="14">
        <v>0</v>
      </c>
      <c r="I4193" s="14">
        <v>0</v>
      </c>
      <c r="J4193" s="14">
        <v>0</v>
      </c>
      <c r="K4193" s="14">
        <v>997.5</v>
      </c>
      <c r="L4193" t="s">
        <v>794</v>
      </c>
      <c r="M4193" s="23">
        <f t="shared" si="65"/>
        <v>2026</v>
      </c>
    </row>
    <row r="4194" spans="1:13" ht="12.75" hidden="1" customHeight="1">
      <c r="A4194" t="s">
        <v>844</v>
      </c>
      <c r="B4194" t="s">
        <v>43</v>
      </c>
      <c r="C4194" t="s">
        <v>719</v>
      </c>
      <c r="D4194" t="s">
        <v>1378</v>
      </c>
      <c r="E4194" s="17">
        <v>46063</v>
      </c>
      <c r="F4194" s="17">
        <v>46063</v>
      </c>
      <c r="G4194" s="13">
        <v>8490.92</v>
      </c>
      <c r="H4194" s="14">
        <v>0</v>
      </c>
      <c r="I4194" s="14">
        <v>0</v>
      </c>
      <c r="J4194" s="14">
        <v>0</v>
      </c>
      <c r="K4194" s="14">
        <v>8490.92</v>
      </c>
      <c r="L4194" t="s">
        <v>794</v>
      </c>
      <c r="M4194" s="23">
        <f t="shared" si="65"/>
        <v>2026</v>
      </c>
    </row>
    <row r="4195" spans="1:13" ht="12.75" hidden="1" customHeight="1">
      <c r="A4195" t="s">
        <v>845</v>
      </c>
      <c r="B4195" t="s">
        <v>67</v>
      </c>
      <c r="C4195" t="s">
        <v>729</v>
      </c>
      <c r="D4195" t="s">
        <v>1378</v>
      </c>
      <c r="E4195" s="17">
        <v>46063</v>
      </c>
      <c r="F4195" s="17">
        <v>46063</v>
      </c>
      <c r="G4195" s="13">
        <v>1027.31</v>
      </c>
      <c r="H4195" s="14">
        <v>0</v>
      </c>
      <c r="I4195" s="14">
        <v>0</v>
      </c>
      <c r="J4195" s="14">
        <v>0</v>
      </c>
      <c r="K4195" s="14">
        <v>1027.31</v>
      </c>
      <c r="L4195" t="s">
        <v>794</v>
      </c>
      <c r="M4195" s="23">
        <f t="shared" si="65"/>
        <v>2026</v>
      </c>
    </row>
    <row r="4196" spans="1:13" ht="12.75" hidden="1" customHeight="1">
      <c r="A4196" t="s">
        <v>855</v>
      </c>
      <c r="B4196" t="s">
        <v>20</v>
      </c>
      <c r="C4196" t="s">
        <v>141</v>
      </c>
      <c r="D4196" t="s">
        <v>1378</v>
      </c>
      <c r="E4196" s="17">
        <v>46063</v>
      </c>
      <c r="F4196" s="17">
        <v>46063</v>
      </c>
      <c r="G4196" s="13">
        <v>600</v>
      </c>
      <c r="H4196" s="14">
        <v>0</v>
      </c>
      <c r="I4196" s="14">
        <v>0</v>
      </c>
      <c r="J4196" s="14">
        <v>0</v>
      </c>
      <c r="K4196" s="14">
        <v>600</v>
      </c>
      <c r="L4196" t="s">
        <v>794</v>
      </c>
      <c r="M4196" s="23">
        <f t="shared" si="65"/>
        <v>2026</v>
      </c>
    </row>
    <row r="4197" spans="1:13" ht="12.75" hidden="1" customHeight="1">
      <c r="A4197" t="s">
        <v>855</v>
      </c>
      <c r="B4197" t="s">
        <v>20</v>
      </c>
      <c r="C4197" t="s">
        <v>140</v>
      </c>
      <c r="D4197" t="s">
        <v>1378</v>
      </c>
      <c r="E4197" s="17">
        <v>46063</v>
      </c>
      <c r="F4197" s="17">
        <v>46063</v>
      </c>
      <c r="G4197" s="13">
        <v>500</v>
      </c>
      <c r="H4197" s="14">
        <v>0</v>
      </c>
      <c r="I4197" s="14">
        <v>0</v>
      </c>
      <c r="J4197" s="14">
        <v>0</v>
      </c>
      <c r="K4197" s="14">
        <v>500</v>
      </c>
      <c r="L4197" t="s">
        <v>794</v>
      </c>
      <c r="M4197" s="23">
        <f t="shared" si="65"/>
        <v>2026</v>
      </c>
    </row>
    <row r="4198" spans="1:13" ht="12.75" hidden="1" customHeight="1">
      <c r="A4198" t="s">
        <v>826</v>
      </c>
      <c r="B4198" t="s">
        <v>21</v>
      </c>
      <c r="C4198" t="s">
        <v>141</v>
      </c>
      <c r="D4198" t="s">
        <v>1378</v>
      </c>
      <c r="E4198" s="17">
        <v>46063</v>
      </c>
      <c r="F4198" s="17">
        <v>46063</v>
      </c>
      <c r="G4198" s="13">
        <v>6230</v>
      </c>
      <c r="H4198" s="14">
        <v>0</v>
      </c>
      <c r="I4198" s="14">
        <v>0</v>
      </c>
      <c r="J4198" s="14">
        <v>0</v>
      </c>
      <c r="K4198" s="14">
        <v>6000</v>
      </c>
      <c r="L4198" t="s">
        <v>794</v>
      </c>
      <c r="M4198" s="23">
        <f t="shared" si="65"/>
        <v>2026</v>
      </c>
    </row>
    <row r="4199" spans="1:13" ht="12.75" hidden="1" customHeight="1">
      <c r="A4199" t="s">
        <v>1339</v>
      </c>
      <c r="B4199" t="s">
        <v>66</v>
      </c>
      <c r="C4199" t="s">
        <v>200</v>
      </c>
      <c r="D4199" t="s">
        <v>1378</v>
      </c>
      <c r="E4199" s="17">
        <v>46063</v>
      </c>
      <c r="F4199" s="17">
        <v>46063</v>
      </c>
      <c r="G4199" s="13">
        <v>3192</v>
      </c>
      <c r="H4199" s="14">
        <v>0</v>
      </c>
      <c r="I4199" s="14">
        <v>0</v>
      </c>
      <c r="J4199" s="14">
        <v>0</v>
      </c>
      <c r="K4199" s="14">
        <v>3192</v>
      </c>
      <c r="L4199" t="s">
        <v>794</v>
      </c>
      <c r="M4199" s="23">
        <f t="shared" si="65"/>
        <v>2026</v>
      </c>
    </row>
    <row r="4200" spans="1:13" ht="12.75" hidden="1" customHeight="1">
      <c r="A4200" t="s">
        <v>855</v>
      </c>
      <c r="B4200" t="s">
        <v>20</v>
      </c>
      <c r="C4200" t="s">
        <v>200</v>
      </c>
      <c r="D4200" t="s">
        <v>1378</v>
      </c>
      <c r="E4200" s="17">
        <v>46063</v>
      </c>
      <c r="F4200" s="17">
        <v>46063</v>
      </c>
      <c r="G4200" s="13">
        <v>1672</v>
      </c>
      <c r="H4200" s="14">
        <v>0</v>
      </c>
      <c r="I4200" s="14">
        <v>0</v>
      </c>
      <c r="J4200" s="14">
        <v>0</v>
      </c>
      <c r="K4200" s="14">
        <v>1672</v>
      </c>
      <c r="L4200" t="s">
        <v>794</v>
      </c>
      <c r="M4200" s="23">
        <f t="shared" si="65"/>
        <v>2026</v>
      </c>
    </row>
    <row r="4201" spans="1:13" ht="12.75" hidden="1" customHeight="1">
      <c r="A4201" t="s">
        <v>1416</v>
      </c>
      <c r="B4201" t="s">
        <v>248</v>
      </c>
      <c r="C4201" t="s">
        <v>200</v>
      </c>
      <c r="D4201" t="s">
        <v>1378</v>
      </c>
      <c r="E4201" s="17">
        <v>46063</v>
      </c>
      <c r="F4201" s="17">
        <v>46063</v>
      </c>
      <c r="G4201" s="13">
        <v>1260</v>
      </c>
      <c r="H4201" s="14">
        <v>0</v>
      </c>
      <c r="I4201" s="14">
        <v>0</v>
      </c>
      <c r="J4201" s="14">
        <v>0</v>
      </c>
      <c r="K4201" s="14">
        <v>1260</v>
      </c>
      <c r="L4201" t="s">
        <v>794</v>
      </c>
      <c r="M4201" s="23">
        <f t="shared" si="65"/>
        <v>2026</v>
      </c>
    </row>
    <row r="4202" spans="1:13" ht="12.75" hidden="1" customHeight="1">
      <c r="A4202" t="s">
        <v>1354</v>
      </c>
      <c r="B4202" t="s">
        <v>113</v>
      </c>
      <c r="C4202" t="s">
        <v>200</v>
      </c>
      <c r="D4202" t="s">
        <v>1378</v>
      </c>
      <c r="E4202" s="17">
        <v>46063</v>
      </c>
      <c r="F4202" s="17">
        <v>46063</v>
      </c>
      <c r="G4202" s="13">
        <v>1176</v>
      </c>
      <c r="H4202" s="14">
        <v>0</v>
      </c>
      <c r="I4202" s="14">
        <v>0</v>
      </c>
      <c r="J4202" s="14">
        <v>0</v>
      </c>
      <c r="K4202" s="14">
        <v>1176</v>
      </c>
      <c r="L4202" t="s">
        <v>794</v>
      </c>
      <c r="M4202" s="23">
        <f t="shared" ref="M4202:M4265" si="66">YEAR(F4202)</f>
        <v>2026</v>
      </c>
    </row>
    <row r="4203" spans="1:13" ht="12.75" hidden="1" customHeight="1">
      <c r="A4203" t="s">
        <v>1173</v>
      </c>
      <c r="B4203" t="s">
        <v>45</v>
      </c>
      <c r="C4203" t="s">
        <v>200</v>
      </c>
      <c r="D4203" t="s">
        <v>1378</v>
      </c>
      <c r="E4203" s="17">
        <v>46063</v>
      </c>
      <c r="F4203" s="17">
        <v>46063</v>
      </c>
      <c r="G4203" s="13">
        <v>504</v>
      </c>
      <c r="H4203" s="14">
        <v>0</v>
      </c>
      <c r="I4203" s="14">
        <v>0</v>
      </c>
      <c r="J4203" s="14">
        <v>0</v>
      </c>
      <c r="K4203" s="14">
        <v>504</v>
      </c>
      <c r="L4203" t="s">
        <v>794</v>
      </c>
      <c r="M4203" s="23">
        <f t="shared" si="66"/>
        <v>2026</v>
      </c>
    </row>
    <row r="4204" spans="1:13" ht="12.75" hidden="1" customHeight="1">
      <c r="A4204" t="s">
        <v>1308</v>
      </c>
      <c r="B4204" t="s">
        <v>133</v>
      </c>
      <c r="C4204" t="s">
        <v>200</v>
      </c>
      <c r="D4204" t="s">
        <v>1378</v>
      </c>
      <c r="E4204" s="17">
        <v>46063</v>
      </c>
      <c r="F4204" s="17">
        <v>46063</v>
      </c>
      <c r="G4204" s="13">
        <v>1008</v>
      </c>
      <c r="H4204" s="14">
        <v>0</v>
      </c>
      <c r="I4204" s="14">
        <v>0</v>
      </c>
      <c r="J4204" s="14">
        <v>0</v>
      </c>
      <c r="K4204" s="14">
        <v>1008</v>
      </c>
      <c r="L4204" t="s">
        <v>794</v>
      </c>
      <c r="M4204" s="23">
        <f t="shared" si="66"/>
        <v>2026</v>
      </c>
    </row>
    <row r="4205" spans="1:13" ht="12.75" hidden="1" customHeight="1">
      <c r="A4205" t="s">
        <v>1158</v>
      </c>
      <c r="B4205" t="s">
        <v>60</v>
      </c>
      <c r="C4205" t="s">
        <v>200</v>
      </c>
      <c r="D4205" t="s">
        <v>1378</v>
      </c>
      <c r="E4205" s="17">
        <v>46063</v>
      </c>
      <c r="F4205" s="17">
        <v>46063</v>
      </c>
      <c r="G4205" s="13">
        <v>1848</v>
      </c>
      <c r="H4205" s="14">
        <v>0</v>
      </c>
      <c r="I4205" s="14">
        <v>0</v>
      </c>
      <c r="J4205" s="14">
        <v>0</v>
      </c>
      <c r="K4205" s="14">
        <v>1848</v>
      </c>
      <c r="L4205" t="s">
        <v>794</v>
      </c>
      <c r="M4205" s="23">
        <f t="shared" si="66"/>
        <v>2026</v>
      </c>
    </row>
    <row r="4206" spans="1:13" ht="12.75" hidden="1" customHeight="1">
      <c r="A4206" t="s">
        <v>1331</v>
      </c>
      <c r="B4206" t="s">
        <v>168</v>
      </c>
      <c r="C4206" t="s">
        <v>200</v>
      </c>
      <c r="D4206" t="s">
        <v>1378</v>
      </c>
      <c r="E4206" s="17">
        <v>46063</v>
      </c>
      <c r="F4206" s="17">
        <v>46063</v>
      </c>
      <c r="G4206" s="13">
        <v>1008</v>
      </c>
      <c r="H4206" s="14">
        <v>0</v>
      </c>
      <c r="I4206" s="14">
        <v>0</v>
      </c>
      <c r="J4206" s="14">
        <v>0</v>
      </c>
      <c r="K4206" s="14">
        <v>1008</v>
      </c>
      <c r="L4206" t="s">
        <v>794</v>
      </c>
      <c r="M4206" s="23">
        <f t="shared" si="66"/>
        <v>2026</v>
      </c>
    </row>
    <row r="4207" spans="1:13" ht="12.75" hidden="1" customHeight="1">
      <c r="A4207" t="s">
        <v>1407</v>
      </c>
      <c r="B4207" t="s">
        <v>226</v>
      </c>
      <c r="C4207" t="s">
        <v>200</v>
      </c>
      <c r="D4207" t="s">
        <v>1378</v>
      </c>
      <c r="E4207" s="17">
        <v>46063</v>
      </c>
      <c r="F4207" s="17">
        <v>46063</v>
      </c>
      <c r="G4207" s="13">
        <v>1008</v>
      </c>
      <c r="H4207" s="14">
        <v>0</v>
      </c>
      <c r="I4207" s="14">
        <v>0</v>
      </c>
      <c r="J4207" s="14">
        <v>0</v>
      </c>
      <c r="K4207" s="14">
        <v>1008</v>
      </c>
      <c r="L4207" t="s">
        <v>794</v>
      </c>
      <c r="M4207" s="23">
        <f t="shared" si="66"/>
        <v>2026</v>
      </c>
    </row>
    <row r="4208" spans="1:13" ht="12.75" hidden="1" customHeight="1">
      <c r="A4208" t="s">
        <v>1176</v>
      </c>
      <c r="B4208" t="s">
        <v>106</v>
      </c>
      <c r="C4208" t="s">
        <v>200</v>
      </c>
      <c r="D4208" t="s">
        <v>1378</v>
      </c>
      <c r="E4208" s="17">
        <v>46063</v>
      </c>
      <c r="F4208" s="17">
        <v>46063</v>
      </c>
      <c r="G4208" s="13">
        <v>1008</v>
      </c>
      <c r="H4208" s="14">
        <v>0</v>
      </c>
      <c r="I4208" s="14">
        <v>0</v>
      </c>
      <c r="J4208" s="14">
        <v>0</v>
      </c>
      <c r="K4208" s="14">
        <v>1008</v>
      </c>
      <c r="L4208" t="s">
        <v>794</v>
      </c>
      <c r="M4208" s="23">
        <f t="shared" si="66"/>
        <v>2026</v>
      </c>
    </row>
    <row r="4209" spans="1:13" ht="12.75" hidden="1" customHeight="1">
      <c r="A4209" t="s">
        <v>865</v>
      </c>
      <c r="B4209" t="s">
        <v>76</v>
      </c>
      <c r="C4209" t="s">
        <v>200</v>
      </c>
      <c r="D4209" t="s">
        <v>1378</v>
      </c>
      <c r="E4209" s="17">
        <v>46063</v>
      </c>
      <c r="F4209" s="17">
        <v>46063</v>
      </c>
      <c r="G4209" s="13">
        <v>644</v>
      </c>
      <c r="H4209" s="14">
        <v>0</v>
      </c>
      <c r="I4209" s="14">
        <v>0</v>
      </c>
      <c r="J4209" s="14">
        <v>0</v>
      </c>
      <c r="K4209" s="14">
        <v>644</v>
      </c>
      <c r="L4209" t="s">
        <v>794</v>
      </c>
      <c r="M4209" s="23">
        <f t="shared" si="66"/>
        <v>2026</v>
      </c>
    </row>
    <row r="4210" spans="1:13" ht="12.75" hidden="1" customHeight="1">
      <c r="A4210" t="s">
        <v>878</v>
      </c>
      <c r="B4210" t="s">
        <v>32</v>
      </c>
      <c r="C4210" t="s">
        <v>200</v>
      </c>
      <c r="D4210" t="s">
        <v>1378</v>
      </c>
      <c r="E4210" s="17">
        <v>46063</v>
      </c>
      <c r="F4210" s="17">
        <v>46063</v>
      </c>
      <c r="G4210" s="13">
        <v>2024</v>
      </c>
      <c r="H4210" s="14">
        <v>0</v>
      </c>
      <c r="I4210" s="14">
        <v>0</v>
      </c>
      <c r="J4210" s="14">
        <v>0</v>
      </c>
      <c r="K4210" s="14">
        <v>2024</v>
      </c>
      <c r="L4210" t="s">
        <v>794</v>
      </c>
      <c r="M4210" s="23">
        <f t="shared" si="66"/>
        <v>2026</v>
      </c>
    </row>
    <row r="4211" spans="1:13" ht="12.75" hidden="1" customHeight="1">
      <c r="A4211" t="s">
        <v>1330</v>
      </c>
      <c r="B4211" t="s">
        <v>175</v>
      </c>
      <c r="C4211" t="s">
        <v>200</v>
      </c>
      <c r="D4211" t="s">
        <v>1378</v>
      </c>
      <c r="E4211" s="17">
        <v>46063</v>
      </c>
      <c r="F4211" s="17">
        <v>46063</v>
      </c>
      <c r="G4211" s="13">
        <v>924</v>
      </c>
      <c r="H4211" s="14">
        <v>0</v>
      </c>
      <c r="I4211" s="14">
        <v>0</v>
      </c>
      <c r="J4211" s="14">
        <v>0</v>
      </c>
      <c r="K4211" s="14">
        <v>924</v>
      </c>
      <c r="L4211" t="s">
        <v>794</v>
      </c>
      <c r="M4211" s="23">
        <f t="shared" si="66"/>
        <v>2026</v>
      </c>
    </row>
    <row r="4212" spans="1:13" ht="12.75" hidden="1" customHeight="1">
      <c r="A4212" t="s">
        <v>1374</v>
      </c>
      <c r="B4212" t="s">
        <v>237</v>
      </c>
      <c r="C4212" t="s">
        <v>200</v>
      </c>
      <c r="D4212" t="s">
        <v>1378</v>
      </c>
      <c r="E4212" s="17">
        <v>46063</v>
      </c>
      <c r="F4212" s="17">
        <v>46063</v>
      </c>
      <c r="G4212" s="13">
        <v>672</v>
      </c>
      <c r="H4212" s="14">
        <v>0</v>
      </c>
      <c r="I4212" s="14">
        <v>0</v>
      </c>
      <c r="J4212" s="14">
        <v>0</v>
      </c>
      <c r="K4212" s="14">
        <v>672</v>
      </c>
      <c r="L4212" t="s">
        <v>794</v>
      </c>
      <c r="M4212" s="23">
        <f t="shared" si="66"/>
        <v>2026</v>
      </c>
    </row>
    <row r="4213" spans="1:13" ht="12.75" hidden="1" customHeight="1">
      <c r="A4213" t="s">
        <v>1199</v>
      </c>
      <c r="B4213" t="s">
        <v>107</v>
      </c>
      <c r="C4213" t="s">
        <v>201</v>
      </c>
      <c r="D4213" t="s">
        <v>1378</v>
      </c>
      <c r="E4213" s="17">
        <v>46063</v>
      </c>
      <c r="F4213" s="17">
        <v>46063</v>
      </c>
      <c r="G4213" s="13">
        <v>320</v>
      </c>
      <c r="H4213" s="14">
        <v>0</v>
      </c>
      <c r="I4213" s="14">
        <v>0</v>
      </c>
      <c r="J4213" s="14">
        <v>0</v>
      </c>
      <c r="K4213" s="14">
        <v>320</v>
      </c>
      <c r="L4213" t="s">
        <v>794</v>
      </c>
      <c r="M4213" s="23">
        <f t="shared" si="66"/>
        <v>2026</v>
      </c>
    </row>
    <row r="4214" spans="1:13" ht="12.75" hidden="1" customHeight="1">
      <c r="A4214" t="s">
        <v>864</v>
      </c>
      <c r="B4214" t="s">
        <v>36</v>
      </c>
      <c r="C4214" t="s">
        <v>200</v>
      </c>
      <c r="D4214" t="s">
        <v>1378</v>
      </c>
      <c r="E4214" s="17">
        <v>46063</v>
      </c>
      <c r="F4214" s="17">
        <v>46063</v>
      </c>
      <c r="G4214" s="13">
        <v>880</v>
      </c>
      <c r="H4214" s="14">
        <v>0</v>
      </c>
      <c r="I4214" s="14">
        <v>0</v>
      </c>
      <c r="J4214" s="14">
        <v>0</v>
      </c>
      <c r="K4214" s="14">
        <v>880</v>
      </c>
      <c r="L4214" t="s">
        <v>794</v>
      </c>
      <c r="M4214" s="23">
        <f t="shared" si="66"/>
        <v>2026</v>
      </c>
    </row>
    <row r="4215" spans="1:13" ht="12.75" hidden="1" customHeight="1">
      <c r="A4215" t="s">
        <v>1430</v>
      </c>
      <c r="B4215" t="s">
        <v>244</v>
      </c>
      <c r="C4215" t="s">
        <v>200</v>
      </c>
      <c r="D4215" t="s">
        <v>1378</v>
      </c>
      <c r="E4215" s="17">
        <v>46063</v>
      </c>
      <c r="F4215" s="17">
        <v>46063</v>
      </c>
      <c r="G4215" s="13">
        <v>252</v>
      </c>
      <c r="H4215" s="14">
        <v>0</v>
      </c>
      <c r="I4215" s="14">
        <v>0</v>
      </c>
      <c r="J4215" s="14">
        <v>0</v>
      </c>
      <c r="K4215" s="14">
        <v>252</v>
      </c>
      <c r="L4215" t="s">
        <v>794</v>
      </c>
      <c r="M4215" s="23">
        <f t="shared" si="66"/>
        <v>2026</v>
      </c>
    </row>
    <row r="4216" spans="1:13" ht="12.75" hidden="1" customHeight="1">
      <c r="A4216" t="s">
        <v>1384</v>
      </c>
      <c r="B4216" t="s">
        <v>159</v>
      </c>
      <c r="C4216" t="s">
        <v>200</v>
      </c>
      <c r="D4216" t="s">
        <v>1378</v>
      </c>
      <c r="E4216" s="17">
        <v>46063</v>
      </c>
      <c r="F4216" s="17">
        <v>46063</v>
      </c>
      <c r="G4216" s="13">
        <v>1512</v>
      </c>
      <c r="H4216" s="14">
        <v>0</v>
      </c>
      <c r="I4216" s="14">
        <v>0</v>
      </c>
      <c r="J4216" s="14">
        <v>0</v>
      </c>
      <c r="K4216" s="14">
        <v>1512</v>
      </c>
      <c r="L4216" t="s">
        <v>794</v>
      </c>
      <c r="M4216" s="23">
        <f t="shared" si="66"/>
        <v>2026</v>
      </c>
    </row>
    <row r="4217" spans="1:13" ht="12.75" hidden="1" customHeight="1">
      <c r="A4217" t="s">
        <v>887</v>
      </c>
      <c r="B4217" t="s">
        <v>61</v>
      </c>
      <c r="C4217" t="s">
        <v>201</v>
      </c>
      <c r="D4217" t="s">
        <v>1378</v>
      </c>
      <c r="E4217" s="17">
        <v>46063</v>
      </c>
      <c r="F4217" s="17">
        <v>46063</v>
      </c>
      <c r="G4217" s="13">
        <v>1680</v>
      </c>
      <c r="H4217" s="14">
        <v>0</v>
      </c>
      <c r="I4217" s="14">
        <v>0</v>
      </c>
      <c r="J4217" s="14">
        <v>0</v>
      </c>
      <c r="K4217" s="14">
        <v>1680</v>
      </c>
      <c r="L4217" t="s">
        <v>794</v>
      </c>
      <c r="M4217" s="23">
        <f t="shared" si="66"/>
        <v>2026</v>
      </c>
    </row>
    <row r="4218" spans="1:13" ht="12.75" hidden="1" customHeight="1">
      <c r="A4218" t="s">
        <v>864</v>
      </c>
      <c r="B4218" t="s">
        <v>36</v>
      </c>
      <c r="C4218" t="s">
        <v>201</v>
      </c>
      <c r="D4218" t="s">
        <v>1378</v>
      </c>
      <c r="E4218" s="17">
        <v>46063</v>
      </c>
      <c r="F4218" s="17">
        <v>46063</v>
      </c>
      <c r="G4218" s="13">
        <v>1840</v>
      </c>
      <c r="H4218" s="14">
        <v>0</v>
      </c>
      <c r="I4218" s="14">
        <v>0</v>
      </c>
      <c r="J4218" s="14">
        <v>0</v>
      </c>
      <c r="K4218" s="14">
        <v>1840</v>
      </c>
      <c r="L4218" t="s">
        <v>794</v>
      </c>
      <c r="M4218" s="23">
        <f t="shared" si="66"/>
        <v>2026</v>
      </c>
    </row>
    <row r="4219" spans="1:13" ht="12.75" hidden="1" customHeight="1">
      <c r="A4219" t="s">
        <v>882</v>
      </c>
      <c r="B4219" t="s">
        <v>34</v>
      </c>
      <c r="C4219" t="s">
        <v>201</v>
      </c>
      <c r="D4219" t="s">
        <v>1378</v>
      </c>
      <c r="E4219" s="17">
        <v>46063</v>
      </c>
      <c r="F4219" s="17">
        <v>46063</v>
      </c>
      <c r="G4219" s="13">
        <v>180</v>
      </c>
      <c r="H4219" s="14">
        <v>0</v>
      </c>
      <c r="I4219" s="14">
        <v>0</v>
      </c>
      <c r="J4219" s="14">
        <v>0</v>
      </c>
      <c r="K4219" s="14">
        <v>180</v>
      </c>
      <c r="L4219" t="s">
        <v>794</v>
      </c>
      <c r="M4219" s="23">
        <f t="shared" si="66"/>
        <v>2026</v>
      </c>
    </row>
    <row r="4220" spans="1:13" ht="12.75" hidden="1" customHeight="1">
      <c r="A4220" t="s">
        <v>1354</v>
      </c>
      <c r="B4220" t="s">
        <v>113</v>
      </c>
      <c r="C4220" t="s">
        <v>201</v>
      </c>
      <c r="D4220" t="s">
        <v>1378</v>
      </c>
      <c r="E4220" s="17">
        <v>46063</v>
      </c>
      <c r="F4220" s="17">
        <v>46063</v>
      </c>
      <c r="G4220" s="13">
        <v>1600</v>
      </c>
      <c r="H4220" s="14">
        <v>0</v>
      </c>
      <c r="I4220" s="14">
        <v>0</v>
      </c>
      <c r="J4220" s="14">
        <v>0</v>
      </c>
      <c r="K4220" s="14">
        <v>1600</v>
      </c>
      <c r="L4220" t="s">
        <v>794</v>
      </c>
      <c r="M4220" s="23">
        <f t="shared" si="66"/>
        <v>2026</v>
      </c>
    </row>
    <row r="4221" spans="1:13" ht="12.75" hidden="1" customHeight="1">
      <c r="A4221" t="s">
        <v>1202</v>
      </c>
      <c r="B4221" t="s">
        <v>70</v>
      </c>
      <c r="C4221" t="s">
        <v>201</v>
      </c>
      <c r="D4221" t="s">
        <v>1378</v>
      </c>
      <c r="E4221" s="17">
        <v>46063</v>
      </c>
      <c r="F4221" s="17">
        <v>46063</v>
      </c>
      <c r="G4221" s="13">
        <v>1120</v>
      </c>
      <c r="H4221" s="14">
        <v>0</v>
      </c>
      <c r="I4221" s="14">
        <v>0</v>
      </c>
      <c r="J4221" s="14">
        <v>0</v>
      </c>
      <c r="K4221" s="14">
        <v>1120</v>
      </c>
      <c r="L4221" t="s">
        <v>794</v>
      </c>
      <c r="M4221" s="23">
        <f t="shared" si="66"/>
        <v>2026</v>
      </c>
    </row>
    <row r="4222" spans="1:13" ht="12.75" hidden="1" customHeight="1">
      <c r="A4222" t="s">
        <v>882</v>
      </c>
      <c r="B4222" t="s">
        <v>34</v>
      </c>
      <c r="C4222" t="s">
        <v>200</v>
      </c>
      <c r="D4222" t="s">
        <v>1378</v>
      </c>
      <c r="E4222" s="17">
        <v>46063</v>
      </c>
      <c r="F4222" s="17">
        <v>46063</v>
      </c>
      <c r="G4222" s="13">
        <v>2760</v>
      </c>
      <c r="H4222" s="14">
        <v>0</v>
      </c>
      <c r="I4222" s="14">
        <v>0</v>
      </c>
      <c r="J4222" s="14">
        <v>0</v>
      </c>
      <c r="K4222" s="14">
        <v>2760</v>
      </c>
      <c r="L4222" t="s">
        <v>794</v>
      </c>
      <c r="M4222" s="23">
        <f t="shared" si="66"/>
        <v>2026</v>
      </c>
    </row>
    <row r="4223" spans="1:13" ht="12.75" hidden="1" customHeight="1">
      <c r="A4223" t="s">
        <v>855</v>
      </c>
      <c r="B4223" t="s">
        <v>20</v>
      </c>
      <c r="C4223" t="s">
        <v>200</v>
      </c>
      <c r="D4223" t="s">
        <v>1378</v>
      </c>
      <c r="E4223" s="17">
        <v>46063</v>
      </c>
      <c r="F4223" s="17">
        <v>46063</v>
      </c>
      <c r="G4223" s="13">
        <v>88</v>
      </c>
      <c r="H4223" s="14">
        <v>0</v>
      </c>
      <c r="I4223" s="14">
        <v>0</v>
      </c>
      <c r="J4223" s="14">
        <v>0</v>
      </c>
      <c r="K4223" s="14">
        <v>88</v>
      </c>
      <c r="L4223" t="s">
        <v>794</v>
      </c>
      <c r="M4223" s="23">
        <f t="shared" si="66"/>
        <v>2026</v>
      </c>
    </row>
    <row r="4224" spans="1:13" ht="12.75" hidden="1" customHeight="1">
      <c r="A4224" t="s">
        <v>878</v>
      </c>
      <c r="B4224" t="s">
        <v>32</v>
      </c>
      <c r="C4224" t="s">
        <v>200</v>
      </c>
      <c r="D4224" t="s">
        <v>1378</v>
      </c>
      <c r="E4224" s="17">
        <v>46063</v>
      </c>
      <c r="F4224" s="17">
        <v>46063</v>
      </c>
      <c r="G4224" s="13">
        <v>1012</v>
      </c>
      <c r="H4224" s="14">
        <v>0</v>
      </c>
      <c r="I4224" s="14">
        <v>0</v>
      </c>
      <c r="J4224" s="14">
        <v>0</v>
      </c>
      <c r="K4224" s="14">
        <v>1012</v>
      </c>
      <c r="L4224" t="s">
        <v>794</v>
      </c>
      <c r="M4224" s="23">
        <f t="shared" si="66"/>
        <v>2026</v>
      </c>
    </row>
    <row r="4225" spans="1:13" ht="12.75" hidden="1" customHeight="1">
      <c r="A4225" t="s">
        <v>1408</v>
      </c>
      <c r="B4225" t="s">
        <v>197</v>
      </c>
      <c r="C4225" t="s">
        <v>200</v>
      </c>
      <c r="D4225" t="s">
        <v>1378</v>
      </c>
      <c r="E4225" s="17">
        <v>46063</v>
      </c>
      <c r="F4225" s="17">
        <v>46063</v>
      </c>
      <c r="G4225" s="13">
        <v>672</v>
      </c>
      <c r="H4225" s="14">
        <v>0</v>
      </c>
      <c r="I4225" s="14">
        <v>0</v>
      </c>
      <c r="J4225" s="14">
        <v>0</v>
      </c>
      <c r="K4225" s="14">
        <v>672</v>
      </c>
      <c r="L4225" t="s">
        <v>794</v>
      </c>
      <c r="M4225" s="23">
        <f t="shared" si="66"/>
        <v>2026</v>
      </c>
    </row>
    <row r="4226" spans="1:13" ht="12.75" hidden="1" customHeight="1">
      <c r="A4226" t="s">
        <v>1246</v>
      </c>
      <c r="B4226" t="s">
        <v>63</v>
      </c>
      <c r="C4226" t="s">
        <v>200</v>
      </c>
      <c r="D4226" t="s">
        <v>1378</v>
      </c>
      <c r="E4226" s="17">
        <v>46063</v>
      </c>
      <c r="F4226" s="17">
        <v>46063</v>
      </c>
      <c r="G4226" s="13">
        <v>3360</v>
      </c>
      <c r="H4226" s="14">
        <v>0</v>
      </c>
      <c r="I4226" s="14">
        <v>0</v>
      </c>
      <c r="J4226" s="14">
        <v>0</v>
      </c>
      <c r="K4226" s="14">
        <v>3360</v>
      </c>
      <c r="L4226" t="s">
        <v>794</v>
      </c>
      <c r="M4226" s="23">
        <f t="shared" si="66"/>
        <v>2026</v>
      </c>
    </row>
    <row r="4227" spans="1:13" ht="12.75" hidden="1" customHeight="1">
      <c r="A4227" t="s">
        <v>1134</v>
      </c>
      <c r="B4227" t="s">
        <v>33</v>
      </c>
      <c r="C4227" t="s">
        <v>200</v>
      </c>
      <c r="D4227" t="s">
        <v>1378</v>
      </c>
      <c r="E4227" s="17">
        <v>46063</v>
      </c>
      <c r="F4227" s="17">
        <v>46063</v>
      </c>
      <c r="G4227" s="13">
        <v>2576</v>
      </c>
      <c r="H4227" s="14">
        <v>0</v>
      </c>
      <c r="I4227" s="14">
        <v>0</v>
      </c>
      <c r="J4227" s="14">
        <v>0</v>
      </c>
      <c r="K4227" s="14">
        <v>2576</v>
      </c>
      <c r="L4227" t="s">
        <v>794</v>
      </c>
      <c r="M4227" s="23">
        <f t="shared" si="66"/>
        <v>2026</v>
      </c>
    </row>
    <row r="4228" spans="1:13" ht="12.75" hidden="1" customHeight="1">
      <c r="A4228" t="s">
        <v>855</v>
      </c>
      <c r="B4228" t="s">
        <v>20</v>
      </c>
      <c r="C4228" t="s">
        <v>141</v>
      </c>
      <c r="D4228" t="s">
        <v>1378</v>
      </c>
      <c r="E4228" s="17">
        <v>46063</v>
      </c>
      <c r="F4228" s="17">
        <v>46063</v>
      </c>
      <c r="G4228" s="13">
        <v>1100</v>
      </c>
      <c r="H4228" s="14">
        <v>0</v>
      </c>
      <c r="I4228" s="14">
        <v>0</v>
      </c>
      <c r="J4228" s="14">
        <v>0</v>
      </c>
      <c r="K4228" s="14">
        <v>1100</v>
      </c>
      <c r="L4228" t="s">
        <v>794</v>
      </c>
      <c r="M4228" s="23">
        <f t="shared" si="66"/>
        <v>2026</v>
      </c>
    </row>
    <row r="4229" spans="1:13" ht="12.75" hidden="1" customHeight="1">
      <c r="A4229" t="s">
        <v>1355</v>
      </c>
      <c r="B4229" t="s">
        <v>161</v>
      </c>
      <c r="C4229" t="s">
        <v>200</v>
      </c>
      <c r="D4229" t="s">
        <v>1378</v>
      </c>
      <c r="E4229" s="17">
        <v>46063</v>
      </c>
      <c r="F4229" s="17">
        <v>46063</v>
      </c>
      <c r="G4229" s="13">
        <v>840</v>
      </c>
      <c r="H4229" s="14">
        <v>0</v>
      </c>
      <c r="I4229" s="14">
        <v>0</v>
      </c>
      <c r="J4229" s="14">
        <v>0</v>
      </c>
      <c r="K4229" s="14">
        <v>840</v>
      </c>
      <c r="L4229" t="s">
        <v>794</v>
      </c>
      <c r="M4229" s="23">
        <f t="shared" si="66"/>
        <v>2026</v>
      </c>
    </row>
    <row r="4230" spans="1:13" ht="12.75" hidden="1" customHeight="1">
      <c r="A4230" t="s">
        <v>801</v>
      </c>
      <c r="B4230" t="s">
        <v>13</v>
      </c>
      <c r="C4230" t="s">
        <v>726</v>
      </c>
      <c r="D4230" t="s">
        <v>1378</v>
      </c>
      <c r="E4230" s="17">
        <v>46064</v>
      </c>
      <c r="F4230" s="17">
        <v>46064</v>
      </c>
      <c r="G4230" s="13">
        <v>2.19</v>
      </c>
      <c r="H4230" s="14">
        <v>0</v>
      </c>
      <c r="I4230" s="14">
        <v>0</v>
      </c>
      <c r="J4230" s="14">
        <v>0</v>
      </c>
      <c r="K4230" s="14">
        <v>2.19</v>
      </c>
      <c r="L4230" t="s">
        <v>794</v>
      </c>
      <c r="M4230" s="23">
        <f t="shared" si="66"/>
        <v>2026</v>
      </c>
    </row>
    <row r="4231" spans="1:13" ht="12.75" hidden="1" customHeight="1">
      <c r="A4231" t="s">
        <v>1221</v>
      </c>
      <c r="B4231" t="s">
        <v>100</v>
      </c>
      <c r="C4231" t="s">
        <v>183</v>
      </c>
      <c r="D4231" t="s">
        <v>1378</v>
      </c>
      <c r="E4231" s="17">
        <v>46064</v>
      </c>
      <c r="F4231" s="17">
        <v>46064</v>
      </c>
      <c r="G4231" s="13">
        <v>1080</v>
      </c>
      <c r="H4231" s="14">
        <v>0</v>
      </c>
      <c r="I4231" s="14">
        <v>0</v>
      </c>
      <c r="J4231" s="14">
        <v>0</v>
      </c>
      <c r="K4231" s="14">
        <v>1080</v>
      </c>
      <c r="L4231" t="s">
        <v>794</v>
      </c>
      <c r="M4231" s="23">
        <f t="shared" si="66"/>
        <v>2026</v>
      </c>
    </row>
    <row r="4232" spans="1:13" ht="12.75" hidden="1" customHeight="1">
      <c r="A4232" t="s">
        <v>1343</v>
      </c>
      <c r="B4232" t="s">
        <v>92</v>
      </c>
      <c r="C4232" t="s">
        <v>201</v>
      </c>
      <c r="D4232" t="s">
        <v>1378</v>
      </c>
      <c r="E4232" s="17">
        <v>46064</v>
      </c>
      <c r="F4232" s="17">
        <v>46064</v>
      </c>
      <c r="G4232" s="13">
        <v>1400</v>
      </c>
      <c r="H4232" s="14">
        <v>0</v>
      </c>
      <c r="I4232" s="14">
        <v>0</v>
      </c>
      <c r="J4232" s="14">
        <v>0</v>
      </c>
      <c r="K4232" s="14">
        <v>1400</v>
      </c>
      <c r="L4232" t="s">
        <v>794</v>
      </c>
      <c r="M4232" s="23">
        <f t="shared" si="66"/>
        <v>2026</v>
      </c>
    </row>
    <row r="4233" spans="1:13" ht="12.75" hidden="1" customHeight="1">
      <c r="A4233" t="s">
        <v>1341</v>
      </c>
      <c r="B4233" t="s">
        <v>160</v>
      </c>
      <c r="C4233" t="s">
        <v>201</v>
      </c>
      <c r="D4233" t="s">
        <v>1378</v>
      </c>
      <c r="E4233" s="17">
        <v>46064</v>
      </c>
      <c r="F4233" s="17">
        <v>46064</v>
      </c>
      <c r="G4233" s="13">
        <v>1200</v>
      </c>
      <c r="H4233" s="14">
        <v>0</v>
      </c>
      <c r="I4233" s="14">
        <v>0</v>
      </c>
      <c r="J4233" s="14">
        <v>0</v>
      </c>
      <c r="K4233" s="14">
        <v>1200</v>
      </c>
      <c r="L4233" t="s">
        <v>794</v>
      </c>
      <c r="M4233" s="23">
        <f t="shared" si="66"/>
        <v>2026</v>
      </c>
    </row>
    <row r="4234" spans="1:13" ht="12.75" hidden="1" customHeight="1">
      <c r="A4234" t="s">
        <v>801</v>
      </c>
      <c r="B4234" t="s">
        <v>13</v>
      </c>
      <c r="C4234" t="s">
        <v>726</v>
      </c>
      <c r="D4234" t="s">
        <v>1378</v>
      </c>
      <c r="E4234" s="17">
        <v>46065</v>
      </c>
      <c r="F4234" s="17">
        <v>46065</v>
      </c>
      <c r="G4234" s="13">
        <v>2.19</v>
      </c>
      <c r="H4234" s="14">
        <v>0</v>
      </c>
      <c r="I4234" s="14">
        <v>0</v>
      </c>
      <c r="J4234" s="14">
        <v>0</v>
      </c>
      <c r="K4234" s="14">
        <v>2.19</v>
      </c>
      <c r="L4234" t="s">
        <v>794</v>
      </c>
      <c r="M4234" s="23">
        <f t="shared" si="66"/>
        <v>2026</v>
      </c>
    </row>
    <row r="4235" spans="1:13" ht="12.75" hidden="1" customHeight="1">
      <c r="A4235" t="s">
        <v>806</v>
      </c>
      <c r="B4235" t="s">
        <v>19</v>
      </c>
      <c r="C4235" t="s">
        <v>720</v>
      </c>
      <c r="D4235" t="s">
        <v>1378</v>
      </c>
      <c r="E4235" s="17">
        <v>46063</v>
      </c>
      <c r="F4235" s="17">
        <v>46065</v>
      </c>
      <c r="G4235" s="13">
        <v>12000</v>
      </c>
      <c r="H4235" s="14">
        <v>0</v>
      </c>
      <c r="I4235" s="14">
        <v>0</v>
      </c>
      <c r="J4235" s="14">
        <v>0</v>
      </c>
      <c r="K4235" s="14">
        <v>6000</v>
      </c>
      <c r="L4235" t="s">
        <v>794</v>
      </c>
      <c r="M4235" s="23">
        <f t="shared" si="66"/>
        <v>2026</v>
      </c>
    </row>
    <row r="4236" spans="1:13" ht="12.75" hidden="1" customHeight="1">
      <c r="A4236" t="s">
        <v>806</v>
      </c>
      <c r="B4236" t="s">
        <v>19</v>
      </c>
      <c r="C4236" t="s">
        <v>720</v>
      </c>
      <c r="D4236" t="s">
        <v>1378</v>
      </c>
      <c r="E4236" s="17">
        <v>46063</v>
      </c>
      <c r="F4236" s="17">
        <v>46065</v>
      </c>
      <c r="G4236" s="13">
        <v>12000</v>
      </c>
      <c r="H4236" s="14">
        <v>0</v>
      </c>
      <c r="I4236" s="14">
        <v>0</v>
      </c>
      <c r="J4236" s="14">
        <v>0</v>
      </c>
      <c r="K4236" s="14">
        <v>6000</v>
      </c>
      <c r="L4236" t="s">
        <v>794</v>
      </c>
      <c r="M4236" s="23">
        <f t="shared" si="66"/>
        <v>2026</v>
      </c>
    </row>
    <row r="4237" spans="1:13" ht="12.75" hidden="1" customHeight="1">
      <c r="A4237" t="s">
        <v>998</v>
      </c>
      <c r="B4237" t="s">
        <v>368</v>
      </c>
      <c r="C4237" t="s">
        <v>733</v>
      </c>
      <c r="D4237" t="s">
        <v>1378</v>
      </c>
      <c r="E4237" s="17">
        <v>46064</v>
      </c>
      <c r="F4237" s="17">
        <v>46065</v>
      </c>
      <c r="G4237" s="13">
        <v>75.92</v>
      </c>
      <c r="H4237" s="14">
        <v>0</v>
      </c>
      <c r="I4237" s="14">
        <v>0</v>
      </c>
      <c r="J4237" s="14">
        <v>0</v>
      </c>
      <c r="K4237" s="14">
        <v>70</v>
      </c>
      <c r="L4237" t="s">
        <v>794</v>
      </c>
      <c r="M4237" s="23">
        <f t="shared" si="66"/>
        <v>2026</v>
      </c>
    </row>
    <row r="4238" spans="1:13" ht="12.75" hidden="1" customHeight="1">
      <c r="A4238" t="s">
        <v>998</v>
      </c>
      <c r="B4238" t="s">
        <v>368</v>
      </c>
      <c r="C4238" t="s">
        <v>733</v>
      </c>
      <c r="D4238" t="s">
        <v>1378</v>
      </c>
      <c r="E4238" s="17">
        <v>46064</v>
      </c>
      <c r="F4238" s="17">
        <v>46065</v>
      </c>
      <c r="G4238" s="13">
        <v>75.92</v>
      </c>
      <c r="H4238" s="14">
        <v>0</v>
      </c>
      <c r="I4238" s="14">
        <v>0</v>
      </c>
      <c r="J4238" s="14">
        <v>0</v>
      </c>
      <c r="K4238" s="14">
        <v>5.92</v>
      </c>
      <c r="L4238" t="s">
        <v>794</v>
      </c>
      <c r="M4238" s="23">
        <f t="shared" si="66"/>
        <v>2026</v>
      </c>
    </row>
    <row r="4239" spans="1:13" ht="12.75" hidden="1" customHeight="1">
      <c r="A4239" t="s">
        <v>1214</v>
      </c>
      <c r="B4239" t="s">
        <v>229</v>
      </c>
      <c r="C4239" t="s">
        <v>183</v>
      </c>
      <c r="D4239" t="s">
        <v>1378</v>
      </c>
      <c r="E4239" s="17">
        <v>46065</v>
      </c>
      <c r="F4239" s="17">
        <v>46065</v>
      </c>
      <c r="G4239" s="13">
        <v>200</v>
      </c>
      <c r="H4239" s="14">
        <v>0</v>
      </c>
      <c r="I4239" s="14">
        <v>0</v>
      </c>
      <c r="J4239" s="14">
        <v>0</v>
      </c>
      <c r="K4239" s="14">
        <v>200</v>
      </c>
      <c r="L4239" t="s">
        <v>794</v>
      </c>
      <c r="M4239" s="23">
        <f t="shared" si="66"/>
        <v>2026</v>
      </c>
    </row>
    <row r="4240" spans="1:13" ht="12.75" hidden="1" customHeight="1">
      <c r="A4240" t="s">
        <v>1431</v>
      </c>
      <c r="B4240" t="s">
        <v>453</v>
      </c>
      <c r="C4240" t="s">
        <v>99</v>
      </c>
      <c r="D4240" t="s">
        <v>1378</v>
      </c>
      <c r="E4240" s="17">
        <v>46065</v>
      </c>
      <c r="F4240" s="17">
        <v>46065</v>
      </c>
      <c r="G4240" s="13">
        <v>231.4</v>
      </c>
      <c r="H4240" s="14">
        <v>0</v>
      </c>
      <c r="I4240" s="14">
        <v>0</v>
      </c>
      <c r="J4240" s="14">
        <v>0</v>
      </c>
      <c r="K4240" s="14">
        <v>231.4</v>
      </c>
      <c r="L4240" t="s">
        <v>794</v>
      </c>
      <c r="M4240" s="23">
        <f t="shared" si="66"/>
        <v>2026</v>
      </c>
    </row>
    <row r="4241" spans="1:13" ht="12.75" hidden="1" customHeight="1">
      <c r="A4241" t="s">
        <v>801</v>
      </c>
      <c r="B4241" t="s">
        <v>13</v>
      </c>
      <c r="C4241" t="s">
        <v>726</v>
      </c>
      <c r="D4241" t="s">
        <v>1378</v>
      </c>
      <c r="E4241" s="17">
        <v>46065</v>
      </c>
      <c r="F4241" s="17">
        <v>46065</v>
      </c>
      <c r="G4241" s="13">
        <v>1608.64</v>
      </c>
      <c r="H4241" s="14">
        <v>0</v>
      </c>
      <c r="I4241" s="14">
        <v>0</v>
      </c>
      <c r="J4241" s="14">
        <v>0</v>
      </c>
      <c r="K4241" s="14">
        <v>1608.64</v>
      </c>
      <c r="L4241" t="s">
        <v>794</v>
      </c>
      <c r="M4241" s="23">
        <f t="shared" si="66"/>
        <v>2026</v>
      </c>
    </row>
    <row r="4242" spans="1:13" ht="12.75" hidden="1" customHeight="1">
      <c r="A4242" t="s">
        <v>1173</v>
      </c>
      <c r="B4242" t="s">
        <v>45</v>
      </c>
      <c r="C4242" t="s">
        <v>733</v>
      </c>
      <c r="D4242" t="s">
        <v>1378</v>
      </c>
      <c r="E4242" s="17">
        <v>46066</v>
      </c>
      <c r="F4242" s="17">
        <v>46066</v>
      </c>
      <c r="G4242" s="13">
        <v>120.96000000000001</v>
      </c>
      <c r="H4242" s="14">
        <v>0</v>
      </c>
      <c r="I4242" s="14">
        <v>0</v>
      </c>
      <c r="J4242" s="14">
        <v>0</v>
      </c>
      <c r="K4242" s="14">
        <v>120.96000000000001</v>
      </c>
      <c r="L4242" t="s">
        <v>794</v>
      </c>
      <c r="M4242" s="23">
        <f t="shared" si="66"/>
        <v>2026</v>
      </c>
    </row>
    <row r="4243" spans="1:13" ht="12.75" hidden="1" customHeight="1">
      <c r="A4243" t="s">
        <v>1296</v>
      </c>
      <c r="B4243" t="s">
        <v>42</v>
      </c>
      <c r="C4243" t="s">
        <v>728</v>
      </c>
      <c r="D4243" t="s">
        <v>1378</v>
      </c>
      <c r="E4243" s="17">
        <v>46066</v>
      </c>
      <c r="F4243" s="17">
        <v>46066</v>
      </c>
      <c r="G4243" s="13">
        <v>4584.4400000000005</v>
      </c>
      <c r="H4243" s="14">
        <v>0</v>
      </c>
      <c r="I4243" s="14">
        <v>0</v>
      </c>
      <c r="J4243" s="14">
        <v>0</v>
      </c>
      <c r="K4243" s="14">
        <v>4584.4400000000005</v>
      </c>
      <c r="L4243" t="s">
        <v>794</v>
      </c>
      <c r="M4243" s="23">
        <f t="shared" si="66"/>
        <v>2026</v>
      </c>
    </row>
    <row r="4244" spans="1:13" ht="12.75" hidden="1" customHeight="1">
      <c r="A4244" t="s">
        <v>1181</v>
      </c>
      <c r="B4244" t="s">
        <v>75</v>
      </c>
      <c r="C4244" t="s">
        <v>204</v>
      </c>
      <c r="D4244" t="s">
        <v>1378</v>
      </c>
      <c r="E4244" s="17">
        <v>46066</v>
      </c>
      <c r="F4244" s="17">
        <v>46066</v>
      </c>
      <c r="G4244" s="13">
        <v>11.26</v>
      </c>
      <c r="H4244" s="14">
        <v>0</v>
      </c>
      <c r="I4244" s="14">
        <v>0</v>
      </c>
      <c r="J4244" s="14">
        <v>0</v>
      </c>
      <c r="K4244" s="14">
        <v>11.26</v>
      </c>
      <c r="L4244" t="s">
        <v>794</v>
      </c>
      <c r="M4244" s="23">
        <f t="shared" si="66"/>
        <v>2026</v>
      </c>
    </row>
    <row r="4245" spans="1:13" ht="12.75" hidden="1" customHeight="1">
      <c r="A4245" t="s">
        <v>941</v>
      </c>
      <c r="B4245" t="s">
        <v>52</v>
      </c>
      <c r="C4245" t="s">
        <v>672</v>
      </c>
      <c r="D4245" t="s">
        <v>1432</v>
      </c>
      <c r="E4245" s="17">
        <v>46068</v>
      </c>
      <c r="F4245" s="17">
        <v>46066</v>
      </c>
      <c r="G4245" s="13">
        <v>1621</v>
      </c>
      <c r="H4245" s="14">
        <v>0</v>
      </c>
      <c r="I4245" s="14">
        <v>0</v>
      </c>
      <c r="J4245" s="14">
        <v>0</v>
      </c>
      <c r="K4245" s="14">
        <v>1621</v>
      </c>
      <c r="L4245" t="s">
        <v>794</v>
      </c>
      <c r="M4245" s="23">
        <f t="shared" si="66"/>
        <v>2026</v>
      </c>
    </row>
    <row r="4246" spans="1:13" ht="12.75" hidden="1" customHeight="1">
      <c r="A4246" t="s">
        <v>886</v>
      </c>
      <c r="B4246" t="s">
        <v>194</v>
      </c>
      <c r="C4246" t="s">
        <v>743</v>
      </c>
      <c r="D4246" t="s">
        <v>1378</v>
      </c>
      <c r="E4246" s="17">
        <v>46068</v>
      </c>
      <c r="F4246" s="17">
        <v>46066</v>
      </c>
      <c r="G4246" s="13">
        <v>217.76</v>
      </c>
      <c r="H4246" s="14">
        <v>0</v>
      </c>
      <c r="I4246" s="14">
        <v>0</v>
      </c>
      <c r="J4246" s="14">
        <v>0</v>
      </c>
      <c r="K4246" s="14">
        <v>217.76</v>
      </c>
      <c r="L4246" t="s">
        <v>794</v>
      </c>
      <c r="M4246" s="23">
        <f t="shared" si="66"/>
        <v>2026</v>
      </c>
    </row>
    <row r="4247" spans="1:13" ht="12.75" hidden="1" customHeight="1">
      <c r="A4247" t="s">
        <v>1433</v>
      </c>
      <c r="B4247" t="s">
        <v>182</v>
      </c>
      <c r="C4247" t="s">
        <v>183</v>
      </c>
      <c r="D4247" t="s">
        <v>1378</v>
      </c>
      <c r="E4247" s="17">
        <v>46065</v>
      </c>
      <c r="F4247" s="17">
        <v>46066</v>
      </c>
      <c r="G4247" s="13">
        <v>480</v>
      </c>
      <c r="H4247" s="14">
        <v>0</v>
      </c>
      <c r="I4247" s="14">
        <v>0</v>
      </c>
      <c r="J4247" s="14">
        <v>0</v>
      </c>
      <c r="K4247" s="14">
        <v>480</v>
      </c>
      <c r="L4247" t="s">
        <v>794</v>
      </c>
      <c r="M4247" s="23">
        <f t="shared" si="66"/>
        <v>2026</v>
      </c>
    </row>
    <row r="4248" spans="1:13" ht="12.75" hidden="1" customHeight="1">
      <c r="A4248" t="s">
        <v>792</v>
      </c>
      <c r="B4248" t="s">
        <v>35</v>
      </c>
      <c r="C4248" t="s">
        <v>206</v>
      </c>
      <c r="D4248" t="s">
        <v>1378</v>
      </c>
      <c r="E4248" s="17">
        <v>46066</v>
      </c>
      <c r="F4248" s="17">
        <v>46066</v>
      </c>
      <c r="G4248" s="13">
        <v>828.5</v>
      </c>
      <c r="H4248" s="14">
        <v>0</v>
      </c>
      <c r="I4248" s="14">
        <v>0</v>
      </c>
      <c r="J4248" s="14">
        <v>0</v>
      </c>
      <c r="K4248" s="14">
        <v>828.5</v>
      </c>
      <c r="L4248" t="s">
        <v>794</v>
      </c>
      <c r="M4248" s="23">
        <f t="shared" si="66"/>
        <v>2026</v>
      </c>
    </row>
    <row r="4249" spans="1:13" ht="12.75" hidden="1" customHeight="1">
      <c r="A4249" t="s">
        <v>792</v>
      </c>
      <c r="B4249" t="s">
        <v>35</v>
      </c>
      <c r="C4249" t="s">
        <v>206</v>
      </c>
      <c r="D4249" t="s">
        <v>1378</v>
      </c>
      <c r="E4249" s="17">
        <v>46066</v>
      </c>
      <c r="F4249" s="17">
        <v>46066</v>
      </c>
      <c r="G4249" s="13">
        <v>295.23</v>
      </c>
      <c r="H4249" s="14">
        <v>0</v>
      </c>
      <c r="I4249" s="14">
        <v>0</v>
      </c>
      <c r="J4249" s="14">
        <v>0</v>
      </c>
      <c r="K4249" s="14">
        <v>295.23</v>
      </c>
      <c r="L4249" t="s">
        <v>794</v>
      </c>
      <c r="M4249" s="23">
        <f t="shared" si="66"/>
        <v>2026</v>
      </c>
    </row>
    <row r="4250" spans="1:13" ht="12.75" hidden="1" customHeight="1">
      <c r="A4250" t="s">
        <v>812</v>
      </c>
      <c r="B4250" t="s">
        <v>31</v>
      </c>
      <c r="C4250" t="s">
        <v>491</v>
      </c>
      <c r="D4250" t="s">
        <v>1378</v>
      </c>
      <c r="E4250" s="17">
        <v>46066</v>
      </c>
      <c r="F4250" s="17">
        <v>46066</v>
      </c>
      <c r="G4250" s="13">
        <v>30</v>
      </c>
      <c r="H4250" s="14">
        <v>0</v>
      </c>
      <c r="I4250" s="14">
        <v>0</v>
      </c>
      <c r="J4250" s="14">
        <v>0</v>
      </c>
      <c r="K4250" s="14">
        <v>30</v>
      </c>
      <c r="L4250" t="s">
        <v>794</v>
      </c>
      <c r="M4250" s="23">
        <f t="shared" si="66"/>
        <v>2026</v>
      </c>
    </row>
    <row r="4251" spans="1:13" ht="12.75" hidden="1" customHeight="1">
      <c r="A4251" t="s">
        <v>797</v>
      </c>
      <c r="B4251" t="s">
        <v>25</v>
      </c>
      <c r="C4251" t="s">
        <v>206</v>
      </c>
      <c r="D4251" t="s">
        <v>1378</v>
      </c>
      <c r="E4251" s="17">
        <v>46066</v>
      </c>
      <c r="F4251" s="17">
        <v>46066</v>
      </c>
      <c r="G4251" s="13">
        <v>2485.5100000000002</v>
      </c>
      <c r="H4251" s="14">
        <v>0</v>
      </c>
      <c r="I4251" s="14">
        <v>0</v>
      </c>
      <c r="J4251" s="14">
        <v>0</v>
      </c>
      <c r="K4251" s="14">
        <v>2485.5100000000002</v>
      </c>
      <c r="L4251" t="s">
        <v>794</v>
      </c>
      <c r="M4251" s="23">
        <f t="shared" si="66"/>
        <v>2026</v>
      </c>
    </row>
    <row r="4252" spans="1:13" ht="12.75" hidden="1" customHeight="1">
      <c r="A4252" t="s">
        <v>797</v>
      </c>
      <c r="B4252" t="s">
        <v>25</v>
      </c>
      <c r="C4252" t="s">
        <v>206</v>
      </c>
      <c r="D4252" t="s">
        <v>1378</v>
      </c>
      <c r="E4252" s="17">
        <v>46066</v>
      </c>
      <c r="F4252" s="17">
        <v>46066</v>
      </c>
      <c r="G4252" s="13">
        <v>885.7</v>
      </c>
      <c r="H4252" s="14">
        <v>0</v>
      </c>
      <c r="I4252" s="14">
        <v>0</v>
      </c>
      <c r="J4252" s="14">
        <v>0</v>
      </c>
      <c r="K4252" s="14">
        <v>885.7</v>
      </c>
      <c r="L4252" t="s">
        <v>794</v>
      </c>
      <c r="M4252" s="23">
        <f t="shared" si="66"/>
        <v>2026</v>
      </c>
    </row>
    <row r="4253" spans="1:13" ht="12.75" hidden="1" customHeight="1">
      <c r="A4253" t="s">
        <v>948</v>
      </c>
      <c r="B4253" t="s">
        <v>89</v>
      </c>
      <c r="C4253" t="s">
        <v>725</v>
      </c>
      <c r="D4253" t="s">
        <v>1394</v>
      </c>
      <c r="E4253" s="17">
        <v>46065</v>
      </c>
      <c r="F4253" s="17">
        <v>46066</v>
      </c>
      <c r="G4253" s="13">
        <v>824</v>
      </c>
      <c r="H4253" s="14">
        <v>0</v>
      </c>
      <c r="I4253" s="14">
        <v>0</v>
      </c>
      <c r="J4253" s="14">
        <v>0</v>
      </c>
      <c r="K4253" s="14">
        <v>824</v>
      </c>
      <c r="L4253" t="s">
        <v>794</v>
      </c>
      <c r="M4253" s="23">
        <f t="shared" si="66"/>
        <v>2026</v>
      </c>
    </row>
    <row r="4254" spans="1:13" ht="12.75" hidden="1" customHeight="1">
      <c r="A4254" t="s">
        <v>879</v>
      </c>
      <c r="B4254" t="s">
        <v>23</v>
      </c>
      <c r="C4254" t="s">
        <v>722</v>
      </c>
      <c r="D4254" t="s">
        <v>1378</v>
      </c>
      <c r="E4254" s="17">
        <v>46068</v>
      </c>
      <c r="F4254" s="17">
        <v>46071</v>
      </c>
      <c r="G4254" s="13">
        <v>700</v>
      </c>
      <c r="H4254" s="14">
        <v>0</v>
      </c>
      <c r="I4254" s="14">
        <v>0</v>
      </c>
      <c r="J4254" s="14">
        <v>0</v>
      </c>
      <c r="K4254" s="14">
        <v>700</v>
      </c>
      <c r="L4254" t="s">
        <v>794</v>
      </c>
      <c r="M4254" s="23">
        <f t="shared" si="66"/>
        <v>2026</v>
      </c>
    </row>
    <row r="4255" spans="1:13" ht="12.75" hidden="1" customHeight="1">
      <c r="A4255" t="s">
        <v>891</v>
      </c>
      <c r="B4255" t="s">
        <v>102</v>
      </c>
      <c r="C4255" t="s">
        <v>722</v>
      </c>
      <c r="D4255" t="s">
        <v>1378</v>
      </c>
      <c r="E4255" s="17">
        <v>46071</v>
      </c>
      <c r="F4255" s="17">
        <v>46071</v>
      </c>
      <c r="G4255" s="13">
        <v>849</v>
      </c>
      <c r="H4255" s="14">
        <v>0</v>
      </c>
      <c r="I4255" s="14">
        <v>0</v>
      </c>
      <c r="J4255" s="14">
        <v>0</v>
      </c>
      <c r="K4255" s="14">
        <v>849</v>
      </c>
      <c r="L4255" t="s">
        <v>794</v>
      </c>
      <c r="M4255" s="23">
        <f t="shared" si="66"/>
        <v>2026</v>
      </c>
    </row>
    <row r="4256" spans="1:13" ht="12.75" hidden="1" customHeight="1">
      <c r="A4256" t="s">
        <v>800</v>
      </c>
      <c r="B4256" t="s">
        <v>85</v>
      </c>
      <c r="C4256" t="s">
        <v>734</v>
      </c>
      <c r="D4256" t="s">
        <v>1378</v>
      </c>
      <c r="E4256" s="17">
        <v>46068</v>
      </c>
      <c r="F4256" s="17">
        <v>46071</v>
      </c>
      <c r="G4256" s="13">
        <v>900</v>
      </c>
      <c r="H4256" s="14">
        <v>0</v>
      </c>
      <c r="I4256" s="14">
        <v>0</v>
      </c>
      <c r="J4256" s="14">
        <v>0</v>
      </c>
      <c r="K4256" s="14">
        <v>900</v>
      </c>
      <c r="L4256" t="s">
        <v>794</v>
      </c>
      <c r="M4256" s="23">
        <f t="shared" si="66"/>
        <v>2026</v>
      </c>
    </row>
    <row r="4257" spans="1:13" ht="12.75" hidden="1" customHeight="1">
      <c r="A4257" t="s">
        <v>1410</v>
      </c>
      <c r="B4257" t="s">
        <v>93</v>
      </c>
      <c r="C4257" t="s">
        <v>719</v>
      </c>
      <c r="D4257" t="s">
        <v>1378</v>
      </c>
      <c r="E4257" s="17">
        <v>46071</v>
      </c>
      <c r="F4257" s="17">
        <v>46071</v>
      </c>
      <c r="G4257" s="13">
        <v>481.54</v>
      </c>
      <c r="H4257" s="14">
        <v>0</v>
      </c>
      <c r="I4257" s="14">
        <v>0</v>
      </c>
      <c r="J4257" s="14">
        <v>0</v>
      </c>
      <c r="K4257" s="14">
        <v>481.54</v>
      </c>
      <c r="L4257" t="s">
        <v>794</v>
      </c>
      <c r="M4257" s="23">
        <f t="shared" si="66"/>
        <v>2026</v>
      </c>
    </row>
    <row r="4258" spans="1:13" ht="12.75" hidden="1" customHeight="1">
      <c r="A4258" t="s">
        <v>894</v>
      </c>
      <c r="B4258" t="s">
        <v>50</v>
      </c>
      <c r="C4258" t="s">
        <v>152</v>
      </c>
      <c r="D4258" t="s">
        <v>1378</v>
      </c>
      <c r="E4258" s="17">
        <v>46071</v>
      </c>
      <c r="F4258" s="17">
        <v>46071</v>
      </c>
      <c r="G4258" s="13">
        <v>1621</v>
      </c>
      <c r="H4258" s="14">
        <v>0</v>
      </c>
      <c r="I4258" s="14">
        <v>0</v>
      </c>
      <c r="J4258" s="14">
        <v>0</v>
      </c>
      <c r="K4258" s="14">
        <v>1621</v>
      </c>
      <c r="L4258" t="s">
        <v>794</v>
      </c>
      <c r="M4258" s="23">
        <f t="shared" si="66"/>
        <v>2026</v>
      </c>
    </row>
    <row r="4259" spans="1:13" ht="12.75" hidden="1" customHeight="1">
      <c r="A4259" t="s">
        <v>879</v>
      </c>
      <c r="B4259" t="s">
        <v>23</v>
      </c>
      <c r="C4259" t="s">
        <v>716</v>
      </c>
      <c r="D4259" t="s">
        <v>1378</v>
      </c>
      <c r="E4259" s="17">
        <v>46068</v>
      </c>
      <c r="F4259" s="17">
        <v>46071</v>
      </c>
      <c r="G4259" s="13">
        <v>3197.4</v>
      </c>
      <c r="H4259" s="14">
        <v>0</v>
      </c>
      <c r="I4259" s="14">
        <v>0</v>
      </c>
      <c r="J4259" s="14">
        <v>0</v>
      </c>
      <c r="K4259" s="14">
        <v>3197.4</v>
      </c>
      <c r="L4259" t="s">
        <v>794</v>
      </c>
      <c r="M4259" s="23">
        <f t="shared" si="66"/>
        <v>2026</v>
      </c>
    </row>
    <row r="4260" spans="1:13" ht="12.75" hidden="1" customHeight="1">
      <c r="A4260" t="s">
        <v>1410</v>
      </c>
      <c r="B4260" t="s">
        <v>93</v>
      </c>
      <c r="C4260" t="s">
        <v>719</v>
      </c>
      <c r="D4260" t="s">
        <v>1378</v>
      </c>
      <c r="E4260" s="17">
        <v>46071</v>
      </c>
      <c r="F4260" s="17">
        <v>46071</v>
      </c>
      <c r="G4260" s="13">
        <v>2830.31</v>
      </c>
      <c r="H4260" s="14">
        <v>0</v>
      </c>
      <c r="I4260" s="14">
        <v>0</v>
      </c>
      <c r="J4260" s="14">
        <v>0</v>
      </c>
      <c r="K4260" s="14">
        <v>2830.31</v>
      </c>
      <c r="L4260" t="s">
        <v>794</v>
      </c>
      <c r="M4260" s="23">
        <f t="shared" si="66"/>
        <v>2026</v>
      </c>
    </row>
    <row r="4261" spans="1:13" ht="12.75" hidden="1" customHeight="1">
      <c r="A4261" t="s">
        <v>1305</v>
      </c>
      <c r="B4261" t="s">
        <v>96</v>
      </c>
      <c r="C4261" t="s">
        <v>737</v>
      </c>
      <c r="D4261" t="s">
        <v>1378</v>
      </c>
      <c r="E4261" s="17">
        <v>46065</v>
      </c>
      <c r="F4261" s="17">
        <v>46071</v>
      </c>
      <c r="G4261" s="13">
        <v>245.28</v>
      </c>
      <c r="H4261" s="14">
        <v>0</v>
      </c>
      <c r="I4261" s="14">
        <v>0</v>
      </c>
      <c r="J4261" s="14">
        <v>0</v>
      </c>
      <c r="K4261" s="14">
        <v>245.28</v>
      </c>
      <c r="L4261" t="s">
        <v>794</v>
      </c>
      <c r="M4261" s="23">
        <f t="shared" si="66"/>
        <v>2026</v>
      </c>
    </row>
    <row r="4262" spans="1:13" ht="12.75" hidden="1" customHeight="1">
      <c r="A4262" t="s">
        <v>1211</v>
      </c>
      <c r="B4262" t="s">
        <v>73</v>
      </c>
      <c r="C4262" t="s">
        <v>721</v>
      </c>
      <c r="D4262" t="s">
        <v>1378</v>
      </c>
      <c r="E4262" s="17">
        <v>46071</v>
      </c>
      <c r="F4262" s="17">
        <v>46071</v>
      </c>
      <c r="G4262" s="13">
        <v>1500</v>
      </c>
      <c r="H4262" s="14">
        <v>0</v>
      </c>
      <c r="I4262" s="14">
        <v>0</v>
      </c>
      <c r="J4262" s="14">
        <v>0</v>
      </c>
      <c r="K4262" s="14">
        <v>1500</v>
      </c>
      <c r="L4262" t="s">
        <v>794</v>
      </c>
      <c r="M4262" s="23">
        <f t="shared" si="66"/>
        <v>2026</v>
      </c>
    </row>
    <row r="4263" spans="1:13" ht="12.75" hidden="1" customHeight="1">
      <c r="A4263" t="s">
        <v>888</v>
      </c>
      <c r="B4263" t="s">
        <v>16</v>
      </c>
      <c r="C4263" t="s">
        <v>716</v>
      </c>
      <c r="D4263" t="s">
        <v>1378</v>
      </c>
      <c r="E4263" s="17">
        <v>46068</v>
      </c>
      <c r="F4263" s="17">
        <v>46071</v>
      </c>
      <c r="G4263" s="13">
        <v>18793.23</v>
      </c>
      <c r="H4263" s="14">
        <v>0</v>
      </c>
      <c r="I4263" s="14">
        <v>0</v>
      </c>
      <c r="J4263" s="14">
        <v>0</v>
      </c>
      <c r="K4263" s="14">
        <v>18793.23</v>
      </c>
      <c r="L4263" t="s">
        <v>794</v>
      </c>
      <c r="M4263" s="23">
        <f t="shared" si="66"/>
        <v>2026</v>
      </c>
    </row>
    <row r="4264" spans="1:13" ht="12.75" hidden="1" customHeight="1">
      <c r="A4264" t="s">
        <v>1316</v>
      </c>
      <c r="B4264" t="s">
        <v>59</v>
      </c>
      <c r="C4264" t="s">
        <v>141</v>
      </c>
      <c r="D4264" t="s">
        <v>1378</v>
      </c>
      <c r="E4264" s="17">
        <v>46071</v>
      </c>
      <c r="F4264" s="17">
        <v>46071</v>
      </c>
      <c r="G4264" s="13">
        <v>304</v>
      </c>
      <c r="H4264" s="14">
        <v>0</v>
      </c>
      <c r="I4264" s="14">
        <v>0</v>
      </c>
      <c r="J4264" s="14">
        <v>0</v>
      </c>
      <c r="K4264" s="14">
        <v>304</v>
      </c>
      <c r="L4264" t="s">
        <v>794</v>
      </c>
      <c r="M4264" s="23">
        <f t="shared" si="66"/>
        <v>2026</v>
      </c>
    </row>
    <row r="4265" spans="1:13" ht="12.75" hidden="1" customHeight="1">
      <c r="A4265" t="s">
        <v>801</v>
      </c>
      <c r="B4265" t="s">
        <v>13</v>
      </c>
      <c r="C4265" t="s">
        <v>717</v>
      </c>
      <c r="D4265" t="s">
        <v>1378</v>
      </c>
      <c r="E4265" s="17">
        <v>46071</v>
      </c>
      <c r="F4265" s="17">
        <v>46071</v>
      </c>
      <c r="G4265" s="13">
        <v>5381.79</v>
      </c>
      <c r="H4265" s="14">
        <v>0</v>
      </c>
      <c r="I4265" s="14">
        <v>0</v>
      </c>
      <c r="J4265" s="14">
        <v>0</v>
      </c>
      <c r="K4265" s="14">
        <v>5381.79</v>
      </c>
      <c r="L4265" t="s">
        <v>794</v>
      </c>
      <c r="M4265" s="23">
        <f t="shared" si="66"/>
        <v>2026</v>
      </c>
    </row>
    <row r="4266" spans="1:13" ht="12.75" hidden="1" customHeight="1">
      <c r="A4266" t="s">
        <v>1131</v>
      </c>
      <c r="B4266" t="s">
        <v>81</v>
      </c>
      <c r="C4266" t="s">
        <v>183</v>
      </c>
      <c r="D4266" t="s">
        <v>1378</v>
      </c>
      <c r="E4266" s="17">
        <v>46071</v>
      </c>
      <c r="F4266" s="17">
        <v>46071</v>
      </c>
      <c r="G4266" s="13">
        <v>770</v>
      </c>
      <c r="H4266" s="14">
        <v>0</v>
      </c>
      <c r="I4266" s="14">
        <v>0</v>
      </c>
      <c r="J4266" s="14">
        <v>0</v>
      </c>
      <c r="K4266" s="14">
        <v>770</v>
      </c>
      <c r="L4266" t="s">
        <v>794</v>
      </c>
      <c r="M4266" s="23">
        <f t="shared" ref="M4266:M4316" si="67">YEAR(F4266)</f>
        <v>2026</v>
      </c>
    </row>
    <row r="4267" spans="1:13" ht="12.75" hidden="1" customHeight="1">
      <c r="A4267" t="s">
        <v>894</v>
      </c>
      <c r="B4267" t="s">
        <v>50</v>
      </c>
      <c r="C4267" t="s">
        <v>152</v>
      </c>
      <c r="D4267" t="s">
        <v>1378</v>
      </c>
      <c r="E4267" s="17">
        <v>46073</v>
      </c>
      <c r="F4267" s="17">
        <v>46071</v>
      </c>
      <c r="G4267" s="13">
        <v>500</v>
      </c>
      <c r="H4267" s="14">
        <v>0</v>
      </c>
      <c r="I4267" s="14">
        <v>0</v>
      </c>
      <c r="J4267" s="14">
        <v>0</v>
      </c>
      <c r="K4267" s="14">
        <v>500</v>
      </c>
      <c r="L4267" t="s">
        <v>794</v>
      </c>
      <c r="M4267" s="23">
        <f t="shared" si="67"/>
        <v>2026</v>
      </c>
    </row>
    <row r="4268" spans="1:13" ht="12.75" hidden="1" customHeight="1">
      <c r="A4268" t="s">
        <v>801</v>
      </c>
      <c r="B4268" t="s">
        <v>13</v>
      </c>
      <c r="C4268" t="s">
        <v>726</v>
      </c>
      <c r="D4268" t="s">
        <v>1378</v>
      </c>
      <c r="E4268" s="17">
        <v>46073</v>
      </c>
      <c r="F4268" s="17">
        <v>46073</v>
      </c>
      <c r="G4268" s="13">
        <v>4.08</v>
      </c>
      <c r="H4268" s="14">
        <v>0</v>
      </c>
      <c r="I4268" s="14">
        <v>0</v>
      </c>
      <c r="J4268" s="14">
        <v>0</v>
      </c>
      <c r="K4268" s="14">
        <v>4.38</v>
      </c>
      <c r="L4268" t="s">
        <v>794</v>
      </c>
      <c r="M4268" s="23">
        <f t="shared" si="67"/>
        <v>2026</v>
      </c>
    </row>
    <row r="4269" spans="1:13" ht="12.75" hidden="1" customHeight="1">
      <c r="A4269" t="s">
        <v>1072</v>
      </c>
      <c r="B4269" t="s">
        <v>65</v>
      </c>
      <c r="C4269" t="s">
        <v>727</v>
      </c>
      <c r="D4269" t="s">
        <v>1378</v>
      </c>
      <c r="E4269" s="17">
        <v>46073</v>
      </c>
      <c r="F4269" s="17">
        <v>46073</v>
      </c>
      <c r="G4269" s="13">
        <v>2614.42</v>
      </c>
      <c r="H4269" s="14">
        <v>0</v>
      </c>
      <c r="I4269" s="14">
        <v>0</v>
      </c>
      <c r="J4269" s="14">
        <v>0</v>
      </c>
      <c r="K4269" s="14">
        <v>2614.42</v>
      </c>
      <c r="L4269" t="s">
        <v>794</v>
      </c>
      <c r="M4269" s="23">
        <f t="shared" si="67"/>
        <v>2026</v>
      </c>
    </row>
    <row r="4270" spans="1:13" ht="12.75" hidden="1" customHeight="1">
      <c r="A4270" t="s">
        <v>905</v>
      </c>
      <c r="B4270" t="s">
        <v>15</v>
      </c>
      <c r="C4270" t="s">
        <v>715</v>
      </c>
      <c r="D4270" t="s">
        <v>1378</v>
      </c>
      <c r="E4270" s="17">
        <v>46073</v>
      </c>
      <c r="F4270" s="17">
        <v>46073</v>
      </c>
      <c r="G4270" s="13">
        <v>17808.13</v>
      </c>
      <c r="H4270" s="14">
        <v>0</v>
      </c>
      <c r="I4270" s="14">
        <v>0</v>
      </c>
      <c r="J4270" s="14">
        <v>0</v>
      </c>
      <c r="K4270" s="14">
        <v>17808.13</v>
      </c>
      <c r="L4270" t="s">
        <v>794</v>
      </c>
      <c r="M4270" s="23">
        <f t="shared" si="67"/>
        <v>2026</v>
      </c>
    </row>
    <row r="4271" spans="1:13" ht="12.75" hidden="1" customHeight="1">
      <c r="A4271" t="s">
        <v>914</v>
      </c>
      <c r="B4271" t="s">
        <v>28</v>
      </c>
      <c r="C4271" t="s">
        <v>724</v>
      </c>
      <c r="D4271" t="s">
        <v>1378</v>
      </c>
      <c r="E4271" s="17">
        <v>46073</v>
      </c>
      <c r="F4271" s="17">
        <v>46073</v>
      </c>
      <c r="G4271" s="13">
        <v>1443.3700000000001</v>
      </c>
      <c r="H4271" s="14">
        <v>0</v>
      </c>
      <c r="I4271" s="14">
        <v>0</v>
      </c>
      <c r="J4271" s="14">
        <v>0</v>
      </c>
      <c r="K4271" s="14">
        <v>1443.3700000000001</v>
      </c>
      <c r="L4271" t="s">
        <v>794</v>
      </c>
      <c r="M4271" s="23">
        <f t="shared" si="67"/>
        <v>2026</v>
      </c>
    </row>
    <row r="4272" spans="1:13" ht="12.75" hidden="1" customHeight="1">
      <c r="A4272" t="s">
        <v>914</v>
      </c>
      <c r="B4272" t="s">
        <v>28</v>
      </c>
      <c r="C4272" t="s">
        <v>724</v>
      </c>
      <c r="D4272" t="s">
        <v>1378</v>
      </c>
      <c r="E4272" s="17">
        <v>46073</v>
      </c>
      <c r="F4272" s="17">
        <v>46073</v>
      </c>
      <c r="G4272" s="13">
        <v>3274.25</v>
      </c>
      <c r="H4272" s="14">
        <v>0</v>
      </c>
      <c r="I4272" s="14">
        <v>0</v>
      </c>
      <c r="J4272" s="14">
        <v>0</v>
      </c>
      <c r="K4272" s="14">
        <v>3274.25</v>
      </c>
      <c r="L4272" t="s">
        <v>794</v>
      </c>
      <c r="M4272" s="23">
        <f t="shared" si="67"/>
        <v>2026</v>
      </c>
    </row>
    <row r="4273" spans="1:13" ht="12.75" hidden="1" customHeight="1">
      <c r="A4273" t="s">
        <v>849</v>
      </c>
      <c r="B4273" t="s">
        <v>283</v>
      </c>
      <c r="C4273" t="s">
        <v>722</v>
      </c>
      <c r="D4273" t="s">
        <v>1378</v>
      </c>
      <c r="E4273" s="17">
        <v>46073</v>
      </c>
      <c r="F4273" s="17">
        <v>46073</v>
      </c>
      <c r="G4273" s="13">
        <v>99</v>
      </c>
      <c r="H4273" s="14">
        <v>0</v>
      </c>
      <c r="I4273" s="14">
        <v>0</v>
      </c>
      <c r="J4273" s="14">
        <v>0</v>
      </c>
      <c r="K4273" s="14">
        <v>99</v>
      </c>
      <c r="L4273" t="s">
        <v>794</v>
      </c>
      <c r="M4273" s="23">
        <f t="shared" si="67"/>
        <v>2026</v>
      </c>
    </row>
    <row r="4274" spans="1:13" ht="12.75" hidden="1" customHeight="1">
      <c r="A4274" t="s">
        <v>1215</v>
      </c>
      <c r="B4274" t="s">
        <v>172</v>
      </c>
      <c r="C4274" t="s">
        <v>200</v>
      </c>
      <c r="D4274" t="s">
        <v>1378</v>
      </c>
      <c r="E4274" s="17">
        <v>46073</v>
      </c>
      <c r="F4274" s="17">
        <v>46073</v>
      </c>
      <c r="G4274" s="13">
        <v>80</v>
      </c>
      <c r="H4274" s="14">
        <v>0</v>
      </c>
      <c r="I4274" s="14">
        <v>0</v>
      </c>
      <c r="J4274" s="14">
        <v>0</v>
      </c>
      <c r="K4274" s="14">
        <v>80</v>
      </c>
      <c r="L4274" t="s">
        <v>794</v>
      </c>
      <c r="M4274" s="23">
        <f t="shared" si="67"/>
        <v>2026</v>
      </c>
    </row>
    <row r="4275" spans="1:13" ht="12.75" hidden="1" customHeight="1">
      <c r="A4275" t="s">
        <v>1215</v>
      </c>
      <c r="B4275" t="s">
        <v>172</v>
      </c>
      <c r="C4275" t="s">
        <v>200</v>
      </c>
      <c r="D4275" t="s">
        <v>1394</v>
      </c>
      <c r="E4275" s="17">
        <v>46032</v>
      </c>
      <c r="F4275" s="17">
        <v>46073</v>
      </c>
      <c r="G4275" s="13">
        <v>240</v>
      </c>
      <c r="H4275" s="14">
        <v>0</v>
      </c>
      <c r="I4275" s="14">
        <v>0</v>
      </c>
      <c r="J4275" s="14">
        <v>0</v>
      </c>
      <c r="K4275" s="14">
        <v>240</v>
      </c>
      <c r="L4275" t="s">
        <v>794</v>
      </c>
      <c r="M4275" s="23">
        <f t="shared" si="67"/>
        <v>2026</v>
      </c>
    </row>
    <row r="4276" spans="1:13" ht="12.75" hidden="1" customHeight="1">
      <c r="A4276" t="s">
        <v>981</v>
      </c>
      <c r="B4276" t="s">
        <v>55</v>
      </c>
      <c r="C4276" t="s">
        <v>99</v>
      </c>
      <c r="D4276" t="s">
        <v>1378</v>
      </c>
      <c r="E4276" s="17">
        <v>46073</v>
      </c>
      <c r="F4276" s="17">
        <v>46073</v>
      </c>
      <c r="G4276" s="13">
        <v>700</v>
      </c>
      <c r="H4276" s="14">
        <v>0</v>
      </c>
      <c r="I4276" s="14">
        <v>0</v>
      </c>
      <c r="J4276" s="14">
        <v>0</v>
      </c>
      <c r="K4276" s="14">
        <v>700</v>
      </c>
      <c r="L4276" t="s">
        <v>843</v>
      </c>
      <c r="M4276" s="23">
        <f t="shared" si="67"/>
        <v>2026</v>
      </c>
    </row>
    <row r="4277" spans="1:13" ht="12.75" hidden="1" customHeight="1">
      <c r="A4277" t="s">
        <v>1011</v>
      </c>
      <c r="B4277" t="s">
        <v>77</v>
      </c>
      <c r="C4277" t="s">
        <v>201</v>
      </c>
      <c r="D4277" t="s">
        <v>1378</v>
      </c>
      <c r="E4277" s="17">
        <v>46073</v>
      </c>
      <c r="F4277" s="17">
        <v>46073</v>
      </c>
      <c r="G4277" s="13">
        <v>520</v>
      </c>
      <c r="H4277" s="14">
        <v>0</v>
      </c>
      <c r="I4277" s="14">
        <v>0</v>
      </c>
      <c r="J4277" s="14">
        <v>0</v>
      </c>
      <c r="K4277" s="14">
        <v>520</v>
      </c>
      <c r="L4277" t="s">
        <v>794</v>
      </c>
      <c r="M4277" s="23">
        <f t="shared" si="67"/>
        <v>2026</v>
      </c>
    </row>
    <row r="4278" spans="1:13" ht="12.75" hidden="1" customHeight="1">
      <c r="A4278" t="s">
        <v>1409</v>
      </c>
      <c r="B4278" t="s">
        <v>86</v>
      </c>
      <c r="C4278" t="s">
        <v>270</v>
      </c>
      <c r="D4278" t="s">
        <v>1378</v>
      </c>
      <c r="E4278" s="17">
        <v>46073</v>
      </c>
      <c r="F4278" s="17">
        <v>46073</v>
      </c>
      <c r="G4278" s="13">
        <v>2331</v>
      </c>
      <c r="H4278" s="14">
        <v>0</v>
      </c>
      <c r="I4278" s="14">
        <v>0</v>
      </c>
      <c r="J4278" s="14">
        <v>0</v>
      </c>
      <c r="K4278" s="14">
        <v>2331</v>
      </c>
      <c r="L4278" t="s">
        <v>794</v>
      </c>
      <c r="M4278" s="23">
        <f t="shared" si="67"/>
        <v>2026</v>
      </c>
    </row>
    <row r="4279" spans="1:13" ht="12.75" hidden="1" customHeight="1">
      <c r="A4279" t="s">
        <v>1210</v>
      </c>
      <c r="B4279" t="s">
        <v>22</v>
      </c>
      <c r="C4279" t="s">
        <v>717</v>
      </c>
      <c r="D4279" t="s">
        <v>1378</v>
      </c>
      <c r="E4279" s="17">
        <v>46071</v>
      </c>
      <c r="F4279" s="17">
        <v>46073</v>
      </c>
      <c r="G4279" s="13">
        <v>10346.719999999999</v>
      </c>
      <c r="H4279" s="14">
        <v>0</v>
      </c>
      <c r="I4279" s="14">
        <v>0</v>
      </c>
      <c r="J4279" s="14">
        <v>0</v>
      </c>
      <c r="K4279" s="14">
        <v>10346.719999999999</v>
      </c>
      <c r="L4279" t="s">
        <v>794</v>
      </c>
      <c r="M4279" s="23">
        <f t="shared" si="67"/>
        <v>2026</v>
      </c>
    </row>
    <row r="4280" spans="1:13" ht="12.75" hidden="1" customHeight="1">
      <c r="A4280" t="s">
        <v>801</v>
      </c>
      <c r="B4280" t="s">
        <v>13</v>
      </c>
      <c r="C4280" t="s">
        <v>717</v>
      </c>
      <c r="D4280" t="s">
        <v>1378</v>
      </c>
      <c r="E4280" s="17">
        <v>46071</v>
      </c>
      <c r="F4280" s="17">
        <v>46073</v>
      </c>
      <c r="G4280" s="13">
        <v>210.38</v>
      </c>
      <c r="H4280" s="14">
        <v>0</v>
      </c>
      <c r="I4280" s="14">
        <v>0</v>
      </c>
      <c r="J4280" s="14">
        <v>0</v>
      </c>
      <c r="K4280" s="14">
        <v>210.38</v>
      </c>
      <c r="L4280" t="s">
        <v>794</v>
      </c>
      <c r="M4280" s="23">
        <f t="shared" si="67"/>
        <v>2026</v>
      </c>
    </row>
    <row r="4281" spans="1:13" ht="12.75" hidden="1" customHeight="1">
      <c r="A4281" t="s">
        <v>1434</v>
      </c>
      <c r="B4281" t="s">
        <v>457</v>
      </c>
      <c r="C4281" t="s">
        <v>458</v>
      </c>
      <c r="D4281" t="s">
        <v>1378</v>
      </c>
      <c r="E4281" s="17">
        <v>46073</v>
      </c>
      <c r="F4281" s="17">
        <v>46073</v>
      </c>
      <c r="G4281" s="13">
        <v>27.92</v>
      </c>
      <c r="H4281" s="14">
        <v>0</v>
      </c>
      <c r="I4281" s="14">
        <v>0</v>
      </c>
      <c r="J4281" s="14">
        <v>0</v>
      </c>
      <c r="K4281" s="14">
        <v>27.92</v>
      </c>
      <c r="L4281" t="s">
        <v>794</v>
      </c>
      <c r="M4281" s="23">
        <f t="shared" si="67"/>
        <v>2026</v>
      </c>
    </row>
    <row r="4282" spans="1:13" ht="12.75" hidden="1" customHeight="1">
      <c r="A4282" t="s">
        <v>1434</v>
      </c>
      <c r="B4282" t="s">
        <v>457</v>
      </c>
      <c r="C4282" t="s">
        <v>458</v>
      </c>
      <c r="D4282" t="s">
        <v>1378</v>
      </c>
      <c r="E4282" s="17">
        <v>46073</v>
      </c>
      <c r="F4282" s="17">
        <v>46073</v>
      </c>
      <c r="G4282" s="13">
        <v>3</v>
      </c>
      <c r="H4282" s="14">
        <v>0</v>
      </c>
      <c r="I4282" s="14">
        <v>0</v>
      </c>
      <c r="J4282" s="14">
        <v>0</v>
      </c>
      <c r="K4282" s="14">
        <v>3</v>
      </c>
      <c r="L4282" t="s">
        <v>794</v>
      </c>
      <c r="M4282" s="23">
        <f t="shared" si="67"/>
        <v>2026</v>
      </c>
    </row>
    <row r="4283" spans="1:13" ht="12.75" hidden="1" customHeight="1">
      <c r="A4283" t="s">
        <v>1434</v>
      </c>
      <c r="B4283" t="s">
        <v>457</v>
      </c>
      <c r="C4283" t="s">
        <v>458</v>
      </c>
      <c r="D4283" t="s">
        <v>1378</v>
      </c>
      <c r="E4283" s="17">
        <v>46073</v>
      </c>
      <c r="F4283" s="17">
        <v>46073</v>
      </c>
      <c r="G4283" s="13">
        <v>178</v>
      </c>
      <c r="H4283" s="14">
        <v>0</v>
      </c>
      <c r="I4283" s="14">
        <v>0</v>
      </c>
      <c r="J4283" s="14">
        <v>0</v>
      </c>
      <c r="K4283" s="14">
        <v>178</v>
      </c>
      <c r="L4283" t="s">
        <v>794</v>
      </c>
      <c r="M4283" s="23">
        <f t="shared" si="67"/>
        <v>2026</v>
      </c>
    </row>
    <row r="4284" spans="1:13" ht="12.75" hidden="1" customHeight="1">
      <c r="A4284" t="s">
        <v>801</v>
      </c>
      <c r="B4284" t="s">
        <v>13</v>
      </c>
      <c r="C4284" t="s">
        <v>726</v>
      </c>
      <c r="D4284" t="s">
        <v>1378</v>
      </c>
      <c r="E4284" s="17">
        <v>46077</v>
      </c>
      <c r="F4284" s="17">
        <v>46077</v>
      </c>
      <c r="G4284" s="13">
        <v>2.19</v>
      </c>
      <c r="H4284" s="14">
        <v>0</v>
      </c>
      <c r="I4284" s="14">
        <v>0</v>
      </c>
      <c r="J4284" s="14">
        <v>0</v>
      </c>
      <c r="K4284" s="14">
        <v>2.19</v>
      </c>
      <c r="L4284" t="s">
        <v>794</v>
      </c>
      <c r="M4284" s="23">
        <f t="shared" si="67"/>
        <v>2026</v>
      </c>
    </row>
    <row r="4285" spans="1:13" ht="12.75" hidden="1" customHeight="1">
      <c r="A4285" t="s">
        <v>1196</v>
      </c>
      <c r="B4285" t="s">
        <v>1197</v>
      </c>
      <c r="C4285" t="s">
        <v>137</v>
      </c>
      <c r="D4285" t="s">
        <v>1378</v>
      </c>
      <c r="E4285" s="17">
        <v>46077</v>
      </c>
      <c r="F4285" s="17">
        <v>46077</v>
      </c>
      <c r="G4285" s="13">
        <v>500</v>
      </c>
      <c r="H4285" s="14">
        <v>0</v>
      </c>
      <c r="I4285" s="14">
        <v>0</v>
      </c>
      <c r="J4285" s="14">
        <v>0</v>
      </c>
      <c r="K4285" s="14">
        <v>500</v>
      </c>
      <c r="L4285" t="s">
        <v>794</v>
      </c>
      <c r="M4285" s="23">
        <f t="shared" si="67"/>
        <v>2026</v>
      </c>
    </row>
    <row r="4286" spans="1:13" ht="12.75" hidden="1" customHeight="1">
      <c r="A4286" t="s">
        <v>892</v>
      </c>
      <c r="B4286" t="s">
        <v>110</v>
      </c>
      <c r="C4286" t="s">
        <v>733</v>
      </c>
      <c r="D4286" t="s">
        <v>1378</v>
      </c>
      <c r="E4286" s="17">
        <v>46077</v>
      </c>
      <c r="F4286" s="17">
        <v>46077</v>
      </c>
      <c r="G4286" s="13">
        <v>900</v>
      </c>
      <c r="H4286" s="14">
        <v>0</v>
      </c>
      <c r="I4286" s="14">
        <v>0</v>
      </c>
      <c r="J4286" s="14">
        <v>0</v>
      </c>
      <c r="K4286" s="14">
        <v>900</v>
      </c>
      <c r="L4286" t="s">
        <v>794</v>
      </c>
      <c r="M4286" s="23">
        <f t="shared" si="67"/>
        <v>2026</v>
      </c>
    </row>
    <row r="4287" spans="1:13" ht="12.75" hidden="1" customHeight="1">
      <c r="A4287" t="s">
        <v>1435</v>
      </c>
      <c r="B4287" t="s">
        <v>535</v>
      </c>
      <c r="C4287" t="s">
        <v>452</v>
      </c>
      <c r="D4287" t="s">
        <v>1378</v>
      </c>
      <c r="E4287" s="17">
        <v>46077</v>
      </c>
      <c r="F4287" s="17">
        <v>46077</v>
      </c>
      <c r="G4287" s="13">
        <v>99</v>
      </c>
      <c r="H4287" s="14">
        <v>0</v>
      </c>
      <c r="I4287" s="14">
        <v>0</v>
      </c>
      <c r="J4287" s="14">
        <v>0</v>
      </c>
      <c r="K4287" s="14">
        <v>99</v>
      </c>
      <c r="L4287" t="s">
        <v>794</v>
      </c>
      <c r="M4287" s="23">
        <f t="shared" si="67"/>
        <v>2026</v>
      </c>
    </row>
    <row r="4288" spans="1:13" ht="12.75" hidden="1" customHeight="1">
      <c r="A4288" t="s">
        <v>801</v>
      </c>
      <c r="B4288" t="s">
        <v>13</v>
      </c>
      <c r="C4288" t="s">
        <v>726</v>
      </c>
      <c r="D4288" t="s">
        <v>1378</v>
      </c>
      <c r="E4288" s="17">
        <v>46078</v>
      </c>
      <c r="F4288" s="17">
        <v>46078</v>
      </c>
      <c r="G4288" s="13">
        <v>4.38</v>
      </c>
      <c r="H4288" s="14">
        <v>0</v>
      </c>
      <c r="I4288" s="14">
        <v>0</v>
      </c>
      <c r="J4288" s="14">
        <v>0</v>
      </c>
      <c r="K4288" s="14">
        <v>4.38</v>
      </c>
      <c r="L4288" t="s">
        <v>794</v>
      </c>
      <c r="M4288" s="23">
        <f t="shared" si="67"/>
        <v>2026</v>
      </c>
    </row>
    <row r="4289" spans="1:13" ht="12.75" hidden="1" customHeight="1">
      <c r="A4289" t="s">
        <v>833</v>
      </c>
      <c r="B4289" t="s">
        <v>27</v>
      </c>
      <c r="C4289" t="s">
        <v>730</v>
      </c>
      <c r="D4289" t="s">
        <v>1378</v>
      </c>
      <c r="E4289" s="17">
        <v>46078</v>
      </c>
      <c r="F4289" s="17">
        <v>46078</v>
      </c>
      <c r="G4289" s="13">
        <v>1000</v>
      </c>
      <c r="H4289" s="14">
        <v>0</v>
      </c>
      <c r="I4289" s="14">
        <v>0</v>
      </c>
      <c r="J4289" s="14">
        <v>0</v>
      </c>
      <c r="K4289" s="14">
        <v>1000</v>
      </c>
      <c r="L4289" t="s">
        <v>794</v>
      </c>
      <c r="M4289" s="23">
        <f t="shared" si="67"/>
        <v>2026</v>
      </c>
    </row>
    <row r="4290" spans="1:13" ht="12.75" hidden="1" customHeight="1">
      <c r="A4290" t="s">
        <v>1069</v>
      </c>
      <c r="B4290" t="s">
        <v>147</v>
      </c>
      <c r="C4290" t="s">
        <v>738</v>
      </c>
      <c r="D4290" t="s">
        <v>1378</v>
      </c>
      <c r="E4290" s="17">
        <v>46073</v>
      </c>
      <c r="F4290" s="17">
        <v>46078</v>
      </c>
      <c r="G4290" s="13">
        <v>350</v>
      </c>
      <c r="H4290" s="14">
        <v>0</v>
      </c>
      <c r="I4290" s="14">
        <v>0</v>
      </c>
      <c r="J4290" s="14">
        <v>0</v>
      </c>
      <c r="K4290" s="14">
        <v>358.15000000000003</v>
      </c>
      <c r="L4290" t="s">
        <v>794</v>
      </c>
      <c r="M4290" s="23">
        <f t="shared" si="67"/>
        <v>2026</v>
      </c>
    </row>
    <row r="4291" spans="1:13" ht="12.75" hidden="1" customHeight="1">
      <c r="A4291" t="s">
        <v>839</v>
      </c>
      <c r="B4291" t="s">
        <v>44</v>
      </c>
      <c r="C4291" t="s">
        <v>722</v>
      </c>
      <c r="D4291" t="s">
        <v>1378</v>
      </c>
      <c r="E4291" s="17">
        <v>46073</v>
      </c>
      <c r="F4291" s="17">
        <v>46078</v>
      </c>
      <c r="G4291" s="13">
        <v>807.1</v>
      </c>
      <c r="H4291" s="14">
        <v>0</v>
      </c>
      <c r="I4291" s="14">
        <v>0</v>
      </c>
      <c r="J4291" s="14">
        <v>0</v>
      </c>
      <c r="K4291" s="14">
        <v>807.1</v>
      </c>
      <c r="L4291" t="s">
        <v>794</v>
      </c>
      <c r="M4291" s="23">
        <f t="shared" si="67"/>
        <v>2026</v>
      </c>
    </row>
    <row r="4292" spans="1:13" ht="12.75" hidden="1" customHeight="1">
      <c r="A4292" t="s">
        <v>839</v>
      </c>
      <c r="B4292" t="s">
        <v>44</v>
      </c>
      <c r="C4292" t="s">
        <v>722</v>
      </c>
      <c r="D4292" t="s">
        <v>1378</v>
      </c>
      <c r="E4292" s="17">
        <v>46073</v>
      </c>
      <c r="F4292" s="17">
        <v>46078</v>
      </c>
      <c r="G4292" s="13">
        <v>1076.32</v>
      </c>
      <c r="H4292" s="14">
        <v>0</v>
      </c>
      <c r="I4292" s="14">
        <v>0</v>
      </c>
      <c r="J4292" s="14">
        <v>0</v>
      </c>
      <c r="K4292" s="14">
        <v>1076.32</v>
      </c>
      <c r="L4292" t="s">
        <v>794</v>
      </c>
      <c r="M4292" s="23">
        <f t="shared" si="67"/>
        <v>2026</v>
      </c>
    </row>
    <row r="4293" spans="1:13" ht="12.75" hidden="1" customHeight="1">
      <c r="A4293" t="s">
        <v>1336</v>
      </c>
      <c r="B4293" t="s">
        <v>118</v>
      </c>
      <c r="C4293" t="s">
        <v>558</v>
      </c>
      <c r="D4293" t="s">
        <v>1378</v>
      </c>
      <c r="E4293" s="17">
        <v>46076</v>
      </c>
      <c r="F4293" s="17">
        <v>46078</v>
      </c>
      <c r="G4293" s="13">
        <v>1659.14</v>
      </c>
      <c r="H4293" s="14">
        <v>0</v>
      </c>
      <c r="I4293" s="14">
        <v>0</v>
      </c>
      <c r="J4293" s="14">
        <v>0</v>
      </c>
      <c r="K4293" s="14">
        <v>1659.14</v>
      </c>
      <c r="L4293" t="s">
        <v>794</v>
      </c>
      <c r="M4293" s="23">
        <f t="shared" si="67"/>
        <v>2026</v>
      </c>
    </row>
    <row r="4294" spans="1:13" ht="12.75" hidden="1" customHeight="1">
      <c r="A4294" t="s">
        <v>801</v>
      </c>
      <c r="B4294" t="s">
        <v>13</v>
      </c>
      <c r="C4294" t="s">
        <v>717</v>
      </c>
      <c r="D4294" t="s">
        <v>1378</v>
      </c>
      <c r="E4294" s="17">
        <v>46079</v>
      </c>
      <c r="F4294" s="17">
        <v>46079</v>
      </c>
      <c r="G4294" s="13">
        <v>413.49</v>
      </c>
      <c r="H4294" s="14">
        <v>0</v>
      </c>
      <c r="I4294" s="14">
        <v>0</v>
      </c>
      <c r="J4294" s="14">
        <v>0</v>
      </c>
      <c r="K4294" s="14">
        <v>413.49</v>
      </c>
      <c r="L4294" t="s">
        <v>794</v>
      </c>
      <c r="M4294" s="23">
        <f t="shared" si="67"/>
        <v>2026</v>
      </c>
    </row>
    <row r="4295" spans="1:13" ht="12.75" hidden="1" customHeight="1">
      <c r="A4295" t="s">
        <v>893</v>
      </c>
      <c r="B4295" t="s">
        <v>212</v>
      </c>
      <c r="C4295" t="s">
        <v>746</v>
      </c>
      <c r="D4295" t="s">
        <v>1378</v>
      </c>
      <c r="E4295" s="17">
        <v>46080</v>
      </c>
      <c r="F4295" s="17">
        <v>46079</v>
      </c>
      <c r="G4295" s="13">
        <v>142.68</v>
      </c>
      <c r="H4295" s="14">
        <v>0</v>
      </c>
      <c r="I4295" s="14">
        <v>0</v>
      </c>
      <c r="J4295" s="14">
        <v>0</v>
      </c>
      <c r="K4295" s="14">
        <v>142.68</v>
      </c>
      <c r="L4295" t="s">
        <v>794</v>
      </c>
      <c r="M4295" s="23">
        <f t="shared" si="67"/>
        <v>2026</v>
      </c>
    </row>
    <row r="4296" spans="1:13" ht="12.75" hidden="1" customHeight="1">
      <c r="A4296" t="s">
        <v>1409</v>
      </c>
      <c r="B4296" t="s">
        <v>86</v>
      </c>
      <c r="C4296" t="s">
        <v>270</v>
      </c>
      <c r="D4296" t="s">
        <v>1378</v>
      </c>
      <c r="E4296" s="17">
        <v>46079</v>
      </c>
      <c r="F4296" s="17">
        <v>46079</v>
      </c>
      <c r="G4296" s="13">
        <v>1000</v>
      </c>
      <c r="H4296" s="14">
        <v>0</v>
      </c>
      <c r="I4296" s="14">
        <v>0</v>
      </c>
      <c r="J4296" s="14">
        <v>0</v>
      </c>
      <c r="K4296" s="14">
        <v>1000</v>
      </c>
      <c r="L4296" t="s">
        <v>794</v>
      </c>
      <c r="M4296" s="23">
        <f t="shared" si="67"/>
        <v>2026</v>
      </c>
    </row>
    <row r="4297" spans="1:13" ht="12.75" hidden="1" customHeight="1">
      <c r="A4297" t="s">
        <v>801</v>
      </c>
      <c r="B4297" t="s">
        <v>13</v>
      </c>
      <c r="C4297" t="s">
        <v>718</v>
      </c>
      <c r="D4297" t="s">
        <v>1378</v>
      </c>
      <c r="E4297" s="17">
        <v>46079</v>
      </c>
      <c r="F4297" s="17">
        <v>46079</v>
      </c>
      <c r="G4297" s="13">
        <v>13409.630000000001</v>
      </c>
      <c r="H4297" s="14">
        <v>0</v>
      </c>
      <c r="I4297" s="14">
        <v>0</v>
      </c>
      <c r="J4297" s="14">
        <v>0</v>
      </c>
      <c r="K4297" s="14">
        <v>13409.630000000001</v>
      </c>
      <c r="L4297" t="s">
        <v>794</v>
      </c>
      <c r="M4297" s="23">
        <f t="shared" si="67"/>
        <v>2026</v>
      </c>
    </row>
    <row r="4298" spans="1:13" ht="12.75" hidden="1" customHeight="1">
      <c r="A4298" t="s">
        <v>905</v>
      </c>
      <c r="B4298" t="s">
        <v>15</v>
      </c>
      <c r="C4298" t="s">
        <v>715</v>
      </c>
      <c r="D4298" t="s">
        <v>1378</v>
      </c>
      <c r="E4298" s="17">
        <v>46080</v>
      </c>
      <c r="F4298" s="17">
        <v>46080</v>
      </c>
      <c r="G4298" s="13">
        <v>738.65</v>
      </c>
      <c r="H4298" s="14">
        <v>0</v>
      </c>
      <c r="I4298" s="14">
        <v>0</v>
      </c>
      <c r="J4298" s="14">
        <v>0</v>
      </c>
      <c r="K4298" s="14">
        <v>738.65</v>
      </c>
      <c r="L4298" t="s">
        <v>794</v>
      </c>
      <c r="M4298" s="23">
        <f t="shared" si="67"/>
        <v>2026</v>
      </c>
    </row>
    <row r="4299" spans="1:13" ht="12.75" hidden="1" customHeight="1">
      <c r="A4299" t="s">
        <v>1436</v>
      </c>
      <c r="B4299" t="s">
        <v>98</v>
      </c>
      <c r="C4299" t="s">
        <v>99</v>
      </c>
      <c r="D4299" t="s">
        <v>1394</v>
      </c>
      <c r="E4299" s="17">
        <v>46048</v>
      </c>
      <c r="F4299" s="17">
        <v>46080</v>
      </c>
      <c r="G4299" s="13">
        <v>2978.08</v>
      </c>
      <c r="H4299" s="14">
        <v>0</v>
      </c>
      <c r="I4299" s="14">
        <v>0</v>
      </c>
      <c r="J4299" s="14">
        <v>0</v>
      </c>
      <c r="K4299" s="14">
        <v>2978.08</v>
      </c>
      <c r="L4299" t="s">
        <v>843</v>
      </c>
      <c r="M4299" s="23">
        <f t="shared" si="67"/>
        <v>2026</v>
      </c>
    </row>
    <row r="4300" spans="1:13" ht="12.75" hidden="1" customHeight="1">
      <c r="A4300" t="s">
        <v>895</v>
      </c>
      <c r="B4300" t="s">
        <v>155</v>
      </c>
      <c r="C4300" t="s">
        <v>384</v>
      </c>
      <c r="D4300" t="s">
        <v>1378</v>
      </c>
      <c r="E4300" s="17">
        <v>46078</v>
      </c>
      <c r="F4300" s="17">
        <v>46080</v>
      </c>
      <c r="G4300" s="13">
        <v>431.59000000000003</v>
      </c>
      <c r="H4300" s="14">
        <v>0</v>
      </c>
      <c r="I4300" s="14">
        <v>0</v>
      </c>
      <c r="J4300" s="14">
        <v>0</v>
      </c>
      <c r="K4300" s="14">
        <v>431.59000000000003</v>
      </c>
      <c r="L4300" t="s">
        <v>794</v>
      </c>
      <c r="M4300" s="23">
        <f t="shared" si="67"/>
        <v>2026</v>
      </c>
    </row>
    <row r="4301" spans="1:13" ht="12.75" hidden="1" customHeight="1">
      <c r="A4301" t="s">
        <v>935</v>
      </c>
      <c r="B4301" t="s">
        <v>158</v>
      </c>
      <c r="C4301" t="s">
        <v>763</v>
      </c>
      <c r="D4301" t="s">
        <v>1378</v>
      </c>
      <c r="E4301" s="17">
        <v>46078</v>
      </c>
      <c r="F4301" s="17">
        <v>46080</v>
      </c>
      <c r="G4301" s="13">
        <v>377.46</v>
      </c>
      <c r="H4301" s="14">
        <v>0</v>
      </c>
      <c r="I4301" s="14">
        <v>0</v>
      </c>
      <c r="J4301" s="14">
        <v>0</v>
      </c>
      <c r="K4301" s="14">
        <v>377.46</v>
      </c>
      <c r="L4301" t="s">
        <v>794</v>
      </c>
      <c r="M4301" s="23">
        <f t="shared" si="67"/>
        <v>2026</v>
      </c>
    </row>
    <row r="4302" spans="1:13" ht="12.75" hidden="1" customHeight="1">
      <c r="A4302" t="s">
        <v>1305</v>
      </c>
      <c r="B4302" t="s">
        <v>96</v>
      </c>
      <c r="C4302" t="s">
        <v>737</v>
      </c>
      <c r="D4302" t="s">
        <v>1378</v>
      </c>
      <c r="E4302" s="17">
        <v>46080</v>
      </c>
      <c r="F4302" s="17">
        <v>46080</v>
      </c>
      <c r="G4302" s="13">
        <v>1431.13</v>
      </c>
      <c r="H4302" s="14">
        <v>0</v>
      </c>
      <c r="I4302" s="14">
        <v>0</v>
      </c>
      <c r="J4302" s="14">
        <v>0</v>
      </c>
      <c r="K4302" s="14">
        <v>1431.13</v>
      </c>
      <c r="L4302" t="s">
        <v>794</v>
      </c>
      <c r="M4302" s="23">
        <f t="shared" si="67"/>
        <v>2026</v>
      </c>
    </row>
    <row r="4303" spans="1:13" ht="12.75" hidden="1" customHeight="1">
      <c r="A4303" t="s">
        <v>1007</v>
      </c>
      <c r="B4303" t="s">
        <v>232</v>
      </c>
      <c r="C4303" t="s">
        <v>141</v>
      </c>
      <c r="D4303" t="s">
        <v>1378</v>
      </c>
      <c r="E4303" s="17">
        <v>46064</v>
      </c>
      <c r="F4303" s="17">
        <v>46064</v>
      </c>
      <c r="G4303" s="13">
        <v>1550</v>
      </c>
      <c r="H4303" s="14">
        <v>0</v>
      </c>
      <c r="I4303" s="14">
        <v>0</v>
      </c>
      <c r="J4303" s="14">
        <v>0</v>
      </c>
      <c r="K4303" s="14">
        <v>1550</v>
      </c>
      <c r="L4303" t="s">
        <v>794</v>
      </c>
      <c r="M4303" s="23">
        <f t="shared" si="67"/>
        <v>2026</v>
      </c>
    </row>
    <row r="4304" spans="1:13" ht="12.75" hidden="1" customHeight="1">
      <c r="A4304" t="s">
        <v>882</v>
      </c>
      <c r="B4304" t="s">
        <v>75</v>
      </c>
      <c r="C4304" t="s">
        <v>141</v>
      </c>
      <c r="D4304" t="s">
        <v>1378</v>
      </c>
      <c r="E4304" s="17">
        <v>46064</v>
      </c>
      <c r="F4304" s="17">
        <v>46064</v>
      </c>
      <c r="G4304" s="13">
        <v>840</v>
      </c>
      <c r="H4304" s="14">
        <v>0</v>
      </c>
      <c r="I4304" s="14">
        <v>0</v>
      </c>
      <c r="J4304" s="14">
        <v>0</v>
      </c>
      <c r="K4304" s="14">
        <v>840</v>
      </c>
      <c r="L4304" t="s">
        <v>794</v>
      </c>
      <c r="M4304" s="23">
        <f t="shared" si="67"/>
        <v>2026</v>
      </c>
    </row>
    <row r="4305" spans="1:13" ht="12.75" hidden="1" customHeight="1">
      <c r="A4305" t="s">
        <v>922</v>
      </c>
      <c r="B4305" t="s">
        <v>149</v>
      </c>
      <c r="C4305" t="s">
        <v>141</v>
      </c>
      <c r="D4305" t="s">
        <v>1378</v>
      </c>
      <c r="E4305" s="17">
        <v>46065</v>
      </c>
      <c r="F4305" s="17">
        <v>46065</v>
      </c>
      <c r="G4305" s="13">
        <v>960</v>
      </c>
      <c r="H4305" s="14">
        <v>0</v>
      </c>
      <c r="I4305" s="14">
        <v>0</v>
      </c>
      <c r="J4305" s="14">
        <v>0</v>
      </c>
      <c r="K4305" s="14">
        <v>960</v>
      </c>
      <c r="L4305" t="s">
        <v>794</v>
      </c>
      <c r="M4305" s="23">
        <f t="shared" si="67"/>
        <v>2026</v>
      </c>
    </row>
    <row r="4306" spans="1:13" ht="12.75" hidden="1" customHeight="1">
      <c r="A4306" t="s">
        <v>1005</v>
      </c>
      <c r="B4306" t="s">
        <v>1437</v>
      </c>
      <c r="C4306" t="s">
        <v>733</v>
      </c>
      <c r="D4306" t="s">
        <v>1378</v>
      </c>
      <c r="E4306" s="17">
        <v>46065</v>
      </c>
      <c r="F4306" s="17">
        <v>46065</v>
      </c>
      <c r="G4306" s="13">
        <v>72.5</v>
      </c>
      <c r="H4306" s="14">
        <v>0</v>
      </c>
      <c r="I4306" s="14">
        <v>0</v>
      </c>
      <c r="J4306" s="14">
        <v>0</v>
      </c>
      <c r="K4306" s="14">
        <v>72.5</v>
      </c>
      <c r="L4306" t="s">
        <v>794</v>
      </c>
      <c r="M4306" s="23">
        <f t="shared" si="67"/>
        <v>2026</v>
      </c>
    </row>
    <row r="4307" spans="1:13" ht="12.75" hidden="1" customHeight="1">
      <c r="A4307" t="s">
        <v>1438</v>
      </c>
      <c r="B4307" t="s">
        <v>665</v>
      </c>
      <c r="C4307" t="s">
        <v>647</v>
      </c>
      <c r="D4307" t="s">
        <v>1378</v>
      </c>
      <c r="E4307" s="17">
        <v>46066</v>
      </c>
      <c r="F4307" s="17">
        <v>46066</v>
      </c>
      <c r="G4307" s="13">
        <v>30</v>
      </c>
      <c r="H4307" s="14">
        <v>0</v>
      </c>
      <c r="I4307" s="14">
        <v>0</v>
      </c>
      <c r="J4307" s="14">
        <v>0</v>
      </c>
      <c r="K4307" s="14">
        <v>30</v>
      </c>
      <c r="L4307" t="s">
        <v>794</v>
      </c>
      <c r="M4307" s="23">
        <f t="shared" si="67"/>
        <v>2026</v>
      </c>
    </row>
    <row r="4308" spans="1:13" ht="12.75" hidden="1" customHeight="1">
      <c r="A4308" t="s">
        <v>1007</v>
      </c>
      <c r="B4308" t="s">
        <v>232</v>
      </c>
      <c r="C4308" t="s">
        <v>141</v>
      </c>
      <c r="D4308" t="s">
        <v>1378</v>
      </c>
      <c r="E4308" s="17">
        <v>46071</v>
      </c>
      <c r="F4308" s="17">
        <v>46071</v>
      </c>
      <c r="G4308" s="13">
        <v>40</v>
      </c>
      <c r="H4308" s="14">
        <v>0</v>
      </c>
      <c r="I4308" s="14">
        <v>0</v>
      </c>
      <c r="J4308" s="14">
        <v>0</v>
      </c>
      <c r="K4308" s="14">
        <v>40</v>
      </c>
      <c r="L4308" t="s">
        <v>794</v>
      </c>
      <c r="M4308" s="23">
        <f t="shared" si="67"/>
        <v>2026</v>
      </c>
    </row>
    <row r="4309" spans="1:13" ht="12.75" hidden="1" customHeight="1">
      <c r="A4309" t="s">
        <v>1002</v>
      </c>
      <c r="B4309" t="s">
        <v>433</v>
      </c>
      <c r="C4309" t="s">
        <v>141</v>
      </c>
      <c r="D4309" t="s">
        <v>1378</v>
      </c>
      <c r="E4309" s="17">
        <v>46071</v>
      </c>
      <c r="F4309" s="17">
        <v>46071</v>
      </c>
      <c r="G4309" s="13">
        <v>36</v>
      </c>
      <c r="H4309" s="14">
        <v>0</v>
      </c>
      <c r="I4309" s="14">
        <v>0</v>
      </c>
      <c r="J4309" s="14">
        <v>0</v>
      </c>
      <c r="K4309" s="14">
        <v>36</v>
      </c>
      <c r="L4309" t="s">
        <v>794</v>
      </c>
      <c r="M4309" s="23">
        <f t="shared" si="67"/>
        <v>2026</v>
      </c>
    </row>
    <row r="4310" spans="1:13" ht="12.75" hidden="1" customHeight="1">
      <c r="A4310" t="s">
        <v>1439</v>
      </c>
      <c r="B4310" t="s">
        <v>488</v>
      </c>
      <c r="C4310" t="s">
        <v>140</v>
      </c>
      <c r="D4310" t="s">
        <v>1378</v>
      </c>
      <c r="E4310" s="17">
        <v>46077</v>
      </c>
      <c r="F4310" s="17">
        <v>46077</v>
      </c>
      <c r="G4310" s="13">
        <v>60</v>
      </c>
      <c r="H4310" s="14">
        <v>0</v>
      </c>
      <c r="I4310" s="14">
        <v>0</v>
      </c>
      <c r="J4310" s="14">
        <v>0</v>
      </c>
      <c r="K4310" s="14">
        <v>60</v>
      </c>
      <c r="L4310" t="s">
        <v>794</v>
      </c>
      <c r="M4310" s="23">
        <f t="shared" si="67"/>
        <v>2026</v>
      </c>
    </row>
    <row r="4311" spans="1:13" ht="12.75" hidden="1" customHeight="1">
      <c r="A4311" t="s">
        <v>1439</v>
      </c>
      <c r="B4311" t="s">
        <v>488</v>
      </c>
      <c r="C4311" t="s">
        <v>140</v>
      </c>
      <c r="D4311" t="s">
        <v>1378</v>
      </c>
      <c r="E4311" s="17">
        <v>46079</v>
      </c>
      <c r="F4311" s="17">
        <v>46079</v>
      </c>
      <c r="G4311" s="13">
        <v>90</v>
      </c>
      <c r="H4311" s="14">
        <v>0</v>
      </c>
      <c r="I4311" s="14">
        <v>0</v>
      </c>
      <c r="J4311" s="14">
        <v>0</v>
      </c>
      <c r="K4311" s="14">
        <v>90</v>
      </c>
      <c r="L4311" t="s">
        <v>794</v>
      </c>
      <c r="M4311" s="23">
        <f t="shared" si="67"/>
        <v>2026</v>
      </c>
    </row>
    <row r="4312" spans="1:13" ht="12.75" hidden="1" customHeight="1">
      <c r="A4312" t="s">
        <v>1440</v>
      </c>
      <c r="B4312" t="s">
        <v>531</v>
      </c>
      <c r="C4312" t="s">
        <v>452</v>
      </c>
      <c r="D4312" t="s">
        <v>1378</v>
      </c>
      <c r="E4312" s="17">
        <v>46065</v>
      </c>
      <c r="F4312" s="17">
        <v>46063</v>
      </c>
      <c r="G4312" s="13">
        <v>99.990000000000009</v>
      </c>
      <c r="H4312" s="14">
        <v>0</v>
      </c>
      <c r="I4312" s="14">
        <v>0</v>
      </c>
      <c r="J4312" s="14">
        <v>0</v>
      </c>
      <c r="K4312" s="14">
        <v>90</v>
      </c>
      <c r="L4312" t="s">
        <v>794</v>
      </c>
      <c r="M4312" s="23">
        <f t="shared" si="67"/>
        <v>2026</v>
      </c>
    </row>
    <row r="4313" spans="1:13" ht="12.75" hidden="1" customHeight="1">
      <c r="A4313" t="s">
        <v>1441</v>
      </c>
      <c r="B4313" t="s">
        <v>451</v>
      </c>
      <c r="C4313" t="s">
        <v>452</v>
      </c>
      <c r="D4313" t="s">
        <v>1378</v>
      </c>
      <c r="E4313" s="17">
        <v>46063</v>
      </c>
      <c r="F4313" s="17">
        <v>46063</v>
      </c>
      <c r="G4313" s="13">
        <v>239.49</v>
      </c>
      <c r="H4313" s="14">
        <v>0</v>
      </c>
      <c r="I4313" s="14">
        <v>0</v>
      </c>
      <c r="J4313" s="14">
        <v>0</v>
      </c>
      <c r="K4313" s="14">
        <v>239.49</v>
      </c>
      <c r="L4313" t="s">
        <v>794</v>
      </c>
      <c r="M4313" s="23">
        <f t="shared" si="67"/>
        <v>2026</v>
      </c>
    </row>
    <row r="4314" spans="1:13" ht="12.75" hidden="1" customHeight="1">
      <c r="A4314" t="s">
        <v>1440</v>
      </c>
      <c r="B4314" t="s">
        <v>531</v>
      </c>
      <c r="C4314" t="s">
        <v>452</v>
      </c>
      <c r="D4314" t="s">
        <v>1378</v>
      </c>
      <c r="E4314" s="17">
        <v>46065</v>
      </c>
      <c r="F4314" s="17">
        <v>46065</v>
      </c>
      <c r="G4314" s="13">
        <v>99.990000000000009</v>
      </c>
      <c r="H4314" s="14">
        <v>0</v>
      </c>
      <c r="I4314" s="14">
        <v>0</v>
      </c>
      <c r="J4314" s="14">
        <v>0</v>
      </c>
      <c r="K4314" s="14">
        <v>9.99</v>
      </c>
      <c r="L4314" t="s">
        <v>794</v>
      </c>
      <c r="M4314" s="23">
        <f t="shared" si="67"/>
        <v>2026</v>
      </c>
    </row>
    <row r="4315" spans="1:13" ht="12.75" hidden="1" customHeight="1">
      <c r="A4315" t="s">
        <v>1442</v>
      </c>
      <c r="B4315" t="s">
        <v>544</v>
      </c>
      <c r="C4315" t="s">
        <v>452</v>
      </c>
      <c r="D4315" t="s">
        <v>1378</v>
      </c>
      <c r="E4315" s="17">
        <v>46066</v>
      </c>
      <c r="F4315" s="17">
        <v>46066</v>
      </c>
      <c r="G4315" s="13">
        <v>99</v>
      </c>
      <c r="H4315" s="14">
        <v>0</v>
      </c>
      <c r="I4315" s="14">
        <v>0</v>
      </c>
      <c r="J4315" s="14">
        <v>0</v>
      </c>
      <c r="K4315" s="14">
        <v>99</v>
      </c>
      <c r="L4315" t="s">
        <v>794</v>
      </c>
      <c r="M4315" s="23">
        <f t="shared" si="67"/>
        <v>2026</v>
      </c>
    </row>
    <row r="4316" spans="1:13" ht="12.75" hidden="1" customHeight="1">
      <c r="A4316" t="s">
        <v>1443</v>
      </c>
      <c r="B4316" t="s">
        <v>437</v>
      </c>
      <c r="C4316" t="s">
        <v>438</v>
      </c>
      <c r="D4316" t="s">
        <v>1378</v>
      </c>
      <c r="E4316" s="17">
        <v>46073</v>
      </c>
      <c r="F4316" s="17">
        <v>46073</v>
      </c>
      <c r="G4316" s="13">
        <v>297.5</v>
      </c>
      <c r="H4316" s="14">
        <v>0</v>
      </c>
      <c r="I4316" s="14">
        <v>0</v>
      </c>
      <c r="J4316" s="14">
        <v>0</v>
      </c>
      <c r="K4316" s="14">
        <v>297.5</v>
      </c>
      <c r="L4316" t="s">
        <v>794</v>
      </c>
      <c r="M4316" s="23">
        <f>YEAR(F4316)</f>
        <v>2026</v>
      </c>
    </row>
    <row r="4317" spans="1:13" ht="12.75" hidden="1" customHeight="1">
      <c r="A4317" t="s">
        <v>1444</v>
      </c>
      <c r="B4317" t="s">
        <v>653</v>
      </c>
      <c r="C4317" t="s">
        <v>654</v>
      </c>
      <c r="D4317" t="s">
        <v>1445</v>
      </c>
      <c r="E4317" s="17">
        <v>46083</v>
      </c>
      <c r="F4317" s="17">
        <v>46083</v>
      </c>
      <c r="G4317" s="13">
        <v>10</v>
      </c>
      <c r="H4317" s="14">
        <v>0</v>
      </c>
      <c r="I4317" s="14">
        <v>0</v>
      </c>
      <c r="J4317" s="14">
        <v>0</v>
      </c>
      <c r="K4317" s="14">
        <v>10</v>
      </c>
      <c r="L4317" t="s">
        <v>794</v>
      </c>
      <c r="M4317" s="23">
        <f t="shared" ref="M4317:M4380" si="68">YEAR(F4317)</f>
        <v>2026</v>
      </c>
    </row>
    <row r="4318" spans="1:13" ht="12.75" hidden="1" customHeight="1">
      <c r="A4318" t="s">
        <v>1444</v>
      </c>
      <c r="B4318" t="s">
        <v>653</v>
      </c>
      <c r="C4318" t="s">
        <v>654</v>
      </c>
      <c r="D4318" t="s">
        <v>1445</v>
      </c>
      <c r="E4318" s="17">
        <v>46083</v>
      </c>
      <c r="F4318" s="17">
        <v>46083</v>
      </c>
      <c r="G4318" s="13">
        <v>26</v>
      </c>
      <c r="H4318" s="14">
        <v>0</v>
      </c>
      <c r="I4318" s="14">
        <v>0</v>
      </c>
      <c r="J4318" s="14">
        <v>0</v>
      </c>
      <c r="K4318" s="14">
        <v>26</v>
      </c>
      <c r="L4318" t="s">
        <v>794</v>
      </c>
      <c r="M4318" s="23">
        <f t="shared" si="68"/>
        <v>2026</v>
      </c>
    </row>
    <row r="4319" spans="1:13" ht="12.75" hidden="1" customHeight="1">
      <c r="A4319" t="s">
        <v>992</v>
      </c>
      <c r="B4319" t="s">
        <v>277</v>
      </c>
      <c r="C4319" t="s">
        <v>99</v>
      </c>
      <c r="D4319" t="s">
        <v>1445</v>
      </c>
      <c r="E4319" s="17">
        <v>46083</v>
      </c>
      <c r="F4319" s="17">
        <v>46083</v>
      </c>
      <c r="G4319" s="13">
        <v>22.900000000000002</v>
      </c>
      <c r="H4319" s="14">
        <v>0</v>
      </c>
      <c r="I4319" s="14">
        <v>0</v>
      </c>
      <c r="J4319" s="14">
        <v>0</v>
      </c>
      <c r="K4319" s="14">
        <v>22.900000000000002</v>
      </c>
      <c r="L4319" t="s">
        <v>794</v>
      </c>
      <c r="M4319" s="23">
        <f t="shared" si="68"/>
        <v>2026</v>
      </c>
    </row>
    <row r="4320" spans="1:13" ht="12.75" hidden="1" customHeight="1">
      <c r="A4320" t="s">
        <v>1317</v>
      </c>
      <c r="B4320" t="s">
        <v>64</v>
      </c>
      <c r="C4320" t="s">
        <v>141</v>
      </c>
      <c r="D4320" t="s">
        <v>1445</v>
      </c>
      <c r="E4320" s="17">
        <v>46083</v>
      </c>
      <c r="F4320" s="17">
        <v>46083</v>
      </c>
      <c r="G4320" s="13">
        <v>192</v>
      </c>
      <c r="H4320" s="14">
        <v>0</v>
      </c>
      <c r="I4320" s="14">
        <v>0</v>
      </c>
      <c r="J4320" s="14">
        <v>0</v>
      </c>
      <c r="K4320" s="14">
        <v>192</v>
      </c>
      <c r="L4320" t="s">
        <v>794</v>
      </c>
      <c r="M4320" s="23">
        <f t="shared" si="68"/>
        <v>2026</v>
      </c>
    </row>
    <row r="4321" spans="1:13" ht="12.75" hidden="1" customHeight="1">
      <c r="A4321" t="s">
        <v>811</v>
      </c>
      <c r="B4321" t="s">
        <v>39</v>
      </c>
      <c r="C4321" t="s">
        <v>141</v>
      </c>
      <c r="D4321" t="s">
        <v>1445</v>
      </c>
      <c r="E4321" s="17">
        <v>46083</v>
      </c>
      <c r="F4321" s="17">
        <v>46083</v>
      </c>
      <c r="G4321" s="13">
        <v>210</v>
      </c>
      <c r="H4321" s="14">
        <v>0</v>
      </c>
      <c r="I4321" s="14">
        <v>0</v>
      </c>
      <c r="J4321" s="14">
        <v>0</v>
      </c>
      <c r="K4321" s="14">
        <v>210</v>
      </c>
      <c r="L4321" t="s">
        <v>794</v>
      </c>
      <c r="M4321" s="23">
        <f t="shared" si="68"/>
        <v>2026</v>
      </c>
    </row>
    <row r="4322" spans="1:13" ht="12.75" hidden="1" customHeight="1">
      <c r="A4322" t="s">
        <v>1420</v>
      </c>
      <c r="B4322" t="s">
        <v>136</v>
      </c>
      <c r="C4322" t="s">
        <v>141</v>
      </c>
      <c r="D4322" t="s">
        <v>1445</v>
      </c>
      <c r="E4322" s="17">
        <v>46083</v>
      </c>
      <c r="F4322" s="17">
        <v>46083</v>
      </c>
      <c r="G4322" s="13">
        <v>340</v>
      </c>
      <c r="H4322" s="14">
        <v>0</v>
      </c>
      <c r="I4322" s="14">
        <v>0</v>
      </c>
      <c r="J4322" s="14">
        <v>0</v>
      </c>
      <c r="K4322" s="14">
        <v>340</v>
      </c>
      <c r="L4322" t="s">
        <v>794</v>
      </c>
      <c r="M4322" s="23">
        <f t="shared" si="68"/>
        <v>2026</v>
      </c>
    </row>
    <row r="4323" spans="1:13" ht="12.75" hidden="1" customHeight="1">
      <c r="A4323" t="s">
        <v>818</v>
      </c>
      <c r="B4323" t="s">
        <v>30</v>
      </c>
      <c r="C4323" t="s">
        <v>141</v>
      </c>
      <c r="D4323" t="s">
        <v>1445</v>
      </c>
      <c r="E4323" s="17">
        <v>46083</v>
      </c>
      <c r="F4323" s="17">
        <v>46083</v>
      </c>
      <c r="G4323" s="13">
        <v>356</v>
      </c>
      <c r="H4323" s="14">
        <v>0</v>
      </c>
      <c r="I4323" s="14">
        <v>0</v>
      </c>
      <c r="J4323" s="14">
        <v>0</v>
      </c>
      <c r="K4323" s="14">
        <v>356</v>
      </c>
      <c r="L4323" t="s">
        <v>794</v>
      </c>
      <c r="M4323" s="23">
        <f t="shared" si="68"/>
        <v>2026</v>
      </c>
    </row>
    <row r="4324" spans="1:13" ht="12.75" hidden="1" customHeight="1">
      <c r="A4324" t="s">
        <v>1316</v>
      </c>
      <c r="B4324" t="s">
        <v>59</v>
      </c>
      <c r="C4324" t="s">
        <v>141</v>
      </c>
      <c r="D4324" t="s">
        <v>1445</v>
      </c>
      <c r="E4324" s="17">
        <v>46083</v>
      </c>
      <c r="F4324" s="17">
        <v>46083</v>
      </c>
      <c r="G4324" s="13">
        <v>400</v>
      </c>
      <c r="H4324" s="14">
        <v>0</v>
      </c>
      <c r="I4324" s="14">
        <v>0</v>
      </c>
      <c r="J4324" s="14">
        <v>0</v>
      </c>
      <c r="K4324" s="14">
        <v>400</v>
      </c>
      <c r="L4324" t="s">
        <v>794</v>
      </c>
      <c r="M4324" s="23">
        <f t="shared" si="68"/>
        <v>2026</v>
      </c>
    </row>
    <row r="4325" spans="1:13" ht="12.75" hidden="1" customHeight="1">
      <c r="A4325" t="s">
        <v>819</v>
      </c>
      <c r="B4325" t="s">
        <v>38</v>
      </c>
      <c r="C4325" t="s">
        <v>142</v>
      </c>
      <c r="D4325" t="s">
        <v>1445</v>
      </c>
      <c r="E4325" s="17">
        <v>46084</v>
      </c>
      <c r="F4325" s="17">
        <v>46084</v>
      </c>
      <c r="G4325" s="13">
        <v>40</v>
      </c>
      <c r="H4325" s="14">
        <v>0</v>
      </c>
      <c r="I4325" s="14">
        <v>0</v>
      </c>
      <c r="J4325" s="14">
        <v>0</v>
      </c>
      <c r="K4325" s="14">
        <v>40</v>
      </c>
      <c r="L4325" t="s">
        <v>794</v>
      </c>
      <c r="M4325" s="23">
        <f t="shared" si="68"/>
        <v>2026</v>
      </c>
    </row>
    <row r="4326" spans="1:13" ht="12.75" hidden="1" customHeight="1">
      <c r="A4326" t="s">
        <v>1313</v>
      </c>
      <c r="B4326" t="s">
        <v>362</v>
      </c>
      <c r="C4326" t="s">
        <v>558</v>
      </c>
      <c r="D4326" t="s">
        <v>1445</v>
      </c>
      <c r="E4326" s="17">
        <v>46084</v>
      </c>
      <c r="F4326" s="17">
        <v>46084</v>
      </c>
      <c r="G4326" s="13">
        <v>35.300000000000004</v>
      </c>
      <c r="H4326" s="14">
        <v>0</v>
      </c>
      <c r="I4326" s="14">
        <v>0</v>
      </c>
      <c r="J4326" s="14">
        <v>0</v>
      </c>
      <c r="K4326" s="14">
        <v>35.300000000000004</v>
      </c>
      <c r="L4326" t="s">
        <v>794</v>
      </c>
      <c r="M4326" s="23">
        <f t="shared" si="68"/>
        <v>2026</v>
      </c>
    </row>
    <row r="4327" spans="1:13" ht="12.75" hidden="1" customHeight="1">
      <c r="A4327" t="s">
        <v>1446</v>
      </c>
      <c r="B4327" t="s">
        <v>167</v>
      </c>
      <c r="C4327" t="s">
        <v>139</v>
      </c>
      <c r="D4327" t="s">
        <v>1445</v>
      </c>
      <c r="E4327" s="17">
        <v>46085</v>
      </c>
      <c r="F4327" s="17">
        <v>46085</v>
      </c>
      <c r="G4327" s="13">
        <v>268.39999999999998</v>
      </c>
      <c r="H4327" s="14">
        <v>0</v>
      </c>
      <c r="I4327" s="14">
        <v>0</v>
      </c>
      <c r="J4327" s="14">
        <v>0</v>
      </c>
      <c r="K4327" s="14">
        <v>268.39999999999998</v>
      </c>
      <c r="L4327" t="s">
        <v>794</v>
      </c>
      <c r="M4327" s="23">
        <f t="shared" si="68"/>
        <v>2026</v>
      </c>
    </row>
    <row r="4328" spans="1:13" ht="12.75" hidden="1" customHeight="1">
      <c r="A4328" t="s">
        <v>981</v>
      </c>
      <c r="B4328" t="s">
        <v>55</v>
      </c>
      <c r="C4328" t="s">
        <v>99</v>
      </c>
      <c r="D4328" t="s">
        <v>1445</v>
      </c>
      <c r="E4328" s="17">
        <v>46086</v>
      </c>
      <c r="F4328" s="17">
        <v>46086</v>
      </c>
      <c r="G4328" s="13">
        <v>700</v>
      </c>
      <c r="H4328" s="14">
        <v>0</v>
      </c>
      <c r="I4328" s="14">
        <v>0</v>
      </c>
      <c r="J4328" s="14">
        <v>0</v>
      </c>
      <c r="K4328" s="14">
        <v>700</v>
      </c>
      <c r="L4328" t="s">
        <v>794</v>
      </c>
      <c r="M4328" s="23">
        <f t="shared" si="68"/>
        <v>2026</v>
      </c>
    </row>
    <row r="4329" spans="1:13" ht="12.75" hidden="1" customHeight="1">
      <c r="A4329" t="s">
        <v>1447</v>
      </c>
      <c r="B4329" t="s">
        <v>549</v>
      </c>
      <c r="C4329" t="s">
        <v>398</v>
      </c>
      <c r="D4329" t="s">
        <v>1445</v>
      </c>
      <c r="E4329" s="17">
        <v>46086</v>
      </c>
      <c r="F4329" s="17">
        <v>46086</v>
      </c>
      <c r="G4329" s="13">
        <v>95</v>
      </c>
      <c r="H4329" s="14">
        <v>0</v>
      </c>
      <c r="I4329" s="14">
        <v>0</v>
      </c>
      <c r="J4329" s="14">
        <v>0</v>
      </c>
      <c r="K4329" s="14">
        <v>95</v>
      </c>
      <c r="L4329" t="s">
        <v>794</v>
      </c>
      <c r="M4329" s="23">
        <f t="shared" si="68"/>
        <v>2026</v>
      </c>
    </row>
    <row r="4330" spans="1:13" ht="12.75" hidden="1" customHeight="1">
      <c r="A4330" t="s">
        <v>904</v>
      </c>
      <c r="B4330" t="s">
        <v>649</v>
      </c>
      <c r="C4330" t="s">
        <v>483</v>
      </c>
      <c r="D4330" t="s">
        <v>1445</v>
      </c>
      <c r="E4330" s="17">
        <v>46086</v>
      </c>
      <c r="F4330" s="17">
        <v>46086</v>
      </c>
      <c r="G4330" s="13">
        <v>36</v>
      </c>
      <c r="H4330" s="14">
        <v>0</v>
      </c>
      <c r="I4330" s="14">
        <v>0</v>
      </c>
      <c r="J4330" s="14">
        <v>0</v>
      </c>
      <c r="K4330" s="14">
        <v>36</v>
      </c>
      <c r="L4330" t="s">
        <v>794</v>
      </c>
      <c r="M4330" s="23">
        <f t="shared" si="68"/>
        <v>2026</v>
      </c>
    </row>
    <row r="4331" spans="1:13" ht="12.75" hidden="1" customHeight="1">
      <c r="A4331" t="s">
        <v>1448</v>
      </c>
      <c r="B4331" t="s">
        <v>705</v>
      </c>
      <c r="C4331" t="s">
        <v>483</v>
      </c>
      <c r="D4331" t="s">
        <v>1445</v>
      </c>
      <c r="E4331" s="17">
        <v>46086</v>
      </c>
      <c r="F4331" s="17">
        <v>46086</v>
      </c>
      <c r="G4331" s="13">
        <v>10</v>
      </c>
      <c r="H4331" s="14">
        <v>0</v>
      </c>
      <c r="I4331" s="14">
        <v>0</v>
      </c>
      <c r="J4331" s="14">
        <v>0</v>
      </c>
      <c r="K4331" s="14">
        <v>10</v>
      </c>
      <c r="L4331" t="s">
        <v>794</v>
      </c>
      <c r="M4331" s="23">
        <f t="shared" si="68"/>
        <v>2026</v>
      </c>
    </row>
    <row r="4332" spans="1:13" ht="12.75" hidden="1" customHeight="1">
      <c r="A4332" t="s">
        <v>1316</v>
      </c>
      <c r="B4332" t="s">
        <v>59</v>
      </c>
      <c r="C4332" t="s">
        <v>141</v>
      </c>
      <c r="D4332" t="s">
        <v>1445</v>
      </c>
      <c r="E4332" s="17">
        <v>46086</v>
      </c>
      <c r="F4332" s="17">
        <v>46086</v>
      </c>
      <c r="G4332" s="13">
        <v>32</v>
      </c>
      <c r="H4332" s="14">
        <v>0</v>
      </c>
      <c r="I4332" s="14">
        <v>0</v>
      </c>
      <c r="J4332" s="14">
        <v>0</v>
      </c>
      <c r="K4332" s="14">
        <v>32</v>
      </c>
      <c r="L4332" t="s">
        <v>794</v>
      </c>
      <c r="M4332" s="23">
        <f t="shared" si="68"/>
        <v>2026</v>
      </c>
    </row>
    <row r="4333" spans="1:13" ht="12.75" hidden="1" customHeight="1">
      <c r="A4333" t="s">
        <v>957</v>
      </c>
      <c r="B4333" t="s">
        <v>236</v>
      </c>
      <c r="C4333" t="s">
        <v>137</v>
      </c>
      <c r="D4333" t="s">
        <v>1445</v>
      </c>
      <c r="E4333" s="17">
        <v>46087</v>
      </c>
      <c r="F4333" s="17">
        <v>46087</v>
      </c>
      <c r="G4333" s="13">
        <v>100</v>
      </c>
      <c r="H4333" s="14">
        <v>0</v>
      </c>
      <c r="I4333" s="14">
        <v>0</v>
      </c>
      <c r="J4333" s="14">
        <v>0</v>
      </c>
      <c r="K4333" s="14">
        <v>100</v>
      </c>
      <c r="L4333" t="s">
        <v>794</v>
      </c>
      <c r="M4333" s="23">
        <f t="shared" si="68"/>
        <v>2026</v>
      </c>
    </row>
    <row r="4334" spans="1:13" ht="12.75" hidden="1" customHeight="1">
      <c r="A4334" t="s">
        <v>907</v>
      </c>
      <c r="B4334" t="s">
        <v>291</v>
      </c>
      <c r="C4334" t="s">
        <v>646</v>
      </c>
      <c r="D4334" t="s">
        <v>1445</v>
      </c>
      <c r="E4334" s="17">
        <v>46087</v>
      </c>
      <c r="F4334" s="17">
        <v>46087</v>
      </c>
      <c r="G4334" s="13">
        <v>3.65</v>
      </c>
      <c r="H4334" s="14">
        <v>0</v>
      </c>
      <c r="I4334" s="14">
        <v>0</v>
      </c>
      <c r="J4334" s="14">
        <v>0</v>
      </c>
      <c r="K4334" s="14">
        <v>3.65</v>
      </c>
      <c r="L4334" t="s">
        <v>794</v>
      </c>
      <c r="M4334" s="23">
        <f t="shared" si="68"/>
        <v>2026</v>
      </c>
    </row>
    <row r="4335" spans="1:13" ht="12.75" hidden="1" customHeight="1">
      <c r="A4335" t="s">
        <v>1004</v>
      </c>
      <c r="B4335" t="s">
        <v>57</v>
      </c>
      <c r="C4335" t="s">
        <v>141</v>
      </c>
      <c r="D4335" t="s">
        <v>1445</v>
      </c>
      <c r="E4335" s="17">
        <v>46087</v>
      </c>
      <c r="F4335" s="17">
        <v>46087</v>
      </c>
      <c r="G4335" s="13">
        <v>100</v>
      </c>
      <c r="H4335" s="14">
        <v>0</v>
      </c>
      <c r="I4335" s="14">
        <v>0</v>
      </c>
      <c r="J4335" s="14">
        <v>0</v>
      </c>
      <c r="K4335" s="14">
        <v>100</v>
      </c>
      <c r="L4335" t="s">
        <v>794</v>
      </c>
      <c r="M4335" s="23">
        <f t="shared" si="68"/>
        <v>2026</v>
      </c>
    </row>
    <row r="4336" spans="1:13" ht="12.75" hidden="1" customHeight="1">
      <c r="A4336" t="s">
        <v>825</v>
      </c>
      <c r="B4336" t="s">
        <v>46</v>
      </c>
      <c r="C4336" t="s">
        <v>141</v>
      </c>
      <c r="D4336" t="s">
        <v>1445</v>
      </c>
      <c r="E4336" s="17">
        <v>46087</v>
      </c>
      <c r="F4336" s="17">
        <v>46087</v>
      </c>
      <c r="G4336" s="13">
        <v>100</v>
      </c>
      <c r="H4336" s="14">
        <v>0</v>
      </c>
      <c r="I4336" s="14">
        <v>0</v>
      </c>
      <c r="J4336" s="14">
        <v>0</v>
      </c>
      <c r="K4336" s="14">
        <v>100</v>
      </c>
      <c r="L4336" t="s">
        <v>794</v>
      </c>
      <c r="M4336" s="23">
        <f t="shared" si="68"/>
        <v>2026</v>
      </c>
    </row>
    <row r="4337" spans="1:13" ht="12.75" hidden="1" customHeight="1">
      <c r="A4337" t="s">
        <v>907</v>
      </c>
      <c r="B4337" t="s">
        <v>291</v>
      </c>
      <c r="C4337" t="s">
        <v>646</v>
      </c>
      <c r="D4337" t="s">
        <v>1445</v>
      </c>
      <c r="E4337" s="17">
        <v>46087</v>
      </c>
      <c r="F4337" s="17">
        <v>46087</v>
      </c>
      <c r="G4337" s="13">
        <v>19.900000000000002</v>
      </c>
      <c r="H4337" s="14">
        <v>0</v>
      </c>
      <c r="I4337" s="14">
        <v>0</v>
      </c>
      <c r="J4337" s="14">
        <v>0</v>
      </c>
      <c r="K4337" s="14">
        <v>19.900000000000002</v>
      </c>
      <c r="L4337" t="s">
        <v>794</v>
      </c>
      <c r="M4337" s="23">
        <f t="shared" si="68"/>
        <v>2026</v>
      </c>
    </row>
    <row r="4338" spans="1:13" ht="12.75" hidden="1" customHeight="1">
      <c r="A4338" t="s">
        <v>818</v>
      </c>
      <c r="B4338" t="s">
        <v>30</v>
      </c>
      <c r="C4338" t="s">
        <v>141</v>
      </c>
      <c r="D4338" t="s">
        <v>1445</v>
      </c>
      <c r="E4338" s="17">
        <v>46088</v>
      </c>
      <c r="F4338" s="17">
        <v>46088</v>
      </c>
      <c r="G4338" s="13">
        <v>306</v>
      </c>
      <c r="H4338" s="14">
        <v>0</v>
      </c>
      <c r="I4338" s="14">
        <v>0</v>
      </c>
      <c r="J4338" s="14">
        <v>0</v>
      </c>
      <c r="K4338" s="14">
        <v>306</v>
      </c>
      <c r="L4338" t="s">
        <v>794</v>
      </c>
      <c r="M4338" s="23">
        <f t="shared" si="68"/>
        <v>2026</v>
      </c>
    </row>
    <row r="4339" spans="1:13" ht="12.75" hidden="1" customHeight="1">
      <c r="A4339" t="s">
        <v>907</v>
      </c>
      <c r="B4339" t="s">
        <v>291</v>
      </c>
      <c r="C4339" t="s">
        <v>483</v>
      </c>
      <c r="D4339" t="s">
        <v>1445</v>
      </c>
      <c r="E4339" s="17">
        <v>46090</v>
      </c>
      <c r="F4339" s="17">
        <v>46090</v>
      </c>
      <c r="G4339" s="13">
        <v>15.98</v>
      </c>
      <c r="H4339" s="14">
        <v>0</v>
      </c>
      <c r="I4339" s="14">
        <v>0</v>
      </c>
      <c r="J4339" s="14">
        <v>0</v>
      </c>
      <c r="K4339" s="14">
        <v>15.98</v>
      </c>
      <c r="L4339" t="s">
        <v>794</v>
      </c>
      <c r="M4339" s="23">
        <f t="shared" si="68"/>
        <v>2026</v>
      </c>
    </row>
    <row r="4340" spans="1:13" ht="12.75" hidden="1" customHeight="1">
      <c r="A4340" t="s">
        <v>1446</v>
      </c>
      <c r="B4340" t="s">
        <v>167</v>
      </c>
      <c r="C4340" t="s">
        <v>141</v>
      </c>
      <c r="D4340" t="s">
        <v>1445</v>
      </c>
      <c r="E4340" s="17">
        <v>46090</v>
      </c>
      <c r="F4340" s="17">
        <v>46090</v>
      </c>
      <c r="G4340" s="13">
        <v>36</v>
      </c>
      <c r="H4340" s="14">
        <v>0</v>
      </c>
      <c r="I4340" s="14">
        <v>0</v>
      </c>
      <c r="J4340" s="14">
        <v>0</v>
      </c>
      <c r="K4340" s="14">
        <v>36</v>
      </c>
      <c r="L4340" t="s">
        <v>794</v>
      </c>
      <c r="M4340" s="23">
        <f t="shared" si="68"/>
        <v>2026</v>
      </c>
    </row>
    <row r="4341" spans="1:13" ht="12.75" hidden="1" customHeight="1">
      <c r="A4341" t="s">
        <v>1108</v>
      </c>
      <c r="B4341" t="s">
        <v>328</v>
      </c>
      <c r="C4341" t="s">
        <v>483</v>
      </c>
      <c r="D4341" t="s">
        <v>1445</v>
      </c>
      <c r="E4341" s="17">
        <v>46091</v>
      </c>
      <c r="F4341" s="17">
        <v>46091</v>
      </c>
      <c r="G4341" s="13">
        <v>22.88</v>
      </c>
      <c r="H4341" s="14">
        <v>0</v>
      </c>
      <c r="I4341" s="14">
        <v>0</v>
      </c>
      <c r="J4341" s="14">
        <v>0</v>
      </c>
      <c r="K4341" s="14">
        <v>22.88</v>
      </c>
      <c r="L4341" t="s">
        <v>794</v>
      </c>
      <c r="M4341" s="23">
        <f t="shared" si="68"/>
        <v>2026</v>
      </c>
    </row>
    <row r="4342" spans="1:13" ht="12.75" hidden="1" customHeight="1">
      <c r="A4342" t="s">
        <v>818</v>
      </c>
      <c r="B4342" t="s">
        <v>30</v>
      </c>
      <c r="C4342" t="s">
        <v>141</v>
      </c>
      <c r="D4342" t="s">
        <v>1445</v>
      </c>
      <c r="E4342" s="17">
        <v>46091</v>
      </c>
      <c r="F4342" s="17">
        <v>46091</v>
      </c>
      <c r="G4342" s="13">
        <v>1600</v>
      </c>
      <c r="H4342" s="14">
        <v>0</v>
      </c>
      <c r="I4342" s="14">
        <v>0</v>
      </c>
      <c r="J4342" s="14">
        <v>0</v>
      </c>
      <c r="K4342" s="14">
        <v>1600</v>
      </c>
      <c r="L4342" t="s">
        <v>794</v>
      </c>
      <c r="M4342" s="23">
        <f t="shared" si="68"/>
        <v>2026</v>
      </c>
    </row>
    <row r="4343" spans="1:13" ht="12.75" hidden="1" customHeight="1">
      <c r="A4343" t="s">
        <v>811</v>
      </c>
      <c r="B4343" t="s">
        <v>39</v>
      </c>
      <c r="C4343" t="s">
        <v>141</v>
      </c>
      <c r="D4343" t="s">
        <v>1445</v>
      </c>
      <c r="E4343" s="17">
        <v>46091</v>
      </c>
      <c r="F4343" s="17">
        <v>46091</v>
      </c>
      <c r="G4343" s="13">
        <v>760</v>
      </c>
      <c r="H4343" s="14">
        <v>0</v>
      </c>
      <c r="I4343" s="14">
        <v>0</v>
      </c>
      <c r="J4343" s="14">
        <v>0</v>
      </c>
      <c r="K4343" s="14">
        <v>760</v>
      </c>
      <c r="L4343" t="s">
        <v>794</v>
      </c>
      <c r="M4343" s="23">
        <f t="shared" si="68"/>
        <v>2026</v>
      </c>
    </row>
    <row r="4344" spans="1:13" ht="12.75" hidden="1" customHeight="1">
      <c r="A4344" t="s">
        <v>1316</v>
      </c>
      <c r="B4344" t="s">
        <v>59</v>
      </c>
      <c r="C4344" t="s">
        <v>141</v>
      </c>
      <c r="D4344" t="s">
        <v>1445</v>
      </c>
      <c r="E4344" s="17">
        <v>46091</v>
      </c>
      <c r="F4344" s="17">
        <v>46091</v>
      </c>
      <c r="G4344" s="13">
        <v>1560</v>
      </c>
      <c r="H4344" s="14">
        <v>0</v>
      </c>
      <c r="I4344" s="14">
        <v>0</v>
      </c>
      <c r="J4344" s="14">
        <v>0</v>
      </c>
      <c r="K4344" s="14">
        <v>1560</v>
      </c>
      <c r="L4344" t="s">
        <v>794</v>
      </c>
      <c r="M4344" s="23">
        <f t="shared" si="68"/>
        <v>2026</v>
      </c>
    </row>
    <row r="4345" spans="1:13" ht="12.75" hidden="1" customHeight="1">
      <c r="A4345" t="s">
        <v>826</v>
      </c>
      <c r="B4345" t="s">
        <v>21</v>
      </c>
      <c r="C4345" t="s">
        <v>141</v>
      </c>
      <c r="D4345" t="s">
        <v>1445</v>
      </c>
      <c r="E4345" s="17">
        <v>46091</v>
      </c>
      <c r="F4345" s="17">
        <v>46091</v>
      </c>
      <c r="G4345" s="13">
        <v>4270</v>
      </c>
      <c r="H4345" s="14">
        <v>0</v>
      </c>
      <c r="I4345" s="14">
        <v>0</v>
      </c>
      <c r="J4345" s="14">
        <v>0</v>
      </c>
      <c r="K4345" s="14">
        <v>4270</v>
      </c>
      <c r="L4345" t="s">
        <v>794</v>
      </c>
      <c r="M4345" s="23">
        <f t="shared" si="68"/>
        <v>2026</v>
      </c>
    </row>
    <row r="4346" spans="1:13" ht="12.75" hidden="1" customHeight="1">
      <c r="A4346" t="s">
        <v>836</v>
      </c>
      <c r="B4346" t="s">
        <v>37</v>
      </c>
      <c r="C4346" t="s">
        <v>140</v>
      </c>
      <c r="D4346" t="s">
        <v>1445</v>
      </c>
      <c r="E4346" s="17">
        <v>46091</v>
      </c>
      <c r="F4346" s="17">
        <v>46091</v>
      </c>
      <c r="G4346" s="13">
        <v>200</v>
      </c>
      <c r="H4346" s="14">
        <v>0</v>
      </c>
      <c r="I4346" s="14">
        <v>0</v>
      </c>
      <c r="J4346" s="14">
        <v>0</v>
      </c>
      <c r="K4346" s="14">
        <v>200</v>
      </c>
      <c r="L4346" t="s">
        <v>794</v>
      </c>
      <c r="M4346" s="23">
        <f t="shared" si="68"/>
        <v>2026</v>
      </c>
    </row>
    <row r="4347" spans="1:13" ht="12.75" hidden="1" customHeight="1">
      <c r="A4347" t="s">
        <v>1121</v>
      </c>
      <c r="B4347" t="s">
        <v>295</v>
      </c>
      <c r="C4347" t="s">
        <v>142</v>
      </c>
      <c r="D4347" t="s">
        <v>1445</v>
      </c>
      <c r="E4347" s="17">
        <v>46091</v>
      </c>
      <c r="F4347" s="17">
        <v>46091</v>
      </c>
      <c r="G4347" s="13">
        <v>80</v>
      </c>
      <c r="H4347" s="14">
        <v>0</v>
      </c>
      <c r="I4347" s="14">
        <v>0</v>
      </c>
      <c r="J4347" s="14">
        <v>0</v>
      </c>
      <c r="K4347" s="14">
        <v>80</v>
      </c>
      <c r="L4347" t="s">
        <v>794</v>
      </c>
      <c r="M4347" s="23">
        <f t="shared" si="68"/>
        <v>2026</v>
      </c>
    </row>
    <row r="4348" spans="1:13" ht="12.75" hidden="1" customHeight="1">
      <c r="A4348" t="s">
        <v>1196</v>
      </c>
      <c r="B4348" t="s">
        <v>1197</v>
      </c>
      <c r="C4348" t="s">
        <v>141</v>
      </c>
      <c r="D4348" t="s">
        <v>1445</v>
      </c>
      <c r="E4348" s="17">
        <v>46091</v>
      </c>
      <c r="F4348" s="17">
        <v>46091</v>
      </c>
      <c r="G4348" s="13">
        <v>57</v>
      </c>
      <c r="H4348" s="14">
        <v>0</v>
      </c>
      <c r="I4348" s="14">
        <v>0</v>
      </c>
      <c r="J4348" s="14">
        <v>0</v>
      </c>
      <c r="K4348" s="14">
        <v>57</v>
      </c>
      <c r="L4348" t="s">
        <v>794</v>
      </c>
      <c r="M4348" s="23">
        <f t="shared" si="68"/>
        <v>2026</v>
      </c>
    </row>
    <row r="4349" spans="1:13" ht="12.75" hidden="1" customHeight="1">
      <c r="A4349" t="s">
        <v>1121</v>
      </c>
      <c r="B4349" t="s">
        <v>295</v>
      </c>
      <c r="C4349" t="s">
        <v>142</v>
      </c>
      <c r="D4349" t="s">
        <v>1445</v>
      </c>
      <c r="E4349" s="17">
        <v>46092</v>
      </c>
      <c r="F4349" s="17">
        <v>46092</v>
      </c>
      <c r="G4349" s="13">
        <v>40</v>
      </c>
      <c r="H4349" s="14">
        <v>0</v>
      </c>
      <c r="I4349" s="14">
        <v>0</v>
      </c>
      <c r="J4349" s="14">
        <v>0</v>
      </c>
      <c r="K4349" s="14">
        <v>40</v>
      </c>
      <c r="L4349" t="s">
        <v>794</v>
      </c>
      <c r="M4349" s="23">
        <f t="shared" si="68"/>
        <v>2026</v>
      </c>
    </row>
    <row r="4350" spans="1:13" ht="12.75" hidden="1" customHeight="1">
      <c r="A4350" t="s">
        <v>852</v>
      </c>
      <c r="B4350" t="s">
        <v>342</v>
      </c>
      <c r="C4350" t="s">
        <v>483</v>
      </c>
      <c r="D4350" t="s">
        <v>1445</v>
      </c>
      <c r="E4350" s="17">
        <v>46092</v>
      </c>
      <c r="F4350" s="17">
        <v>46092</v>
      </c>
      <c r="G4350" s="13">
        <v>32.880000000000003</v>
      </c>
      <c r="H4350" s="14">
        <v>0</v>
      </c>
      <c r="I4350" s="14">
        <v>0</v>
      </c>
      <c r="J4350" s="14">
        <v>0</v>
      </c>
      <c r="K4350" s="14">
        <v>32.880000000000003</v>
      </c>
      <c r="L4350" t="s">
        <v>794</v>
      </c>
      <c r="M4350" s="23">
        <f t="shared" si="68"/>
        <v>2026</v>
      </c>
    </row>
    <row r="4351" spans="1:13" ht="12.75" hidden="1" customHeight="1">
      <c r="A4351" t="s">
        <v>907</v>
      </c>
      <c r="B4351" t="s">
        <v>291</v>
      </c>
      <c r="C4351" t="s">
        <v>681</v>
      </c>
      <c r="D4351" t="s">
        <v>1445</v>
      </c>
      <c r="E4351" s="17">
        <v>46093</v>
      </c>
      <c r="F4351" s="17">
        <v>46093</v>
      </c>
      <c r="G4351" s="13">
        <v>28.7</v>
      </c>
      <c r="H4351" s="14">
        <v>0</v>
      </c>
      <c r="I4351" s="14">
        <v>0</v>
      </c>
      <c r="J4351" s="14">
        <v>0</v>
      </c>
      <c r="K4351" s="14">
        <v>28.7</v>
      </c>
      <c r="L4351" t="s">
        <v>794</v>
      </c>
      <c r="M4351" s="23">
        <f t="shared" si="68"/>
        <v>2026</v>
      </c>
    </row>
    <row r="4352" spans="1:13" ht="12.75" hidden="1" customHeight="1">
      <c r="A4352" t="s">
        <v>921</v>
      </c>
      <c r="B4352" t="s">
        <v>184</v>
      </c>
      <c r="C4352" t="s">
        <v>558</v>
      </c>
      <c r="D4352" t="s">
        <v>1445</v>
      </c>
      <c r="E4352" s="17">
        <v>46093</v>
      </c>
      <c r="F4352" s="17">
        <v>46093</v>
      </c>
      <c r="G4352" s="13">
        <v>6.99</v>
      </c>
      <c r="H4352" s="14">
        <v>0</v>
      </c>
      <c r="I4352" s="14">
        <v>0</v>
      </c>
      <c r="J4352" s="14">
        <v>0</v>
      </c>
      <c r="K4352" s="14">
        <v>6.99</v>
      </c>
      <c r="L4352" t="s">
        <v>794</v>
      </c>
      <c r="M4352" s="23">
        <f t="shared" si="68"/>
        <v>2026</v>
      </c>
    </row>
    <row r="4353" spans="1:13" ht="12.75" hidden="1" customHeight="1">
      <c r="A4353" t="s">
        <v>1449</v>
      </c>
      <c r="B4353" t="s">
        <v>707</v>
      </c>
      <c r="C4353" t="s">
        <v>99</v>
      </c>
      <c r="D4353" t="s">
        <v>1445</v>
      </c>
      <c r="E4353" s="17">
        <v>46093</v>
      </c>
      <c r="F4353" s="17">
        <v>46093</v>
      </c>
      <c r="G4353" s="13">
        <v>8.1</v>
      </c>
      <c r="H4353" s="14">
        <v>0</v>
      </c>
      <c r="I4353" s="14">
        <v>0</v>
      </c>
      <c r="J4353" s="14">
        <v>0</v>
      </c>
      <c r="K4353" s="14">
        <v>8.1</v>
      </c>
      <c r="L4353" t="s">
        <v>794</v>
      </c>
      <c r="M4353" s="23">
        <f t="shared" si="68"/>
        <v>2026</v>
      </c>
    </row>
    <row r="4354" spans="1:13" ht="12.75" hidden="1" customHeight="1">
      <c r="A4354" t="s">
        <v>1450</v>
      </c>
      <c r="B4354" t="s">
        <v>514</v>
      </c>
      <c r="C4354" t="s">
        <v>140</v>
      </c>
      <c r="D4354" t="s">
        <v>1445</v>
      </c>
      <c r="E4354" s="17">
        <v>46093</v>
      </c>
      <c r="F4354" s="17">
        <v>46093</v>
      </c>
      <c r="G4354" s="13">
        <v>60</v>
      </c>
      <c r="H4354" s="14">
        <v>0</v>
      </c>
      <c r="I4354" s="14">
        <v>0</v>
      </c>
      <c r="J4354" s="14">
        <v>0</v>
      </c>
      <c r="K4354" s="14">
        <v>60</v>
      </c>
      <c r="L4354" t="s">
        <v>794</v>
      </c>
      <c r="M4354" s="23">
        <f t="shared" si="68"/>
        <v>2026</v>
      </c>
    </row>
    <row r="4355" spans="1:13" ht="12.75" hidden="1" customHeight="1">
      <c r="A4355" t="s">
        <v>1451</v>
      </c>
      <c r="B4355" t="s">
        <v>208</v>
      </c>
      <c r="C4355" t="s">
        <v>140</v>
      </c>
      <c r="D4355" t="s">
        <v>1445</v>
      </c>
      <c r="E4355" s="17">
        <v>46093</v>
      </c>
      <c r="F4355" s="17">
        <v>46093</v>
      </c>
      <c r="G4355" s="13">
        <v>30</v>
      </c>
      <c r="H4355" s="14">
        <v>0</v>
      </c>
      <c r="I4355" s="14">
        <v>0</v>
      </c>
      <c r="J4355" s="14">
        <v>0</v>
      </c>
      <c r="K4355" s="14">
        <v>30</v>
      </c>
      <c r="L4355" t="s">
        <v>794</v>
      </c>
      <c r="M4355" s="23">
        <f t="shared" si="68"/>
        <v>2026</v>
      </c>
    </row>
    <row r="4356" spans="1:13" ht="12.75" hidden="1" customHeight="1">
      <c r="A4356" t="s">
        <v>1452</v>
      </c>
      <c r="B4356" t="s">
        <v>553</v>
      </c>
      <c r="C4356" t="s">
        <v>140</v>
      </c>
      <c r="D4356" t="s">
        <v>1445</v>
      </c>
      <c r="E4356" s="17">
        <v>46093</v>
      </c>
      <c r="F4356" s="17">
        <v>46093</v>
      </c>
      <c r="G4356" s="13">
        <v>60</v>
      </c>
      <c r="H4356" s="14">
        <v>0</v>
      </c>
      <c r="I4356" s="14">
        <v>0</v>
      </c>
      <c r="J4356" s="14">
        <v>0</v>
      </c>
      <c r="K4356" s="14">
        <v>60</v>
      </c>
      <c r="L4356" t="s">
        <v>794</v>
      </c>
      <c r="M4356" s="23">
        <f t="shared" si="68"/>
        <v>2026</v>
      </c>
    </row>
    <row r="4357" spans="1:13" ht="12.75" hidden="1" customHeight="1">
      <c r="A4357" t="s">
        <v>1451</v>
      </c>
      <c r="B4357" t="s">
        <v>208</v>
      </c>
      <c r="C4357" t="s">
        <v>140</v>
      </c>
      <c r="D4357" t="s">
        <v>1445</v>
      </c>
      <c r="E4357" s="17">
        <v>46094</v>
      </c>
      <c r="F4357" s="17">
        <v>46094</v>
      </c>
      <c r="G4357" s="13">
        <v>30</v>
      </c>
      <c r="H4357" s="14">
        <v>0</v>
      </c>
      <c r="I4357" s="14">
        <v>0</v>
      </c>
      <c r="J4357" s="14">
        <v>0</v>
      </c>
      <c r="K4357" s="14">
        <v>30</v>
      </c>
      <c r="L4357" t="s">
        <v>794</v>
      </c>
      <c r="M4357" s="23">
        <f t="shared" si="68"/>
        <v>2026</v>
      </c>
    </row>
    <row r="4358" spans="1:13" ht="12.75" hidden="1" customHeight="1">
      <c r="A4358" t="s">
        <v>1452</v>
      </c>
      <c r="B4358" t="s">
        <v>553</v>
      </c>
      <c r="C4358" t="s">
        <v>140</v>
      </c>
      <c r="D4358" t="s">
        <v>1445</v>
      </c>
      <c r="E4358" s="17">
        <v>46094</v>
      </c>
      <c r="F4358" s="17">
        <v>46094</v>
      </c>
      <c r="G4358" s="13">
        <v>30</v>
      </c>
      <c r="H4358" s="14">
        <v>0</v>
      </c>
      <c r="I4358" s="14">
        <v>0</v>
      </c>
      <c r="J4358" s="14">
        <v>0</v>
      </c>
      <c r="K4358" s="14">
        <v>30</v>
      </c>
      <c r="L4358" t="s">
        <v>794</v>
      </c>
      <c r="M4358" s="23">
        <f t="shared" si="68"/>
        <v>2026</v>
      </c>
    </row>
    <row r="4359" spans="1:13" ht="12.75" hidden="1" customHeight="1">
      <c r="A4359" t="s">
        <v>907</v>
      </c>
      <c r="B4359" t="s">
        <v>291</v>
      </c>
      <c r="C4359" t="s">
        <v>646</v>
      </c>
      <c r="D4359" t="s">
        <v>1445</v>
      </c>
      <c r="E4359" s="17">
        <v>46094</v>
      </c>
      <c r="F4359" s="17">
        <v>46094</v>
      </c>
      <c r="G4359" s="13">
        <v>10</v>
      </c>
      <c r="H4359" s="14">
        <v>0</v>
      </c>
      <c r="I4359" s="14">
        <v>0</v>
      </c>
      <c r="J4359" s="14">
        <v>0</v>
      </c>
      <c r="K4359" s="14">
        <v>10</v>
      </c>
      <c r="L4359" t="s">
        <v>794</v>
      </c>
      <c r="M4359" s="23">
        <f t="shared" si="68"/>
        <v>2026</v>
      </c>
    </row>
    <row r="4360" spans="1:13" ht="12.75" hidden="1" customHeight="1">
      <c r="A4360" t="s">
        <v>1451</v>
      </c>
      <c r="B4360" t="s">
        <v>208</v>
      </c>
      <c r="C4360" t="s">
        <v>140</v>
      </c>
      <c r="D4360" t="s">
        <v>1445</v>
      </c>
      <c r="E4360" s="17">
        <v>46095</v>
      </c>
      <c r="F4360" s="17">
        <v>46095</v>
      </c>
      <c r="G4360" s="13">
        <v>30</v>
      </c>
      <c r="H4360" s="14">
        <v>0</v>
      </c>
      <c r="I4360" s="14">
        <v>0</v>
      </c>
      <c r="J4360" s="14">
        <v>0</v>
      </c>
      <c r="K4360" s="14">
        <v>30</v>
      </c>
      <c r="L4360" t="s">
        <v>794</v>
      </c>
      <c r="M4360" s="23">
        <f t="shared" si="68"/>
        <v>2026</v>
      </c>
    </row>
    <row r="4361" spans="1:13" ht="12.75" hidden="1" customHeight="1">
      <c r="A4361" t="s">
        <v>1317</v>
      </c>
      <c r="B4361" t="s">
        <v>64</v>
      </c>
      <c r="C4361" t="s">
        <v>141</v>
      </c>
      <c r="D4361" t="s">
        <v>1445</v>
      </c>
      <c r="E4361" s="17">
        <v>46097</v>
      </c>
      <c r="F4361" s="17">
        <v>46097</v>
      </c>
      <c r="G4361" s="13">
        <v>80</v>
      </c>
      <c r="H4361" s="14">
        <v>0</v>
      </c>
      <c r="I4361" s="14">
        <v>0</v>
      </c>
      <c r="J4361" s="14">
        <v>0</v>
      </c>
      <c r="K4361" s="14">
        <v>80</v>
      </c>
      <c r="L4361" t="s">
        <v>794</v>
      </c>
      <c r="M4361" s="23">
        <f t="shared" si="68"/>
        <v>2026</v>
      </c>
    </row>
    <row r="4362" spans="1:13" ht="12.75" hidden="1" customHeight="1">
      <c r="A4362" t="s">
        <v>1316</v>
      </c>
      <c r="B4362" t="s">
        <v>59</v>
      </c>
      <c r="C4362" t="s">
        <v>141</v>
      </c>
      <c r="D4362" t="s">
        <v>1445</v>
      </c>
      <c r="E4362" s="17">
        <v>46097</v>
      </c>
      <c r="F4362" s="17">
        <v>46097</v>
      </c>
      <c r="G4362" s="13">
        <v>236</v>
      </c>
      <c r="H4362" s="14">
        <v>0</v>
      </c>
      <c r="I4362" s="14">
        <v>0</v>
      </c>
      <c r="J4362" s="14">
        <v>0</v>
      </c>
      <c r="K4362" s="14">
        <v>236</v>
      </c>
      <c r="L4362" t="s">
        <v>794</v>
      </c>
      <c r="M4362" s="23">
        <f t="shared" si="68"/>
        <v>2026</v>
      </c>
    </row>
    <row r="4363" spans="1:13" ht="12.75" hidden="1" customHeight="1">
      <c r="A4363" t="s">
        <v>818</v>
      </c>
      <c r="B4363" t="s">
        <v>30</v>
      </c>
      <c r="C4363" t="s">
        <v>141</v>
      </c>
      <c r="D4363" t="s">
        <v>1445</v>
      </c>
      <c r="E4363" s="17">
        <v>46097</v>
      </c>
      <c r="F4363" s="17">
        <v>46097</v>
      </c>
      <c r="G4363" s="13">
        <v>246</v>
      </c>
      <c r="H4363" s="14">
        <v>0</v>
      </c>
      <c r="I4363" s="14">
        <v>0</v>
      </c>
      <c r="J4363" s="14">
        <v>0</v>
      </c>
      <c r="K4363" s="14">
        <v>246</v>
      </c>
      <c r="L4363" t="s">
        <v>794</v>
      </c>
      <c r="M4363" s="23">
        <f t="shared" si="68"/>
        <v>2026</v>
      </c>
    </row>
    <row r="4364" spans="1:13" ht="12.75" hidden="1" customHeight="1">
      <c r="A4364" t="s">
        <v>1446</v>
      </c>
      <c r="B4364" t="s">
        <v>167</v>
      </c>
      <c r="C4364" t="s">
        <v>141</v>
      </c>
      <c r="D4364" t="s">
        <v>1445</v>
      </c>
      <c r="E4364" s="17">
        <v>46097</v>
      </c>
      <c r="F4364" s="17">
        <v>46097</v>
      </c>
      <c r="G4364" s="13">
        <v>72</v>
      </c>
      <c r="H4364" s="14">
        <v>0</v>
      </c>
      <c r="I4364" s="14">
        <v>0</v>
      </c>
      <c r="J4364" s="14">
        <v>0</v>
      </c>
      <c r="K4364" s="14">
        <v>72</v>
      </c>
      <c r="L4364" t="s">
        <v>794</v>
      </c>
      <c r="M4364" s="23">
        <f t="shared" si="68"/>
        <v>2026</v>
      </c>
    </row>
    <row r="4365" spans="1:13" ht="12.75" hidden="1" customHeight="1">
      <c r="A4365" t="s">
        <v>1453</v>
      </c>
      <c r="B4365" t="s">
        <v>557</v>
      </c>
      <c r="C4365" t="s">
        <v>558</v>
      </c>
      <c r="D4365" t="s">
        <v>1445</v>
      </c>
      <c r="E4365" s="17">
        <v>46097</v>
      </c>
      <c r="F4365" s="17">
        <v>46097</v>
      </c>
      <c r="G4365" s="13">
        <v>83.44</v>
      </c>
      <c r="H4365" s="14">
        <v>0</v>
      </c>
      <c r="I4365" s="14">
        <v>0</v>
      </c>
      <c r="J4365" s="14">
        <v>0</v>
      </c>
      <c r="K4365" s="14">
        <v>83.44</v>
      </c>
      <c r="L4365" t="s">
        <v>794</v>
      </c>
      <c r="M4365" s="23">
        <f t="shared" si="68"/>
        <v>2026</v>
      </c>
    </row>
    <row r="4366" spans="1:13" ht="12.75" hidden="1" customHeight="1">
      <c r="A4366" t="s">
        <v>1450</v>
      </c>
      <c r="B4366" t="s">
        <v>514</v>
      </c>
      <c r="C4366" t="s">
        <v>140</v>
      </c>
      <c r="D4366" t="s">
        <v>1445</v>
      </c>
      <c r="E4366" s="17">
        <v>46097</v>
      </c>
      <c r="F4366" s="17">
        <v>46097</v>
      </c>
      <c r="G4366" s="13">
        <v>50</v>
      </c>
      <c r="H4366" s="14">
        <v>0</v>
      </c>
      <c r="I4366" s="14">
        <v>0</v>
      </c>
      <c r="J4366" s="14">
        <v>0</v>
      </c>
      <c r="K4366" s="14">
        <v>50</v>
      </c>
      <c r="L4366" t="s">
        <v>794</v>
      </c>
      <c r="M4366" s="23">
        <f t="shared" si="68"/>
        <v>2026</v>
      </c>
    </row>
    <row r="4367" spans="1:13" ht="12.75" hidden="1" customHeight="1">
      <c r="A4367" t="s">
        <v>924</v>
      </c>
      <c r="B4367" t="s">
        <v>87</v>
      </c>
      <c r="C4367" t="s">
        <v>730</v>
      </c>
      <c r="D4367" t="s">
        <v>1445</v>
      </c>
      <c r="E4367" s="17">
        <v>46098</v>
      </c>
      <c r="F4367" s="17">
        <v>46098</v>
      </c>
      <c r="G4367" s="13">
        <v>750</v>
      </c>
      <c r="H4367" s="14">
        <v>0</v>
      </c>
      <c r="I4367" s="14">
        <v>0</v>
      </c>
      <c r="J4367" s="14">
        <v>0</v>
      </c>
      <c r="K4367" s="14">
        <v>750</v>
      </c>
      <c r="L4367" t="s">
        <v>794</v>
      </c>
      <c r="M4367" s="23">
        <f t="shared" si="68"/>
        <v>2026</v>
      </c>
    </row>
    <row r="4368" spans="1:13" ht="12.75" hidden="1" customHeight="1">
      <c r="A4368" t="s">
        <v>852</v>
      </c>
      <c r="B4368" t="s">
        <v>342</v>
      </c>
      <c r="C4368" t="s">
        <v>483</v>
      </c>
      <c r="D4368" t="s">
        <v>1445</v>
      </c>
      <c r="E4368" s="17">
        <v>46098</v>
      </c>
      <c r="F4368" s="17">
        <v>46098</v>
      </c>
      <c r="G4368" s="13">
        <v>22.64</v>
      </c>
      <c r="H4368" s="14">
        <v>0</v>
      </c>
      <c r="I4368" s="14">
        <v>0</v>
      </c>
      <c r="J4368" s="14">
        <v>0</v>
      </c>
      <c r="K4368" s="14">
        <v>22.64</v>
      </c>
      <c r="L4368" t="s">
        <v>794</v>
      </c>
      <c r="M4368" s="23">
        <f t="shared" si="68"/>
        <v>2026</v>
      </c>
    </row>
    <row r="4369" spans="1:13" ht="12.75" hidden="1" customHeight="1">
      <c r="A4369" t="s">
        <v>1313</v>
      </c>
      <c r="B4369" t="s">
        <v>362</v>
      </c>
      <c r="C4369" t="s">
        <v>558</v>
      </c>
      <c r="D4369" t="s">
        <v>1445</v>
      </c>
      <c r="E4369" s="17">
        <v>46098</v>
      </c>
      <c r="F4369" s="17">
        <v>46098</v>
      </c>
      <c r="G4369" s="13">
        <v>5.5</v>
      </c>
      <c r="H4369" s="14">
        <v>0</v>
      </c>
      <c r="I4369" s="14">
        <v>0</v>
      </c>
      <c r="J4369" s="14">
        <v>0</v>
      </c>
      <c r="K4369" s="14">
        <v>5.5</v>
      </c>
      <c r="L4369" t="s">
        <v>794</v>
      </c>
      <c r="M4369" s="23">
        <f t="shared" si="68"/>
        <v>2026</v>
      </c>
    </row>
    <row r="4370" spans="1:13" ht="12.75" hidden="1" customHeight="1">
      <c r="A4370" t="s">
        <v>1167</v>
      </c>
      <c r="B4370" t="s">
        <v>47</v>
      </c>
      <c r="C4370" t="s">
        <v>141</v>
      </c>
      <c r="D4370" t="s">
        <v>1445</v>
      </c>
      <c r="E4370" s="17">
        <v>46098</v>
      </c>
      <c r="F4370" s="17">
        <v>46098</v>
      </c>
      <c r="G4370" s="13">
        <v>100</v>
      </c>
      <c r="H4370" s="14">
        <v>0</v>
      </c>
      <c r="I4370" s="14">
        <v>0</v>
      </c>
      <c r="J4370" s="14">
        <v>0</v>
      </c>
      <c r="K4370" s="14">
        <v>100</v>
      </c>
      <c r="L4370" t="s">
        <v>794</v>
      </c>
      <c r="M4370" s="23">
        <f t="shared" si="68"/>
        <v>2026</v>
      </c>
    </row>
    <row r="4371" spans="1:13" ht="12.75" hidden="1" customHeight="1">
      <c r="A4371" t="s">
        <v>957</v>
      </c>
      <c r="B4371" t="s">
        <v>236</v>
      </c>
      <c r="C4371" t="s">
        <v>141</v>
      </c>
      <c r="D4371" t="s">
        <v>1445</v>
      </c>
      <c r="E4371" s="17">
        <v>46098</v>
      </c>
      <c r="F4371" s="17">
        <v>46098</v>
      </c>
      <c r="G4371" s="13">
        <v>36</v>
      </c>
      <c r="H4371" s="14">
        <v>0</v>
      </c>
      <c r="I4371" s="14">
        <v>0</v>
      </c>
      <c r="J4371" s="14">
        <v>0</v>
      </c>
      <c r="K4371" s="14">
        <v>36</v>
      </c>
      <c r="L4371" t="s">
        <v>794</v>
      </c>
      <c r="M4371" s="23">
        <f t="shared" si="68"/>
        <v>2026</v>
      </c>
    </row>
    <row r="4372" spans="1:13" ht="12.75" hidden="1" customHeight="1">
      <c r="A4372" t="s">
        <v>921</v>
      </c>
      <c r="B4372" t="s">
        <v>184</v>
      </c>
      <c r="C4372" t="s">
        <v>646</v>
      </c>
      <c r="D4372" t="s">
        <v>1445</v>
      </c>
      <c r="E4372" s="17">
        <v>46099</v>
      </c>
      <c r="F4372" s="17">
        <v>46099</v>
      </c>
      <c r="G4372" s="13">
        <v>66.989999999999995</v>
      </c>
      <c r="H4372" s="14">
        <v>0</v>
      </c>
      <c r="I4372" s="14">
        <v>0</v>
      </c>
      <c r="J4372" s="14">
        <v>0</v>
      </c>
      <c r="K4372" s="14">
        <v>66.989999999999995</v>
      </c>
      <c r="L4372" t="s">
        <v>794</v>
      </c>
      <c r="M4372" s="23">
        <f t="shared" si="68"/>
        <v>2026</v>
      </c>
    </row>
    <row r="4373" spans="1:13" ht="12.75" hidden="1" customHeight="1">
      <c r="A4373" t="s">
        <v>1121</v>
      </c>
      <c r="B4373" t="s">
        <v>295</v>
      </c>
      <c r="C4373" t="s">
        <v>142</v>
      </c>
      <c r="D4373" t="s">
        <v>1445</v>
      </c>
      <c r="E4373" s="17">
        <v>46100</v>
      </c>
      <c r="F4373" s="17">
        <v>46100</v>
      </c>
      <c r="G4373" s="13">
        <v>40</v>
      </c>
      <c r="H4373" s="14">
        <v>0</v>
      </c>
      <c r="I4373" s="14">
        <v>0</v>
      </c>
      <c r="J4373" s="14">
        <v>0</v>
      </c>
      <c r="K4373" s="14">
        <v>40</v>
      </c>
      <c r="L4373" t="s">
        <v>794</v>
      </c>
      <c r="M4373" s="23">
        <f t="shared" si="68"/>
        <v>2026</v>
      </c>
    </row>
    <row r="4374" spans="1:13" ht="12.75" hidden="1" customHeight="1">
      <c r="A4374" t="s">
        <v>998</v>
      </c>
      <c r="B4374" t="s">
        <v>368</v>
      </c>
      <c r="C4374" t="s">
        <v>733</v>
      </c>
      <c r="D4374" t="s">
        <v>1445</v>
      </c>
      <c r="E4374" s="17">
        <v>46100</v>
      </c>
      <c r="F4374" s="17">
        <v>46100</v>
      </c>
      <c r="G4374" s="13">
        <v>71.7</v>
      </c>
      <c r="H4374" s="14">
        <v>0</v>
      </c>
      <c r="I4374" s="14">
        <v>0</v>
      </c>
      <c r="J4374" s="14">
        <v>0</v>
      </c>
      <c r="K4374" s="14">
        <v>71.7</v>
      </c>
      <c r="L4374" t="s">
        <v>794</v>
      </c>
      <c r="M4374" s="23">
        <f t="shared" si="68"/>
        <v>2026</v>
      </c>
    </row>
    <row r="4375" spans="1:13" ht="12.75" hidden="1" customHeight="1">
      <c r="A4375" t="s">
        <v>981</v>
      </c>
      <c r="B4375" t="s">
        <v>55</v>
      </c>
      <c r="C4375" t="s">
        <v>99</v>
      </c>
      <c r="D4375" t="s">
        <v>1445</v>
      </c>
      <c r="E4375" s="17">
        <v>46100</v>
      </c>
      <c r="F4375" s="17">
        <v>46100</v>
      </c>
      <c r="G4375" s="13">
        <v>50</v>
      </c>
      <c r="H4375" s="14">
        <v>0</v>
      </c>
      <c r="I4375" s="14">
        <v>0</v>
      </c>
      <c r="J4375" s="14">
        <v>0</v>
      </c>
      <c r="K4375" s="14">
        <v>50</v>
      </c>
      <c r="L4375" t="s">
        <v>794</v>
      </c>
      <c r="M4375" s="23">
        <f t="shared" si="68"/>
        <v>2026</v>
      </c>
    </row>
    <row r="4376" spans="1:13" ht="12.75" hidden="1" customHeight="1">
      <c r="A4376" t="s">
        <v>1121</v>
      </c>
      <c r="B4376" t="s">
        <v>295</v>
      </c>
      <c r="C4376" t="s">
        <v>142</v>
      </c>
      <c r="D4376" t="s">
        <v>1445</v>
      </c>
      <c r="E4376" s="17">
        <v>46101</v>
      </c>
      <c r="F4376" s="17">
        <v>46101</v>
      </c>
      <c r="G4376" s="13">
        <v>40</v>
      </c>
      <c r="H4376" s="14">
        <v>0</v>
      </c>
      <c r="I4376" s="14">
        <v>0</v>
      </c>
      <c r="J4376" s="14">
        <v>0</v>
      </c>
      <c r="K4376" s="14">
        <v>40</v>
      </c>
      <c r="L4376" t="s">
        <v>794</v>
      </c>
      <c r="M4376" s="23">
        <f t="shared" si="68"/>
        <v>2026</v>
      </c>
    </row>
    <row r="4377" spans="1:13" ht="12.75" hidden="1" customHeight="1">
      <c r="A4377" t="s">
        <v>1454</v>
      </c>
      <c r="B4377" t="s">
        <v>598</v>
      </c>
      <c r="C4377" t="s">
        <v>599</v>
      </c>
      <c r="D4377" t="s">
        <v>1445</v>
      </c>
      <c r="E4377" s="17">
        <v>46101</v>
      </c>
      <c r="F4377" s="17">
        <v>46101</v>
      </c>
      <c r="G4377" s="13">
        <v>50</v>
      </c>
      <c r="H4377" s="14">
        <v>0</v>
      </c>
      <c r="I4377" s="14">
        <v>0</v>
      </c>
      <c r="J4377" s="14">
        <v>0</v>
      </c>
      <c r="K4377" s="14">
        <v>50</v>
      </c>
      <c r="L4377" t="s">
        <v>794</v>
      </c>
      <c r="M4377" s="23">
        <f t="shared" si="68"/>
        <v>2026</v>
      </c>
    </row>
    <row r="4378" spans="1:13" ht="12.75" hidden="1" customHeight="1">
      <c r="A4378" t="s">
        <v>1121</v>
      </c>
      <c r="B4378" t="s">
        <v>295</v>
      </c>
      <c r="C4378" t="s">
        <v>142</v>
      </c>
      <c r="D4378" t="s">
        <v>1445</v>
      </c>
      <c r="E4378" s="17">
        <v>46104</v>
      </c>
      <c r="F4378" s="17">
        <v>46104</v>
      </c>
      <c r="G4378" s="13">
        <v>40</v>
      </c>
      <c r="H4378" s="14">
        <v>0</v>
      </c>
      <c r="I4378" s="14">
        <v>0</v>
      </c>
      <c r="J4378" s="14">
        <v>0</v>
      </c>
      <c r="K4378" s="14">
        <v>40</v>
      </c>
      <c r="L4378" t="s">
        <v>794</v>
      </c>
      <c r="M4378" s="23">
        <f t="shared" si="68"/>
        <v>2026</v>
      </c>
    </row>
    <row r="4379" spans="1:13" ht="12.75" hidden="1" customHeight="1">
      <c r="A4379" t="s">
        <v>1191</v>
      </c>
      <c r="B4379" t="s">
        <v>513</v>
      </c>
      <c r="C4379" t="s">
        <v>99</v>
      </c>
      <c r="D4379" t="s">
        <v>1445</v>
      </c>
      <c r="E4379" s="17">
        <v>46104</v>
      </c>
      <c r="F4379" s="17">
        <v>46104</v>
      </c>
      <c r="G4379" s="13">
        <v>60</v>
      </c>
      <c r="H4379" s="14">
        <v>0</v>
      </c>
      <c r="I4379" s="14">
        <v>0</v>
      </c>
      <c r="J4379" s="14">
        <v>0</v>
      </c>
      <c r="K4379" s="14">
        <v>60</v>
      </c>
      <c r="L4379" t="s">
        <v>794</v>
      </c>
      <c r="M4379" s="23">
        <f t="shared" si="68"/>
        <v>2026</v>
      </c>
    </row>
    <row r="4380" spans="1:13" ht="12.75" hidden="1" customHeight="1">
      <c r="A4380" t="s">
        <v>1455</v>
      </c>
      <c r="B4380" t="s">
        <v>701</v>
      </c>
      <c r="C4380" t="s">
        <v>702</v>
      </c>
      <c r="D4380" t="s">
        <v>1445</v>
      </c>
      <c r="E4380" s="17">
        <v>46106</v>
      </c>
      <c r="F4380" s="17">
        <v>46106</v>
      </c>
      <c r="G4380" s="13">
        <v>12.5</v>
      </c>
      <c r="H4380" s="14">
        <v>0</v>
      </c>
      <c r="I4380" s="14">
        <v>0</v>
      </c>
      <c r="J4380" s="14">
        <v>0</v>
      </c>
      <c r="K4380" s="14">
        <v>12.5</v>
      </c>
      <c r="L4380" t="s">
        <v>794</v>
      </c>
      <c r="M4380" s="23">
        <f t="shared" si="68"/>
        <v>2026</v>
      </c>
    </row>
    <row r="4381" spans="1:13" ht="12.75" hidden="1" customHeight="1">
      <c r="A4381" t="s">
        <v>921</v>
      </c>
      <c r="B4381" t="s">
        <v>184</v>
      </c>
      <c r="C4381" t="s">
        <v>646</v>
      </c>
      <c r="D4381" t="s">
        <v>1445</v>
      </c>
      <c r="E4381" s="17">
        <v>46106</v>
      </c>
      <c r="F4381" s="17">
        <v>46106</v>
      </c>
      <c r="G4381" s="13">
        <v>91.960000000000008</v>
      </c>
      <c r="H4381" s="14">
        <v>0</v>
      </c>
      <c r="I4381" s="14">
        <v>0</v>
      </c>
      <c r="J4381" s="14">
        <v>0</v>
      </c>
      <c r="K4381" s="14">
        <v>91.960000000000008</v>
      </c>
      <c r="L4381" t="s">
        <v>794</v>
      </c>
      <c r="M4381" s="23">
        <f t="shared" ref="M4381:M4442" si="69">YEAR(F4381)</f>
        <v>2026</v>
      </c>
    </row>
    <row r="4382" spans="1:13" ht="12.75" hidden="1" customHeight="1">
      <c r="A4382" t="s">
        <v>921</v>
      </c>
      <c r="B4382" t="s">
        <v>184</v>
      </c>
      <c r="C4382" t="s">
        <v>491</v>
      </c>
      <c r="D4382" t="s">
        <v>1445</v>
      </c>
      <c r="E4382" s="17">
        <v>46106</v>
      </c>
      <c r="F4382" s="17">
        <v>46106</v>
      </c>
      <c r="G4382" s="13">
        <v>20</v>
      </c>
      <c r="H4382" s="14">
        <v>0</v>
      </c>
      <c r="I4382" s="14">
        <v>0</v>
      </c>
      <c r="J4382" s="14">
        <v>0</v>
      </c>
      <c r="K4382" s="14">
        <v>20</v>
      </c>
      <c r="L4382" t="s">
        <v>794</v>
      </c>
      <c r="M4382" s="23">
        <f t="shared" si="69"/>
        <v>2026</v>
      </c>
    </row>
    <row r="4383" spans="1:13" ht="12.75" hidden="1" customHeight="1">
      <c r="A4383" t="s">
        <v>852</v>
      </c>
      <c r="B4383" t="s">
        <v>342</v>
      </c>
      <c r="C4383" t="s">
        <v>558</v>
      </c>
      <c r="D4383" t="s">
        <v>1445</v>
      </c>
      <c r="E4383" s="17">
        <v>46106</v>
      </c>
      <c r="F4383" s="17">
        <v>46106</v>
      </c>
      <c r="G4383" s="13">
        <v>45.38</v>
      </c>
      <c r="H4383" s="14">
        <v>0</v>
      </c>
      <c r="I4383" s="14">
        <v>0</v>
      </c>
      <c r="J4383" s="14">
        <v>0</v>
      </c>
      <c r="K4383" s="14">
        <v>45.38</v>
      </c>
      <c r="L4383" t="s">
        <v>794</v>
      </c>
      <c r="M4383" s="23">
        <f t="shared" si="69"/>
        <v>2026</v>
      </c>
    </row>
    <row r="4384" spans="1:13" ht="12.75" hidden="1" customHeight="1">
      <c r="A4384" t="s">
        <v>852</v>
      </c>
      <c r="B4384" t="s">
        <v>342</v>
      </c>
      <c r="C4384" t="s">
        <v>483</v>
      </c>
      <c r="D4384" t="s">
        <v>1445</v>
      </c>
      <c r="E4384" s="17">
        <v>46107</v>
      </c>
      <c r="F4384" s="17">
        <v>46107</v>
      </c>
      <c r="G4384" s="13">
        <v>100</v>
      </c>
      <c r="H4384" s="14">
        <v>0</v>
      </c>
      <c r="I4384" s="14">
        <v>0</v>
      </c>
      <c r="J4384" s="14">
        <v>0</v>
      </c>
      <c r="K4384" s="14">
        <v>100</v>
      </c>
      <c r="L4384" t="s">
        <v>794</v>
      </c>
      <c r="M4384" s="23">
        <f t="shared" si="69"/>
        <v>2026</v>
      </c>
    </row>
    <row r="4385" spans="1:13" ht="12.75" hidden="1" customHeight="1">
      <c r="A4385" t="s">
        <v>1112</v>
      </c>
      <c r="B4385" t="s">
        <v>68</v>
      </c>
      <c r="C4385" t="s">
        <v>483</v>
      </c>
      <c r="D4385" t="s">
        <v>1445</v>
      </c>
      <c r="E4385" s="17">
        <v>46107</v>
      </c>
      <c r="F4385" s="17">
        <v>46107</v>
      </c>
      <c r="G4385" s="13">
        <v>17.2</v>
      </c>
      <c r="H4385" s="14">
        <v>0</v>
      </c>
      <c r="I4385" s="14">
        <v>0</v>
      </c>
      <c r="J4385" s="14">
        <v>0</v>
      </c>
      <c r="K4385" s="14">
        <v>17.2</v>
      </c>
      <c r="L4385" t="s">
        <v>794</v>
      </c>
      <c r="M4385" s="23">
        <f t="shared" si="69"/>
        <v>2026</v>
      </c>
    </row>
    <row r="4386" spans="1:13" ht="12.75" hidden="1" customHeight="1">
      <c r="A4386" t="s">
        <v>806</v>
      </c>
      <c r="B4386" t="s">
        <v>19</v>
      </c>
      <c r="C4386" t="s">
        <v>483</v>
      </c>
      <c r="D4386" t="s">
        <v>1445</v>
      </c>
      <c r="E4386" s="17">
        <v>46108</v>
      </c>
      <c r="F4386" s="17">
        <v>46108</v>
      </c>
      <c r="G4386" s="13">
        <v>400</v>
      </c>
      <c r="H4386" s="14">
        <v>0</v>
      </c>
      <c r="I4386" s="14">
        <v>0</v>
      </c>
      <c r="J4386" s="14">
        <v>0</v>
      </c>
      <c r="K4386" s="14">
        <v>400</v>
      </c>
      <c r="L4386" t="s">
        <v>794</v>
      </c>
      <c r="M4386" s="23">
        <f t="shared" si="69"/>
        <v>2026</v>
      </c>
    </row>
    <row r="4387" spans="1:13" ht="12.75" hidden="1" customHeight="1">
      <c r="A4387" t="s">
        <v>806</v>
      </c>
      <c r="B4387" t="s">
        <v>19</v>
      </c>
      <c r="C4387" t="s">
        <v>483</v>
      </c>
      <c r="D4387" t="s">
        <v>1445</v>
      </c>
      <c r="E4387" s="17">
        <v>46108</v>
      </c>
      <c r="F4387" s="17">
        <v>46108</v>
      </c>
      <c r="G4387" s="13">
        <v>500</v>
      </c>
      <c r="H4387" s="14">
        <v>0</v>
      </c>
      <c r="I4387" s="14">
        <v>0</v>
      </c>
      <c r="J4387" s="14">
        <v>0</v>
      </c>
      <c r="K4387" s="14">
        <v>500</v>
      </c>
      <c r="L4387" t="s">
        <v>794</v>
      </c>
      <c r="M4387" s="23">
        <f t="shared" si="69"/>
        <v>2026</v>
      </c>
    </row>
    <row r="4388" spans="1:13" ht="12.75" hidden="1" customHeight="1">
      <c r="A4388" t="s">
        <v>1167</v>
      </c>
      <c r="B4388" t="s">
        <v>47</v>
      </c>
      <c r="C4388" t="s">
        <v>141</v>
      </c>
      <c r="D4388" t="s">
        <v>1445</v>
      </c>
      <c r="E4388" s="17">
        <v>46108</v>
      </c>
      <c r="F4388" s="17">
        <v>46108</v>
      </c>
      <c r="G4388" s="13">
        <v>150</v>
      </c>
      <c r="H4388" s="14">
        <v>0</v>
      </c>
      <c r="I4388" s="14">
        <v>0</v>
      </c>
      <c r="J4388" s="14">
        <v>0</v>
      </c>
      <c r="K4388" s="14">
        <v>150</v>
      </c>
      <c r="L4388" t="s">
        <v>794</v>
      </c>
      <c r="M4388" s="23">
        <f t="shared" si="69"/>
        <v>2026</v>
      </c>
    </row>
    <row r="4389" spans="1:13" ht="12.75" hidden="1" customHeight="1">
      <c r="A4389" t="s">
        <v>1456</v>
      </c>
      <c r="B4389" t="s">
        <v>709</v>
      </c>
      <c r="C4389" t="s">
        <v>710</v>
      </c>
      <c r="D4389" t="s">
        <v>1445</v>
      </c>
      <c r="E4389" s="17">
        <v>46108</v>
      </c>
      <c r="F4389" s="17">
        <v>46108</v>
      </c>
      <c r="G4389" s="13">
        <v>6</v>
      </c>
      <c r="H4389" s="14">
        <v>0</v>
      </c>
      <c r="I4389" s="14">
        <v>0</v>
      </c>
      <c r="J4389" s="14">
        <v>0</v>
      </c>
      <c r="K4389" s="14">
        <v>6</v>
      </c>
      <c r="L4389" t="s">
        <v>794</v>
      </c>
      <c r="M4389" s="23">
        <f t="shared" si="69"/>
        <v>2026</v>
      </c>
    </row>
    <row r="4390" spans="1:13" ht="12.75" hidden="1" customHeight="1">
      <c r="A4390" t="s">
        <v>1144</v>
      </c>
      <c r="B4390" t="s">
        <v>389</v>
      </c>
      <c r="C4390" t="s">
        <v>491</v>
      </c>
      <c r="D4390" t="s">
        <v>1445</v>
      </c>
      <c r="E4390" s="17">
        <v>46108</v>
      </c>
      <c r="F4390" s="17">
        <v>46108</v>
      </c>
      <c r="G4390" s="13">
        <v>90</v>
      </c>
      <c r="H4390" s="14">
        <v>0</v>
      </c>
      <c r="I4390" s="14">
        <v>0</v>
      </c>
      <c r="J4390" s="14">
        <v>0</v>
      </c>
      <c r="K4390" s="14">
        <v>90</v>
      </c>
      <c r="L4390" t="s">
        <v>794</v>
      </c>
      <c r="M4390" s="23">
        <f t="shared" si="69"/>
        <v>2026</v>
      </c>
    </row>
    <row r="4391" spans="1:13" ht="12.75" hidden="1" customHeight="1">
      <c r="A4391" t="s">
        <v>907</v>
      </c>
      <c r="B4391" t="s">
        <v>291</v>
      </c>
      <c r="C4391" t="s">
        <v>483</v>
      </c>
      <c r="D4391" t="s">
        <v>1445</v>
      </c>
      <c r="E4391" s="17">
        <v>46108</v>
      </c>
      <c r="F4391" s="17">
        <v>46108</v>
      </c>
      <c r="G4391" s="13">
        <v>8.4</v>
      </c>
      <c r="H4391" s="14">
        <v>0</v>
      </c>
      <c r="I4391" s="14">
        <v>0</v>
      </c>
      <c r="J4391" s="14">
        <v>0</v>
      </c>
      <c r="K4391" s="14">
        <v>8.4</v>
      </c>
      <c r="L4391" t="s">
        <v>794</v>
      </c>
      <c r="M4391" s="23">
        <f t="shared" si="69"/>
        <v>2026</v>
      </c>
    </row>
    <row r="4392" spans="1:13" ht="12.75" hidden="1" customHeight="1">
      <c r="A4392" t="s">
        <v>1457</v>
      </c>
      <c r="B4392" t="s">
        <v>490</v>
      </c>
      <c r="C4392" t="s">
        <v>491</v>
      </c>
      <c r="D4392" t="s">
        <v>1445</v>
      </c>
      <c r="E4392" s="17">
        <v>46109</v>
      </c>
      <c r="F4392" s="17">
        <v>46109</v>
      </c>
      <c r="G4392" s="13">
        <v>120</v>
      </c>
      <c r="H4392" s="14">
        <v>0</v>
      </c>
      <c r="I4392" s="14">
        <v>0</v>
      </c>
      <c r="J4392" s="14">
        <v>0</v>
      </c>
      <c r="K4392" s="14">
        <v>120</v>
      </c>
      <c r="L4392" t="s">
        <v>794</v>
      </c>
      <c r="M4392" s="23">
        <f t="shared" si="69"/>
        <v>2026</v>
      </c>
    </row>
    <row r="4393" spans="1:13" ht="12.75" hidden="1" customHeight="1">
      <c r="A4393" t="s">
        <v>1121</v>
      </c>
      <c r="B4393" t="s">
        <v>295</v>
      </c>
      <c r="C4393" t="s">
        <v>142</v>
      </c>
      <c r="D4393" t="s">
        <v>1445</v>
      </c>
      <c r="E4393" s="17">
        <v>46111</v>
      </c>
      <c r="F4393" s="17">
        <v>46111</v>
      </c>
      <c r="G4393" s="13">
        <v>40</v>
      </c>
      <c r="H4393" s="14">
        <v>0</v>
      </c>
      <c r="I4393" s="14">
        <v>0</v>
      </c>
      <c r="J4393" s="14">
        <v>0</v>
      </c>
      <c r="K4393" s="14">
        <v>40</v>
      </c>
      <c r="L4393" t="s">
        <v>794</v>
      </c>
      <c r="M4393" s="23">
        <f t="shared" si="69"/>
        <v>2026</v>
      </c>
    </row>
    <row r="4394" spans="1:13" ht="12.75" hidden="1" customHeight="1">
      <c r="A4394" t="s">
        <v>957</v>
      </c>
      <c r="B4394" t="s">
        <v>236</v>
      </c>
      <c r="C4394" t="s">
        <v>141</v>
      </c>
      <c r="D4394" t="s">
        <v>1445</v>
      </c>
      <c r="E4394" s="17">
        <v>46111</v>
      </c>
      <c r="F4394" s="17">
        <v>46111</v>
      </c>
      <c r="G4394" s="13">
        <v>250</v>
      </c>
      <c r="H4394" s="14">
        <v>0</v>
      </c>
      <c r="I4394" s="14">
        <v>0</v>
      </c>
      <c r="J4394" s="14">
        <v>0</v>
      </c>
      <c r="K4394" s="14">
        <v>250</v>
      </c>
      <c r="L4394" t="s">
        <v>794</v>
      </c>
      <c r="M4394" s="23">
        <f t="shared" si="69"/>
        <v>2026</v>
      </c>
    </row>
    <row r="4395" spans="1:13" ht="12.75" hidden="1" customHeight="1">
      <c r="A4395" t="s">
        <v>899</v>
      </c>
      <c r="B4395" t="s">
        <v>559</v>
      </c>
      <c r="C4395" t="s">
        <v>398</v>
      </c>
      <c r="D4395" t="s">
        <v>1445</v>
      </c>
      <c r="E4395" s="17">
        <v>46111</v>
      </c>
      <c r="F4395" s="17">
        <v>46111</v>
      </c>
      <c r="G4395" s="13">
        <v>4</v>
      </c>
      <c r="H4395" s="14">
        <v>0</v>
      </c>
      <c r="I4395" s="14">
        <v>0</v>
      </c>
      <c r="J4395" s="14">
        <v>0</v>
      </c>
      <c r="K4395" s="14">
        <v>4</v>
      </c>
      <c r="L4395" t="s">
        <v>794</v>
      </c>
      <c r="M4395" s="23">
        <f t="shared" si="69"/>
        <v>2026</v>
      </c>
    </row>
    <row r="4396" spans="1:13" ht="12.75" hidden="1" customHeight="1">
      <c r="A4396" t="s">
        <v>818</v>
      </c>
      <c r="B4396" t="s">
        <v>30</v>
      </c>
      <c r="C4396" t="s">
        <v>141</v>
      </c>
      <c r="D4396" t="s">
        <v>1445</v>
      </c>
      <c r="E4396" s="17">
        <v>46111</v>
      </c>
      <c r="F4396" s="17">
        <v>46111</v>
      </c>
      <c r="G4396" s="13">
        <v>40</v>
      </c>
      <c r="H4396" s="14">
        <v>0</v>
      </c>
      <c r="I4396" s="14">
        <v>0</v>
      </c>
      <c r="J4396" s="14">
        <v>0</v>
      </c>
      <c r="K4396" s="14">
        <v>40</v>
      </c>
      <c r="L4396" t="s">
        <v>794</v>
      </c>
      <c r="M4396" s="23">
        <f t="shared" si="69"/>
        <v>2026</v>
      </c>
    </row>
    <row r="4397" spans="1:13" ht="12.75" hidden="1" customHeight="1">
      <c r="A4397" t="s">
        <v>1316</v>
      </c>
      <c r="B4397" t="s">
        <v>59</v>
      </c>
      <c r="C4397" t="s">
        <v>141</v>
      </c>
      <c r="D4397" t="s">
        <v>1445</v>
      </c>
      <c r="E4397" s="17">
        <v>46111</v>
      </c>
      <c r="F4397" s="17">
        <v>46111</v>
      </c>
      <c r="G4397" s="13">
        <v>150</v>
      </c>
      <c r="H4397" s="14">
        <v>0</v>
      </c>
      <c r="I4397" s="14">
        <v>0</v>
      </c>
      <c r="J4397" s="14">
        <v>0</v>
      </c>
      <c r="K4397" s="14">
        <v>150</v>
      </c>
      <c r="L4397" t="s">
        <v>794</v>
      </c>
      <c r="M4397" s="23">
        <f t="shared" si="69"/>
        <v>2026</v>
      </c>
    </row>
    <row r="4398" spans="1:13" ht="12.75" hidden="1" customHeight="1">
      <c r="A4398" t="s">
        <v>1457</v>
      </c>
      <c r="B4398" t="s">
        <v>490</v>
      </c>
      <c r="C4398" t="s">
        <v>491</v>
      </c>
      <c r="D4398" t="s">
        <v>1445</v>
      </c>
      <c r="E4398" s="17">
        <v>46111</v>
      </c>
      <c r="F4398" s="17">
        <v>46111</v>
      </c>
      <c r="G4398" s="13">
        <v>30</v>
      </c>
      <c r="H4398" s="14">
        <v>0</v>
      </c>
      <c r="I4398" s="14">
        <v>0</v>
      </c>
      <c r="J4398" s="14">
        <v>0</v>
      </c>
      <c r="K4398" s="14">
        <v>30</v>
      </c>
      <c r="L4398" t="s">
        <v>794</v>
      </c>
      <c r="M4398" s="23">
        <f t="shared" si="69"/>
        <v>2026</v>
      </c>
    </row>
    <row r="4399" spans="1:13" ht="12.75" hidden="1" customHeight="1">
      <c r="A4399" t="s">
        <v>1458</v>
      </c>
      <c r="B4399" t="s">
        <v>316</v>
      </c>
      <c r="C4399" t="s">
        <v>317</v>
      </c>
      <c r="D4399" t="s">
        <v>1445</v>
      </c>
      <c r="E4399" s="17">
        <v>46112</v>
      </c>
      <c r="F4399" s="17">
        <v>46112</v>
      </c>
      <c r="G4399" s="13">
        <v>0</v>
      </c>
      <c r="K4399" s="14">
        <v>0</v>
      </c>
      <c r="L4399" t="s">
        <v>794</v>
      </c>
      <c r="M4399" s="23">
        <f t="shared" si="69"/>
        <v>2026</v>
      </c>
    </row>
    <row r="4400" spans="1:13" ht="12.75" hidden="1" customHeight="1">
      <c r="A4400" t="s">
        <v>825</v>
      </c>
      <c r="B4400" t="s">
        <v>46</v>
      </c>
      <c r="C4400" t="s">
        <v>139</v>
      </c>
      <c r="D4400" t="s">
        <v>1445</v>
      </c>
      <c r="E4400" s="17">
        <v>46083</v>
      </c>
      <c r="F4400" s="17">
        <v>46083</v>
      </c>
      <c r="G4400" s="13">
        <v>317.2</v>
      </c>
      <c r="H4400" s="14">
        <v>0</v>
      </c>
      <c r="I4400" s="14">
        <v>0</v>
      </c>
      <c r="J4400" s="14">
        <v>0</v>
      </c>
      <c r="K4400" s="14">
        <v>317.2</v>
      </c>
      <c r="L4400" t="s">
        <v>794</v>
      </c>
      <c r="M4400" s="23">
        <f t="shared" si="69"/>
        <v>2026</v>
      </c>
    </row>
    <row r="4401" spans="1:13" ht="12.75" hidden="1" customHeight="1">
      <c r="A4401" t="s">
        <v>825</v>
      </c>
      <c r="B4401" t="s">
        <v>46</v>
      </c>
      <c r="C4401" t="s">
        <v>138</v>
      </c>
      <c r="D4401" t="s">
        <v>1445</v>
      </c>
      <c r="E4401" s="17">
        <v>46083</v>
      </c>
      <c r="F4401" s="17">
        <v>46083</v>
      </c>
      <c r="G4401" s="35">
        <v>255.42000000000002</v>
      </c>
      <c r="H4401" s="14">
        <v>0</v>
      </c>
      <c r="I4401" s="14">
        <v>0</v>
      </c>
      <c r="J4401" s="14">
        <v>0</v>
      </c>
      <c r="K4401" s="14">
        <v>255.42000000000002</v>
      </c>
      <c r="L4401" t="s">
        <v>794</v>
      </c>
      <c r="M4401" s="23">
        <f t="shared" si="69"/>
        <v>2026</v>
      </c>
    </row>
    <row r="4402" spans="1:13" ht="12.75" hidden="1" customHeight="1">
      <c r="A4402" t="s">
        <v>1141</v>
      </c>
      <c r="B4402" t="s">
        <v>69</v>
      </c>
      <c r="C4402" t="s">
        <v>139</v>
      </c>
      <c r="D4402" t="s">
        <v>1445</v>
      </c>
      <c r="E4402" s="17">
        <v>46083</v>
      </c>
      <c r="F4402" s="17">
        <v>46083</v>
      </c>
      <c r="G4402" s="13">
        <v>231.8</v>
      </c>
      <c r="H4402" s="14">
        <v>0</v>
      </c>
      <c r="I4402" s="14">
        <v>0</v>
      </c>
      <c r="J4402" s="14">
        <v>0</v>
      </c>
      <c r="K4402" s="14">
        <v>231.8</v>
      </c>
      <c r="L4402" t="s">
        <v>794</v>
      </c>
      <c r="M4402" s="23">
        <f t="shared" si="69"/>
        <v>2026</v>
      </c>
    </row>
    <row r="4403" spans="1:13" ht="12.75" hidden="1" customHeight="1">
      <c r="A4403" t="s">
        <v>1141</v>
      </c>
      <c r="B4403" t="s">
        <v>69</v>
      </c>
      <c r="C4403" t="s">
        <v>138</v>
      </c>
      <c r="D4403" t="s">
        <v>1445</v>
      </c>
      <c r="E4403" s="17">
        <v>46083</v>
      </c>
      <c r="F4403" s="17">
        <v>46083</v>
      </c>
      <c r="G4403" s="35">
        <v>255.42000000000002</v>
      </c>
      <c r="H4403" s="14">
        <v>0</v>
      </c>
      <c r="I4403" s="14">
        <v>0</v>
      </c>
      <c r="J4403" s="14">
        <v>0</v>
      </c>
      <c r="K4403" s="14">
        <v>255.42000000000002</v>
      </c>
      <c r="L4403" t="s">
        <v>794</v>
      </c>
      <c r="M4403" s="23">
        <f t="shared" si="69"/>
        <v>2026</v>
      </c>
    </row>
    <row r="4404" spans="1:13" ht="12.75" hidden="1" customHeight="1">
      <c r="A4404" t="s">
        <v>1004</v>
      </c>
      <c r="B4404" t="s">
        <v>57</v>
      </c>
      <c r="C4404" t="s">
        <v>139</v>
      </c>
      <c r="D4404" t="s">
        <v>1445</v>
      </c>
      <c r="E4404" s="17">
        <v>46083</v>
      </c>
      <c r="F4404" s="17">
        <v>46083</v>
      </c>
      <c r="G4404" s="13">
        <v>280.60000000000002</v>
      </c>
      <c r="H4404" s="14">
        <v>0</v>
      </c>
      <c r="I4404" s="14">
        <v>0</v>
      </c>
      <c r="J4404" s="14">
        <v>0</v>
      </c>
      <c r="K4404" s="14">
        <v>280.60000000000002</v>
      </c>
      <c r="L4404" t="s">
        <v>794</v>
      </c>
      <c r="M4404" s="23">
        <f t="shared" si="69"/>
        <v>2026</v>
      </c>
    </row>
    <row r="4405" spans="1:13" ht="12.75" hidden="1" customHeight="1">
      <c r="A4405" t="s">
        <v>1004</v>
      </c>
      <c r="B4405" t="s">
        <v>57</v>
      </c>
      <c r="C4405" t="s">
        <v>138</v>
      </c>
      <c r="D4405" t="s">
        <v>1445</v>
      </c>
      <c r="E4405" s="17">
        <v>46083</v>
      </c>
      <c r="F4405" s="17">
        <v>46083</v>
      </c>
      <c r="G4405" s="35">
        <v>255.42000000000002</v>
      </c>
      <c r="H4405" s="14">
        <v>0</v>
      </c>
      <c r="I4405" s="14">
        <v>0</v>
      </c>
      <c r="J4405" s="14">
        <v>0</v>
      </c>
      <c r="K4405" s="14">
        <v>255.42000000000002</v>
      </c>
      <c r="L4405" t="s">
        <v>794</v>
      </c>
      <c r="M4405" s="23">
        <f t="shared" si="69"/>
        <v>2026</v>
      </c>
    </row>
    <row r="4406" spans="1:13" ht="12.75" hidden="1" customHeight="1">
      <c r="A4406" t="s">
        <v>819</v>
      </c>
      <c r="B4406" t="s">
        <v>38</v>
      </c>
      <c r="C4406" t="s">
        <v>139</v>
      </c>
      <c r="D4406" t="s">
        <v>1445</v>
      </c>
      <c r="E4406" s="17">
        <v>46083</v>
      </c>
      <c r="F4406" s="17">
        <v>46083</v>
      </c>
      <c r="G4406" s="13">
        <v>546</v>
      </c>
      <c r="H4406" s="14">
        <v>0</v>
      </c>
      <c r="I4406" s="14">
        <v>0</v>
      </c>
      <c r="J4406" s="14">
        <v>0</v>
      </c>
      <c r="K4406" s="14">
        <v>546</v>
      </c>
      <c r="L4406" t="s">
        <v>794</v>
      </c>
      <c r="M4406" s="23">
        <f t="shared" si="69"/>
        <v>2026</v>
      </c>
    </row>
    <row r="4407" spans="1:13" ht="12.75" hidden="1" customHeight="1">
      <c r="A4407" t="s">
        <v>819</v>
      </c>
      <c r="B4407" t="s">
        <v>38</v>
      </c>
      <c r="C4407" t="s">
        <v>138</v>
      </c>
      <c r="D4407" t="s">
        <v>1445</v>
      </c>
      <c r="E4407" s="17">
        <v>46083</v>
      </c>
      <c r="F4407" s="17">
        <v>46083</v>
      </c>
      <c r="G4407" s="13">
        <v>255.42000000000002</v>
      </c>
      <c r="H4407" s="14">
        <v>0</v>
      </c>
      <c r="I4407" s="14">
        <v>0</v>
      </c>
      <c r="J4407" s="14">
        <v>0</v>
      </c>
      <c r="K4407" s="14">
        <v>255.42000000000002</v>
      </c>
      <c r="L4407" t="s">
        <v>794</v>
      </c>
      <c r="M4407" s="23">
        <f t="shared" si="69"/>
        <v>2026</v>
      </c>
    </row>
    <row r="4408" spans="1:13" ht="12.75" hidden="1" customHeight="1">
      <c r="A4408" t="s">
        <v>1112</v>
      </c>
      <c r="B4408" t="s">
        <v>68</v>
      </c>
      <c r="C4408" t="s">
        <v>139</v>
      </c>
      <c r="D4408" t="s">
        <v>1445</v>
      </c>
      <c r="E4408" s="17">
        <v>46083</v>
      </c>
      <c r="F4408" s="17">
        <v>46083</v>
      </c>
      <c r="G4408" s="13">
        <v>256.2</v>
      </c>
      <c r="H4408" s="14">
        <v>0</v>
      </c>
      <c r="I4408" s="14">
        <v>0</v>
      </c>
      <c r="J4408" s="14">
        <v>0</v>
      </c>
      <c r="K4408" s="14">
        <v>256.2</v>
      </c>
      <c r="L4408" t="s">
        <v>794</v>
      </c>
      <c r="M4408" s="23">
        <f t="shared" si="69"/>
        <v>2026</v>
      </c>
    </row>
    <row r="4409" spans="1:13" ht="12.75" hidden="1" customHeight="1">
      <c r="A4409" t="s">
        <v>1173</v>
      </c>
      <c r="B4409" t="s">
        <v>45</v>
      </c>
      <c r="C4409" t="s">
        <v>139</v>
      </c>
      <c r="D4409" t="s">
        <v>1445</v>
      </c>
      <c r="E4409" s="17">
        <v>46083</v>
      </c>
      <c r="F4409" s="17">
        <v>46083</v>
      </c>
      <c r="G4409" s="13">
        <v>412.72</v>
      </c>
      <c r="H4409" s="14">
        <v>0</v>
      </c>
      <c r="I4409" s="14">
        <v>0</v>
      </c>
      <c r="J4409" s="14">
        <v>0</v>
      </c>
      <c r="K4409" s="14">
        <v>412.72</v>
      </c>
      <c r="L4409" t="s">
        <v>794</v>
      </c>
      <c r="M4409" s="23">
        <f t="shared" si="69"/>
        <v>2026</v>
      </c>
    </row>
    <row r="4410" spans="1:13" ht="12.75" hidden="1" customHeight="1">
      <c r="A4410" t="s">
        <v>1173</v>
      </c>
      <c r="B4410" t="s">
        <v>45</v>
      </c>
      <c r="C4410" t="s">
        <v>138</v>
      </c>
      <c r="D4410" t="s">
        <v>1445</v>
      </c>
      <c r="E4410" s="17">
        <v>46083</v>
      </c>
      <c r="F4410" s="17">
        <v>46083</v>
      </c>
      <c r="G4410" s="35">
        <v>255.42000000000002</v>
      </c>
      <c r="H4410" s="14">
        <v>0</v>
      </c>
      <c r="I4410" s="14">
        <v>0</v>
      </c>
      <c r="J4410" s="14">
        <v>0</v>
      </c>
      <c r="K4410" s="14">
        <v>255.42000000000002</v>
      </c>
      <c r="L4410" t="s">
        <v>794</v>
      </c>
      <c r="M4410" s="23">
        <f t="shared" si="69"/>
        <v>2026</v>
      </c>
    </row>
    <row r="4411" spans="1:13" ht="12.75" hidden="1" customHeight="1">
      <c r="A4411" t="s">
        <v>833</v>
      </c>
      <c r="B4411" t="s">
        <v>27</v>
      </c>
      <c r="C4411" t="s">
        <v>139</v>
      </c>
      <c r="D4411" t="s">
        <v>1445</v>
      </c>
      <c r="E4411" s="17">
        <v>46083</v>
      </c>
      <c r="F4411" s="17">
        <v>46083</v>
      </c>
      <c r="G4411" s="13">
        <v>452.8</v>
      </c>
      <c r="H4411" s="14">
        <v>0</v>
      </c>
      <c r="I4411" s="14">
        <v>0</v>
      </c>
      <c r="J4411" s="14">
        <v>0</v>
      </c>
      <c r="K4411" s="14">
        <v>452.8</v>
      </c>
      <c r="L4411" t="s">
        <v>794</v>
      </c>
      <c r="M4411" s="23">
        <f t="shared" si="69"/>
        <v>2026</v>
      </c>
    </row>
    <row r="4412" spans="1:13" ht="12.75" hidden="1" customHeight="1">
      <c r="A4412" t="s">
        <v>833</v>
      </c>
      <c r="B4412" t="s">
        <v>27</v>
      </c>
      <c r="C4412" t="s">
        <v>138</v>
      </c>
      <c r="D4412" t="s">
        <v>1445</v>
      </c>
      <c r="E4412" s="17">
        <v>46083</v>
      </c>
      <c r="F4412" s="17">
        <v>46083</v>
      </c>
      <c r="G4412" s="13">
        <v>255.42000000000002</v>
      </c>
      <c r="H4412" s="14">
        <v>0</v>
      </c>
      <c r="I4412" s="14">
        <v>0</v>
      </c>
      <c r="J4412" s="14">
        <v>0</v>
      </c>
      <c r="K4412" s="14">
        <v>255.42000000000002</v>
      </c>
      <c r="L4412" t="s">
        <v>794</v>
      </c>
      <c r="M4412" s="23">
        <f t="shared" si="69"/>
        <v>2026</v>
      </c>
    </row>
    <row r="4413" spans="1:13" ht="12.75" hidden="1" customHeight="1">
      <c r="A4413" t="s">
        <v>1420</v>
      </c>
      <c r="B4413" t="s">
        <v>136</v>
      </c>
      <c r="C4413" t="s">
        <v>139</v>
      </c>
      <c r="D4413" t="s">
        <v>1445</v>
      </c>
      <c r="E4413" s="17">
        <v>46083</v>
      </c>
      <c r="F4413" s="17">
        <v>46083</v>
      </c>
      <c r="G4413" s="13">
        <v>305</v>
      </c>
      <c r="H4413" s="14">
        <v>0</v>
      </c>
      <c r="I4413" s="14">
        <v>0</v>
      </c>
      <c r="J4413" s="14">
        <v>0</v>
      </c>
      <c r="K4413" s="14">
        <v>305</v>
      </c>
      <c r="L4413" t="s">
        <v>794</v>
      </c>
      <c r="M4413" s="23">
        <f t="shared" si="69"/>
        <v>2026</v>
      </c>
    </row>
    <row r="4414" spans="1:13" ht="12.75" hidden="1" customHeight="1">
      <c r="A4414" t="s">
        <v>1420</v>
      </c>
      <c r="B4414" t="s">
        <v>136</v>
      </c>
      <c r="C4414" t="s">
        <v>138</v>
      </c>
      <c r="D4414" t="s">
        <v>1445</v>
      </c>
      <c r="E4414" s="17">
        <v>46083</v>
      </c>
      <c r="F4414" s="17">
        <v>46083</v>
      </c>
      <c r="G4414" s="35">
        <v>255.42000000000002</v>
      </c>
      <c r="H4414" s="14">
        <v>0</v>
      </c>
      <c r="I4414" s="14">
        <v>0</v>
      </c>
      <c r="J4414" s="14">
        <v>0</v>
      </c>
      <c r="K4414" s="14">
        <v>255.42000000000002</v>
      </c>
      <c r="L4414" t="s">
        <v>794</v>
      </c>
      <c r="M4414" s="23">
        <f t="shared" si="69"/>
        <v>2026</v>
      </c>
    </row>
    <row r="4415" spans="1:13" ht="12.75" hidden="1" customHeight="1">
      <c r="A4415" t="s">
        <v>1062</v>
      </c>
      <c r="B4415" t="s">
        <v>335</v>
      </c>
      <c r="C4415" t="s">
        <v>139</v>
      </c>
      <c r="D4415" t="s">
        <v>1445</v>
      </c>
      <c r="E4415" s="17">
        <v>46083</v>
      </c>
      <c r="F4415" s="17">
        <v>46083</v>
      </c>
      <c r="G4415" s="13">
        <v>393.96000000000004</v>
      </c>
      <c r="H4415" s="14">
        <v>0</v>
      </c>
      <c r="I4415" s="14">
        <v>0</v>
      </c>
      <c r="J4415" s="14">
        <v>0</v>
      </c>
      <c r="K4415" s="14">
        <v>393.96000000000004</v>
      </c>
      <c r="L4415" t="s">
        <v>794</v>
      </c>
      <c r="M4415" s="23">
        <f t="shared" si="69"/>
        <v>2026</v>
      </c>
    </row>
    <row r="4416" spans="1:13" ht="12.75" hidden="1" customHeight="1">
      <c r="A4416" t="s">
        <v>1062</v>
      </c>
      <c r="B4416" t="s">
        <v>335</v>
      </c>
      <c r="C4416" t="s">
        <v>138</v>
      </c>
      <c r="D4416" t="s">
        <v>1445</v>
      </c>
      <c r="E4416" s="17">
        <v>46083</v>
      </c>
      <c r="F4416" s="17">
        <v>46083</v>
      </c>
      <c r="G4416" s="35">
        <v>255.42000000000002</v>
      </c>
      <c r="H4416" s="14">
        <v>0</v>
      </c>
      <c r="I4416" s="14">
        <v>0</v>
      </c>
      <c r="J4416" s="14">
        <v>0</v>
      </c>
      <c r="K4416" s="14">
        <v>255.42000000000002</v>
      </c>
      <c r="L4416" t="s">
        <v>794</v>
      </c>
      <c r="M4416" s="23">
        <f t="shared" si="69"/>
        <v>2026</v>
      </c>
    </row>
    <row r="4417" spans="1:13" ht="12.75" hidden="1" customHeight="1">
      <c r="A4417" t="s">
        <v>826</v>
      </c>
      <c r="B4417" t="s">
        <v>21</v>
      </c>
      <c r="C4417" t="s">
        <v>139</v>
      </c>
      <c r="D4417" t="s">
        <v>1445</v>
      </c>
      <c r="E4417" s="17">
        <v>46083</v>
      </c>
      <c r="F4417" s="17">
        <v>46083</v>
      </c>
      <c r="G4417" s="13">
        <v>555</v>
      </c>
      <c r="H4417" s="14">
        <v>0</v>
      </c>
      <c r="I4417" s="14">
        <v>0</v>
      </c>
      <c r="J4417" s="14">
        <v>0</v>
      </c>
      <c r="K4417" s="14">
        <v>555</v>
      </c>
      <c r="L4417" t="s">
        <v>794</v>
      </c>
      <c r="M4417" s="23">
        <f t="shared" si="69"/>
        <v>2026</v>
      </c>
    </row>
    <row r="4418" spans="1:13" ht="12.75" hidden="1" customHeight="1">
      <c r="A4418" t="s">
        <v>818</v>
      </c>
      <c r="B4418" t="s">
        <v>30</v>
      </c>
      <c r="C4418" t="s">
        <v>139</v>
      </c>
      <c r="D4418" t="s">
        <v>1445</v>
      </c>
      <c r="E4418" s="17">
        <v>46083</v>
      </c>
      <c r="F4418" s="17">
        <v>46083</v>
      </c>
      <c r="G4418" s="13">
        <v>323</v>
      </c>
      <c r="H4418" s="14">
        <v>0</v>
      </c>
      <c r="I4418" s="14">
        <v>0</v>
      </c>
      <c r="J4418" s="14">
        <v>0</v>
      </c>
      <c r="K4418" s="14">
        <v>323</v>
      </c>
      <c r="L4418" t="s">
        <v>794</v>
      </c>
      <c r="M4418" s="23">
        <f t="shared" si="69"/>
        <v>2026</v>
      </c>
    </row>
    <row r="4419" spans="1:13" ht="12.75" hidden="1" customHeight="1">
      <c r="A4419" t="s">
        <v>818</v>
      </c>
      <c r="B4419" t="s">
        <v>30</v>
      </c>
      <c r="C4419" t="s">
        <v>138</v>
      </c>
      <c r="D4419" t="s">
        <v>1445</v>
      </c>
      <c r="E4419" s="17">
        <v>46083</v>
      </c>
      <c r="F4419" s="17">
        <v>46083</v>
      </c>
      <c r="G4419" s="35">
        <v>255.42000000000002</v>
      </c>
      <c r="H4419" s="14">
        <v>0</v>
      </c>
      <c r="I4419" s="14">
        <v>0</v>
      </c>
      <c r="J4419" s="14">
        <v>0</v>
      </c>
      <c r="K4419" s="14">
        <v>255.42000000000002</v>
      </c>
      <c r="L4419" t="s">
        <v>794</v>
      </c>
      <c r="M4419" s="23">
        <f t="shared" si="69"/>
        <v>2026</v>
      </c>
    </row>
    <row r="4420" spans="1:13" ht="12.75" hidden="1" customHeight="1">
      <c r="A4420" t="s">
        <v>1317</v>
      </c>
      <c r="B4420" t="s">
        <v>64</v>
      </c>
      <c r="C4420" t="s">
        <v>139</v>
      </c>
      <c r="D4420" t="s">
        <v>1445</v>
      </c>
      <c r="E4420" s="17">
        <v>46083</v>
      </c>
      <c r="F4420" s="17">
        <v>46083</v>
      </c>
      <c r="G4420" s="13">
        <v>450.24</v>
      </c>
      <c r="H4420" s="14">
        <v>0</v>
      </c>
      <c r="I4420" s="14">
        <v>0</v>
      </c>
      <c r="J4420" s="14">
        <v>0</v>
      </c>
      <c r="K4420" s="14">
        <v>450.24</v>
      </c>
      <c r="L4420" t="s">
        <v>794</v>
      </c>
      <c r="M4420" s="23">
        <f t="shared" si="69"/>
        <v>2026</v>
      </c>
    </row>
    <row r="4421" spans="1:13" ht="12.75" hidden="1" customHeight="1">
      <c r="A4421" t="s">
        <v>1317</v>
      </c>
      <c r="B4421" t="s">
        <v>64</v>
      </c>
      <c r="C4421" t="s">
        <v>138</v>
      </c>
      <c r="D4421" t="s">
        <v>1445</v>
      </c>
      <c r="E4421" s="17">
        <v>46083</v>
      </c>
      <c r="F4421" s="17">
        <v>46083</v>
      </c>
      <c r="G4421" s="35">
        <v>255.42000000000002</v>
      </c>
      <c r="H4421" s="14">
        <v>0</v>
      </c>
      <c r="I4421" s="14">
        <v>0</v>
      </c>
      <c r="J4421" s="14">
        <v>0</v>
      </c>
      <c r="K4421" s="14">
        <v>255.42000000000002</v>
      </c>
      <c r="L4421" t="s">
        <v>794</v>
      </c>
      <c r="M4421" s="23">
        <f t="shared" si="69"/>
        <v>2026</v>
      </c>
    </row>
    <row r="4422" spans="1:13" ht="12.75" hidden="1" customHeight="1">
      <c r="A4422" t="s">
        <v>1316</v>
      </c>
      <c r="B4422" t="s">
        <v>59</v>
      </c>
      <c r="C4422" t="s">
        <v>139</v>
      </c>
      <c r="D4422" t="s">
        <v>1445</v>
      </c>
      <c r="E4422" s="17">
        <v>46083</v>
      </c>
      <c r="F4422" s="17">
        <v>46083</v>
      </c>
      <c r="G4422" s="13">
        <v>487.76</v>
      </c>
      <c r="H4422" s="14">
        <v>0</v>
      </c>
      <c r="I4422" s="14">
        <v>0</v>
      </c>
      <c r="J4422" s="14">
        <v>0</v>
      </c>
      <c r="K4422" s="14">
        <v>487.76</v>
      </c>
      <c r="L4422" t="s">
        <v>794</v>
      </c>
      <c r="M4422" s="23">
        <f t="shared" si="69"/>
        <v>2026</v>
      </c>
    </row>
    <row r="4423" spans="1:13" ht="12.75" hidden="1" customHeight="1">
      <c r="A4423" t="s">
        <v>1316</v>
      </c>
      <c r="B4423" t="s">
        <v>59</v>
      </c>
      <c r="C4423" t="s">
        <v>138</v>
      </c>
      <c r="D4423" t="s">
        <v>1445</v>
      </c>
      <c r="E4423" s="17">
        <v>46083</v>
      </c>
      <c r="F4423" s="17">
        <v>46083</v>
      </c>
      <c r="G4423" s="35">
        <v>255.42000000000002</v>
      </c>
      <c r="H4423" s="14">
        <v>0</v>
      </c>
      <c r="I4423" s="14">
        <v>0</v>
      </c>
      <c r="J4423" s="14">
        <v>0</v>
      </c>
      <c r="K4423" s="14">
        <v>255.42000000000002</v>
      </c>
      <c r="L4423" t="s">
        <v>794</v>
      </c>
      <c r="M4423" s="23">
        <f t="shared" si="69"/>
        <v>2026</v>
      </c>
    </row>
    <row r="4424" spans="1:13" ht="12.75" hidden="1" customHeight="1">
      <c r="A4424" t="s">
        <v>1196</v>
      </c>
      <c r="B4424" t="s">
        <v>1197</v>
      </c>
      <c r="C4424" t="s">
        <v>139</v>
      </c>
      <c r="D4424" t="s">
        <v>1445</v>
      </c>
      <c r="E4424" s="17">
        <v>46083</v>
      </c>
      <c r="F4424" s="17">
        <v>46083</v>
      </c>
      <c r="G4424" s="13">
        <v>412.72</v>
      </c>
      <c r="H4424" s="14">
        <v>0</v>
      </c>
      <c r="I4424" s="14">
        <v>0</v>
      </c>
      <c r="J4424" s="14">
        <v>0</v>
      </c>
      <c r="K4424" s="14">
        <v>412.72</v>
      </c>
      <c r="L4424" t="s">
        <v>794</v>
      </c>
      <c r="M4424" s="23">
        <f t="shared" si="69"/>
        <v>2026</v>
      </c>
    </row>
    <row r="4425" spans="1:13" ht="12.75" hidden="1" customHeight="1">
      <c r="A4425" t="s">
        <v>1196</v>
      </c>
      <c r="B4425" t="s">
        <v>1197</v>
      </c>
      <c r="C4425" t="s">
        <v>138</v>
      </c>
      <c r="D4425" t="s">
        <v>1445</v>
      </c>
      <c r="E4425" s="17">
        <v>46083</v>
      </c>
      <c r="F4425" s="17">
        <v>46083</v>
      </c>
      <c r="G4425" s="35">
        <v>255.42000000000002</v>
      </c>
      <c r="H4425" s="14">
        <v>0</v>
      </c>
      <c r="I4425" s="14">
        <v>0</v>
      </c>
      <c r="J4425" s="14">
        <v>0</v>
      </c>
      <c r="K4425" s="14">
        <v>255.42000000000002</v>
      </c>
      <c r="L4425" t="s">
        <v>794</v>
      </c>
      <c r="M4425" s="23">
        <f t="shared" si="69"/>
        <v>2026</v>
      </c>
    </row>
    <row r="4426" spans="1:13" ht="12.75" hidden="1" customHeight="1">
      <c r="A4426" t="s">
        <v>1134</v>
      </c>
      <c r="B4426" t="s">
        <v>33</v>
      </c>
      <c r="C4426" t="s">
        <v>139</v>
      </c>
      <c r="D4426" t="s">
        <v>1445</v>
      </c>
      <c r="E4426" s="17">
        <v>46083</v>
      </c>
      <c r="F4426" s="17">
        <v>46083</v>
      </c>
      <c r="G4426" s="13">
        <v>243.88</v>
      </c>
      <c r="H4426" s="14">
        <v>0</v>
      </c>
      <c r="I4426" s="14">
        <v>0</v>
      </c>
      <c r="J4426" s="14">
        <v>0</v>
      </c>
      <c r="K4426" s="14">
        <v>243.88</v>
      </c>
      <c r="L4426" t="s">
        <v>794</v>
      </c>
      <c r="M4426" s="23">
        <f t="shared" si="69"/>
        <v>2026</v>
      </c>
    </row>
    <row r="4427" spans="1:13" ht="12.75" hidden="1" customHeight="1">
      <c r="A4427" t="s">
        <v>1134</v>
      </c>
      <c r="B4427" t="s">
        <v>33</v>
      </c>
      <c r="C4427" t="s">
        <v>138</v>
      </c>
      <c r="D4427" t="s">
        <v>1445</v>
      </c>
      <c r="E4427" s="17">
        <v>46083</v>
      </c>
      <c r="F4427" s="17">
        <v>46083</v>
      </c>
      <c r="G4427" s="35">
        <v>255.42000000000002</v>
      </c>
      <c r="H4427" s="14">
        <v>0</v>
      </c>
      <c r="I4427" s="14">
        <v>0</v>
      </c>
      <c r="J4427" s="14">
        <v>0</v>
      </c>
      <c r="K4427" s="14">
        <v>255.42000000000002</v>
      </c>
      <c r="L4427" t="s">
        <v>794</v>
      </c>
      <c r="M4427" s="23">
        <f t="shared" si="69"/>
        <v>2026</v>
      </c>
    </row>
    <row r="4428" spans="1:13" ht="12.75" hidden="1" customHeight="1">
      <c r="A4428" t="s">
        <v>1104</v>
      </c>
      <c r="B4428" t="s">
        <v>53</v>
      </c>
      <c r="C4428" t="s">
        <v>139</v>
      </c>
      <c r="D4428" t="s">
        <v>1445</v>
      </c>
      <c r="E4428" s="17">
        <v>46083</v>
      </c>
      <c r="F4428" s="17">
        <v>46083</v>
      </c>
      <c r="G4428" s="13">
        <v>575.70000000000005</v>
      </c>
      <c r="H4428" s="14">
        <v>0</v>
      </c>
      <c r="I4428" s="14">
        <v>0</v>
      </c>
      <c r="J4428" s="14">
        <v>0</v>
      </c>
      <c r="K4428" s="14">
        <v>575.70000000000005</v>
      </c>
      <c r="L4428" t="s">
        <v>794</v>
      </c>
      <c r="M4428" s="23">
        <f t="shared" si="69"/>
        <v>2026</v>
      </c>
    </row>
    <row r="4429" spans="1:13" ht="12.75" hidden="1" customHeight="1">
      <c r="A4429" t="s">
        <v>1104</v>
      </c>
      <c r="B4429" t="s">
        <v>53</v>
      </c>
      <c r="C4429" t="s">
        <v>138</v>
      </c>
      <c r="D4429" t="s">
        <v>1445</v>
      </c>
      <c r="E4429" s="17">
        <v>46083</v>
      </c>
      <c r="F4429" s="17">
        <v>46083</v>
      </c>
      <c r="G4429" s="35">
        <v>255.42000000000002</v>
      </c>
      <c r="H4429" s="14">
        <v>0</v>
      </c>
      <c r="I4429" s="14">
        <v>0</v>
      </c>
      <c r="J4429" s="14">
        <v>0</v>
      </c>
      <c r="K4429" s="14">
        <v>255.42000000000002</v>
      </c>
      <c r="L4429" t="s">
        <v>794</v>
      </c>
      <c r="M4429" s="23">
        <f t="shared" si="69"/>
        <v>2026</v>
      </c>
    </row>
    <row r="4430" spans="1:13" ht="12.75" hidden="1" customHeight="1">
      <c r="A4430" t="s">
        <v>1105</v>
      </c>
      <c r="B4430" t="s">
        <v>1395</v>
      </c>
      <c r="C4430" t="s">
        <v>139</v>
      </c>
      <c r="D4430" t="s">
        <v>1445</v>
      </c>
      <c r="E4430" s="17">
        <v>46083</v>
      </c>
      <c r="F4430" s="17">
        <v>46083</v>
      </c>
      <c r="G4430" s="13">
        <v>431.48</v>
      </c>
      <c r="H4430" s="14">
        <v>0</v>
      </c>
      <c r="I4430" s="14">
        <v>0</v>
      </c>
      <c r="J4430" s="14">
        <v>0</v>
      </c>
      <c r="K4430" s="14">
        <v>431.48</v>
      </c>
      <c r="L4430" t="s">
        <v>794</v>
      </c>
      <c r="M4430" s="23">
        <f t="shared" si="69"/>
        <v>2026</v>
      </c>
    </row>
    <row r="4431" spans="1:13" ht="12.75" hidden="1" customHeight="1">
      <c r="A4431" t="s">
        <v>1105</v>
      </c>
      <c r="B4431" t="s">
        <v>1395</v>
      </c>
      <c r="C4431" t="s">
        <v>138</v>
      </c>
      <c r="D4431" t="s">
        <v>1445</v>
      </c>
      <c r="E4431" s="17">
        <v>46083</v>
      </c>
      <c r="F4431" s="17">
        <v>46083</v>
      </c>
      <c r="G4431" s="35">
        <v>255.42000000000002</v>
      </c>
      <c r="H4431" s="14">
        <v>0</v>
      </c>
      <c r="I4431" s="14">
        <v>0</v>
      </c>
      <c r="J4431" s="14">
        <v>0</v>
      </c>
      <c r="K4431" s="14">
        <v>255.42000000000002</v>
      </c>
      <c r="L4431" t="s">
        <v>794</v>
      </c>
      <c r="M4431" s="23">
        <f t="shared" si="69"/>
        <v>2026</v>
      </c>
    </row>
    <row r="4432" spans="1:13" ht="12.75" hidden="1" customHeight="1">
      <c r="A4432" t="s">
        <v>961</v>
      </c>
      <c r="B4432" t="s">
        <v>41</v>
      </c>
      <c r="C4432" t="s">
        <v>139</v>
      </c>
      <c r="D4432" t="s">
        <v>1445</v>
      </c>
      <c r="E4432" s="17">
        <v>46083</v>
      </c>
      <c r="F4432" s="17">
        <v>46083</v>
      </c>
      <c r="G4432" s="13">
        <v>375.2</v>
      </c>
      <c r="H4432" s="14">
        <v>0</v>
      </c>
      <c r="I4432" s="14">
        <v>0</v>
      </c>
      <c r="J4432" s="14">
        <v>0</v>
      </c>
      <c r="K4432" s="14">
        <v>375.2</v>
      </c>
      <c r="L4432" t="s">
        <v>794</v>
      </c>
      <c r="M4432" s="23">
        <f t="shared" si="69"/>
        <v>2026</v>
      </c>
    </row>
    <row r="4433" spans="1:13" ht="12.75" hidden="1" customHeight="1">
      <c r="A4433" t="s">
        <v>961</v>
      </c>
      <c r="B4433" t="s">
        <v>41</v>
      </c>
      <c r="C4433" t="s">
        <v>138</v>
      </c>
      <c r="D4433" t="s">
        <v>1445</v>
      </c>
      <c r="E4433" s="17">
        <v>46083</v>
      </c>
      <c r="F4433" s="17">
        <v>46083</v>
      </c>
      <c r="G4433" s="35">
        <v>255.42000000000002</v>
      </c>
      <c r="H4433" s="14">
        <v>0</v>
      </c>
      <c r="I4433" s="14">
        <v>0</v>
      </c>
      <c r="J4433" s="14">
        <v>0</v>
      </c>
      <c r="K4433" s="14">
        <v>255.42000000000002</v>
      </c>
      <c r="L4433" t="s">
        <v>794</v>
      </c>
      <c r="M4433" s="23">
        <f t="shared" si="69"/>
        <v>2026</v>
      </c>
    </row>
    <row r="4434" spans="1:13" ht="12.75" hidden="1" customHeight="1">
      <c r="A4434" t="s">
        <v>816</v>
      </c>
      <c r="B4434" t="s">
        <v>148</v>
      </c>
      <c r="C4434" t="s">
        <v>139</v>
      </c>
      <c r="D4434" t="s">
        <v>1445</v>
      </c>
      <c r="E4434" s="17">
        <v>46083</v>
      </c>
      <c r="F4434" s="17">
        <v>46083</v>
      </c>
      <c r="G4434" s="13">
        <v>300.16000000000003</v>
      </c>
      <c r="H4434" s="14">
        <v>0</v>
      </c>
      <c r="I4434" s="14">
        <v>0</v>
      </c>
      <c r="J4434" s="14">
        <v>0</v>
      </c>
      <c r="K4434" s="14">
        <v>300.16000000000003</v>
      </c>
      <c r="L4434" t="s">
        <v>794</v>
      </c>
      <c r="M4434" s="23">
        <f t="shared" si="69"/>
        <v>2026</v>
      </c>
    </row>
    <row r="4435" spans="1:13" ht="12.75" hidden="1" customHeight="1">
      <c r="A4435" t="s">
        <v>816</v>
      </c>
      <c r="B4435" t="s">
        <v>148</v>
      </c>
      <c r="C4435" t="s">
        <v>138</v>
      </c>
      <c r="D4435" t="s">
        <v>1445</v>
      </c>
      <c r="E4435" s="17">
        <v>46083</v>
      </c>
      <c r="F4435" s="17">
        <v>46083</v>
      </c>
      <c r="G4435" s="35">
        <v>255.42000000000002</v>
      </c>
      <c r="H4435" s="14">
        <v>0</v>
      </c>
      <c r="I4435" s="14">
        <v>0</v>
      </c>
      <c r="J4435" s="14">
        <v>0</v>
      </c>
      <c r="K4435" s="14">
        <v>255.42000000000002</v>
      </c>
      <c r="L4435" t="s">
        <v>794</v>
      </c>
      <c r="M4435" s="23">
        <f t="shared" si="69"/>
        <v>2026</v>
      </c>
    </row>
    <row r="4436" spans="1:13" ht="12.75" hidden="1" customHeight="1">
      <c r="A4436" t="s">
        <v>836</v>
      </c>
      <c r="B4436" t="s">
        <v>37</v>
      </c>
      <c r="C4436" t="s">
        <v>139</v>
      </c>
      <c r="D4436" t="s">
        <v>1445</v>
      </c>
      <c r="E4436" s="17">
        <v>46083</v>
      </c>
      <c r="F4436" s="17">
        <v>46083</v>
      </c>
      <c r="G4436" s="13">
        <v>600.6</v>
      </c>
      <c r="H4436" s="14">
        <v>0</v>
      </c>
      <c r="I4436" s="14">
        <v>0</v>
      </c>
      <c r="J4436" s="14">
        <v>0</v>
      </c>
      <c r="K4436" s="14">
        <v>602.6</v>
      </c>
      <c r="L4436" t="s">
        <v>794</v>
      </c>
      <c r="M4436" s="23">
        <f t="shared" si="69"/>
        <v>2026</v>
      </c>
    </row>
    <row r="4437" spans="1:13" ht="12.75" hidden="1" customHeight="1">
      <c r="A4437" t="s">
        <v>836</v>
      </c>
      <c r="B4437" t="s">
        <v>37</v>
      </c>
      <c r="C4437" t="s">
        <v>138</v>
      </c>
      <c r="D4437" t="s">
        <v>1445</v>
      </c>
      <c r="E4437" s="17">
        <v>46083</v>
      </c>
      <c r="F4437" s="17">
        <v>46083</v>
      </c>
      <c r="G4437" s="35">
        <v>255.42000000000002</v>
      </c>
      <c r="H4437" s="14">
        <v>0</v>
      </c>
      <c r="I4437" s="14">
        <v>0</v>
      </c>
      <c r="J4437" s="14">
        <v>0</v>
      </c>
      <c r="K4437" s="14">
        <v>255.42000000000002</v>
      </c>
      <c r="L4437" t="s">
        <v>794</v>
      </c>
      <c r="M4437" s="23">
        <f t="shared" si="69"/>
        <v>2026</v>
      </c>
    </row>
    <row r="4438" spans="1:13" ht="12.75" hidden="1" customHeight="1">
      <c r="A4438" t="s">
        <v>999</v>
      </c>
      <c r="B4438" t="s">
        <v>329</v>
      </c>
      <c r="C4438" t="s">
        <v>139</v>
      </c>
      <c r="D4438" t="s">
        <v>1445</v>
      </c>
      <c r="E4438" s="17">
        <v>46083</v>
      </c>
      <c r="F4438" s="17">
        <v>46083</v>
      </c>
      <c r="G4438" s="13">
        <v>280.60000000000002</v>
      </c>
      <c r="H4438" s="14">
        <v>0</v>
      </c>
      <c r="I4438" s="14">
        <v>0</v>
      </c>
      <c r="J4438" s="14">
        <v>0</v>
      </c>
      <c r="K4438" s="14">
        <v>280.60000000000002</v>
      </c>
      <c r="L4438" t="s">
        <v>794</v>
      </c>
      <c r="M4438" s="23">
        <f t="shared" si="69"/>
        <v>2026</v>
      </c>
    </row>
    <row r="4439" spans="1:13" ht="12.75" hidden="1" customHeight="1">
      <c r="A4439" t="s">
        <v>1373</v>
      </c>
      <c r="B4439" t="s">
        <v>313</v>
      </c>
      <c r="C4439" t="s">
        <v>139</v>
      </c>
      <c r="D4439" t="s">
        <v>1445</v>
      </c>
      <c r="E4439" s="17">
        <v>46083</v>
      </c>
      <c r="F4439" s="17">
        <v>46083</v>
      </c>
      <c r="G4439" s="13">
        <v>280.60000000000002</v>
      </c>
      <c r="H4439" s="14">
        <v>0</v>
      </c>
      <c r="I4439" s="14">
        <v>0</v>
      </c>
      <c r="J4439" s="14">
        <v>0</v>
      </c>
      <c r="K4439" s="14">
        <v>280.60000000000002</v>
      </c>
      <c r="L4439" t="s">
        <v>794</v>
      </c>
      <c r="M4439" s="23">
        <f t="shared" si="69"/>
        <v>2026</v>
      </c>
    </row>
    <row r="4440" spans="1:13" ht="12.75" hidden="1" customHeight="1">
      <c r="A4440" t="s">
        <v>1399</v>
      </c>
      <c r="B4440" t="s">
        <v>305</v>
      </c>
      <c r="C4440" t="s">
        <v>139</v>
      </c>
      <c r="D4440" t="s">
        <v>1445</v>
      </c>
      <c r="E4440" s="17">
        <v>46083</v>
      </c>
      <c r="F4440" s="17">
        <v>46083</v>
      </c>
      <c r="G4440" s="13">
        <v>280.60000000000002</v>
      </c>
      <c r="H4440" s="14">
        <v>0</v>
      </c>
      <c r="I4440" s="14">
        <v>0</v>
      </c>
      <c r="J4440" s="14">
        <v>0</v>
      </c>
      <c r="K4440" s="14">
        <v>280.60000000000002</v>
      </c>
      <c r="L4440" t="s">
        <v>794</v>
      </c>
      <c r="M4440" s="23">
        <f t="shared" si="69"/>
        <v>2026</v>
      </c>
    </row>
    <row r="4441" spans="1:13" ht="12.75" hidden="1" customHeight="1">
      <c r="A4441" t="s">
        <v>1401</v>
      </c>
      <c r="B4441" t="s">
        <v>254</v>
      </c>
      <c r="C4441" t="s">
        <v>139</v>
      </c>
      <c r="D4441" t="s">
        <v>1445</v>
      </c>
      <c r="E4441" s="17">
        <v>46083</v>
      </c>
      <c r="F4441" s="17">
        <v>46083</v>
      </c>
      <c r="G4441" s="13">
        <v>524.4</v>
      </c>
      <c r="H4441" s="14">
        <v>0</v>
      </c>
      <c r="I4441" s="14">
        <v>0</v>
      </c>
      <c r="J4441" s="14">
        <v>0</v>
      </c>
      <c r="K4441" s="14">
        <v>524.4</v>
      </c>
      <c r="L4441" t="s">
        <v>794</v>
      </c>
      <c r="M4441" s="23">
        <f t="shared" si="69"/>
        <v>2026</v>
      </c>
    </row>
    <row r="4442" spans="1:13" ht="12.75" hidden="1" customHeight="1">
      <c r="A4442" t="s">
        <v>1420</v>
      </c>
      <c r="B4442" t="s">
        <v>136</v>
      </c>
      <c r="C4442" t="s">
        <v>138</v>
      </c>
      <c r="D4442" t="s">
        <v>1445</v>
      </c>
      <c r="E4442" s="17">
        <v>46083</v>
      </c>
      <c r="F4442" s="17">
        <v>46083</v>
      </c>
      <c r="G4442" s="13">
        <v>255.42000000000002</v>
      </c>
      <c r="H4442" s="14">
        <v>0</v>
      </c>
      <c r="I4442" s="14">
        <v>0</v>
      </c>
      <c r="J4442" s="14">
        <v>0</v>
      </c>
      <c r="K4442" s="14">
        <v>255.42000000000002</v>
      </c>
      <c r="L4442" t="s">
        <v>794</v>
      </c>
      <c r="M4442" s="23">
        <f t="shared" si="69"/>
        <v>2026</v>
      </c>
    </row>
    <row r="4443" spans="1:13" ht="12.75" hidden="1" customHeight="1">
      <c r="A4443" t="s">
        <v>801</v>
      </c>
      <c r="B4443" t="s">
        <v>13</v>
      </c>
      <c r="C4443" t="s">
        <v>726</v>
      </c>
      <c r="D4443" t="s">
        <v>1445</v>
      </c>
      <c r="E4443" s="17">
        <v>46083</v>
      </c>
      <c r="F4443" s="17">
        <v>46083</v>
      </c>
      <c r="G4443" s="13">
        <v>17.52</v>
      </c>
      <c r="H4443" s="14">
        <v>0</v>
      </c>
      <c r="I4443" s="14">
        <v>0</v>
      </c>
      <c r="J4443" s="14">
        <v>0</v>
      </c>
      <c r="K4443" s="14">
        <v>17.52</v>
      </c>
      <c r="L4443" t="s">
        <v>794</v>
      </c>
      <c r="M4443" s="23">
        <f t="shared" ref="M4443:M4506" si="70">YEAR(F4443)</f>
        <v>2026</v>
      </c>
    </row>
    <row r="4444" spans="1:13" ht="12.75" hidden="1" customHeight="1">
      <c r="A4444" t="s">
        <v>801</v>
      </c>
      <c r="B4444" t="s">
        <v>13</v>
      </c>
      <c r="C4444" t="s">
        <v>726</v>
      </c>
      <c r="D4444" t="s">
        <v>1445</v>
      </c>
      <c r="E4444" s="17">
        <v>46083</v>
      </c>
      <c r="F4444" s="17">
        <v>46083</v>
      </c>
      <c r="G4444" s="13">
        <v>43.800000000000004</v>
      </c>
      <c r="H4444" s="14">
        <v>0</v>
      </c>
      <c r="I4444" s="14">
        <v>0</v>
      </c>
      <c r="J4444" s="14">
        <v>0</v>
      </c>
      <c r="K4444" s="14">
        <v>43.800000000000004</v>
      </c>
      <c r="L4444" t="s">
        <v>794</v>
      </c>
      <c r="M4444" s="23">
        <f t="shared" si="70"/>
        <v>2026</v>
      </c>
    </row>
    <row r="4445" spans="1:13" ht="12.75" hidden="1" customHeight="1">
      <c r="A4445" t="s">
        <v>1316</v>
      </c>
      <c r="B4445" t="s">
        <v>59</v>
      </c>
      <c r="C4445" t="s">
        <v>141</v>
      </c>
      <c r="D4445" t="s">
        <v>1445</v>
      </c>
      <c r="E4445" s="17">
        <v>46083</v>
      </c>
      <c r="F4445" s="17">
        <v>46083</v>
      </c>
      <c r="G4445" s="13">
        <v>32</v>
      </c>
      <c r="H4445" s="14">
        <v>0</v>
      </c>
      <c r="I4445" s="14">
        <v>0</v>
      </c>
      <c r="J4445" s="14">
        <v>0</v>
      </c>
      <c r="K4445" s="14">
        <v>32</v>
      </c>
      <c r="L4445" t="s">
        <v>794</v>
      </c>
      <c r="M4445" s="23">
        <f t="shared" si="70"/>
        <v>2026</v>
      </c>
    </row>
    <row r="4446" spans="1:13" ht="12.75" hidden="1" customHeight="1">
      <c r="A4446" t="s">
        <v>801</v>
      </c>
      <c r="B4446" t="s">
        <v>13</v>
      </c>
      <c r="C4446" t="s">
        <v>726</v>
      </c>
      <c r="D4446" t="s">
        <v>1445</v>
      </c>
      <c r="E4446" s="17">
        <v>46084</v>
      </c>
      <c r="F4446" s="17">
        <v>46084</v>
      </c>
      <c r="G4446" s="13">
        <v>97.070000000000007</v>
      </c>
      <c r="H4446" s="14">
        <v>0</v>
      </c>
      <c r="I4446" s="14">
        <v>0</v>
      </c>
      <c r="J4446" s="14">
        <v>0</v>
      </c>
      <c r="K4446" s="14">
        <v>97.070000000000007</v>
      </c>
      <c r="L4446" t="s">
        <v>794</v>
      </c>
      <c r="M4446" s="23">
        <f t="shared" si="70"/>
        <v>2026</v>
      </c>
    </row>
    <row r="4447" spans="1:13" ht="12.75" hidden="1" customHeight="1">
      <c r="A4447" t="s">
        <v>801</v>
      </c>
      <c r="B4447" t="s">
        <v>13</v>
      </c>
      <c r="C4447" t="s">
        <v>717</v>
      </c>
      <c r="D4447" t="s">
        <v>1445</v>
      </c>
      <c r="E4447" s="17">
        <v>46084</v>
      </c>
      <c r="F4447" s="17">
        <v>46084</v>
      </c>
      <c r="G4447" s="13">
        <v>4609.7300000000005</v>
      </c>
      <c r="H4447" s="14">
        <v>0</v>
      </c>
      <c r="I4447" s="14">
        <v>0</v>
      </c>
      <c r="J4447" s="14">
        <v>0</v>
      </c>
      <c r="K4447" s="14">
        <v>4609.7300000000005</v>
      </c>
      <c r="L4447" t="s">
        <v>794</v>
      </c>
      <c r="M4447" s="23">
        <f t="shared" si="70"/>
        <v>2026</v>
      </c>
    </row>
    <row r="4448" spans="1:13" ht="12.75" hidden="1" customHeight="1">
      <c r="A4448" t="s">
        <v>801</v>
      </c>
      <c r="B4448" t="s">
        <v>13</v>
      </c>
      <c r="C4448" t="s">
        <v>726</v>
      </c>
      <c r="D4448" t="s">
        <v>1445</v>
      </c>
      <c r="E4448" s="17">
        <v>46084</v>
      </c>
      <c r="F4448" s="17">
        <v>46084</v>
      </c>
      <c r="G4448" s="13">
        <v>4.38</v>
      </c>
      <c r="H4448" s="14">
        <v>0</v>
      </c>
      <c r="I4448" s="14">
        <v>0</v>
      </c>
      <c r="J4448" s="14">
        <v>0</v>
      </c>
      <c r="K4448" s="14">
        <v>4.38</v>
      </c>
      <c r="L4448" t="s">
        <v>794</v>
      </c>
      <c r="M4448" s="23">
        <f t="shared" si="70"/>
        <v>2026</v>
      </c>
    </row>
    <row r="4449" spans="1:13" ht="12.75" hidden="1" customHeight="1">
      <c r="A4449" t="s">
        <v>801</v>
      </c>
      <c r="B4449" t="s">
        <v>13</v>
      </c>
      <c r="C4449" t="s">
        <v>726</v>
      </c>
      <c r="D4449" t="s">
        <v>1445</v>
      </c>
      <c r="E4449" s="17">
        <v>46084</v>
      </c>
      <c r="F4449" s="17">
        <v>46084</v>
      </c>
      <c r="G4449" s="13">
        <v>503.07</v>
      </c>
      <c r="H4449" s="14">
        <v>0</v>
      </c>
      <c r="I4449" s="14">
        <v>0</v>
      </c>
      <c r="J4449" s="14">
        <v>0</v>
      </c>
      <c r="K4449" s="14">
        <v>503.07</v>
      </c>
      <c r="L4449" t="s">
        <v>794</v>
      </c>
      <c r="M4449" s="23">
        <f t="shared" si="70"/>
        <v>2026</v>
      </c>
    </row>
    <row r="4450" spans="1:13" ht="12.75" hidden="1" customHeight="1">
      <c r="A4450" t="s">
        <v>801</v>
      </c>
      <c r="B4450" t="s">
        <v>13</v>
      </c>
      <c r="C4450" t="s">
        <v>726</v>
      </c>
      <c r="D4450" t="s">
        <v>1445</v>
      </c>
      <c r="E4450" s="17">
        <v>46084</v>
      </c>
      <c r="F4450" s="17">
        <v>46084</v>
      </c>
      <c r="G4450" s="13">
        <v>0.08</v>
      </c>
      <c r="H4450" s="14">
        <v>0</v>
      </c>
      <c r="I4450" s="14">
        <v>0</v>
      </c>
      <c r="J4450" s="14">
        <v>0</v>
      </c>
      <c r="K4450" s="14">
        <v>0.08</v>
      </c>
      <c r="L4450" t="s">
        <v>794</v>
      </c>
      <c r="M4450" s="23">
        <f t="shared" si="70"/>
        <v>2026</v>
      </c>
    </row>
    <row r="4451" spans="1:13" ht="12.75" hidden="1" customHeight="1">
      <c r="A4451" t="s">
        <v>801</v>
      </c>
      <c r="B4451" t="s">
        <v>13</v>
      </c>
      <c r="C4451" t="s">
        <v>726</v>
      </c>
      <c r="D4451" t="s">
        <v>1445</v>
      </c>
      <c r="E4451" s="17">
        <v>46084</v>
      </c>
      <c r="F4451" s="17">
        <v>46084</v>
      </c>
      <c r="G4451" s="13">
        <v>291.72000000000003</v>
      </c>
      <c r="H4451" s="14">
        <v>0</v>
      </c>
      <c r="I4451" s="14">
        <v>0</v>
      </c>
      <c r="J4451" s="14">
        <v>0</v>
      </c>
      <c r="K4451" s="14">
        <v>291.72000000000003</v>
      </c>
      <c r="L4451" t="s">
        <v>794</v>
      </c>
      <c r="M4451" s="23">
        <f t="shared" si="70"/>
        <v>2026</v>
      </c>
    </row>
    <row r="4452" spans="1:13" ht="12.75" hidden="1" customHeight="1">
      <c r="A4452" t="s">
        <v>801</v>
      </c>
      <c r="B4452" t="s">
        <v>13</v>
      </c>
      <c r="C4452" t="s">
        <v>726</v>
      </c>
      <c r="D4452" t="s">
        <v>1445</v>
      </c>
      <c r="E4452" s="17">
        <v>46084</v>
      </c>
      <c r="F4452" s="17">
        <v>46084</v>
      </c>
      <c r="G4452" s="13">
        <v>43.800000000000004</v>
      </c>
      <c r="H4452" s="14">
        <v>0</v>
      </c>
      <c r="I4452" s="14">
        <v>0</v>
      </c>
      <c r="J4452" s="14">
        <v>0</v>
      </c>
      <c r="K4452" s="14">
        <v>43.800000000000004</v>
      </c>
      <c r="L4452" t="s">
        <v>794</v>
      </c>
      <c r="M4452" s="23">
        <f t="shared" si="70"/>
        <v>2026</v>
      </c>
    </row>
    <row r="4453" spans="1:13" ht="12.75" hidden="1" customHeight="1">
      <c r="A4453" t="s">
        <v>801</v>
      </c>
      <c r="B4453" t="s">
        <v>13</v>
      </c>
      <c r="C4453" t="s">
        <v>726</v>
      </c>
      <c r="D4453" t="s">
        <v>1445</v>
      </c>
      <c r="E4453" s="17">
        <v>46084</v>
      </c>
      <c r="F4453" s="17">
        <v>46084</v>
      </c>
      <c r="G4453" s="13">
        <v>36.67</v>
      </c>
      <c r="H4453" s="14">
        <v>0</v>
      </c>
      <c r="I4453" s="14">
        <v>0</v>
      </c>
      <c r="J4453" s="14">
        <v>0</v>
      </c>
      <c r="K4453" s="14">
        <v>36.67</v>
      </c>
      <c r="L4453" t="s">
        <v>794</v>
      </c>
      <c r="M4453" s="23">
        <f t="shared" si="70"/>
        <v>2026</v>
      </c>
    </row>
    <row r="4454" spans="1:13" ht="12.75" hidden="1" customHeight="1">
      <c r="A4454" t="s">
        <v>797</v>
      </c>
      <c r="B4454" t="s">
        <v>25</v>
      </c>
      <c r="C4454" t="s">
        <v>206</v>
      </c>
      <c r="D4454" t="s">
        <v>1445</v>
      </c>
      <c r="E4454" s="17">
        <v>46085</v>
      </c>
      <c r="F4454" s="17">
        <v>46085</v>
      </c>
      <c r="G4454" s="13">
        <v>2800</v>
      </c>
      <c r="H4454" s="14">
        <v>0</v>
      </c>
      <c r="I4454" s="14">
        <v>0</v>
      </c>
      <c r="J4454" s="14">
        <v>0</v>
      </c>
      <c r="K4454" s="14">
        <v>2800</v>
      </c>
      <c r="L4454" t="s">
        <v>794</v>
      </c>
      <c r="M4454" s="23">
        <f t="shared" si="70"/>
        <v>2026</v>
      </c>
    </row>
    <row r="4455" spans="1:13" ht="12.75" hidden="1" customHeight="1">
      <c r="A4455" t="s">
        <v>797</v>
      </c>
      <c r="B4455" t="s">
        <v>25</v>
      </c>
      <c r="C4455" t="s">
        <v>206</v>
      </c>
      <c r="D4455" t="s">
        <v>1445</v>
      </c>
      <c r="E4455" s="17">
        <v>46085</v>
      </c>
      <c r="F4455" s="17">
        <v>46085</v>
      </c>
      <c r="G4455" s="13">
        <v>1600</v>
      </c>
      <c r="H4455" s="14">
        <v>0</v>
      </c>
      <c r="I4455" s="14">
        <v>0</v>
      </c>
      <c r="J4455" s="14">
        <v>0</v>
      </c>
      <c r="K4455" s="14">
        <v>1600</v>
      </c>
      <c r="L4455" t="s">
        <v>794</v>
      </c>
      <c r="M4455" s="23">
        <f t="shared" si="70"/>
        <v>2026</v>
      </c>
    </row>
    <row r="4456" spans="1:13" ht="12.75" hidden="1" customHeight="1">
      <c r="A4456" t="s">
        <v>792</v>
      </c>
      <c r="B4456" t="s">
        <v>35</v>
      </c>
      <c r="C4456" t="s">
        <v>206</v>
      </c>
      <c r="D4456" t="s">
        <v>1445</v>
      </c>
      <c r="E4456" s="17">
        <v>46085</v>
      </c>
      <c r="F4456" s="17">
        <v>46085</v>
      </c>
      <c r="G4456" s="13">
        <v>400</v>
      </c>
      <c r="H4456" s="14">
        <v>0</v>
      </c>
      <c r="I4456" s="14">
        <v>0</v>
      </c>
      <c r="J4456" s="14">
        <v>0</v>
      </c>
      <c r="K4456" s="14">
        <v>400</v>
      </c>
      <c r="L4456" t="s">
        <v>794</v>
      </c>
      <c r="M4456" s="23">
        <f t="shared" si="70"/>
        <v>2026</v>
      </c>
    </row>
    <row r="4457" spans="1:13" ht="12.75" hidden="1" customHeight="1">
      <c r="A4457" t="s">
        <v>792</v>
      </c>
      <c r="B4457" t="s">
        <v>35</v>
      </c>
      <c r="C4457" t="s">
        <v>206</v>
      </c>
      <c r="D4457" t="s">
        <v>1445</v>
      </c>
      <c r="E4457" s="17">
        <v>46085</v>
      </c>
      <c r="F4457" s="17">
        <v>46085</v>
      </c>
      <c r="G4457" s="13">
        <v>700</v>
      </c>
      <c r="H4457" s="14">
        <v>0</v>
      </c>
      <c r="I4457" s="14">
        <v>0</v>
      </c>
      <c r="J4457" s="14">
        <v>0</v>
      </c>
      <c r="K4457" s="14">
        <v>700</v>
      </c>
      <c r="L4457" t="s">
        <v>794</v>
      </c>
      <c r="M4457" s="23">
        <f t="shared" si="70"/>
        <v>2026</v>
      </c>
    </row>
    <row r="4458" spans="1:13" ht="12.75" hidden="1" customHeight="1">
      <c r="A4458" t="s">
        <v>801</v>
      </c>
      <c r="B4458" t="s">
        <v>13</v>
      </c>
      <c r="C4458" t="s">
        <v>726</v>
      </c>
      <c r="D4458" t="s">
        <v>1445</v>
      </c>
      <c r="E4458" s="17">
        <v>46085</v>
      </c>
      <c r="F4458" s="17">
        <v>46085</v>
      </c>
      <c r="G4458" s="13">
        <v>15.33</v>
      </c>
      <c r="H4458" s="14">
        <v>0</v>
      </c>
      <c r="I4458" s="14">
        <v>0</v>
      </c>
      <c r="J4458" s="14">
        <v>0</v>
      </c>
      <c r="K4458" s="14">
        <v>15.33</v>
      </c>
      <c r="L4458" t="s">
        <v>794</v>
      </c>
      <c r="M4458" s="23">
        <f t="shared" si="70"/>
        <v>2026</v>
      </c>
    </row>
    <row r="4459" spans="1:13" ht="12.75" hidden="1" customHeight="1">
      <c r="A4459" t="s">
        <v>801</v>
      </c>
      <c r="B4459" t="s">
        <v>13</v>
      </c>
      <c r="C4459" t="s">
        <v>726</v>
      </c>
      <c r="D4459" t="s">
        <v>1445</v>
      </c>
      <c r="E4459" s="17">
        <v>46085</v>
      </c>
      <c r="F4459" s="17">
        <v>46085</v>
      </c>
      <c r="G4459" s="13">
        <v>35.04</v>
      </c>
      <c r="H4459" s="14">
        <v>0</v>
      </c>
      <c r="I4459" s="14">
        <v>0</v>
      </c>
      <c r="J4459" s="14">
        <v>0</v>
      </c>
      <c r="K4459" s="14">
        <v>35.04</v>
      </c>
      <c r="L4459" t="s">
        <v>794</v>
      </c>
      <c r="M4459" s="23">
        <f t="shared" si="70"/>
        <v>2026</v>
      </c>
    </row>
    <row r="4460" spans="1:13" ht="12.75" hidden="1" customHeight="1">
      <c r="A4460" t="s">
        <v>806</v>
      </c>
      <c r="B4460" t="s">
        <v>19</v>
      </c>
      <c r="C4460" t="s">
        <v>720</v>
      </c>
      <c r="D4460" t="s">
        <v>1445</v>
      </c>
      <c r="E4460" s="17">
        <v>46085</v>
      </c>
      <c r="F4460" s="17">
        <v>46085</v>
      </c>
      <c r="G4460" s="13">
        <v>12000</v>
      </c>
      <c r="H4460" s="14">
        <v>0</v>
      </c>
      <c r="I4460" s="14">
        <v>0</v>
      </c>
      <c r="J4460" s="14">
        <v>0</v>
      </c>
      <c r="K4460" s="14">
        <v>12000</v>
      </c>
      <c r="L4460" t="s">
        <v>794</v>
      </c>
      <c r="M4460" s="23">
        <f t="shared" si="70"/>
        <v>2026</v>
      </c>
    </row>
    <row r="4461" spans="1:13" ht="12.75" hidden="1" customHeight="1">
      <c r="A4461" t="s">
        <v>837</v>
      </c>
      <c r="B4461" t="s">
        <v>58</v>
      </c>
      <c r="C4461" t="s">
        <v>206</v>
      </c>
      <c r="D4461" t="s">
        <v>1445</v>
      </c>
      <c r="E4461" s="17">
        <v>46086</v>
      </c>
      <c r="F4461" s="17">
        <v>46086</v>
      </c>
      <c r="G4461" s="13">
        <v>2005.93</v>
      </c>
      <c r="H4461" s="14">
        <v>0</v>
      </c>
      <c r="I4461" s="14">
        <v>0</v>
      </c>
      <c r="J4461" s="14">
        <v>0</v>
      </c>
      <c r="K4461" s="14">
        <v>2005.93</v>
      </c>
      <c r="L4461" t="s">
        <v>794</v>
      </c>
      <c r="M4461" s="23">
        <f t="shared" si="70"/>
        <v>2026</v>
      </c>
    </row>
    <row r="4462" spans="1:13" ht="12.75" hidden="1" customHeight="1">
      <c r="A4462" t="s">
        <v>823</v>
      </c>
      <c r="B4462" t="s">
        <v>245</v>
      </c>
      <c r="C4462" t="s">
        <v>736</v>
      </c>
      <c r="D4462" t="s">
        <v>1445</v>
      </c>
      <c r="E4462" s="17">
        <v>46086</v>
      </c>
      <c r="F4462" s="17">
        <v>46086</v>
      </c>
      <c r="G4462" s="13">
        <v>259.04000000000002</v>
      </c>
      <c r="H4462" s="14">
        <v>0</v>
      </c>
      <c r="I4462" s="14">
        <v>0</v>
      </c>
      <c r="J4462" s="14">
        <v>0</v>
      </c>
      <c r="K4462" s="14">
        <v>259.04000000000002</v>
      </c>
      <c r="L4462" t="s">
        <v>794</v>
      </c>
      <c r="M4462" s="23">
        <f t="shared" si="70"/>
        <v>2026</v>
      </c>
    </row>
    <row r="4463" spans="1:13" ht="12.75" hidden="1" customHeight="1">
      <c r="A4463" t="s">
        <v>841</v>
      </c>
      <c r="B4463" t="s">
        <v>164</v>
      </c>
      <c r="C4463" t="s">
        <v>722</v>
      </c>
      <c r="D4463" t="s">
        <v>1445</v>
      </c>
      <c r="E4463" s="17">
        <v>46086</v>
      </c>
      <c r="F4463" s="17">
        <v>46086</v>
      </c>
      <c r="G4463" s="13">
        <v>391.33</v>
      </c>
      <c r="H4463" s="14">
        <v>0</v>
      </c>
      <c r="I4463" s="14">
        <v>0</v>
      </c>
      <c r="J4463" s="14">
        <v>0</v>
      </c>
      <c r="K4463" s="14">
        <v>391.33</v>
      </c>
      <c r="L4463" t="s">
        <v>794</v>
      </c>
      <c r="M4463" s="23">
        <f t="shared" si="70"/>
        <v>2026</v>
      </c>
    </row>
    <row r="4464" spans="1:13" ht="12.75" hidden="1" customHeight="1">
      <c r="A4464" t="s">
        <v>879</v>
      </c>
      <c r="B4464" t="s">
        <v>23</v>
      </c>
      <c r="C4464" t="s">
        <v>713</v>
      </c>
      <c r="D4464" t="s">
        <v>1445</v>
      </c>
      <c r="E4464" s="17">
        <v>46091</v>
      </c>
      <c r="F4464" s="17">
        <v>46086</v>
      </c>
      <c r="G4464" s="22">
        <v>1993.52</v>
      </c>
      <c r="H4464" s="14">
        <v>0</v>
      </c>
      <c r="I4464" s="14">
        <v>0</v>
      </c>
      <c r="J4464" s="14">
        <v>0</v>
      </c>
      <c r="K4464" s="14">
        <v>1993.52</v>
      </c>
      <c r="L4464" t="s">
        <v>794</v>
      </c>
      <c r="M4464" s="23">
        <f t="shared" si="70"/>
        <v>2026</v>
      </c>
    </row>
    <row r="4465" spans="1:13" ht="12.75" hidden="1" customHeight="1">
      <c r="A4465" t="s">
        <v>1459</v>
      </c>
      <c r="B4465" t="s">
        <v>269</v>
      </c>
      <c r="C4465" t="s">
        <v>270</v>
      </c>
      <c r="D4465" t="s">
        <v>1445</v>
      </c>
      <c r="E4465" s="17">
        <v>46086</v>
      </c>
      <c r="F4465" s="17">
        <v>46086</v>
      </c>
      <c r="G4465" s="13">
        <v>189</v>
      </c>
      <c r="H4465" s="14">
        <v>0</v>
      </c>
      <c r="I4465" s="14">
        <v>0</v>
      </c>
      <c r="J4465" s="14">
        <v>0</v>
      </c>
      <c r="K4465" s="14">
        <v>189</v>
      </c>
      <c r="L4465" t="s">
        <v>794</v>
      </c>
      <c r="M4465" s="23">
        <f t="shared" si="70"/>
        <v>2026</v>
      </c>
    </row>
    <row r="4466" spans="1:13" ht="12.75" hidden="1" customHeight="1">
      <c r="A4466" t="s">
        <v>801</v>
      </c>
      <c r="B4466" t="s">
        <v>13</v>
      </c>
      <c r="C4466" t="s">
        <v>717</v>
      </c>
      <c r="D4466" t="s">
        <v>1445</v>
      </c>
      <c r="E4466" s="17">
        <v>46086</v>
      </c>
      <c r="F4466" s="17">
        <v>46086</v>
      </c>
      <c r="G4466" s="13">
        <v>135.52000000000001</v>
      </c>
      <c r="H4466" s="14">
        <v>0</v>
      </c>
      <c r="I4466" s="14">
        <v>0</v>
      </c>
      <c r="J4466" s="14">
        <v>0</v>
      </c>
      <c r="K4466" s="14">
        <v>135.52000000000001</v>
      </c>
      <c r="L4466" t="s">
        <v>794</v>
      </c>
      <c r="M4466" s="23">
        <f t="shared" si="70"/>
        <v>2026</v>
      </c>
    </row>
    <row r="4467" spans="1:13" ht="12.75" hidden="1" customHeight="1">
      <c r="A4467" t="s">
        <v>801</v>
      </c>
      <c r="B4467" t="s">
        <v>13</v>
      </c>
      <c r="C4467" t="s">
        <v>726</v>
      </c>
      <c r="D4467" t="s">
        <v>1445</v>
      </c>
      <c r="E4467" s="17">
        <v>46086</v>
      </c>
      <c r="F4467" s="17">
        <v>46086</v>
      </c>
      <c r="G4467" s="13">
        <v>13.14</v>
      </c>
      <c r="H4467" s="14">
        <v>0</v>
      </c>
      <c r="I4467" s="14">
        <v>0</v>
      </c>
      <c r="J4467" s="14">
        <v>0</v>
      </c>
      <c r="K4467" s="14">
        <v>13.14</v>
      </c>
      <c r="L4467" t="s">
        <v>794</v>
      </c>
      <c r="M4467" s="23">
        <f t="shared" si="70"/>
        <v>2026</v>
      </c>
    </row>
    <row r="4468" spans="1:13" ht="12.75" hidden="1" customHeight="1">
      <c r="A4468" t="s">
        <v>801</v>
      </c>
      <c r="B4468" t="s">
        <v>13</v>
      </c>
      <c r="C4468" t="s">
        <v>726</v>
      </c>
      <c r="D4468" t="s">
        <v>1445</v>
      </c>
      <c r="E4468" s="17">
        <v>46086</v>
      </c>
      <c r="F4468" s="17">
        <v>46086</v>
      </c>
      <c r="G4468" s="13">
        <v>52.56</v>
      </c>
      <c r="H4468" s="14">
        <v>0</v>
      </c>
      <c r="I4468" s="14">
        <v>0</v>
      </c>
      <c r="J4468" s="14">
        <v>0</v>
      </c>
      <c r="K4468" s="14">
        <v>52.56</v>
      </c>
      <c r="L4468" t="s">
        <v>794</v>
      </c>
      <c r="M4468" s="23">
        <f t="shared" si="70"/>
        <v>2026</v>
      </c>
    </row>
    <row r="4469" spans="1:13" ht="12.75" hidden="1" customHeight="1">
      <c r="A4469" t="s">
        <v>924</v>
      </c>
      <c r="B4469" t="s">
        <v>87</v>
      </c>
      <c r="C4469" t="s">
        <v>137</v>
      </c>
      <c r="D4469" t="s">
        <v>1445</v>
      </c>
      <c r="E4469" s="17">
        <v>46087</v>
      </c>
      <c r="F4469" s="17">
        <v>46087</v>
      </c>
      <c r="G4469" s="13">
        <v>750</v>
      </c>
      <c r="H4469" s="14">
        <v>0</v>
      </c>
      <c r="I4469" s="14">
        <v>0</v>
      </c>
      <c r="J4469" s="14">
        <v>0</v>
      </c>
      <c r="K4469" s="14">
        <v>750</v>
      </c>
      <c r="L4469" t="s">
        <v>794</v>
      </c>
      <c r="M4469" s="23">
        <f t="shared" si="70"/>
        <v>2026</v>
      </c>
    </row>
    <row r="4470" spans="1:13" ht="12.75" hidden="1" customHeight="1">
      <c r="A4470" t="s">
        <v>819</v>
      </c>
      <c r="B4470" t="s">
        <v>38</v>
      </c>
      <c r="C4470" t="s">
        <v>137</v>
      </c>
      <c r="D4470" t="s">
        <v>1445</v>
      </c>
      <c r="E4470" s="17">
        <v>46087</v>
      </c>
      <c r="F4470" s="17">
        <v>46087</v>
      </c>
      <c r="G4470" s="13">
        <v>820</v>
      </c>
      <c r="H4470" s="14">
        <v>0</v>
      </c>
      <c r="I4470" s="14">
        <v>0</v>
      </c>
      <c r="J4470" s="14">
        <v>0</v>
      </c>
      <c r="K4470" s="14">
        <v>820</v>
      </c>
      <c r="L4470" t="s">
        <v>794</v>
      </c>
      <c r="M4470" s="23">
        <f t="shared" si="70"/>
        <v>2026</v>
      </c>
    </row>
    <row r="4471" spans="1:13" ht="12.75" hidden="1" customHeight="1">
      <c r="A4471" t="s">
        <v>1112</v>
      </c>
      <c r="B4471" t="s">
        <v>68</v>
      </c>
      <c r="C4471" t="s">
        <v>736</v>
      </c>
      <c r="D4471" t="s">
        <v>1445</v>
      </c>
      <c r="E4471" s="17">
        <v>46087</v>
      </c>
      <c r="F4471" s="17">
        <v>46087</v>
      </c>
      <c r="G4471" s="13">
        <v>900</v>
      </c>
      <c r="H4471" s="14">
        <v>0</v>
      </c>
      <c r="I4471" s="14">
        <v>0</v>
      </c>
      <c r="J4471" s="14">
        <v>0</v>
      </c>
      <c r="K4471" s="14">
        <v>900</v>
      </c>
      <c r="L4471" t="s">
        <v>794</v>
      </c>
      <c r="M4471" s="23">
        <f t="shared" si="70"/>
        <v>2026</v>
      </c>
    </row>
    <row r="4472" spans="1:13" ht="12.75" hidden="1" customHeight="1">
      <c r="A4472" t="s">
        <v>833</v>
      </c>
      <c r="B4472" t="s">
        <v>27</v>
      </c>
      <c r="C4472" t="s">
        <v>137</v>
      </c>
      <c r="D4472" t="s">
        <v>1445</v>
      </c>
      <c r="E4472" s="17">
        <v>46087</v>
      </c>
      <c r="F4472" s="17">
        <v>46087</v>
      </c>
      <c r="G4472" s="13">
        <v>2816</v>
      </c>
      <c r="H4472" s="14">
        <v>0</v>
      </c>
      <c r="I4472" s="14">
        <v>0</v>
      </c>
      <c r="J4472" s="14">
        <v>0</v>
      </c>
      <c r="K4472" s="14">
        <v>1000</v>
      </c>
      <c r="L4472" t="s">
        <v>794</v>
      </c>
      <c r="M4472" s="23">
        <f t="shared" si="70"/>
        <v>2026</v>
      </c>
    </row>
    <row r="4473" spans="1:13" ht="12.75" hidden="1" customHeight="1">
      <c r="A4473" t="s">
        <v>833</v>
      </c>
      <c r="B4473" t="s">
        <v>27</v>
      </c>
      <c r="C4473" t="s">
        <v>137</v>
      </c>
      <c r="D4473" t="s">
        <v>1445</v>
      </c>
      <c r="E4473" s="17">
        <v>46087</v>
      </c>
      <c r="F4473" s="17">
        <v>46087</v>
      </c>
      <c r="G4473" s="13">
        <v>2816</v>
      </c>
      <c r="H4473" s="14">
        <v>0</v>
      </c>
      <c r="I4473" s="14">
        <v>0</v>
      </c>
      <c r="J4473" s="14">
        <v>0</v>
      </c>
      <c r="K4473" s="14">
        <v>1816</v>
      </c>
      <c r="L4473" t="s">
        <v>794</v>
      </c>
      <c r="M4473" s="23">
        <f t="shared" si="70"/>
        <v>2026</v>
      </c>
    </row>
    <row r="4474" spans="1:13" ht="12.75" hidden="1" customHeight="1">
      <c r="A4474" t="s">
        <v>1420</v>
      </c>
      <c r="B4474" t="s">
        <v>136</v>
      </c>
      <c r="C4474" t="s">
        <v>137</v>
      </c>
      <c r="D4474" t="s">
        <v>1445</v>
      </c>
      <c r="E4474" s="17">
        <v>46087</v>
      </c>
      <c r="F4474" s="17">
        <v>46087</v>
      </c>
      <c r="G4474" s="13">
        <v>177</v>
      </c>
      <c r="H4474" s="14">
        <v>0</v>
      </c>
      <c r="I4474" s="14">
        <v>0</v>
      </c>
      <c r="J4474" s="14">
        <v>0</v>
      </c>
      <c r="K4474" s="14">
        <v>177</v>
      </c>
      <c r="L4474" t="s">
        <v>794</v>
      </c>
      <c r="M4474" s="23">
        <f t="shared" si="70"/>
        <v>2026</v>
      </c>
    </row>
    <row r="4475" spans="1:13" ht="12.75" hidden="1" customHeight="1">
      <c r="A4475" t="s">
        <v>1420</v>
      </c>
      <c r="B4475" t="s">
        <v>136</v>
      </c>
      <c r="C4475" t="s">
        <v>137</v>
      </c>
      <c r="D4475" t="s">
        <v>1445</v>
      </c>
      <c r="E4475" s="17">
        <v>46087</v>
      </c>
      <c r="F4475" s="17">
        <v>46087</v>
      </c>
      <c r="G4475" s="13">
        <v>390.18</v>
      </c>
      <c r="H4475" s="14">
        <v>0</v>
      </c>
      <c r="I4475" s="14">
        <v>0</v>
      </c>
      <c r="J4475" s="14">
        <v>0</v>
      </c>
      <c r="K4475" s="14">
        <v>390.18</v>
      </c>
      <c r="L4475" t="s">
        <v>794</v>
      </c>
      <c r="M4475" s="23">
        <f t="shared" si="70"/>
        <v>2026</v>
      </c>
    </row>
    <row r="4476" spans="1:13" ht="12.75" hidden="1" customHeight="1">
      <c r="A4476" t="s">
        <v>825</v>
      </c>
      <c r="B4476" t="s">
        <v>46</v>
      </c>
      <c r="C4476" t="s">
        <v>137</v>
      </c>
      <c r="D4476" t="s">
        <v>1445</v>
      </c>
      <c r="E4476" s="17">
        <v>46087</v>
      </c>
      <c r="F4476" s="17">
        <v>46087</v>
      </c>
      <c r="G4476" s="13">
        <v>1059</v>
      </c>
      <c r="H4476" s="14">
        <v>0</v>
      </c>
      <c r="I4476" s="14">
        <v>0</v>
      </c>
      <c r="J4476" s="14">
        <v>0</v>
      </c>
      <c r="K4476" s="14">
        <v>1059</v>
      </c>
      <c r="L4476" t="s">
        <v>794</v>
      </c>
      <c r="M4476" s="23">
        <f t="shared" si="70"/>
        <v>2026</v>
      </c>
    </row>
    <row r="4477" spans="1:13" ht="12.75" hidden="1" customHeight="1">
      <c r="A4477" t="s">
        <v>855</v>
      </c>
      <c r="B4477" t="s">
        <v>20</v>
      </c>
      <c r="C4477" t="s">
        <v>721</v>
      </c>
      <c r="D4477" t="s">
        <v>1445</v>
      </c>
      <c r="E4477" s="17">
        <v>46087</v>
      </c>
      <c r="F4477" s="17">
        <v>46087</v>
      </c>
      <c r="G4477" s="13">
        <v>1000</v>
      </c>
      <c r="H4477" s="14">
        <v>0</v>
      </c>
      <c r="I4477" s="14">
        <v>0</v>
      </c>
      <c r="J4477" s="14">
        <v>0</v>
      </c>
      <c r="K4477" s="14">
        <v>1000</v>
      </c>
      <c r="L4477" t="s">
        <v>794</v>
      </c>
      <c r="M4477" s="23">
        <f t="shared" si="70"/>
        <v>2026</v>
      </c>
    </row>
    <row r="4478" spans="1:13" ht="12.75" hidden="1" customHeight="1">
      <c r="A4478" t="s">
        <v>855</v>
      </c>
      <c r="B4478" t="s">
        <v>20</v>
      </c>
      <c r="C4478" t="s">
        <v>721</v>
      </c>
      <c r="D4478" t="s">
        <v>1445</v>
      </c>
      <c r="E4478" s="17">
        <v>46087</v>
      </c>
      <c r="F4478" s="17">
        <v>46087</v>
      </c>
      <c r="G4478" s="13">
        <v>5000</v>
      </c>
      <c r="H4478" s="14">
        <v>0</v>
      </c>
      <c r="I4478" s="14">
        <v>0</v>
      </c>
      <c r="J4478" s="14">
        <v>0</v>
      </c>
      <c r="K4478" s="14">
        <v>5000</v>
      </c>
      <c r="L4478" t="s">
        <v>794</v>
      </c>
      <c r="M4478" s="23">
        <f t="shared" si="70"/>
        <v>2026</v>
      </c>
    </row>
    <row r="4479" spans="1:13" ht="12.75" hidden="1" customHeight="1">
      <c r="A4479" t="s">
        <v>1173</v>
      </c>
      <c r="B4479" t="s">
        <v>45</v>
      </c>
      <c r="C4479" t="s">
        <v>137</v>
      </c>
      <c r="D4479" t="s">
        <v>1445</v>
      </c>
      <c r="E4479" s="17">
        <v>46087</v>
      </c>
      <c r="F4479" s="17">
        <v>46087</v>
      </c>
      <c r="G4479" s="13">
        <v>1810</v>
      </c>
      <c r="H4479" s="14">
        <v>0</v>
      </c>
      <c r="I4479" s="14">
        <v>0</v>
      </c>
      <c r="J4479" s="14">
        <v>0</v>
      </c>
      <c r="K4479" s="14">
        <v>1810</v>
      </c>
      <c r="L4479" t="s">
        <v>794</v>
      </c>
      <c r="M4479" s="23">
        <f t="shared" si="70"/>
        <v>2026</v>
      </c>
    </row>
    <row r="4480" spans="1:13" ht="12.75" hidden="1" customHeight="1">
      <c r="A4480" t="s">
        <v>808</v>
      </c>
      <c r="B4480" t="s">
        <v>154</v>
      </c>
      <c r="C4480" t="s">
        <v>693</v>
      </c>
      <c r="D4480" t="s">
        <v>1445</v>
      </c>
      <c r="E4480" s="17">
        <v>46087</v>
      </c>
      <c r="F4480" s="17">
        <v>46087</v>
      </c>
      <c r="G4480" s="13">
        <v>550</v>
      </c>
      <c r="H4480" s="14">
        <v>0</v>
      </c>
      <c r="I4480" s="14">
        <v>0</v>
      </c>
      <c r="J4480" s="14">
        <v>0</v>
      </c>
      <c r="K4480" s="14">
        <v>550</v>
      </c>
      <c r="L4480" t="s">
        <v>794</v>
      </c>
      <c r="M4480" s="23">
        <f t="shared" si="70"/>
        <v>2026</v>
      </c>
    </row>
    <row r="4481" spans="1:13" ht="12.75" hidden="1" customHeight="1">
      <c r="A4481" t="s">
        <v>1388</v>
      </c>
      <c r="B4481" t="s">
        <v>202</v>
      </c>
      <c r="C4481" t="s">
        <v>204</v>
      </c>
      <c r="D4481" t="s">
        <v>1445</v>
      </c>
      <c r="E4481" s="17">
        <v>46087</v>
      </c>
      <c r="F4481" s="17">
        <v>46087</v>
      </c>
      <c r="G4481" s="13">
        <v>792.58</v>
      </c>
      <c r="H4481" s="14">
        <v>0</v>
      </c>
      <c r="I4481" s="14">
        <v>0</v>
      </c>
      <c r="J4481" s="14">
        <v>0</v>
      </c>
      <c r="K4481" s="14">
        <v>792.58</v>
      </c>
      <c r="L4481" t="s">
        <v>794</v>
      </c>
      <c r="M4481" s="23">
        <f t="shared" si="70"/>
        <v>2026</v>
      </c>
    </row>
    <row r="4482" spans="1:13" ht="12.75" hidden="1" customHeight="1">
      <c r="A4482" t="s">
        <v>1104</v>
      </c>
      <c r="B4482" t="s">
        <v>53</v>
      </c>
      <c r="C4482" t="s">
        <v>140</v>
      </c>
      <c r="D4482" t="s">
        <v>1445</v>
      </c>
      <c r="E4482" s="17">
        <v>46087</v>
      </c>
      <c r="F4482" s="17">
        <v>46087</v>
      </c>
      <c r="G4482" s="13">
        <v>200</v>
      </c>
      <c r="H4482" s="14">
        <v>0</v>
      </c>
      <c r="I4482" s="14">
        <v>0</v>
      </c>
      <c r="J4482" s="14">
        <v>0</v>
      </c>
      <c r="K4482" s="14">
        <v>200</v>
      </c>
      <c r="L4482" t="s">
        <v>794</v>
      </c>
      <c r="M4482" s="23">
        <f t="shared" si="70"/>
        <v>2026</v>
      </c>
    </row>
    <row r="4483" spans="1:13" ht="12.75" hidden="1" customHeight="1">
      <c r="A4483" t="s">
        <v>836</v>
      </c>
      <c r="B4483" t="s">
        <v>37</v>
      </c>
      <c r="C4483" t="s">
        <v>137</v>
      </c>
      <c r="D4483" t="s">
        <v>1445</v>
      </c>
      <c r="E4483" s="17">
        <v>46087</v>
      </c>
      <c r="F4483" s="17">
        <v>46087</v>
      </c>
      <c r="G4483" s="13">
        <v>1573</v>
      </c>
      <c r="H4483" s="14">
        <v>0</v>
      </c>
      <c r="I4483" s="14">
        <v>0</v>
      </c>
      <c r="J4483" s="14">
        <v>0</v>
      </c>
      <c r="K4483" s="14">
        <v>1573</v>
      </c>
      <c r="L4483" t="s">
        <v>794</v>
      </c>
      <c r="M4483" s="23">
        <f t="shared" si="70"/>
        <v>2026</v>
      </c>
    </row>
    <row r="4484" spans="1:13" ht="12.75" hidden="1" customHeight="1">
      <c r="A4484" t="s">
        <v>801</v>
      </c>
      <c r="B4484" t="s">
        <v>13</v>
      </c>
      <c r="C4484" t="s">
        <v>726</v>
      </c>
      <c r="D4484" t="s">
        <v>1445</v>
      </c>
      <c r="E4484" s="17">
        <v>46087</v>
      </c>
      <c r="F4484" s="17">
        <v>46087</v>
      </c>
      <c r="G4484" s="13">
        <v>52.56</v>
      </c>
      <c r="H4484" s="14">
        <v>0</v>
      </c>
      <c r="I4484" s="14">
        <v>0</v>
      </c>
      <c r="J4484" s="14">
        <v>0</v>
      </c>
      <c r="K4484" s="14">
        <v>52.56</v>
      </c>
      <c r="L4484" t="s">
        <v>794</v>
      </c>
      <c r="M4484" s="23">
        <f t="shared" si="70"/>
        <v>2026</v>
      </c>
    </row>
    <row r="4485" spans="1:13" ht="12.75" hidden="1" customHeight="1">
      <c r="A4485" t="s">
        <v>957</v>
      </c>
      <c r="B4485" t="s">
        <v>236</v>
      </c>
      <c r="C4485" t="s">
        <v>137</v>
      </c>
      <c r="D4485" t="s">
        <v>1445</v>
      </c>
      <c r="E4485" s="17">
        <v>46087</v>
      </c>
      <c r="F4485" s="17">
        <v>46087</v>
      </c>
      <c r="G4485" s="13">
        <v>1055</v>
      </c>
      <c r="H4485" s="14">
        <v>0</v>
      </c>
      <c r="I4485" s="14">
        <v>0</v>
      </c>
      <c r="J4485" s="14">
        <v>0</v>
      </c>
      <c r="K4485" s="14">
        <v>1055</v>
      </c>
      <c r="L4485" t="s">
        <v>794</v>
      </c>
      <c r="M4485" s="23">
        <f t="shared" si="70"/>
        <v>2026</v>
      </c>
    </row>
    <row r="4486" spans="1:13" ht="12.75" hidden="1" customHeight="1">
      <c r="A4486" t="s">
        <v>826</v>
      </c>
      <c r="B4486" t="s">
        <v>21</v>
      </c>
      <c r="C4486" t="s">
        <v>137</v>
      </c>
      <c r="D4486" t="s">
        <v>1445</v>
      </c>
      <c r="E4486" s="17">
        <v>46087</v>
      </c>
      <c r="F4486" s="17">
        <v>46087</v>
      </c>
      <c r="G4486" s="13">
        <v>1586</v>
      </c>
      <c r="H4486" s="14">
        <v>0</v>
      </c>
      <c r="I4486" s="14">
        <v>0</v>
      </c>
      <c r="J4486" s="14">
        <v>0</v>
      </c>
      <c r="K4486" s="14">
        <v>1586</v>
      </c>
      <c r="L4486" t="s">
        <v>794</v>
      </c>
      <c r="M4486" s="23">
        <f t="shared" si="70"/>
        <v>2026</v>
      </c>
    </row>
    <row r="4487" spans="1:13" ht="12.75" hidden="1" customHeight="1">
      <c r="A4487" t="s">
        <v>1134</v>
      </c>
      <c r="B4487" t="s">
        <v>33</v>
      </c>
      <c r="C4487" t="s">
        <v>137</v>
      </c>
      <c r="D4487" t="s">
        <v>1445</v>
      </c>
      <c r="E4487" s="17">
        <v>46087</v>
      </c>
      <c r="F4487" s="17">
        <v>46087</v>
      </c>
      <c r="G4487" s="13">
        <v>1573</v>
      </c>
      <c r="H4487" s="14">
        <v>0</v>
      </c>
      <c r="I4487" s="14">
        <v>0</v>
      </c>
      <c r="J4487" s="14">
        <v>0</v>
      </c>
      <c r="K4487" s="14">
        <v>1573</v>
      </c>
      <c r="L4487" t="s">
        <v>794</v>
      </c>
      <c r="M4487" s="23">
        <f t="shared" si="70"/>
        <v>2026</v>
      </c>
    </row>
    <row r="4488" spans="1:13" ht="12.75" hidden="1" customHeight="1">
      <c r="A4488" t="s">
        <v>1104</v>
      </c>
      <c r="B4488" t="s">
        <v>53</v>
      </c>
      <c r="C4488" t="s">
        <v>137</v>
      </c>
      <c r="D4488" t="s">
        <v>1445</v>
      </c>
      <c r="E4488" s="17">
        <v>46087</v>
      </c>
      <c r="F4488" s="17">
        <v>46087</v>
      </c>
      <c r="G4488" s="13">
        <v>1388</v>
      </c>
      <c r="H4488" s="14">
        <v>0</v>
      </c>
      <c r="I4488" s="14">
        <v>0</v>
      </c>
      <c r="J4488" s="14">
        <v>0</v>
      </c>
      <c r="K4488" s="14">
        <v>1388</v>
      </c>
      <c r="L4488" t="s">
        <v>794</v>
      </c>
      <c r="M4488" s="23">
        <f t="shared" si="70"/>
        <v>2026</v>
      </c>
    </row>
    <row r="4489" spans="1:13" ht="12.75" hidden="1" customHeight="1">
      <c r="A4489" t="s">
        <v>1105</v>
      </c>
      <c r="B4489" t="s">
        <v>1395</v>
      </c>
      <c r="C4489" t="s">
        <v>137</v>
      </c>
      <c r="D4489" t="s">
        <v>1445</v>
      </c>
      <c r="E4489" s="17">
        <v>46087</v>
      </c>
      <c r="F4489" s="17">
        <v>46087</v>
      </c>
      <c r="G4489" s="13">
        <v>1572</v>
      </c>
      <c r="H4489" s="14">
        <v>0</v>
      </c>
      <c r="I4489" s="14">
        <v>0</v>
      </c>
      <c r="J4489" s="14">
        <v>0</v>
      </c>
      <c r="K4489" s="14">
        <v>1572</v>
      </c>
      <c r="L4489" t="s">
        <v>794</v>
      </c>
      <c r="M4489" s="23">
        <f t="shared" si="70"/>
        <v>2026</v>
      </c>
    </row>
    <row r="4490" spans="1:13" ht="12.75" hidden="1" customHeight="1">
      <c r="A4490" t="s">
        <v>1141</v>
      </c>
      <c r="B4490" t="s">
        <v>69</v>
      </c>
      <c r="C4490" t="s">
        <v>137</v>
      </c>
      <c r="D4490" t="s">
        <v>1445</v>
      </c>
      <c r="E4490" s="17">
        <v>46087</v>
      </c>
      <c r="F4490" s="17">
        <v>46087</v>
      </c>
      <c r="G4490" s="13">
        <v>1377</v>
      </c>
      <c r="H4490" s="14">
        <v>0</v>
      </c>
      <c r="I4490" s="14">
        <v>0</v>
      </c>
      <c r="J4490" s="14">
        <v>0</v>
      </c>
      <c r="K4490" s="14">
        <v>1377</v>
      </c>
      <c r="L4490" t="s">
        <v>794</v>
      </c>
      <c r="M4490" s="23">
        <f t="shared" si="70"/>
        <v>2026</v>
      </c>
    </row>
    <row r="4491" spans="1:13" ht="12.75" hidden="1" customHeight="1">
      <c r="A4491" t="s">
        <v>814</v>
      </c>
      <c r="B4491" t="s">
        <v>56</v>
      </c>
      <c r="C4491" t="s">
        <v>137</v>
      </c>
      <c r="D4491" t="s">
        <v>1445</v>
      </c>
      <c r="E4491" s="17">
        <v>46087</v>
      </c>
      <c r="F4491" s="17">
        <v>46087</v>
      </c>
      <c r="G4491" s="13">
        <v>1184</v>
      </c>
      <c r="H4491" s="14">
        <v>0</v>
      </c>
      <c r="I4491" s="14">
        <v>0</v>
      </c>
      <c r="J4491" s="14">
        <v>0</v>
      </c>
      <c r="K4491" s="14">
        <v>1184</v>
      </c>
      <c r="L4491" t="s">
        <v>794</v>
      </c>
      <c r="M4491" s="23">
        <f t="shared" si="70"/>
        <v>2026</v>
      </c>
    </row>
    <row r="4492" spans="1:13" ht="12.75" hidden="1" customHeight="1">
      <c r="A4492" t="s">
        <v>818</v>
      </c>
      <c r="B4492" t="s">
        <v>30</v>
      </c>
      <c r="C4492" t="s">
        <v>137</v>
      </c>
      <c r="D4492" t="s">
        <v>1445</v>
      </c>
      <c r="E4492" s="17">
        <v>46087</v>
      </c>
      <c r="F4492" s="17">
        <v>46087</v>
      </c>
      <c r="G4492" s="13">
        <v>1573</v>
      </c>
      <c r="H4492" s="14">
        <v>0</v>
      </c>
      <c r="I4492" s="14">
        <v>0</v>
      </c>
      <c r="J4492" s="14">
        <v>0</v>
      </c>
      <c r="K4492" s="14">
        <v>1573</v>
      </c>
      <c r="L4492" t="s">
        <v>794</v>
      </c>
      <c r="M4492" s="23">
        <f t="shared" si="70"/>
        <v>2026</v>
      </c>
    </row>
    <row r="4493" spans="1:13" ht="12.75" hidden="1" customHeight="1">
      <c r="A4493" t="s">
        <v>1317</v>
      </c>
      <c r="B4493" t="s">
        <v>64</v>
      </c>
      <c r="C4493" t="s">
        <v>137</v>
      </c>
      <c r="D4493" t="s">
        <v>1445</v>
      </c>
      <c r="E4493" s="17">
        <v>46087</v>
      </c>
      <c r="F4493" s="17">
        <v>46087</v>
      </c>
      <c r="G4493" s="13">
        <v>1395</v>
      </c>
      <c r="H4493" s="14">
        <v>0</v>
      </c>
      <c r="I4493" s="14">
        <v>0</v>
      </c>
      <c r="J4493" s="14">
        <v>0</v>
      </c>
      <c r="K4493" s="14">
        <v>1395</v>
      </c>
      <c r="L4493" t="s">
        <v>794</v>
      </c>
      <c r="M4493" s="23">
        <f t="shared" si="70"/>
        <v>2026</v>
      </c>
    </row>
    <row r="4494" spans="1:13" ht="12.75" hidden="1" customHeight="1">
      <c r="A4494" t="s">
        <v>1196</v>
      </c>
      <c r="B4494" t="s">
        <v>1197</v>
      </c>
      <c r="C4494" t="s">
        <v>137</v>
      </c>
      <c r="D4494" t="s">
        <v>1445</v>
      </c>
      <c r="E4494" s="17">
        <v>46087</v>
      </c>
      <c r="F4494" s="17">
        <v>46087</v>
      </c>
      <c r="G4494" s="13">
        <v>1224</v>
      </c>
      <c r="H4494" s="14">
        <v>0</v>
      </c>
      <c r="I4494" s="14">
        <v>0</v>
      </c>
      <c r="J4494" s="14">
        <v>0</v>
      </c>
      <c r="K4494" s="14">
        <v>1224</v>
      </c>
      <c r="L4494" t="s">
        <v>794</v>
      </c>
      <c r="M4494" s="23">
        <f t="shared" si="70"/>
        <v>2026</v>
      </c>
    </row>
    <row r="4495" spans="1:13" ht="12.75" hidden="1" customHeight="1">
      <c r="A4495" t="s">
        <v>810</v>
      </c>
      <c r="B4495" t="s">
        <v>54</v>
      </c>
      <c r="C4495" t="s">
        <v>137</v>
      </c>
      <c r="D4495" t="s">
        <v>1445</v>
      </c>
      <c r="E4495" s="17">
        <v>46087</v>
      </c>
      <c r="F4495" s="17">
        <v>46087</v>
      </c>
      <c r="G4495" s="13">
        <v>1222</v>
      </c>
      <c r="H4495" s="14">
        <v>0</v>
      </c>
      <c r="I4495" s="14">
        <v>0</v>
      </c>
      <c r="J4495" s="14">
        <v>0</v>
      </c>
      <c r="K4495" s="14">
        <v>1222</v>
      </c>
      <c r="L4495" t="s">
        <v>794</v>
      </c>
      <c r="M4495" s="23">
        <f t="shared" si="70"/>
        <v>2026</v>
      </c>
    </row>
    <row r="4496" spans="1:13" ht="12.75" hidden="1" customHeight="1">
      <c r="A4496" t="s">
        <v>1004</v>
      </c>
      <c r="B4496" t="s">
        <v>57</v>
      </c>
      <c r="C4496" t="s">
        <v>137</v>
      </c>
      <c r="D4496" t="s">
        <v>1445</v>
      </c>
      <c r="E4496" s="17">
        <v>46087</v>
      </c>
      <c r="F4496" s="17">
        <v>46087</v>
      </c>
      <c r="G4496" s="13">
        <v>1708</v>
      </c>
      <c r="H4496" s="14">
        <v>0</v>
      </c>
      <c r="I4496" s="14">
        <v>0</v>
      </c>
      <c r="J4496" s="14">
        <v>0</v>
      </c>
      <c r="K4496" s="14">
        <v>1708</v>
      </c>
      <c r="L4496" t="s">
        <v>794</v>
      </c>
      <c r="M4496" s="23">
        <f t="shared" si="70"/>
        <v>2026</v>
      </c>
    </row>
    <row r="4497" spans="1:13" ht="12.75" hidden="1" customHeight="1">
      <c r="A4497" t="s">
        <v>1167</v>
      </c>
      <c r="B4497" t="s">
        <v>47</v>
      </c>
      <c r="C4497" t="s">
        <v>137</v>
      </c>
      <c r="D4497" t="s">
        <v>1445</v>
      </c>
      <c r="E4497" s="17">
        <v>46087</v>
      </c>
      <c r="F4497" s="17">
        <v>46087</v>
      </c>
      <c r="G4497" s="13">
        <v>1815</v>
      </c>
      <c r="H4497" s="14">
        <v>0</v>
      </c>
      <c r="I4497" s="14">
        <v>0</v>
      </c>
      <c r="J4497" s="14">
        <v>0</v>
      </c>
      <c r="K4497" s="14">
        <v>1815</v>
      </c>
      <c r="L4497" t="s">
        <v>794</v>
      </c>
      <c r="M4497" s="23">
        <f t="shared" si="70"/>
        <v>2026</v>
      </c>
    </row>
    <row r="4498" spans="1:13" ht="12.75" hidden="1" customHeight="1">
      <c r="A4498" t="s">
        <v>961</v>
      </c>
      <c r="B4498" t="s">
        <v>41</v>
      </c>
      <c r="C4498" t="s">
        <v>137</v>
      </c>
      <c r="D4498" t="s">
        <v>1445</v>
      </c>
      <c r="E4498" s="17">
        <v>46087</v>
      </c>
      <c r="F4498" s="17">
        <v>46087</v>
      </c>
      <c r="G4498" s="13">
        <v>1573</v>
      </c>
      <c r="H4498" s="14">
        <v>0</v>
      </c>
      <c r="I4498" s="14">
        <v>0</v>
      </c>
      <c r="J4498" s="14">
        <v>0</v>
      </c>
      <c r="K4498" s="14">
        <v>1573</v>
      </c>
      <c r="L4498" t="s">
        <v>794</v>
      </c>
      <c r="M4498" s="23">
        <f t="shared" si="70"/>
        <v>2026</v>
      </c>
    </row>
    <row r="4499" spans="1:13" ht="12.75" hidden="1" customHeight="1">
      <c r="A4499" t="s">
        <v>1316</v>
      </c>
      <c r="B4499" t="s">
        <v>59</v>
      </c>
      <c r="C4499" t="s">
        <v>137</v>
      </c>
      <c r="D4499" t="s">
        <v>1445</v>
      </c>
      <c r="E4499" s="17">
        <v>46087</v>
      </c>
      <c r="F4499" s="17">
        <v>46087</v>
      </c>
      <c r="G4499" s="13">
        <v>1572</v>
      </c>
      <c r="H4499" s="14">
        <v>0</v>
      </c>
      <c r="I4499" s="14">
        <v>0</v>
      </c>
      <c r="J4499" s="14">
        <v>0</v>
      </c>
      <c r="K4499" s="14">
        <v>1572</v>
      </c>
      <c r="L4499" t="s">
        <v>794</v>
      </c>
      <c r="M4499" s="23">
        <f t="shared" si="70"/>
        <v>2026</v>
      </c>
    </row>
    <row r="4500" spans="1:13" ht="12.75" hidden="1" customHeight="1">
      <c r="A4500" t="s">
        <v>1296</v>
      </c>
      <c r="B4500" t="s">
        <v>42</v>
      </c>
      <c r="C4500" t="s">
        <v>728</v>
      </c>
      <c r="D4500" t="s">
        <v>1445</v>
      </c>
      <c r="E4500" s="17">
        <v>46087</v>
      </c>
      <c r="F4500" s="17">
        <v>46087</v>
      </c>
      <c r="G4500" s="13">
        <v>4693.6099999999997</v>
      </c>
      <c r="H4500" s="14">
        <v>0</v>
      </c>
      <c r="I4500" s="14">
        <v>0</v>
      </c>
      <c r="J4500" s="14">
        <v>0</v>
      </c>
      <c r="K4500" s="14">
        <v>4693.6099999999997</v>
      </c>
      <c r="L4500" t="s">
        <v>794</v>
      </c>
      <c r="M4500" s="23">
        <f t="shared" si="70"/>
        <v>2026</v>
      </c>
    </row>
    <row r="4501" spans="1:13" ht="12.75" hidden="1" customHeight="1">
      <c r="A4501" t="s">
        <v>833</v>
      </c>
      <c r="B4501" t="s">
        <v>27</v>
      </c>
      <c r="C4501" t="s">
        <v>730</v>
      </c>
      <c r="D4501" t="s">
        <v>1445</v>
      </c>
      <c r="E4501" s="17">
        <v>46090</v>
      </c>
      <c r="F4501" s="17">
        <v>46087</v>
      </c>
      <c r="G4501" s="13">
        <v>2568</v>
      </c>
      <c r="H4501" s="14">
        <v>0</v>
      </c>
      <c r="I4501" s="14">
        <v>0</v>
      </c>
      <c r="J4501" s="14">
        <v>0</v>
      </c>
      <c r="K4501" s="14">
        <v>2568</v>
      </c>
      <c r="L4501" t="s">
        <v>794</v>
      </c>
      <c r="M4501" s="23">
        <f t="shared" si="70"/>
        <v>2026</v>
      </c>
    </row>
    <row r="4502" spans="1:13" ht="12.75" hidden="1" customHeight="1">
      <c r="A4502" t="s">
        <v>801</v>
      </c>
      <c r="B4502" t="s">
        <v>13</v>
      </c>
      <c r="C4502" t="s">
        <v>726</v>
      </c>
      <c r="D4502" t="s">
        <v>1445</v>
      </c>
      <c r="E4502" s="17">
        <v>46087</v>
      </c>
      <c r="F4502" s="17">
        <v>46087</v>
      </c>
      <c r="G4502" s="13">
        <v>94.17</v>
      </c>
      <c r="H4502" s="14">
        <v>0</v>
      </c>
      <c r="I4502" s="14">
        <v>0</v>
      </c>
      <c r="J4502" s="14">
        <v>0</v>
      </c>
      <c r="K4502" s="14">
        <v>94.17</v>
      </c>
      <c r="L4502" t="s">
        <v>794</v>
      </c>
      <c r="M4502" s="23">
        <f t="shared" si="70"/>
        <v>2026</v>
      </c>
    </row>
    <row r="4503" spans="1:13" ht="12.75" hidden="1" customHeight="1">
      <c r="A4503" t="s">
        <v>915</v>
      </c>
      <c r="B4503" t="s">
        <v>145</v>
      </c>
      <c r="C4503" t="s">
        <v>183</v>
      </c>
      <c r="D4503" t="s">
        <v>1445</v>
      </c>
      <c r="E4503" s="17">
        <v>46090</v>
      </c>
      <c r="F4503" s="17">
        <v>46090</v>
      </c>
      <c r="G4503" s="13">
        <v>2661.6</v>
      </c>
      <c r="H4503" s="14">
        <v>0</v>
      </c>
      <c r="I4503" s="14">
        <v>0</v>
      </c>
      <c r="J4503" s="14">
        <v>0</v>
      </c>
      <c r="K4503" s="14">
        <v>2661.6</v>
      </c>
      <c r="L4503" t="s">
        <v>794</v>
      </c>
      <c r="M4503" s="23">
        <f t="shared" si="70"/>
        <v>2026</v>
      </c>
    </row>
    <row r="4504" spans="1:13" ht="12.75" hidden="1" customHeight="1">
      <c r="A4504" t="s">
        <v>801</v>
      </c>
      <c r="B4504" t="s">
        <v>13</v>
      </c>
      <c r="C4504" t="s">
        <v>726</v>
      </c>
      <c r="D4504" t="s">
        <v>1445</v>
      </c>
      <c r="E4504" s="17">
        <v>46090</v>
      </c>
      <c r="F4504" s="17">
        <v>46090</v>
      </c>
      <c r="G4504" s="13">
        <v>223.76</v>
      </c>
      <c r="H4504" s="14">
        <v>0</v>
      </c>
      <c r="I4504" s="14">
        <v>0</v>
      </c>
      <c r="J4504" s="14">
        <v>0</v>
      </c>
      <c r="K4504" s="14">
        <v>223.76</v>
      </c>
      <c r="L4504" t="s">
        <v>794</v>
      </c>
      <c r="M4504" s="23">
        <f t="shared" si="70"/>
        <v>2026</v>
      </c>
    </row>
    <row r="4505" spans="1:13" ht="12.75" hidden="1" customHeight="1">
      <c r="A4505" t="s">
        <v>801</v>
      </c>
      <c r="B4505" t="s">
        <v>13</v>
      </c>
      <c r="C4505" t="s">
        <v>726</v>
      </c>
      <c r="D4505" t="s">
        <v>1445</v>
      </c>
      <c r="E4505" s="17">
        <v>46090</v>
      </c>
      <c r="F4505" s="17">
        <v>46090</v>
      </c>
      <c r="G4505" s="13">
        <v>943.89</v>
      </c>
      <c r="H4505" s="14">
        <v>0</v>
      </c>
      <c r="I4505" s="14">
        <v>0</v>
      </c>
      <c r="J4505" s="14">
        <v>0</v>
      </c>
      <c r="K4505" s="14">
        <v>943.89</v>
      </c>
      <c r="L4505" t="s">
        <v>794</v>
      </c>
      <c r="M4505" s="23">
        <f t="shared" si="70"/>
        <v>2026</v>
      </c>
    </row>
    <row r="4506" spans="1:13" ht="12.75" hidden="1" customHeight="1">
      <c r="A4506" t="s">
        <v>1173</v>
      </c>
      <c r="B4506" t="s">
        <v>45</v>
      </c>
      <c r="C4506" t="s">
        <v>140</v>
      </c>
      <c r="D4506" t="s">
        <v>1445</v>
      </c>
      <c r="E4506" s="17">
        <v>46090</v>
      </c>
      <c r="F4506" s="17">
        <v>46090</v>
      </c>
      <c r="G4506" s="13">
        <v>372</v>
      </c>
      <c r="H4506" s="14">
        <v>0</v>
      </c>
      <c r="I4506" s="14">
        <v>0</v>
      </c>
      <c r="J4506" s="14">
        <v>0</v>
      </c>
      <c r="K4506" s="14">
        <v>372</v>
      </c>
      <c r="L4506" t="s">
        <v>794</v>
      </c>
      <c r="M4506" s="23">
        <f t="shared" si="70"/>
        <v>2026</v>
      </c>
    </row>
    <row r="4507" spans="1:13" ht="12.75" hidden="1" customHeight="1">
      <c r="A4507" t="s">
        <v>878</v>
      </c>
      <c r="B4507" t="s">
        <v>32</v>
      </c>
      <c r="C4507" t="s">
        <v>721</v>
      </c>
      <c r="D4507" t="s">
        <v>1445</v>
      </c>
      <c r="E4507" s="17">
        <v>46091</v>
      </c>
      <c r="F4507" s="17">
        <v>46091</v>
      </c>
      <c r="G4507" s="13">
        <v>968</v>
      </c>
      <c r="H4507" s="14">
        <v>0</v>
      </c>
      <c r="I4507" s="14">
        <v>0</v>
      </c>
      <c r="J4507" s="14">
        <v>0</v>
      </c>
      <c r="K4507" s="14">
        <v>968</v>
      </c>
      <c r="L4507" t="s">
        <v>794</v>
      </c>
      <c r="M4507" s="23">
        <f t="shared" ref="M4507:M4570" si="71">YEAR(F4507)</f>
        <v>2026</v>
      </c>
    </row>
    <row r="4508" spans="1:13" ht="12.75" hidden="1" customHeight="1">
      <c r="A4508" t="s">
        <v>1222</v>
      </c>
      <c r="B4508" t="s">
        <v>176</v>
      </c>
      <c r="C4508" t="s">
        <v>387</v>
      </c>
      <c r="D4508" t="s">
        <v>1445</v>
      </c>
      <c r="E4508" s="17">
        <v>46091</v>
      </c>
      <c r="F4508" s="17">
        <v>46091</v>
      </c>
      <c r="G4508" s="13">
        <v>475.32</v>
      </c>
      <c r="H4508" s="14">
        <v>0</v>
      </c>
      <c r="I4508" s="14">
        <v>0</v>
      </c>
      <c r="J4508" s="14">
        <v>0</v>
      </c>
      <c r="K4508" s="14">
        <v>475.32</v>
      </c>
      <c r="L4508" t="s">
        <v>794</v>
      </c>
      <c r="M4508" s="23">
        <f t="shared" si="71"/>
        <v>2026</v>
      </c>
    </row>
    <row r="4509" spans="1:13" ht="12.75" hidden="1" customHeight="1">
      <c r="A4509" t="s">
        <v>844</v>
      </c>
      <c r="B4509" t="s">
        <v>43</v>
      </c>
      <c r="C4509" t="s">
        <v>719</v>
      </c>
      <c r="D4509" t="s">
        <v>1445</v>
      </c>
      <c r="E4509" s="17">
        <v>46091</v>
      </c>
      <c r="F4509" s="17">
        <v>46091</v>
      </c>
      <c r="G4509" s="13">
        <v>7896.85</v>
      </c>
      <c r="H4509" s="14">
        <v>0</v>
      </c>
      <c r="I4509" s="14">
        <v>0</v>
      </c>
      <c r="J4509" s="14">
        <v>0</v>
      </c>
      <c r="K4509" s="14">
        <v>7896.85</v>
      </c>
      <c r="L4509" t="s">
        <v>794</v>
      </c>
      <c r="M4509" s="23">
        <f t="shared" si="71"/>
        <v>2026</v>
      </c>
    </row>
    <row r="4510" spans="1:13" ht="12.75" hidden="1" customHeight="1">
      <c r="A4510" t="s">
        <v>879</v>
      </c>
      <c r="B4510" t="s">
        <v>23</v>
      </c>
      <c r="C4510" t="s">
        <v>719</v>
      </c>
      <c r="D4510" t="s">
        <v>1445</v>
      </c>
      <c r="E4510" s="17">
        <v>46091</v>
      </c>
      <c r="F4510" s="17">
        <v>46091</v>
      </c>
      <c r="G4510" s="13">
        <v>1397</v>
      </c>
      <c r="H4510" s="14">
        <v>0</v>
      </c>
      <c r="I4510" s="14">
        <v>0</v>
      </c>
      <c r="J4510" s="14">
        <v>0</v>
      </c>
      <c r="K4510" s="14">
        <v>1397.44</v>
      </c>
      <c r="L4510" t="s">
        <v>794</v>
      </c>
      <c r="M4510" s="23">
        <f t="shared" si="71"/>
        <v>2026</v>
      </c>
    </row>
    <row r="4511" spans="1:13" ht="12.75" hidden="1" customHeight="1">
      <c r="A4511" t="s">
        <v>1248</v>
      </c>
      <c r="B4511" t="s">
        <v>111</v>
      </c>
      <c r="C4511" t="s">
        <v>183</v>
      </c>
      <c r="D4511" t="s">
        <v>1445</v>
      </c>
      <c r="E4511" s="17">
        <v>46091</v>
      </c>
      <c r="F4511" s="17">
        <v>46091</v>
      </c>
      <c r="G4511" s="13">
        <v>997.5</v>
      </c>
      <c r="H4511" s="14">
        <v>0</v>
      </c>
      <c r="I4511" s="14">
        <v>0</v>
      </c>
      <c r="J4511" s="14">
        <v>0</v>
      </c>
      <c r="K4511" s="14">
        <v>997.5</v>
      </c>
      <c r="L4511" t="s">
        <v>794</v>
      </c>
      <c r="M4511" s="23">
        <f t="shared" si="71"/>
        <v>2026</v>
      </c>
    </row>
    <row r="4512" spans="1:13" ht="12.75" hidden="1" customHeight="1">
      <c r="A4512" t="s">
        <v>847</v>
      </c>
      <c r="B4512" t="s">
        <v>169</v>
      </c>
      <c r="C4512" t="s">
        <v>722</v>
      </c>
      <c r="D4512" t="s">
        <v>1445</v>
      </c>
      <c r="E4512" s="17">
        <v>46091</v>
      </c>
      <c r="F4512" s="17">
        <v>46091</v>
      </c>
      <c r="G4512" s="13">
        <v>276.60000000000002</v>
      </c>
      <c r="H4512" s="14">
        <v>0</v>
      </c>
      <c r="I4512" s="14">
        <v>0</v>
      </c>
      <c r="J4512" s="14">
        <v>0</v>
      </c>
      <c r="K4512" s="14">
        <v>276.60000000000002</v>
      </c>
      <c r="L4512" t="s">
        <v>794</v>
      </c>
      <c r="M4512" s="23">
        <f t="shared" si="71"/>
        <v>2026</v>
      </c>
    </row>
    <row r="4513" spans="1:13" ht="12.75" hidden="1" customHeight="1">
      <c r="A4513" t="s">
        <v>1460</v>
      </c>
      <c r="B4513" t="s">
        <v>475</v>
      </c>
      <c r="C4513" t="s">
        <v>476</v>
      </c>
      <c r="D4513" t="s">
        <v>1445</v>
      </c>
      <c r="E4513" s="17">
        <v>46091</v>
      </c>
      <c r="F4513" s="17">
        <v>46091</v>
      </c>
      <c r="G4513" s="13">
        <v>94.460000000000008</v>
      </c>
      <c r="H4513" s="14">
        <v>0</v>
      </c>
      <c r="I4513" s="14">
        <v>0</v>
      </c>
      <c r="J4513" s="14">
        <v>0</v>
      </c>
      <c r="K4513" s="14">
        <v>94.460000000000008</v>
      </c>
      <c r="L4513" t="s">
        <v>794</v>
      </c>
      <c r="M4513" s="23">
        <f t="shared" si="71"/>
        <v>2026</v>
      </c>
    </row>
    <row r="4514" spans="1:13" ht="12.75" hidden="1" customHeight="1">
      <c r="A4514" t="s">
        <v>1460</v>
      </c>
      <c r="B4514" t="s">
        <v>475</v>
      </c>
      <c r="C4514" t="s">
        <v>476</v>
      </c>
      <c r="D4514" t="s">
        <v>1445</v>
      </c>
      <c r="E4514" s="17">
        <v>46091</v>
      </c>
      <c r="F4514" s="17">
        <v>46091</v>
      </c>
      <c r="G4514" s="13">
        <v>76.66</v>
      </c>
      <c r="H4514" s="14">
        <v>0</v>
      </c>
      <c r="I4514" s="14">
        <v>0</v>
      </c>
      <c r="J4514" s="14">
        <v>0</v>
      </c>
      <c r="K4514" s="14">
        <v>76.66</v>
      </c>
      <c r="L4514" t="s">
        <v>794</v>
      </c>
      <c r="M4514" s="23">
        <f t="shared" si="71"/>
        <v>2026</v>
      </c>
    </row>
    <row r="4515" spans="1:13" ht="12.75" hidden="1" customHeight="1">
      <c r="A4515" t="s">
        <v>1010</v>
      </c>
      <c r="B4515" t="s">
        <v>466</v>
      </c>
      <c r="C4515" t="s">
        <v>476</v>
      </c>
      <c r="D4515" t="s">
        <v>1445</v>
      </c>
      <c r="E4515" s="17">
        <v>46091</v>
      </c>
      <c r="F4515" s="17">
        <v>46091</v>
      </c>
      <c r="G4515" s="13">
        <v>19.350000000000001</v>
      </c>
      <c r="H4515" s="14">
        <v>0</v>
      </c>
      <c r="I4515" s="14">
        <v>0</v>
      </c>
      <c r="J4515" s="14">
        <v>0</v>
      </c>
      <c r="K4515" s="14">
        <v>19.350000000000001</v>
      </c>
      <c r="L4515" t="s">
        <v>794</v>
      </c>
      <c r="M4515" s="23">
        <f t="shared" si="71"/>
        <v>2026</v>
      </c>
    </row>
    <row r="4516" spans="1:13" ht="12.75" hidden="1" customHeight="1">
      <c r="A4516" t="s">
        <v>1221</v>
      </c>
      <c r="B4516" t="s">
        <v>100</v>
      </c>
      <c r="C4516" t="s">
        <v>183</v>
      </c>
      <c r="D4516" t="s">
        <v>1445</v>
      </c>
      <c r="E4516" s="17">
        <v>46092</v>
      </c>
      <c r="F4516" s="17">
        <v>46091</v>
      </c>
      <c r="G4516" s="13">
        <v>1125</v>
      </c>
      <c r="H4516" s="14">
        <v>0</v>
      </c>
      <c r="I4516" s="14">
        <v>0</v>
      </c>
      <c r="J4516" s="14">
        <v>0</v>
      </c>
      <c r="K4516" s="14">
        <v>1125</v>
      </c>
      <c r="L4516" t="s">
        <v>794</v>
      </c>
      <c r="M4516" s="23">
        <f t="shared" si="71"/>
        <v>2026</v>
      </c>
    </row>
    <row r="4517" spans="1:13" ht="12.75" hidden="1" customHeight="1">
      <c r="A4517" t="s">
        <v>995</v>
      </c>
      <c r="B4517" t="s">
        <v>122</v>
      </c>
      <c r="C4517" t="s">
        <v>735</v>
      </c>
      <c r="D4517" t="s">
        <v>1445</v>
      </c>
      <c r="E4517" s="17">
        <v>46091</v>
      </c>
      <c r="F4517" s="17">
        <v>46091</v>
      </c>
      <c r="G4517" s="13">
        <v>605</v>
      </c>
      <c r="H4517" s="14">
        <v>0</v>
      </c>
      <c r="I4517" s="14">
        <v>0</v>
      </c>
      <c r="J4517" s="14">
        <v>0</v>
      </c>
      <c r="K4517" s="14">
        <v>605</v>
      </c>
      <c r="L4517" t="s">
        <v>794</v>
      </c>
      <c r="M4517" s="23">
        <f t="shared" si="71"/>
        <v>2026</v>
      </c>
    </row>
    <row r="4518" spans="1:13" ht="12.75" hidden="1" customHeight="1">
      <c r="A4518" t="s">
        <v>801</v>
      </c>
      <c r="B4518" t="s">
        <v>13</v>
      </c>
      <c r="C4518" t="s">
        <v>726</v>
      </c>
      <c r="D4518" t="s">
        <v>1445</v>
      </c>
      <c r="E4518" s="17">
        <v>46091</v>
      </c>
      <c r="F4518" s="17">
        <v>46091</v>
      </c>
      <c r="G4518" s="13">
        <v>6.57</v>
      </c>
      <c r="H4518" s="14">
        <v>0</v>
      </c>
      <c r="I4518" s="14">
        <v>0</v>
      </c>
      <c r="J4518" s="14">
        <v>0</v>
      </c>
      <c r="K4518" s="14">
        <v>6.57</v>
      </c>
      <c r="L4518" t="s">
        <v>794</v>
      </c>
      <c r="M4518" s="23">
        <f t="shared" si="71"/>
        <v>2026</v>
      </c>
    </row>
    <row r="4519" spans="1:13" ht="12.75" hidden="1" customHeight="1">
      <c r="A4519" t="s">
        <v>1173</v>
      </c>
      <c r="B4519" t="s">
        <v>45</v>
      </c>
      <c r="C4519" t="s">
        <v>200</v>
      </c>
      <c r="D4519" t="s">
        <v>1445</v>
      </c>
      <c r="E4519" s="17">
        <v>46091</v>
      </c>
      <c r="F4519" s="17">
        <v>46091</v>
      </c>
      <c r="G4519" s="13">
        <v>546</v>
      </c>
      <c r="H4519" s="14">
        <v>0</v>
      </c>
      <c r="I4519" s="14">
        <v>0</v>
      </c>
      <c r="J4519" s="14">
        <v>0</v>
      </c>
      <c r="K4519" s="14">
        <v>546</v>
      </c>
      <c r="L4519" t="s">
        <v>794</v>
      </c>
      <c r="M4519" s="23">
        <f t="shared" si="71"/>
        <v>2026</v>
      </c>
    </row>
    <row r="4520" spans="1:13" ht="12.75" hidden="1" customHeight="1">
      <c r="A4520" t="s">
        <v>855</v>
      </c>
      <c r="B4520" t="s">
        <v>20</v>
      </c>
      <c r="C4520" t="s">
        <v>200</v>
      </c>
      <c r="D4520" t="s">
        <v>1445</v>
      </c>
      <c r="E4520" s="17">
        <v>46091</v>
      </c>
      <c r="F4520" s="17">
        <v>46091</v>
      </c>
      <c r="G4520" s="13">
        <v>552</v>
      </c>
      <c r="H4520" s="14">
        <v>0</v>
      </c>
      <c r="I4520" s="14">
        <v>0</v>
      </c>
      <c r="J4520" s="14">
        <v>0</v>
      </c>
      <c r="K4520" s="14">
        <v>552</v>
      </c>
      <c r="L4520" t="s">
        <v>794</v>
      </c>
      <c r="M4520" s="23">
        <f t="shared" si="71"/>
        <v>2026</v>
      </c>
    </row>
    <row r="4521" spans="1:13" ht="12.75" hidden="1" customHeight="1">
      <c r="A4521" t="s">
        <v>882</v>
      </c>
      <c r="B4521" t="s">
        <v>34</v>
      </c>
      <c r="C4521" t="s">
        <v>200</v>
      </c>
      <c r="D4521" t="s">
        <v>1445</v>
      </c>
      <c r="E4521" s="17">
        <v>46091</v>
      </c>
      <c r="F4521" s="17">
        <v>46091</v>
      </c>
      <c r="G4521" s="13">
        <v>1932</v>
      </c>
      <c r="H4521" s="14">
        <v>0</v>
      </c>
      <c r="I4521" s="14">
        <v>0</v>
      </c>
      <c r="J4521" s="14">
        <v>0</v>
      </c>
      <c r="K4521" s="14">
        <v>1932</v>
      </c>
      <c r="L4521" t="s">
        <v>794</v>
      </c>
      <c r="M4521" s="23">
        <f t="shared" si="71"/>
        <v>2026</v>
      </c>
    </row>
    <row r="4522" spans="1:13" ht="12.75" hidden="1" customHeight="1">
      <c r="A4522" t="s">
        <v>1330</v>
      </c>
      <c r="B4522" t="s">
        <v>175</v>
      </c>
      <c r="C4522" t="s">
        <v>200</v>
      </c>
      <c r="D4522" t="s">
        <v>1445</v>
      </c>
      <c r="E4522" s="17">
        <v>46091</v>
      </c>
      <c r="F4522" s="17">
        <v>46091</v>
      </c>
      <c r="G4522" s="13">
        <v>504</v>
      </c>
      <c r="H4522" s="14">
        <v>0</v>
      </c>
      <c r="I4522" s="14">
        <v>0</v>
      </c>
      <c r="J4522" s="14">
        <v>0</v>
      </c>
      <c r="K4522" s="14">
        <v>504</v>
      </c>
      <c r="L4522" t="s">
        <v>794</v>
      </c>
      <c r="M4522" s="23">
        <f t="shared" si="71"/>
        <v>2026</v>
      </c>
    </row>
    <row r="4523" spans="1:13" ht="12.75" hidden="1" customHeight="1">
      <c r="A4523" t="s">
        <v>961</v>
      </c>
      <c r="B4523" t="s">
        <v>41</v>
      </c>
      <c r="C4523" t="s">
        <v>200</v>
      </c>
      <c r="D4523" t="s">
        <v>1445</v>
      </c>
      <c r="E4523" s="17">
        <v>46091</v>
      </c>
      <c r="F4523" s="17">
        <v>46091</v>
      </c>
      <c r="G4523" s="13">
        <v>968</v>
      </c>
      <c r="H4523" s="14">
        <v>0</v>
      </c>
      <c r="I4523" s="14">
        <v>0</v>
      </c>
      <c r="J4523" s="14">
        <v>0</v>
      </c>
      <c r="K4523" s="14">
        <v>968</v>
      </c>
      <c r="L4523" t="s">
        <v>794</v>
      </c>
      <c r="M4523" s="23">
        <f t="shared" si="71"/>
        <v>2026</v>
      </c>
    </row>
    <row r="4524" spans="1:13" ht="12.75" hidden="1" customHeight="1">
      <c r="A4524" t="s">
        <v>1461</v>
      </c>
      <c r="B4524" t="s">
        <v>1462</v>
      </c>
      <c r="C4524" t="s">
        <v>200</v>
      </c>
      <c r="D4524" t="s">
        <v>1445</v>
      </c>
      <c r="E4524" s="17">
        <v>46091</v>
      </c>
      <c r="F4524" s="17">
        <v>46091</v>
      </c>
      <c r="G4524" s="13">
        <v>1496</v>
      </c>
      <c r="H4524" s="14">
        <v>0</v>
      </c>
      <c r="I4524" s="14">
        <v>0</v>
      </c>
      <c r="J4524" s="14">
        <v>0</v>
      </c>
      <c r="K4524" s="14">
        <v>1496</v>
      </c>
      <c r="L4524" t="s">
        <v>794</v>
      </c>
      <c r="M4524" s="23">
        <f t="shared" si="71"/>
        <v>2026</v>
      </c>
    </row>
    <row r="4525" spans="1:13" ht="12.75" hidden="1" customHeight="1">
      <c r="A4525" t="s">
        <v>801</v>
      </c>
      <c r="B4525" t="s">
        <v>13</v>
      </c>
      <c r="C4525" t="s">
        <v>726</v>
      </c>
      <c r="D4525" t="s">
        <v>1445</v>
      </c>
      <c r="E4525" s="17">
        <v>46091</v>
      </c>
      <c r="F4525" s="17">
        <v>46091</v>
      </c>
      <c r="G4525" s="13">
        <v>2.19</v>
      </c>
      <c r="H4525" s="14">
        <v>0</v>
      </c>
      <c r="I4525" s="14">
        <v>0</v>
      </c>
      <c r="J4525" s="14">
        <v>0</v>
      </c>
      <c r="K4525" s="14">
        <v>2.19</v>
      </c>
      <c r="L4525" t="s">
        <v>794</v>
      </c>
      <c r="M4525" s="23">
        <f t="shared" si="71"/>
        <v>2026</v>
      </c>
    </row>
    <row r="4526" spans="1:13" ht="12.75" hidden="1" customHeight="1">
      <c r="A4526" t="s">
        <v>1384</v>
      </c>
      <c r="B4526" t="s">
        <v>159</v>
      </c>
      <c r="C4526" t="s">
        <v>200</v>
      </c>
      <c r="D4526" t="s">
        <v>1445</v>
      </c>
      <c r="E4526" s="17">
        <v>46091</v>
      </c>
      <c r="F4526" s="17">
        <v>46091</v>
      </c>
      <c r="G4526" s="13">
        <v>756</v>
      </c>
      <c r="H4526" s="14">
        <v>0</v>
      </c>
      <c r="I4526" s="14">
        <v>0</v>
      </c>
      <c r="J4526" s="14">
        <v>0</v>
      </c>
      <c r="K4526" s="14">
        <v>756</v>
      </c>
      <c r="L4526" t="s">
        <v>794</v>
      </c>
      <c r="M4526" s="23">
        <f t="shared" si="71"/>
        <v>2026</v>
      </c>
    </row>
    <row r="4527" spans="1:13" ht="12.75" hidden="1" customHeight="1">
      <c r="A4527" t="s">
        <v>1339</v>
      </c>
      <c r="B4527" t="s">
        <v>66</v>
      </c>
      <c r="C4527" t="s">
        <v>200</v>
      </c>
      <c r="D4527" t="s">
        <v>1445</v>
      </c>
      <c r="E4527" s="17">
        <v>46091</v>
      </c>
      <c r="F4527" s="17">
        <v>46091</v>
      </c>
      <c r="G4527" s="13">
        <v>2310</v>
      </c>
      <c r="H4527" s="14">
        <v>0</v>
      </c>
      <c r="I4527" s="14">
        <v>0</v>
      </c>
      <c r="J4527" s="14">
        <v>0</v>
      </c>
      <c r="K4527" s="14">
        <v>2310</v>
      </c>
      <c r="L4527" t="s">
        <v>794</v>
      </c>
      <c r="M4527" s="23">
        <f t="shared" si="71"/>
        <v>2026</v>
      </c>
    </row>
    <row r="4528" spans="1:13" ht="12.75" hidden="1" customHeight="1">
      <c r="A4528" t="s">
        <v>1374</v>
      </c>
      <c r="B4528" t="s">
        <v>237</v>
      </c>
      <c r="C4528" t="s">
        <v>200</v>
      </c>
      <c r="D4528" t="s">
        <v>1445</v>
      </c>
      <c r="E4528" s="17">
        <v>46091</v>
      </c>
      <c r="F4528" s="17">
        <v>46091</v>
      </c>
      <c r="G4528" s="13">
        <v>504</v>
      </c>
      <c r="H4528" s="14">
        <v>0</v>
      </c>
      <c r="I4528" s="14">
        <v>0</v>
      </c>
      <c r="J4528" s="14">
        <v>0</v>
      </c>
      <c r="K4528" s="14">
        <v>504</v>
      </c>
      <c r="L4528" t="s">
        <v>794</v>
      </c>
      <c r="M4528" s="23">
        <f t="shared" si="71"/>
        <v>2026</v>
      </c>
    </row>
    <row r="4529" spans="1:13" ht="12.75" hidden="1" customHeight="1">
      <c r="A4529" t="s">
        <v>1408</v>
      </c>
      <c r="B4529" t="s">
        <v>197</v>
      </c>
      <c r="C4529" t="s">
        <v>200</v>
      </c>
      <c r="D4529" t="s">
        <v>1445</v>
      </c>
      <c r="E4529" s="17">
        <v>46091</v>
      </c>
      <c r="F4529" s="17">
        <v>46091</v>
      </c>
      <c r="G4529" s="13">
        <v>588</v>
      </c>
      <c r="H4529" s="14">
        <v>0</v>
      </c>
      <c r="I4529" s="14">
        <v>0</v>
      </c>
      <c r="J4529" s="14">
        <v>0</v>
      </c>
      <c r="K4529" s="14">
        <v>588</v>
      </c>
      <c r="L4529" t="s">
        <v>794</v>
      </c>
      <c r="M4529" s="23">
        <f t="shared" si="71"/>
        <v>2026</v>
      </c>
    </row>
    <row r="4530" spans="1:13" ht="12.75" hidden="1" customHeight="1">
      <c r="A4530" t="s">
        <v>1354</v>
      </c>
      <c r="B4530" t="s">
        <v>113</v>
      </c>
      <c r="C4530" t="s">
        <v>200</v>
      </c>
      <c r="D4530" t="s">
        <v>1445</v>
      </c>
      <c r="E4530" s="17">
        <v>46091</v>
      </c>
      <c r="F4530" s="17">
        <v>46091</v>
      </c>
      <c r="G4530" s="13">
        <v>252</v>
      </c>
      <c r="H4530" s="14">
        <v>0</v>
      </c>
      <c r="I4530" s="14">
        <v>0</v>
      </c>
      <c r="J4530" s="14">
        <v>0</v>
      </c>
      <c r="K4530" s="14">
        <v>252</v>
      </c>
      <c r="L4530" t="s">
        <v>794</v>
      </c>
      <c r="M4530" s="23">
        <f t="shared" si="71"/>
        <v>2026</v>
      </c>
    </row>
    <row r="4531" spans="1:13" ht="12.75" hidden="1" customHeight="1">
      <c r="A4531" t="s">
        <v>1463</v>
      </c>
      <c r="B4531" t="s">
        <v>279</v>
      </c>
      <c r="C4531" t="s">
        <v>200</v>
      </c>
      <c r="D4531" t="s">
        <v>1445</v>
      </c>
      <c r="E4531" s="17">
        <v>46091</v>
      </c>
      <c r="F4531" s="17">
        <v>46091</v>
      </c>
      <c r="G4531" s="13">
        <v>756</v>
      </c>
      <c r="H4531" s="14">
        <v>0</v>
      </c>
      <c r="I4531" s="14">
        <v>0</v>
      </c>
      <c r="J4531" s="14">
        <v>0</v>
      </c>
      <c r="K4531" s="14">
        <v>756</v>
      </c>
      <c r="L4531" t="s">
        <v>794</v>
      </c>
      <c r="M4531" s="23">
        <f t="shared" si="71"/>
        <v>2026</v>
      </c>
    </row>
    <row r="4532" spans="1:13" ht="12.75" hidden="1" customHeight="1">
      <c r="A4532" t="s">
        <v>1331</v>
      </c>
      <c r="B4532" t="s">
        <v>168</v>
      </c>
      <c r="C4532" t="s">
        <v>200</v>
      </c>
      <c r="D4532" t="s">
        <v>1445</v>
      </c>
      <c r="E4532" s="17">
        <v>46091</v>
      </c>
      <c r="F4532" s="17">
        <v>46091</v>
      </c>
      <c r="G4532" s="13">
        <v>252</v>
      </c>
      <c r="H4532" s="14">
        <v>0</v>
      </c>
      <c r="I4532" s="14">
        <v>0</v>
      </c>
      <c r="J4532" s="14">
        <v>0</v>
      </c>
      <c r="K4532" s="14">
        <v>252</v>
      </c>
      <c r="L4532" t="s">
        <v>794</v>
      </c>
      <c r="M4532" s="23">
        <f t="shared" si="71"/>
        <v>2026</v>
      </c>
    </row>
    <row r="4533" spans="1:13" ht="12.75" hidden="1" customHeight="1">
      <c r="A4533" t="s">
        <v>1011</v>
      </c>
      <c r="B4533" t="s">
        <v>77</v>
      </c>
      <c r="C4533" t="s">
        <v>201</v>
      </c>
      <c r="D4533" t="s">
        <v>1445</v>
      </c>
      <c r="E4533" s="17">
        <v>46091</v>
      </c>
      <c r="F4533" s="17">
        <v>46091</v>
      </c>
      <c r="G4533" s="13">
        <v>1040</v>
      </c>
      <c r="H4533" s="14">
        <v>0</v>
      </c>
      <c r="I4533" s="14">
        <v>0</v>
      </c>
      <c r="J4533" s="14">
        <v>0</v>
      </c>
      <c r="K4533" s="14">
        <v>1040</v>
      </c>
      <c r="L4533" t="s">
        <v>794</v>
      </c>
      <c r="M4533" s="23">
        <f t="shared" si="71"/>
        <v>2026</v>
      </c>
    </row>
    <row r="4534" spans="1:13" ht="12.75" hidden="1" customHeight="1">
      <c r="A4534" t="s">
        <v>1407</v>
      </c>
      <c r="B4534" t="s">
        <v>226</v>
      </c>
      <c r="C4534" t="s">
        <v>200</v>
      </c>
      <c r="D4534" t="s">
        <v>1445</v>
      </c>
      <c r="E4534" s="17">
        <v>46091</v>
      </c>
      <c r="F4534" s="17">
        <v>46091</v>
      </c>
      <c r="G4534" s="13">
        <v>756</v>
      </c>
      <c r="H4534" s="14">
        <v>0</v>
      </c>
      <c r="I4534" s="14">
        <v>0</v>
      </c>
      <c r="J4534" s="14">
        <v>0</v>
      </c>
      <c r="K4534" s="14">
        <v>756</v>
      </c>
      <c r="L4534" t="s">
        <v>794</v>
      </c>
      <c r="M4534" s="23">
        <f t="shared" si="71"/>
        <v>2026</v>
      </c>
    </row>
    <row r="4535" spans="1:13" ht="12.75" hidden="1" customHeight="1">
      <c r="A4535" t="s">
        <v>1343</v>
      </c>
      <c r="B4535" t="s">
        <v>92</v>
      </c>
      <c r="C4535" t="s">
        <v>201</v>
      </c>
      <c r="D4535" t="s">
        <v>1445</v>
      </c>
      <c r="E4535" s="17">
        <v>46091</v>
      </c>
      <c r="F4535" s="17">
        <v>46091</v>
      </c>
      <c r="G4535" s="13">
        <v>2560</v>
      </c>
      <c r="H4535" s="14">
        <v>0</v>
      </c>
      <c r="I4535" s="14">
        <v>0</v>
      </c>
      <c r="J4535" s="14">
        <v>0</v>
      </c>
      <c r="K4535" s="14">
        <v>2560</v>
      </c>
      <c r="L4535" t="s">
        <v>794</v>
      </c>
      <c r="M4535" s="23">
        <f t="shared" si="71"/>
        <v>2026</v>
      </c>
    </row>
    <row r="4536" spans="1:13" ht="12.75" hidden="1" customHeight="1">
      <c r="A4536" t="s">
        <v>887</v>
      </c>
      <c r="B4536" t="s">
        <v>61</v>
      </c>
      <c r="C4536" t="s">
        <v>201</v>
      </c>
      <c r="D4536" t="s">
        <v>1445</v>
      </c>
      <c r="E4536" s="17">
        <v>46091</v>
      </c>
      <c r="F4536" s="17">
        <v>46091</v>
      </c>
      <c r="G4536" s="13">
        <v>1600</v>
      </c>
      <c r="H4536" s="14">
        <v>0</v>
      </c>
      <c r="I4536" s="14">
        <v>0</v>
      </c>
      <c r="J4536" s="14">
        <v>0</v>
      </c>
      <c r="K4536" s="14">
        <v>1600</v>
      </c>
      <c r="L4536" t="s">
        <v>794</v>
      </c>
      <c r="M4536" s="23">
        <f t="shared" si="71"/>
        <v>2026</v>
      </c>
    </row>
    <row r="4537" spans="1:13" ht="12.75" hidden="1" customHeight="1">
      <c r="A4537" t="s">
        <v>1341</v>
      </c>
      <c r="B4537" t="s">
        <v>160</v>
      </c>
      <c r="C4537" t="s">
        <v>201</v>
      </c>
      <c r="D4537" t="s">
        <v>1445</v>
      </c>
      <c r="E4537" s="17">
        <v>46091</v>
      </c>
      <c r="F4537" s="17">
        <v>46091</v>
      </c>
      <c r="G4537" s="13">
        <v>640</v>
      </c>
      <c r="H4537" s="14">
        <v>0</v>
      </c>
      <c r="I4537" s="14">
        <v>0</v>
      </c>
      <c r="J4537" s="14">
        <v>0</v>
      </c>
      <c r="K4537" s="14">
        <v>640</v>
      </c>
      <c r="L4537" t="s">
        <v>794</v>
      </c>
      <c r="M4537" s="23">
        <f t="shared" si="71"/>
        <v>2026</v>
      </c>
    </row>
    <row r="4538" spans="1:13" ht="12.75" hidden="1" customHeight="1">
      <c r="A4538" t="s">
        <v>1202</v>
      </c>
      <c r="B4538" t="s">
        <v>70</v>
      </c>
      <c r="C4538" t="s">
        <v>201</v>
      </c>
      <c r="D4538" t="s">
        <v>1445</v>
      </c>
      <c r="E4538" s="17">
        <v>46091</v>
      </c>
      <c r="F4538" s="17">
        <v>46091</v>
      </c>
      <c r="G4538" s="13">
        <v>1980</v>
      </c>
      <c r="H4538" s="14">
        <v>0</v>
      </c>
      <c r="I4538" s="14">
        <v>0</v>
      </c>
      <c r="J4538" s="14">
        <v>0</v>
      </c>
      <c r="K4538" s="14">
        <v>1980</v>
      </c>
      <c r="L4538" t="s">
        <v>794</v>
      </c>
      <c r="M4538" s="23">
        <f t="shared" si="71"/>
        <v>2026</v>
      </c>
    </row>
    <row r="4539" spans="1:13" ht="12.75" hidden="1" customHeight="1">
      <c r="A4539" t="s">
        <v>1354</v>
      </c>
      <c r="B4539" t="s">
        <v>113</v>
      </c>
      <c r="C4539" t="s">
        <v>201</v>
      </c>
      <c r="D4539" t="s">
        <v>1445</v>
      </c>
      <c r="E4539" s="17">
        <v>46091</v>
      </c>
      <c r="F4539" s="17">
        <v>46091</v>
      </c>
      <c r="G4539" s="13">
        <v>1520</v>
      </c>
      <c r="H4539" s="14">
        <v>0</v>
      </c>
      <c r="I4539" s="14">
        <v>0</v>
      </c>
      <c r="J4539" s="14">
        <v>0</v>
      </c>
      <c r="K4539" s="14">
        <v>1520</v>
      </c>
      <c r="L4539" t="s">
        <v>794</v>
      </c>
      <c r="M4539" s="23">
        <f t="shared" si="71"/>
        <v>2026</v>
      </c>
    </row>
    <row r="4540" spans="1:13" ht="12.75" hidden="1" customHeight="1">
      <c r="A4540" t="s">
        <v>1094</v>
      </c>
      <c r="B4540" t="s">
        <v>80</v>
      </c>
      <c r="C4540" t="s">
        <v>201</v>
      </c>
      <c r="D4540" t="s">
        <v>1445</v>
      </c>
      <c r="E4540" s="17">
        <v>46091</v>
      </c>
      <c r="F4540" s="17">
        <v>46091</v>
      </c>
      <c r="G4540" s="13">
        <v>360</v>
      </c>
      <c r="H4540" s="14">
        <v>0</v>
      </c>
      <c r="I4540" s="14">
        <v>0</v>
      </c>
      <c r="J4540" s="14">
        <v>0</v>
      </c>
      <c r="K4540" s="14">
        <v>360</v>
      </c>
      <c r="L4540" t="s">
        <v>794</v>
      </c>
      <c r="M4540" s="23">
        <f t="shared" si="71"/>
        <v>2026</v>
      </c>
    </row>
    <row r="4541" spans="1:13" ht="12.75" hidden="1" customHeight="1">
      <c r="A4541" t="s">
        <v>1094</v>
      </c>
      <c r="B4541" t="s">
        <v>80</v>
      </c>
      <c r="C4541" t="s">
        <v>201</v>
      </c>
      <c r="D4541" t="s">
        <v>1445</v>
      </c>
      <c r="E4541" s="17">
        <v>46091</v>
      </c>
      <c r="F4541" s="17">
        <v>46091</v>
      </c>
      <c r="G4541" s="13">
        <v>720</v>
      </c>
      <c r="H4541" s="14">
        <v>0</v>
      </c>
      <c r="I4541" s="14">
        <v>0</v>
      </c>
      <c r="J4541" s="14">
        <v>0</v>
      </c>
      <c r="K4541" s="14">
        <v>720</v>
      </c>
      <c r="L4541" t="s">
        <v>794</v>
      </c>
      <c r="M4541" s="23">
        <f t="shared" si="71"/>
        <v>2026</v>
      </c>
    </row>
    <row r="4542" spans="1:13" ht="12.75" hidden="1" customHeight="1">
      <c r="A4542" t="s">
        <v>881</v>
      </c>
      <c r="B4542" t="s">
        <v>48</v>
      </c>
      <c r="C4542" t="s">
        <v>201</v>
      </c>
      <c r="D4542" t="s">
        <v>1445</v>
      </c>
      <c r="E4542" s="17">
        <v>46091</v>
      </c>
      <c r="F4542" s="17">
        <v>46091</v>
      </c>
      <c r="G4542" s="13">
        <v>80</v>
      </c>
      <c r="H4542" s="14">
        <v>0</v>
      </c>
      <c r="I4542" s="14">
        <v>0</v>
      </c>
      <c r="J4542" s="14">
        <v>0</v>
      </c>
      <c r="K4542" s="14">
        <v>80</v>
      </c>
      <c r="L4542" t="s">
        <v>794</v>
      </c>
      <c r="M4542" s="23">
        <f t="shared" si="71"/>
        <v>2026</v>
      </c>
    </row>
    <row r="4543" spans="1:13" ht="12.75" hidden="1" customHeight="1">
      <c r="A4543" t="s">
        <v>881</v>
      </c>
      <c r="B4543" t="s">
        <v>48</v>
      </c>
      <c r="C4543" t="s">
        <v>201</v>
      </c>
      <c r="D4543" t="s">
        <v>1445</v>
      </c>
      <c r="E4543" s="17">
        <v>46091</v>
      </c>
      <c r="F4543" s="17">
        <v>46091</v>
      </c>
      <c r="G4543" s="13">
        <v>560</v>
      </c>
      <c r="H4543" s="14">
        <v>0</v>
      </c>
      <c r="I4543" s="14">
        <v>0</v>
      </c>
      <c r="J4543" s="14">
        <v>0</v>
      </c>
      <c r="K4543" s="14">
        <v>560</v>
      </c>
      <c r="L4543" t="s">
        <v>794</v>
      </c>
      <c r="M4543" s="23">
        <f t="shared" si="71"/>
        <v>2026</v>
      </c>
    </row>
    <row r="4544" spans="1:13" ht="12.75" hidden="1" customHeight="1">
      <c r="A4544" t="s">
        <v>1308</v>
      </c>
      <c r="B4544" t="s">
        <v>133</v>
      </c>
      <c r="C4544" t="s">
        <v>200</v>
      </c>
      <c r="D4544" t="s">
        <v>1445</v>
      </c>
      <c r="E4544" s="17">
        <v>46091</v>
      </c>
      <c r="F4544" s="17">
        <v>46091</v>
      </c>
      <c r="G4544" s="13">
        <v>588</v>
      </c>
      <c r="H4544" s="14">
        <v>0</v>
      </c>
      <c r="I4544" s="14">
        <v>0</v>
      </c>
      <c r="J4544" s="14">
        <v>0</v>
      </c>
      <c r="K4544" s="14">
        <v>588</v>
      </c>
      <c r="L4544" t="s">
        <v>794</v>
      </c>
      <c r="M4544" s="23">
        <f t="shared" si="71"/>
        <v>2026</v>
      </c>
    </row>
    <row r="4545" spans="1:13" ht="12.75" hidden="1" customHeight="1">
      <c r="A4545" t="s">
        <v>1105</v>
      </c>
      <c r="B4545" t="s">
        <v>1395</v>
      </c>
      <c r="C4545" t="s">
        <v>141</v>
      </c>
      <c r="D4545" t="s">
        <v>1445</v>
      </c>
      <c r="E4545" s="17">
        <v>46091</v>
      </c>
      <c r="F4545" s="17">
        <v>46091</v>
      </c>
      <c r="G4545" s="13">
        <v>150</v>
      </c>
      <c r="H4545" s="14">
        <v>0</v>
      </c>
      <c r="I4545" s="14">
        <v>0</v>
      </c>
      <c r="J4545" s="14">
        <v>0</v>
      </c>
      <c r="K4545" s="14">
        <v>150</v>
      </c>
      <c r="L4545" t="s">
        <v>794</v>
      </c>
      <c r="M4545" s="23">
        <f t="shared" si="71"/>
        <v>2026</v>
      </c>
    </row>
    <row r="4546" spans="1:13" ht="12.75" hidden="1" customHeight="1">
      <c r="A4546" t="s">
        <v>855</v>
      </c>
      <c r="B4546" t="s">
        <v>20</v>
      </c>
      <c r="C4546" t="s">
        <v>141</v>
      </c>
      <c r="D4546" t="s">
        <v>1445</v>
      </c>
      <c r="E4546" s="17">
        <v>46091</v>
      </c>
      <c r="F4546" s="17">
        <v>46091</v>
      </c>
      <c r="G4546" s="13">
        <v>400</v>
      </c>
      <c r="H4546" s="14">
        <v>0</v>
      </c>
      <c r="I4546" s="14">
        <v>0</v>
      </c>
      <c r="J4546" s="14">
        <v>0</v>
      </c>
      <c r="K4546" s="14">
        <v>400</v>
      </c>
      <c r="L4546" t="s">
        <v>794</v>
      </c>
      <c r="M4546" s="23">
        <f t="shared" si="71"/>
        <v>2026</v>
      </c>
    </row>
    <row r="4547" spans="1:13" ht="12.75" hidden="1" customHeight="1">
      <c r="A4547" t="s">
        <v>961</v>
      </c>
      <c r="B4547" t="s">
        <v>41</v>
      </c>
      <c r="C4547" t="s">
        <v>141</v>
      </c>
      <c r="D4547" t="s">
        <v>1445</v>
      </c>
      <c r="E4547" s="17">
        <v>46091</v>
      </c>
      <c r="F4547" s="17">
        <v>46091</v>
      </c>
      <c r="G4547" s="13">
        <v>150</v>
      </c>
      <c r="H4547" s="14">
        <v>0</v>
      </c>
      <c r="I4547" s="14">
        <v>0</v>
      </c>
      <c r="J4547" s="14">
        <v>0</v>
      </c>
      <c r="K4547" s="14">
        <v>150</v>
      </c>
      <c r="L4547" t="s">
        <v>794</v>
      </c>
      <c r="M4547" s="23">
        <f t="shared" si="71"/>
        <v>2026</v>
      </c>
    </row>
    <row r="4548" spans="1:13" ht="12.75" hidden="1" customHeight="1">
      <c r="A4548" t="s">
        <v>1104</v>
      </c>
      <c r="B4548" t="s">
        <v>53</v>
      </c>
      <c r="C4548" t="s">
        <v>141</v>
      </c>
      <c r="D4548" t="s">
        <v>1445</v>
      </c>
      <c r="E4548" s="17">
        <v>46091</v>
      </c>
      <c r="F4548" s="17">
        <v>46091</v>
      </c>
      <c r="G4548" s="13">
        <v>150</v>
      </c>
      <c r="H4548" s="14">
        <v>0</v>
      </c>
      <c r="I4548" s="14">
        <v>0</v>
      </c>
      <c r="J4548" s="14">
        <v>0</v>
      </c>
      <c r="K4548" s="14">
        <v>150</v>
      </c>
      <c r="L4548" t="s">
        <v>794</v>
      </c>
      <c r="M4548" s="23">
        <f t="shared" si="71"/>
        <v>2026</v>
      </c>
    </row>
    <row r="4549" spans="1:13" ht="12.75" hidden="1" customHeight="1">
      <c r="A4549" t="s">
        <v>1104</v>
      </c>
      <c r="B4549" t="s">
        <v>53</v>
      </c>
      <c r="C4549" t="s">
        <v>141</v>
      </c>
      <c r="D4549" t="s">
        <v>1445</v>
      </c>
      <c r="E4549" s="17">
        <v>46091</v>
      </c>
      <c r="F4549" s="17">
        <v>46091</v>
      </c>
      <c r="G4549" s="13">
        <v>200</v>
      </c>
      <c r="H4549" s="14">
        <v>0</v>
      </c>
      <c r="I4549" s="14">
        <v>0</v>
      </c>
      <c r="J4549" s="14">
        <v>0</v>
      </c>
      <c r="K4549" s="14">
        <v>200</v>
      </c>
      <c r="L4549" t="s">
        <v>794</v>
      </c>
      <c r="M4549" s="23">
        <f t="shared" si="71"/>
        <v>2026</v>
      </c>
    </row>
    <row r="4550" spans="1:13" ht="12.75" hidden="1" customHeight="1">
      <c r="A4550" t="s">
        <v>836</v>
      </c>
      <c r="B4550" t="s">
        <v>37</v>
      </c>
      <c r="C4550" t="s">
        <v>141</v>
      </c>
      <c r="D4550" t="s">
        <v>1445</v>
      </c>
      <c r="E4550" s="17">
        <v>46091</v>
      </c>
      <c r="F4550" s="17">
        <v>46091</v>
      </c>
      <c r="G4550" s="13">
        <v>150</v>
      </c>
      <c r="H4550" s="14">
        <v>0</v>
      </c>
      <c r="I4550" s="14">
        <v>0</v>
      </c>
      <c r="J4550" s="14">
        <v>0</v>
      </c>
      <c r="K4550" s="14">
        <v>150</v>
      </c>
      <c r="L4550" t="s">
        <v>794</v>
      </c>
      <c r="M4550" s="23">
        <f t="shared" si="71"/>
        <v>2026</v>
      </c>
    </row>
    <row r="4551" spans="1:13" ht="12.75" hidden="1" customHeight="1">
      <c r="A4551" t="s">
        <v>836</v>
      </c>
      <c r="B4551" t="s">
        <v>37</v>
      </c>
      <c r="C4551" t="s">
        <v>141</v>
      </c>
      <c r="D4551" t="s">
        <v>1445</v>
      </c>
      <c r="E4551" s="17">
        <v>46091</v>
      </c>
      <c r="F4551" s="17">
        <v>46091</v>
      </c>
      <c r="G4551" s="13">
        <v>135</v>
      </c>
      <c r="H4551" s="14">
        <v>0</v>
      </c>
      <c r="I4551" s="14">
        <v>0</v>
      </c>
      <c r="J4551" s="14">
        <v>0</v>
      </c>
      <c r="K4551" s="14">
        <v>135</v>
      </c>
      <c r="L4551" t="s">
        <v>794</v>
      </c>
      <c r="M4551" s="23">
        <f t="shared" si="71"/>
        <v>2026</v>
      </c>
    </row>
    <row r="4552" spans="1:13" ht="12.75" hidden="1" customHeight="1">
      <c r="A4552" t="s">
        <v>1112</v>
      </c>
      <c r="B4552" t="s">
        <v>68</v>
      </c>
      <c r="C4552" t="s">
        <v>141</v>
      </c>
      <c r="D4552" t="s">
        <v>1445</v>
      </c>
      <c r="E4552" s="17">
        <v>46091</v>
      </c>
      <c r="F4552" s="17">
        <v>46091</v>
      </c>
      <c r="G4552" s="13">
        <v>150</v>
      </c>
      <c r="H4552" s="14">
        <v>0</v>
      </c>
      <c r="I4552" s="14">
        <v>0</v>
      </c>
      <c r="J4552" s="14">
        <v>0</v>
      </c>
      <c r="K4552" s="14">
        <v>150</v>
      </c>
      <c r="L4552" t="s">
        <v>794</v>
      </c>
      <c r="M4552" s="23">
        <f t="shared" si="71"/>
        <v>2026</v>
      </c>
    </row>
    <row r="4553" spans="1:13" ht="12.75" hidden="1" customHeight="1">
      <c r="A4553" t="s">
        <v>819</v>
      </c>
      <c r="B4553" t="s">
        <v>38</v>
      </c>
      <c r="C4553" t="s">
        <v>141</v>
      </c>
      <c r="D4553" t="s">
        <v>1445</v>
      </c>
      <c r="E4553" s="17">
        <v>46091</v>
      </c>
      <c r="F4553" s="17">
        <v>46091</v>
      </c>
      <c r="G4553" s="13">
        <v>150</v>
      </c>
      <c r="H4553" s="14">
        <v>0</v>
      </c>
      <c r="I4553" s="14">
        <v>0</v>
      </c>
      <c r="J4553" s="14">
        <v>0</v>
      </c>
      <c r="K4553" s="14">
        <v>150</v>
      </c>
      <c r="L4553" t="s">
        <v>794</v>
      </c>
      <c r="M4553" s="23">
        <f t="shared" si="71"/>
        <v>2026</v>
      </c>
    </row>
    <row r="4554" spans="1:13" ht="12.75" hidden="1" customHeight="1">
      <c r="A4554" t="s">
        <v>833</v>
      </c>
      <c r="B4554" t="s">
        <v>27</v>
      </c>
      <c r="C4554" t="s">
        <v>141</v>
      </c>
      <c r="D4554" t="s">
        <v>1445</v>
      </c>
      <c r="E4554" s="17">
        <v>46091</v>
      </c>
      <c r="F4554" s="17">
        <v>46091</v>
      </c>
      <c r="G4554" s="13">
        <v>950</v>
      </c>
      <c r="H4554" s="14">
        <v>0</v>
      </c>
      <c r="I4554" s="14">
        <v>0</v>
      </c>
      <c r="J4554" s="14">
        <v>0</v>
      </c>
      <c r="K4554" s="14">
        <v>950</v>
      </c>
      <c r="L4554" t="s">
        <v>794</v>
      </c>
      <c r="M4554" s="23">
        <f t="shared" si="71"/>
        <v>2026</v>
      </c>
    </row>
    <row r="4555" spans="1:13" ht="12.75" hidden="1" customHeight="1">
      <c r="A4555" t="s">
        <v>1196</v>
      </c>
      <c r="B4555" t="s">
        <v>1197</v>
      </c>
      <c r="C4555" t="s">
        <v>141</v>
      </c>
      <c r="D4555" t="s">
        <v>1445</v>
      </c>
      <c r="E4555" s="17">
        <v>46091</v>
      </c>
      <c r="F4555" s="17">
        <v>46091</v>
      </c>
      <c r="G4555" s="13">
        <v>393</v>
      </c>
      <c r="H4555" s="14">
        <v>0</v>
      </c>
      <c r="I4555" s="14">
        <v>0</v>
      </c>
      <c r="J4555" s="14">
        <v>0</v>
      </c>
      <c r="K4555" s="14">
        <v>393</v>
      </c>
      <c r="L4555" t="s">
        <v>794</v>
      </c>
      <c r="M4555" s="23">
        <f t="shared" si="71"/>
        <v>2026</v>
      </c>
    </row>
    <row r="4556" spans="1:13" ht="12.75" hidden="1" customHeight="1">
      <c r="A4556" t="s">
        <v>855</v>
      </c>
      <c r="B4556" t="s">
        <v>20</v>
      </c>
      <c r="C4556" t="s">
        <v>141</v>
      </c>
      <c r="D4556" t="s">
        <v>1445</v>
      </c>
      <c r="E4556" s="17">
        <v>46091</v>
      </c>
      <c r="F4556" s="17">
        <v>46091</v>
      </c>
      <c r="G4556" s="13">
        <v>600</v>
      </c>
      <c r="H4556" s="14">
        <v>0</v>
      </c>
      <c r="I4556" s="14">
        <v>0</v>
      </c>
      <c r="J4556" s="14">
        <v>0</v>
      </c>
      <c r="K4556" s="14">
        <v>600</v>
      </c>
      <c r="L4556" t="s">
        <v>794</v>
      </c>
      <c r="M4556" s="23">
        <f t="shared" si="71"/>
        <v>2026</v>
      </c>
    </row>
    <row r="4557" spans="1:13" ht="12.75" hidden="1" customHeight="1">
      <c r="A4557" t="s">
        <v>855</v>
      </c>
      <c r="B4557" t="s">
        <v>20</v>
      </c>
      <c r="C4557" t="s">
        <v>140</v>
      </c>
      <c r="D4557" t="s">
        <v>1445</v>
      </c>
      <c r="E4557" s="17">
        <v>46091</v>
      </c>
      <c r="F4557" s="17">
        <v>46091</v>
      </c>
      <c r="G4557" s="13">
        <v>500</v>
      </c>
      <c r="H4557" s="14">
        <v>0</v>
      </c>
      <c r="I4557" s="14">
        <v>0</v>
      </c>
      <c r="J4557" s="14">
        <v>0</v>
      </c>
      <c r="K4557" s="14">
        <v>500</v>
      </c>
      <c r="L4557" t="s">
        <v>794</v>
      </c>
      <c r="M4557" s="23">
        <f t="shared" si="71"/>
        <v>2026</v>
      </c>
    </row>
    <row r="4558" spans="1:13" ht="12.75" hidden="1" customHeight="1">
      <c r="A4558" t="s">
        <v>1158</v>
      </c>
      <c r="B4558" t="s">
        <v>60</v>
      </c>
      <c r="C4558" t="s">
        <v>200</v>
      </c>
      <c r="D4558" t="s">
        <v>1445</v>
      </c>
      <c r="E4558" s="17">
        <v>46091</v>
      </c>
      <c r="F4558" s="17">
        <v>46091</v>
      </c>
      <c r="G4558" s="13">
        <v>1848</v>
      </c>
      <c r="H4558" s="14">
        <v>0</v>
      </c>
      <c r="I4558" s="14">
        <v>0</v>
      </c>
      <c r="J4558" s="14">
        <v>0</v>
      </c>
      <c r="K4558" s="14">
        <v>1848</v>
      </c>
      <c r="L4558" t="s">
        <v>794</v>
      </c>
      <c r="M4558" s="23">
        <f t="shared" si="71"/>
        <v>2026</v>
      </c>
    </row>
    <row r="4559" spans="1:13" ht="12.75" hidden="1" customHeight="1">
      <c r="A4559" t="s">
        <v>1433</v>
      </c>
      <c r="B4559" t="s">
        <v>182</v>
      </c>
      <c r="C4559" t="s">
        <v>183</v>
      </c>
      <c r="D4559" t="s">
        <v>1445</v>
      </c>
      <c r="E4559" s="17">
        <v>46091</v>
      </c>
      <c r="F4559" s="17">
        <v>46091</v>
      </c>
      <c r="G4559" s="13">
        <v>840</v>
      </c>
      <c r="H4559" s="14">
        <v>0</v>
      </c>
      <c r="I4559" s="14">
        <v>0</v>
      </c>
      <c r="J4559" s="14">
        <v>0</v>
      </c>
      <c r="K4559" s="14">
        <v>840</v>
      </c>
      <c r="L4559" t="s">
        <v>794</v>
      </c>
      <c r="M4559" s="23">
        <f t="shared" si="71"/>
        <v>2026</v>
      </c>
    </row>
    <row r="4560" spans="1:13" ht="12.75" hidden="1" customHeight="1">
      <c r="A4560" t="s">
        <v>1430</v>
      </c>
      <c r="B4560" t="s">
        <v>244</v>
      </c>
      <c r="C4560" t="s">
        <v>200</v>
      </c>
      <c r="D4560" t="s">
        <v>1445</v>
      </c>
      <c r="E4560" s="17">
        <v>46091</v>
      </c>
      <c r="F4560" s="17">
        <v>46091</v>
      </c>
      <c r="G4560" s="13">
        <v>756</v>
      </c>
      <c r="H4560" s="14">
        <v>0</v>
      </c>
      <c r="I4560" s="14">
        <v>0</v>
      </c>
      <c r="J4560" s="14">
        <v>0</v>
      </c>
      <c r="K4560" s="14">
        <v>756</v>
      </c>
      <c r="L4560" t="s">
        <v>794</v>
      </c>
      <c r="M4560" s="23">
        <f t="shared" si="71"/>
        <v>2026</v>
      </c>
    </row>
    <row r="4561" spans="1:13" ht="12.75" hidden="1" customHeight="1">
      <c r="A4561" t="s">
        <v>878</v>
      </c>
      <c r="B4561" t="s">
        <v>32</v>
      </c>
      <c r="C4561" t="s">
        <v>200</v>
      </c>
      <c r="D4561" t="s">
        <v>1445</v>
      </c>
      <c r="E4561" s="17">
        <v>46091</v>
      </c>
      <c r="F4561" s="17">
        <v>46091</v>
      </c>
      <c r="G4561" s="13">
        <v>1936</v>
      </c>
      <c r="H4561" s="14">
        <v>0</v>
      </c>
      <c r="I4561" s="14">
        <v>0</v>
      </c>
      <c r="J4561" s="14">
        <v>0</v>
      </c>
      <c r="K4561" s="14">
        <v>1936</v>
      </c>
      <c r="L4561" t="s">
        <v>794</v>
      </c>
      <c r="M4561" s="23">
        <f t="shared" si="71"/>
        <v>2026</v>
      </c>
    </row>
    <row r="4562" spans="1:13" ht="12.75" hidden="1" customHeight="1">
      <c r="A4562" t="s">
        <v>865</v>
      </c>
      <c r="B4562" t="s">
        <v>76</v>
      </c>
      <c r="C4562" t="s">
        <v>200</v>
      </c>
      <c r="D4562" t="s">
        <v>1445</v>
      </c>
      <c r="E4562" s="17">
        <v>46091</v>
      </c>
      <c r="F4562" s="17">
        <v>46091</v>
      </c>
      <c r="G4562" s="13">
        <v>644</v>
      </c>
      <c r="H4562" s="14">
        <v>0</v>
      </c>
      <c r="I4562" s="14">
        <v>0</v>
      </c>
      <c r="J4562" s="14">
        <v>0</v>
      </c>
      <c r="K4562" s="14">
        <v>644</v>
      </c>
      <c r="L4562" t="s">
        <v>794</v>
      </c>
      <c r="M4562" s="23">
        <f t="shared" si="71"/>
        <v>2026</v>
      </c>
    </row>
    <row r="4563" spans="1:13" ht="12.75" hidden="1" customHeight="1">
      <c r="A4563" t="s">
        <v>1176</v>
      </c>
      <c r="B4563" t="s">
        <v>106</v>
      </c>
      <c r="C4563" t="s">
        <v>200</v>
      </c>
      <c r="D4563" t="s">
        <v>1445</v>
      </c>
      <c r="E4563" s="17">
        <v>46091</v>
      </c>
      <c r="F4563" s="17">
        <v>46091</v>
      </c>
      <c r="G4563" s="13">
        <v>672</v>
      </c>
      <c r="H4563" s="14">
        <v>0</v>
      </c>
      <c r="I4563" s="14">
        <v>0</v>
      </c>
      <c r="J4563" s="14">
        <v>0</v>
      </c>
      <c r="K4563" s="14">
        <v>672</v>
      </c>
      <c r="L4563" t="s">
        <v>794</v>
      </c>
      <c r="M4563" s="23">
        <f t="shared" si="71"/>
        <v>2026</v>
      </c>
    </row>
    <row r="4564" spans="1:13" ht="12.75" hidden="1" customHeight="1">
      <c r="A4564" t="s">
        <v>1355</v>
      </c>
      <c r="B4564" t="s">
        <v>161</v>
      </c>
      <c r="C4564" t="s">
        <v>200</v>
      </c>
      <c r="D4564" t="s">
        <v>1445</v>
      </c>
      <c r="E4564" s="17">
        <v>46091</v>
      </c>
      <c r="F4564" s="17">
        <v>46091</v>
      </c>
      <c r="G4564" s="13">
        <v>756</v>
      </c>
      <c r="H4564" s="14">
        <v>0</v>
      </c>
      <c r="I4564" s="14">
        <v>0</v>
      </c>
      <c r="J4564" s="14">
        <v>0</v>
      </c>
      <c r="K4564" s="14">
        <v>756</v>
      </c>
      <c r="L4564" t="s">
        <v>794</v>
      </c>
      <c r="M4564" s="23">
        <f t="shared" si="71"/>
        <v>2026</v>
      </c>
    </row>
    <row r="4565" spans="1:13" ht="12.75" hidden="1" customHeight="1">
      <c r="A4565" t="s">
        <v>1246</v>
      </c>
      <c r="B4565" t="s">
        <v>63</v>
      </c>
      <c r="C4565" t="s">
        <v>200</v>
      </c>
      <c r="D4565" t="s">
        <v>1445</v>
      </c>
      <c r="E4565" s="17">
        <v>46091</v>
      </c>
      <c r="F4565" s="17">
        <v>46091</v>
      </c>
      <c r="G4565" s="13">
        <v>3456</v>
      </c>
      <c r="H4565" s="14">
        <v>0</v>
      </c>
      <c r="I4565" s="14">
        <v>0</v>
      </c>
      <c r="J4565" s="14">
        <v>0</v>
      </c>
      <c r="K4565" s="14">
        <v>3456</v>
      </c>
      <c r="L4565" t="s">
        <v>794</v>
      </c>
      <c r="M4565" s="23">
        <f t="shared" si="71"/>
        <v>2026</v>
      </c>
    </row>
    <row r="4566" spans="1:13" ht="12.75" hidden="1" customHeight="1">
      <c r="A4566" t="s">
        <v>1461</v>
      </c>
      <c r="B4566" t="s">
        <v>1462</v>
      </c>
      <c r="C4566" t="s">
        <v>201</v>
      </c>
      <c r="D4566" t="s">
        <v>1445</v>
      </c>
      <c r="E4566" s="17">
        <v>46091</v>
      </c>
      <c r="F4566" s="17">
        <v>46091</v>
      </c>
      <c r="G4566" s="13">
        <v>1040</v>
      </c>
      <c r="H4566" s="14">
        <v>0</v>
      </c>
      <c r="I4566" s="14">
        <v>0</v>
      </c>
      <c r="J4566" s="14">
        <v>0</v>
      </c>
      <c r="K4566" s="14">
        <v>1040</v>
      </c>
      <c r="L4566" t="s">
        <v>794</v>
      </c>
      <c r="M4566" s="23">
        <f t="shared" si="71"/>
        <v>2026</v>
      </c>
    </row>
    <row r="4567" spans="1:13" ht="12.75" hidden="1" customHeight="1">
      <c r="A4567" t="s">
        <v>1134</v>
      </c>
      <c r="B4567" t="s">
        <v>33</v>
      </c>
      <c r="C4567" t="s">
        <v>200</v>
      </c>
      <c r="D4567" t="s">
        <v>1445</v>
      </c>
      <c r="E4567" s="17">
        <v>46091</v>
      </c>
      <c r="F4567" s="17">
        <v>46091</v>
      </c>
      <c r="G4567" s="13">
        <v>2208</v>
      </c>
      <c r="H4567" s="14">
        <v>0</v>
      </c>
      <c r="I4567" s="14">
        <v>0</v>
      </c>
      <c r="J4567" s="14">
        <v>0</v>
      </c>
      <c r="K4567" s="14">
        <v>2208</v>
      </c>
      <c r="L4567" t="s">
        <v>794</v>
      </c>
      <c r="M4567" s="23">
        <f t="shared" si="71"/>
        <v>2026</v>
      </c>
    </row>
    <row r="4568" spans="1:13" ht="12.75" hidden="1" customHeight="1">
      <c r="A4568" t="s">
        <v>855</v>
      </c>
      <c r="B4568" t="s">
        <v>20</v>
      </c>
      <c r="C4568" t="s">
        <v>201</v>
      </c>
      <c r="D4568" t="s">
        <v>1445</v>
      </c>
      <c r="E4568" s="17">
        <v>46091</v>
      </c>
      <c r="F4568" s="17">
        <v>46091</v>
      </c>
      <c r="G4568" s="13">
        <v>480</v>
      </c>
      <c r="H4568" s="14">
        <v>0</v>
      </c>
      <c r="I4568" s="14">
        <v>0</v>
      </c>
      <c r="J4568" s="14">
        <v>0</v>
      </c>
      <c r="K4568" s="14">
        <v>480</v>
      </c>
      <c r="L4568" t="s">
        <v>794</v>
      </c>
      <c r="M4568" s="23">
        <f t="shared" si="71"/>
        <v>2026</v>
      </c>
    </row>
    <row r="4569" spans="1:13" ht="12.75" hidden="1" customHeight="1">
      <c r="A4569" t="s">
        <v>855</v>
      </c>
      <c r="B4569" t="s">
        <v>20</v>
      </c>
      <c r="C4569" t="s">
        <v>201</v>
      </c>
      <c r="D4569" t="s">
        <v>1445</v>
      </c>
      <c r="E4569" s="17">
        <v>46091</v>
      </c>
      <c r="F4569" s="17">
        <v>46091</v>
      </c>
      <c r="G4569" s="13">
        <v>660</v>
      </c>
      <c r="H4569" s="14">
        <v>0</v>
      </c>
      <c r="I4569" s="14">
        <v>0</v>
      </c>
      <c r="J4569" s="14">
        <v>0</v>
      </c>
      <c r="K4569" s="14">
        <v>660</v>
      </c>
      <c r="L4569" t="s">
        <v>794</v>
      </c>
      <c r="M4569" s="23">
        <f t="shared" si="71"/>
        <v>2026</v>
      </c>
    </row>
    <row r="4570" spans="1:13" ht="12.75" hidden="1" customHeight="1">
      <c r="A4570" t="s">
        <v>1214</v>
      </c>
      <c r="B4570" t="s">
        <v>229</v>
      </c>
      <c r="C4570" t="s">
        <v>183</v>
      </c>
      <c r="D4570" t="s">
        <v>1445</v>
      </c>
      <c r="E4570" s="17">
        <v>46092</v>
      </c>
      <c r="F4570" s="17">
        <v>46092</v>
      </c>
      <c r="G4570" s="13">
        <v>300</v>
      </c>
      <c r="H4570" s="14">
        <v>0</v>
      </c>
      <c r="I4570" s="14">
        <v>0</v>
      </c>
      <c r="J4570" s="14">
        <v>0</v>
      </c>
      <c r="K4570" s="14">
        <v>300</v>
      </c>
      <c r="L4570" t="s">
        <v>794</v>
      </c>
      <c r="M4570" s="23">
        <f t="shared" si="71"/>
        <v>2026</v>
      </c>
    </row>
    <row r="4571" spans="1:13" ht="12.75" hidden="1" customHeight="1">
      <c r="A4571" t="s">
        <v>1464</v>
      </c>
      <c r="B4571" t="s">
        <v>575</v>
      </c>
      <c r="C4571" t="s">
        <v>452</v>
      </c>
      <c r="D4571" t="s">
        <v>1445</v>
      </c>
      <c r="E4571" s="17">
        <v>46092</v>
      </c>
      <c r="F4571" s="17">
        <v>46092</v>
      </c>
      <c r="G4571" s="13">
        <v>69</v>
      </c>
      <c r="H4571" s="14">
        <v>0</v>
      </c>
      <c r="I4571" s="14">
        <v>0</v>
      </c>
      <c r="J4571" s="14">
        <v>0</v>
      </c>
      <c r="K4571" s="14">
        <v>69</v>
      </c>
      <c r="L4571" t="s">
        <v>794</v>
      </c>
      <c r="M4571" s="23">
        <f t="shared" ref="M4571:M4634" si="72">YEAR(F4571)</f>
        <v>2026</v>
      </c>
    </row>
    <row r="4572" spans="1:13" ht="12.75" hidden="1" customHeight="1">
      <c r="A4572" t="s">
        <v>1465</v>
      </c>
      <c r="B4572" t="s">
        <v>577</v>
      </c>
      <c r="C4572" t="s">
        <v>452</v>
      </c>
      <c r="D4572" t="s">
        <v>1445</v>
      </c>
      <c r="E4572" s="17">
        <v>46092</v>
      </c>
      <c r="F4572" s="17">
        <v>46092</v>
      </c>
      <c r="G4572" s="13">
        <v>69</v>
      </c>
      <c r="H4572" s="14">
        <v>0</v>
      </c>
      <c r="I4572" s="14">
        <v>0</v>
      </c>
      <c r="J4572" s="14">
        <v>0</v>
      </c>
      <c r="K4572" s="14">
        <v>69</v>
      </c>
      <c r="L4572" t="s">
        <v>794</v>
      </c>
      <c r="M4572" s="23">
        <f t="shared" si="72"/>
        <v>2026</v>
      </c>
    </row>
    <row r="4573" spans="1:13" ht="12.75" hidden="1" customHeight="1">
      <c r="A4573" t="s">
        <v>801</v>
      </c>
      <c r="B4573" t="s">
        <v>13</v>
      </c>
      <c r="C4573" t="s">
        <v>726</v>
      </c>
      <c r="D4573" t="s">
        <v>1445</v>
      </c>
      <c r="E4573" s="17">
        <v>46093</v>
      </c>
      <c r="F4573" s="17">
        <v>46093</v>
      </c>
      <c r="G4573" s="13">
        <v>2012.99</v>
      </c>
      <c r="H4573" s="14">
        <v>0</v>
      </c>
      <c r="I4573" s="14">
        <v>0</v>
      </c>
      <c r="J4573" s="14">
        <v>0</v>
      </c>
      <c r="K4573" s="14">
        <v>2012.99</v>
      </c>
      <c r="L4573" t="s">
        <v>794</v>
      </c>
      <c r="M4573" s="23">
        <f t="shared" si="72"/>
        <v>2026</v>
      </c>
    </row>
    <row r="4574" spans="1:13" ht="12.75" hidden="1" customHeight="1">
      <c r="A4574" t="s">
        <v>1466</v>
      </c>
      <c r="B4574" t="s">
        <v>203</v>
      </c>
      <c r="C4574" t="s">
        <v>139</v>
      </c>
      <c r="D4574" t="s">
        <v>1445</v>
      </c>
      <c r="E4574" s="17">
        <v>46094</v>
      </c>
      <c r="F4574" s="17">
        <v>46094</v>
      </c>
      <c r="G4574" s="13">
        <v>183</v>
      </c>
      <c r="H4574" s="14">
        <v>0</v>
      </c>
      <c r="I4574" s="14">
        <v>0</v>
      </c>
      <c r="J4574" s="14">
        <v>0</v>
      </c>
      <c r="K4574" s="14">
        <v>183</v>
      </c>
      <c r="L4574" t="s">
        <v>794</v>
      </c>
      <c r="M4574" s="23">
        <f t="shared" si="72"/>
        <v>2026</v>
      </c>
    </row>
    <row r="4575" spans="1:13" ht="12.75" hidden="1" customHeight="1">
      <c r="A4575" t="s">
        <v>845</v>
      </c>
      <c r="B4575" t="s">
        <v>67</v>
      </c>
      <c r="C4575" t="s">
        <v>729</v>
      </c>
      <c r="D4575" t="s">
        <v>1445</v>
      </c>
      <c r="E4575" s="17">
        <v>46094</v>
      </c>
      <c r="F4575" s="17">
        <v>46094</v>
      </c>
      <c r="G4575" s="13">
        <v>2455.92</v>
      </c>
      <c r="H4575" s="14">
        <v>0</v>
      </c>
      <c r="I4575" s="14">
        <v>0</v>
      </c>
      <c r="J4575" s="14">
        <v>0</v>
      </c>
      <c r="K4575" s="14">
        <v>2455.92</v>
      </c>
      <c r="L4575" t="s">
        <v>794</v>
      </c>
      <c r="M4575" s="23">
        <f t="shared" si="72"/>
        <v>2026</v>
      </c>
    </row>
    <row r="4576" spans="1:13" ht="12.75" hidden="1" customHeight="1">
      <c r="A4576" t="s">
        <v>1467</v>
      </c>
      <c r="B4576" t="s">
        <v>185</v>
      </c>
      <c r="C4576" t="s">
        <v>139</v>
      </c>
      <c r="D4576" t="s">
        <v>1445</v>
      </c>
      <c r="E4576" s="17">
        <v>46094</v>
      </c>
      <c r="F4576" s="17">
        <v>46094</v>
      </c>
      <c r="G4576" s="13">
        <v>207.4</v>
      </c>
      <c r="H4576" s="14">
        <v>0</v>
      </c>
      <c r="I4576" s="14">
        <v>0</v>
      </c>
      <c r="J4576" s="14">
        <v>0</v>
      </c>
      <c r="K4576" s="14">
        <v>207.4</v>
      </c>
      <c r="L4576" t="s">
        <v>794</v>
      </c>
      <c r="M4576" s="23">
        <f t="shared" si="72"/>
        <v>2026</v>
      </c>
    </row>
    <row r="4577" spans="1:13" ht="12.75" hidden="1" customHeight="1">
      <c r="A4577" t="s">
        <v>879</v>
      </c>
      <c r="B4577" t="s">
        <v>23</v>
      </c>
      <c r="C4577" t="s">
        <v>716</v>
      </c>
      <c r="D4577" t="s">
        <v>1445</v>
      </c>
      <c r="E4577" s="17">
        <v>46094</v>
      </c>
      <c r="F4577" s="17">
        <v>46094</v>
      </c>
      <c r="G4577" s="13">
        <v>3093</v>
      </c>
      <c r="H4577" s="14">
        <v>0</v>
      </c>
      <c r="I4577" s="14">
        <v>0</v>
      </c>
      <c r="J4577" s="14">
        <v>0</v>
      </c>
      <c r="K4577" s="14">
        <v>3093</v>
      </c>
      <c r="L4577" t="s">
        <v>794</v>
      </c>
      <c r="M4577" s="23">
        <f t="shared" si="72"/>
        <v>2026</v>
      </c>
    </row>
    <row r="4578" spans="1:13" ht="12.75" hidden="1" customHeight="1">
      <c r="A4578" t="s">
        <v>879</v>
      </c>
      <c r="B4578" t="s">
        <v>23</v>
      </c>
      <c r="C4578" t="s">
        <v>722</v>
      </c>
      <c r="D4578" t="s">
        <v>1445</v>
      </c>
      <c r="E4578" s="17">
        <v>46096</v>
      </c>
      <c r="F4578" s="17">
        <v>46094</v>
      </c>
      <c r="G4578" s="13">
        <v>700</v>
      </c>
      <c r="H4578" s="14">
        <v>0</v>
      </c>
      <c r="I4578" s="14">
        <v>0</v>
      </c>
      <c r="J4578" s="14">
        <v>0</v>
      </c>
      <c r="K4578" s="14">
        <v>700</v>
      </c>
      <c r="L4578" t="s">
        <v>794</v>
      </c>
      <c r="M4578" s="23">
        <f t="shared" si="72"/>
        <v>2026</v>
      </c>
    </row>
    <row r="4579" spans="1:13" ht="12.75" hidden="1" customHeight="1">
      <c r="A4579" t="s">
        <v>1410</v>
      </c>
      <c r="B4579" t="s">
        <v>93</v>
      </c>
      <c r="C4579" t="s">
        <v>719</v>
      </c>
      <c r="D4579" t="s">
        <v>1445</v>
      </c>
      <c r="E4579" s="17">
        <v>46096</v>
      </c>
      <c r="F4579" s="17">
        <v>46094</v>
      </c>
      <c r="G4579" s="13">
        <v>2632.32</v>
      </c>
      <c r="H4579" s="14">
        <v>0</v>
      </c>
      <c r="I4579" s="14">
        <v>0</v>
      </c>
      <c r="J4579" s="14">
        <v>0</v>
      </c>
      <c r="K4579" s="14">
        <v>2632.32</v>
      </c>
      <c r="L4579" t="s">
        <v>794</v>
      </c>
      <c r="M4579" s="23">
        <f t="shared" si="72"/>
        <v>2026</v>
      </c>
    </row>
    <row r="4580" spans="1:13" ht="12.75" hidden="1" customHeight="1">
      <c r="A4580" t="s">
        <v>801</v>
      </c>
      <c r="B4580" t="s">
        <v>13</v>
      </c>
      <c r="C4580" t="s">
        <v>726</v>
      </c>
      <c r="D4580" t="s">
        <v>1445</v>
      </c>
      <c r="E4580" s="17">
        <v>46094</v>
      </c>
      <c r="F4580" s="17">
        <v>46094</v>
      </c>
      <c r="G4580" s="13">
        <v>2.19</v>
      </c>
      <c r="H4580" s="14">
        <v>0</v>
      </c>
      <c r="I4580" s="14">
        <v>0</v>
      </c>
      <c r="J4580" s="14">
        <v>0</v>
      </c>
      <c r="K4580" s="14">
        <v>2.19</v>
      </c>
      <c r="L4580" t="s">
        <v>794</v>
      </c>
      <c r="M4580" s="23">
        <f t="shared" si="72"/>
        <v>2026</v>
      </c>
    </row>
    <row r="4581" spans="1:13" ht="12.75" hidden="1" customHeight="1">
      <c r="A4581" t="s">
        <v>888</v>
      </c>
      <c r="B4581" t="s">
        <v>16</v>
      </c>
      <c r="C4581" t="s">
        <v>716</v>
      </c>
      <c r="D4581" t="s">
        <v>1445</v>
      </c>
      <c r="E4581" s="17">
        <v>46096</v>
      </c>
      <c r="F4581" s="17">
        <v>46095</v>
      </c>
      <c r="G4581" s="13">
        <v>17478.580000000002</v>
      </c>
      <c r="H4581" s="14">
        <v>0</v>
      </c>
      <c r="I4581" s="14">
        <v>0</v>
      </c>
      <c r="J4581" s="14">
        <v>0</v>
      </c>
      <c r="K4581" s="14">
        <v>17478.580000000002</v>
      </c>
      <c r="L4581" t="s">
        <v>794</v>
      </c>
      <c r="M4581" s="23">
        <f t="shared" si="72"/>
        <v>2026</v>
      </c>
    </row>
    <row r="4582" spans="1:13" ht="12.75" hidden="1" customHeight="1">
      <c r="A4582" t="s">
        <v>1410</v>
      </c>
      <c r="B4582" t="s">
        <v>93</v>
      </c>
      <c r="C4582" t="s">
        <v>719</v>
      </c>
      <c r="D4582" t="s">
        <v>1445</v>
      </c>
      <c r="E4582" s="17">
        <v>46096</v>
      </c>
      <c r="F4582" s="17">
        <v>46095</v>
      </c>
      <c r="G4582" s="13">
        <v>465.81</v>
      </c>
      <c r="H4582" s="14">
        <v>0</v>
      </c>
      <c r="I4582" s="14">
        <v>0</v>
      </c>
      <c r="J4582" s="14">
        <v>0</v>
      </c>
      <c r="K4582" s="14">
        <v>465.81</v>
      </c>
      <c r="L4582" t="s">
        <v>794</v>
      </c>
      <c r="M4582" s="23">
        <f t="shared" si="72"/>
        <v>2026</v>
      </c>
    </row>
    <row r="4583" spans="1:13" ht="12.75" hidden="1" customHeight="1">
      <c r="A4583" t="s">
        <v>1451</v>
      </c>
      <c r="B4583" t="s">
        <v>208</v>
      </c>
      <c r="C4583" t="s">
        <v>139</v>
      </c>
      <c r="D4583" t="s">
        <v>1445</v>
      </c>
      <c r="E4583" s="17">
        <v>46097</v>
      </c>
      <c r="F4583" s="17">
        <v>46097</v>
      </c>
      <c r="G4583" s="13">
        <v>120</v>
      </c>
      <c r="H4583" s="14">
        <v>0</v>
      </c>
      <c r="I4583" s="14">
        <v>0</v>
      </c>
      <c r="J4583" s="14">
        <v>0</v>
      </c>
      <c r="K4583" s="14">
        <v>120</v>
      </c>
      <c r="L4583" t="s">
        <v>794</v>
      </c>
      <c r="M4583" s="23">
        <f t="shared" si="72"/>
        <v>2026</v>
      </c>
    </row>
    <row r="4584" spans="1:13" ht="12.75" hidden="1" customHeight="1">
      <c r="A4584" t="s">
        <v>886</v>
      </c>
      <c r="B4584" t="s">
        <v>194</v>
      </c>
      <c r="C4584" t="s">
        <v>743</v>
      </c>
      <c r="D4584" t="s">
        <v>1445</v>
      </c>
      <c r="E4584" s="17">
        <v>46096</v>
      </c>
      <c r="F4584" s="17">
        <v>46097</v>
      </c>
      <c r="G4584" s="13">
        <v>217.76</v>
      </c>
      <c r="H4584" s="14">
        <v>0</v>
      </c>
      <c r="I4584" s="14">
        <v>0</v>
      </c>
      <c r="J4584" s="14">
        <v>0</v>
      </c>
      <c r="K4584" s="14">
        <v>217.76</v>
      </c>
      <c r="L4584" t="s">
        <v>794</v>
      </c>
      <c r="M4584" s="23">
        <f t="shared" si="72"/>
        <v>2026</v>
      </c>
    </row>
    <row r="4585" spans="1:13" ht="12.75" hidden="1" customHeight="1">
      <c r="A4585" t="s">
        <v>893</v>
      </c>
      <c r="B4585" t="s">
        <v>212</v>
      </c>
      <c r="C4585" t="s">
        <v>746</v>
      </c>
      <c r="D4585" t="s">
        <v>1445</v>
      </c>
      <c r="E4585" s="17">
        <v>46097</v>
      </c>
      <c r="F4585" s="17">
        <v>46097</v>
      </c>
      <c r="G4585" s="13">
        <v>139</v>
      </c>
      <c r="H4585" s="14">
        <v>0</v>
      </c>
      <c r="I4585" s="14">
        <v>0</v>
      </c>
      <c r="J4585" s="14">
        <v>0</v>
      </c>
      <c r="K4585" s="14">
        <v>139</v>
      </c>
      <c r="L4585" t="s">
        <v>794</v>
      </c>
      <c r="M4585" s="23">
        <f t="shared" si="72"/>
        <v>2026</v>
      </c>
    </row>
    <row r="4586" spans="1:13" ht="12.75" hidden="1" customHeight="1">
      <c r="A4586" t="s">
        <v>1409</v>
      </c>
      <c r="B4586" t="s">
        <v>86</v>
      </c>
      <c r="C4586" t="s">
        <v>270</v>
      </c>
      <c r="D4586" t="s">
        <v>1445</v>
      </c>
      <c r="E4586" s="17">
        <v>46097</v>
      </c>
      <c r="F4586" s="17">
        <v>46097</v>
      </c>
      <c r="G4586" s="13">
        <v>2000</v>
      </c>
      <c r="H4586" s="14">
        <v>0</v>
      </c>
      <c r="I4586" s="14">
        <v>0</v>
      </c>
      <c r="J4586" s="14">
        <v>0</v>
      </c>
      <c r="K4586" s="14">
        <v>2000</v>
      </c>
      <c r="L4586" t="s">
        <v>794</v>
      </c>
      <c r="M4586" s="23">
        <f t="shared" si="72"/>
        <v>2026</v>
      </c>
    </row>
    <row r="4587" spans="1:13" ht="12.75" hidden="1" customHeight="1">
      <c r="A4587" t="s">
        <v>801</v>
      </c>
      <c r="B4587" t="s">
        <v>13</v>
      </c>
      <c r="C4587" t="s">
        <v>717</v>
      </c>
      <c r="D4587" t="s">
        <v>1445</v>
      </c>
      <c r="E4587" s="17">
        <v>46097</v>
      </c>
      <c r="F4587" s="17">
        <v>46097</v>
      </c>
      <c r="G4587" s="13">
        <v>210.38</v>
      </c>
      <c r="H4587" s="14">
        <v>0</v>
      </c>
      <c r="I4587" s="14">
        <v>0</v>
      </c>
      <c r="J4587" s="14">
        <v>0</v>
      </c>
      <c r="K4587" s="14">
        <v>210.38</v>
      </c>
      <c r="L4587" t="s">
        <v>794</v>
      </c>
      <c r="M4587" s="23">
        <f t="shared" si="72"/>
        <v>2026</v>
      </c>
    </row>
    <row r="4588" spans="1:13" ht="12.75" hidden="1" customHeight="1">
      <c r="A4588" t="s">
        <v>948</v>
      </c>
      <c r="B4588" t="s">
        <v>89</v>
      </c>
      <c r="C4588" t="s">
        <v>725</v>
      </c>
      <c r="D4588" t="s">
        <v>1445</v>
      </c>
      <c r="E4588" s="17">
        <v>46094</v>
      </c>
      <c r="F4588" s="17">
        <v>46097</v>
      </c>
      <c r="G4588" s="13">
        <v>824</v>
      </c>
      <c r="H4588" s="14">
        <v>0</v>
      </c>
      <c r="I4588" s="14">
        <v>0</v>
      </c>
      <c r="J4588" s="14">
        <v>0</v>
      </c>
      <c r="K4588" s="14">
        <v>824</v>
      </c>
      <c r="L4588" t="s">
        <v>794</v>
      </c>
      <c r="M4588" s="23">
        <f t="shared" si="72"/>
        <v>2026</v>
      </c>
    </row>
    <row r="4589" spans="1:13" ht="12.75" hidden="1" customHeight="1">
      <c r="A4589" t="s">
        <v>832</v>
      </c>
      <c r="B4589" t="s">
        <v>120</v>
      </c>
      <c r="C4589" t="s">
        <v>140</v>
      </c>
      <c r="D4589" t="s">
        <v>1445</v>
      </c>
      <c r="E4589" s="17">
        <v>46097</v>
      </c>
      <c r="F4589" s="17">
        <v>46097</v>
      </c>
      <c r="G4589" s="13">
        <v>150</v>
      </c>
      <c r="H4589" s="14">
        <v>0</v>
      </c>
      <c r="I4589" s="14">
        <v>0</v>
      </c>
      <c r="J4589" s="14">
        <v>0</v>
      </c>
      <c r="K4589" s="14">
        <v>150</v>
      </c>
      <c r="L4589" t="s">
        <v>794</v>
      </c>
      <c r="M4589" s="23">
        <f t="shared" si="72"/>
        <v>2026</v>
      </c>
    </row>
    <row r="4590" spans="1:13" ht="12.75" hidden="1" customHeight="1">
      <c r="A4590" t="s">
        <v>1131</v>
      </c>
      <c r="B4590" t="s">
        <v>81</v>
      </c>
      <c r="C4590" t="s">
        <v>183</v>
      </c>
      <c r="D4590" t="s">
        <v>1445</v>
      </c>
      <c r="E4590" s="17">
        <v>46097</v>
      </c>
      <c r="F4590" s="17">
        <v>46097</v>
      </c>
      <c r="G4590" s="13">
        <v>1120</v>
      </c>
      <c r="H4590" s="14">
        <v>0</v>
      </c>
      <c r="I4590" s="14">
        <v>0</v>
      </c>
      <c r="J4590" s="14">
        <v>0</v>
      </c>
      <c r="K4590" s="14">
        <v>1120</v>
      </c>
      <c r="L4590" t="s">
        <v>794</v>
      </c>
      <c r="M4590" s="23">
        <f t="shared" si="72"/>
        <v>2026</v>
      </c>
    </row>
    <row r="4591" spans="1:13" ht="12.75" hidden="1" customHeight="1">
      <c r="A4591" t="s">
        <v>848</v>
      </c>
      <c r="B4591" t="s">
        <v>14</v>
      </c>
      <c r="C4591" t="s">
        <v>714</v>
      </c>
      <c r="D4591" t="s">
        <v>1445</v>
      </c>
      <c r="E4591" s="17">
        <v>46097</v>
      </c>
      <c r="F4591" s="17">
        <v>46097</v>
      </c>
      <c r="G4591" s="13">
        <v>25123.8</v>
      </c>
      <c r="H4591" s="14">
        <v>0</v>
      </c>
      <c r="I4591" s="14">
        <v>0</v>
      </c>
      <c r="J4591" s="14">
        <v>0</v>
      </c>
      <c r="K4591" s="14">
        <v>25123.8</v>
      </c>
      <c r="L4591" t="s">
        <v>794</v>
      </c>
      <c r="M4591" s="23">
        <f t="shared" si="72"/>
        <v>2026</v>
      </c>
    </row>
    <row r="4592" spans="1:13" ht="12.75" hidden="1" customHeight="1">
      <c r="A4592" t="s">
        <v>801</v>
      </c>
      <c r="B4592" t="s">
        <v>13</v>
      </c>
      <c r="C4592" t="s">
        <v>717</v>
      </c>
      <c r="D4592" t="s">
        <v>1445</v>
      </c>
      <c r="E4592" s="17">
        <v>46098</v>
      </c>
      <c r="F4592" s="17">
        <v>46098</v>
      </c>
      <c r="G4592" s="13">
        <v>5381.79</v>
      </c>
      <c r="H4592" s="14">
        <v>0</v>
      </c>
      <c r="I4592" s="14">
        <v>0</v>
      </c>
      <c r="J4592" s="14">
        <v>0</v>
      </c>
      <c r="K4592" s="14">
        <v>5381.79</v>
      </c>
      <c r="L4592" t="s">
        <v>794</v>
      </c>
      <c r="M4592" s="23">
        <f t="shared" si="72"/>
        <v>2026</v>
      </c>
    </row>
    <row r="4593" spans="1:13" ht="12.75" hidden="1" customHeight="1">
      <c r="A4593" t="s">
        <v>801</v>
      </c>
      <c r="B4593" t="s">
        <v>13</v>
      </c>
      <c r="C4593" t="s">
        <v>726</v>
      </c>
      <c r="D4593" t="s">
        <v>1445</v>
      </c>
      <c r="E4593" s="17">
        <v>46098</v>
      </c>
      <c r="F4593" s="17">
        <v>46098</v>
      </c>
      <c r="G4593" s="13">
        <v>2.19</v>
      </c>
      <c r="H4593" s="14">
        <v>0</v>
      </c>
      <c r="I4593" s="14">
        <v>0</v>
      </c>
      <c r="J4593" s="14">
        <v>0</v>
      </c>
      <c r="K4593" s="14">
        <v>2.19</v>
      </c>
      <c r="L4593" t="s">
        <v>794</v>
      </c>
      <c r="M4593" s="23">
        <f t="shared" si="72"/>
        <v>2026</v>
      </c>
    </row>
    <row r="4594" spans="1:13" ht="12.75" hidden="1" customHeight="1">
      <c r="A4594" t="s">
        <v>1468</v>
      </c>
      <c r="B4594" t="s">
        <v>643</v>
      </c>
      <c r="C4594" t="s">
        <v>438</v>
      </c>
      <c r="D4594" t="s">
        <v>1445</v>
      </c>
      <c r="E4594" s="17">
        <v>46098</v>
      </c>
      <c r="F4594" s="17">
        <v>46098</v>
      </c>
      <c r="G4594" s="13">
        <v>39.840000000000003</v>
      </c>
      <c r="H4594" s="14">
        <v>0</v>
      </c>
      <c r="I4594" s="14">
        <v>0</v>
      </c>
      <c r="J4594" s="14">
        <v>0</v>
      </c>
      <c r="K4594" s="14">
        <v>39.840000000000003</v>
      </c>
      <c r="L4594" t="s">
        <v>794</v>
      </c>
      <c r="M4594" s="23">
        <f t="shared" si="72"/>
        <v>2026</v>
      </c>
    </row>
    <row r="4595" spans="1:13" ht="12.75" hidden="1" customHeight="1">
      <c r="A4595" t="s">
        <v>1211</v>
      </c>
      <c r="B4595" t="s">
        <v>73</v>
      </c>
      <c r="C4595" t="s">
        <v>721</v>
      </c>
      <c r="D4595" t="s">
        <v>1445</v>
      </c>
      <c r="E4595" s="17">
        <v>46098</v>
      </c>
      <c r="F4595" s="17">
        <v>46098</v>
      </c>
      <c r="G4595" s="13">
        <v>1500</v>
      </c>
      <c r="H4595" s="14">
        <v>0</v>
      </c>
      <c r="I4595" s="14">
        <v>0</v>
      </c>
      <c r="J4595" s="14">
        <v>0</v>
      </c>
      <c r="K4595" s="14">
        <v>1500</v>
      </c>
      <c r="L4595" t="s">
        <v>794</v>
      </c>
      <c r="M4595" s="23">
        <f t="shared" si="72"/>
        <v>2026</v>
      </c>
    </row>
    <row r="4596" spans="1:13" ht="12.75" hidden="1" customHeight="1">
      <c r="A4596" t="s">
        <v>800</v>
      </c>
      <c r="B4596" t="s">
        <v>85</v>
      </c>
      <c r="C4596" t="s">
        <v>734</v>
      </c>
      <c r="D4596" t="s">
        <v>1445</v>
      </c>
      <c r="E4596" s="17">
        <v>46098</v>
      </c>
      <c r="F4596" s="17">
        <v>46098</v>
      </c>
      <c r="G4596" s="13">
        <v>900</v>
      </c>
      <c r="H4596" s="14">
        <v>0</v>
      </c>
      <c r="I4596" s="14">
        <v>0</v>
      </c>
      <c r="J4596" s="14">
        <v>0</v>
      </c>
      <c r="K4596" s="14">
        <v>900</v>
      </c>
      <c r="L4596" t="s">
        <v>794</v>
      </c>
      <c r="M4596" s="23">
        <f t="shared" si="72"/>
        <v>2026</v>
      </c>
    </row>
    <row r="4597" spans="1:13" ht="12.75" hidden="1" customHeight="1">
      <c r="A4597" t="s">
        <v>941</v>
      </c>
      <c r="B4597" t="s">
        <v>52</v>
      </c>
      <c r="C4597" t="s">
        <v>672</v>
      </c>
      <c r="D4597" t="s">
        <v>1445</v>
      </c>
      <c r="E4597" s="17">
        <v>46096</v>
      </c>
      <c r="F4597" s="17">
        <v>46098</v>
      </c>
      <c r="G4597" s="13">
        <v>1628.5</v>
      </c>
      <c r="H4597" s="14">
        <v>0</v>
      </c>
      <c r="I4597" s="14">
        <v>0</v>
      </c>
      <c r="J4597" s="14">
        <v>0</v>
      </c>
      <c r="K4597" s="14">
        <v>1628.5</v>
      </c>
      <c r="L4597" t="s">
        <v>794</v>
      </c>
      <c r="M4597" s="23">
        <f t="shared" si="72"/>
        <v>2026</v>
      </c>
    </row>
    <row r="4598" spans="1:13" ht="12.75" hidden="1" customHeight="1">
      <c r="A4598" t="s">
        <v>891</v>
      </c>
      <c r="B4598" t="s">
        <v>102</v>
      </c>
      <c r="C4598" t="s">
        <v>722</v>
      </c>
      <c r="D4598" t="s">
        <v>1445</v>
      </c>
      <c r="E4598" s="17">
        <v>46098</v>
      </c>
      <c r="F4598" s="17">
        <v>46098</v>
      </c>
      <c r="G4598" s="13">
        <v>714</v>
      </c>
      <c r="H4598" s="14">
        <v>0</v>
      </c>
      <c r="I4598" s="14">
        <v>0</v>
      </c>
      <c r="J4598" s="14">
        <v>0</v>
      </c>
      <c r="K4598" s="14">
        <v>714</v>
      </c>
      <c r="L4598" t="s">
        <v>794</v>
      </c>
      <c r="M4598" s="23">
        <f t="shared" si="72"/>
        <v>2026</v>
      </c>
    </row>
    <row r="4599" spans="1:13" ht="12.75" hidden="1" customHeight="1">
      <c r="A4599" t="s">
        <v>894</v>
      </c>
      <c r="B4599" t="s">
        <v>50</v>
      </c>
      <c r="C4599" t="s">
        <v>152</v>
      </c>
      <c r="D4599" t="s">
        <v>1445</v>
      </c>
      <c r="E4599" s="17">
        <v>46096</v>
      </c>
      <c r="F4599" s="17">
        <v>46098</v>
      </c>
      <c r="G4599" s="13">
        <v>1654.49</v>
      </c>
      <c r="H4599" s="14">
        <v>0</v>
      </c>
      <c r="I4599" s="14">
        <v>0</v>
      </c>
      <c r="J4599" s="14">
        <v>0</v>
      </c>
      <c r="K4599" s="14">
        <v>1654.49</v>
      </c>
      <c r="L4599" t="s">
        <v>794</v>
      </c>
      <c r="M4599" s="23">
        <f t="shared" si="72"/>
        <v>2026</v>
      </c>
    </row>
    <row r="4600" spans="1:13" ht="12.75" hidden="1" customHeight="1">
      <c r="A4600" t="s">
        <v>805</v>
      </c>
      <c r="B4600" t="s">
        <v>17</v>
      </c>
      <c r="C4600" t="s">
        <v>713</v>
      </c>
      <c r="D4600" t="s">
        <v>1311</v>
      </c>
      <c r="E4600" s="17">
        <v>45945</v>
      </c>
      <c r="F4600" s="17">
        <v>46098</v>
      </c>
      <c r="G4600" s="22">
        <v>10702.08</v>
      </c>
      <c r="H4600" s="14">
        <v>0</v>
      </c>
      <c r="I4600" s="14">
        <v>0</v>
      </c>
      <c r="J4600" s="14">
        <v>0</v>
      </c>
      <c r="K4600" s="14">
        <v>10702.08</v>
      </c>
      <c r="L4600" t="s">
        <v>794</v>
      </c>
      <c r="M4600" s="23">
        <f t="shared" si="72"/>
        <v>2026</v>
      </c>
    </row>
    <row r="4601" spans="1:13" ht="12.75" hidden="1" customHeight="1">
      <c r="A4601" t="s">
        <v>849</v>
      </c>
      <c r="B4601" t="s">
        <v>283</v>
      </c>
      <c r="C4601" t="s">
        <v>722</v>
      </c>
      <c r="D4601" t="s">
        <v>1445</v>
      </c>
      <c r="E4601" s="17">
        <v>46098</v>
      </c>
      <c r="F4601" s="17">
        <v>46098</v>
      </c>
      <c r="G4601" s="13">
        <v>99</v>
      </c>
      <c r="H4601" s="14">
        <v>0</v>
      </c>
      <c r="I4601" s="14">
        <v>0</v>
      </c>
      <c r="J4601" s="14">
        <v>0</v>
      </c>
      <c r="K4601" s="14">
        <v>99</v>
      </c>
      <c r="L4601" t="s">
        <v>794</v>
      </c>
      <c r="M4601" s="23">
        <f t="shared" si="72"/>
        <v>2026</v>
      </c>
    </row>
    <row r="4602" spans="1:13" ht="12.75" hidden="1" customHeight="1">
      <c r="A4602" t="s">
        <v>1469</v>
      </c>
      <c r="B4602" t="s">
        <v>694</v>
      </c>
      <c r="C4602" t="s">
        <v>483</v>
      </c>
      <c r="D4602" t="s">
        <v>1445</v>
      </c>
      <c r="E4602" s="17">
        <v>46098</v>
      </c>
      <c r="F4602" s="17">
        <v>46098</v>
      </c>
      <c r="G4602" s="13">
        <v>15</v>
      </c>
      <c r="H4602" s="14">
        <v>0</v>
      </c>
      <c r="I4602" s="14">
        <v>0</v>
      </c>
      <c r="J4602" s="14">
        <v>0</v>
      </c>
      <c r="K4602" s="14">
        <v>15</v>
      </c>
      <c r="L4602" t="s">
        <v>794</v>
      </c>
      <c r="M4602" s="23">
        <f t="shared" si="72"/>
        <v>2026</v>
      </c>
    </row>
    <row r="4603" spans="1:13" ht="12.75" hidden="1" customHeight="1">
      <c r="A4603" t="s">
        <v>1072</v>
      </c>
      <c r="B4603" t="s">
        <v>65</v>
      </c>
      <c r="C4603" t="s">
        <v>756</v>
      </c>
      <c r="D4603" t="s">
        <v>1445</v>
      </c>
      <c r="E4603" s="17">
        <v>46100</v>
      </c>
      <c r="F4603" s="17">
        <v>46099</v>
      </c>
      <c r="G4603" s="13">
        <v>80.81</v>
      </c>
      <c r="H4603" s="14">
        <v>0</v>
      </c>
      <c r="I4603" s="14">
        <v>0</v>
      </c>
      <c r="J4603" s="14">
        <v>0</v>
      </c>
      <c r="K4603" s="14">
        <v>80.81</v>
      </c>
      <c r="L4603" t="s">
        <v>794</v>
      </c>
      <c r="M4603" s="23">
        <f t="shared" si="72"/>
        <v>2026</v>
      </c>
    </row>
    <row r="4604" spans="1:13" ht="12.75" hidden="1" customHeight="1">
      <c r="A4604" t="s">
        <v>892</v>
      </c>
      <c r="B4604" t="s">
        <v>110</v>
      </c>
      <c r="C4604" t="s">
        <v>733</v>
      </c>
      <c r="D4604" t="s">
        <v>1445</v>
      </c>
      <c r="E4604" s="17">
        <v>46099</v>
      </c>
      <c r="F4604" s="17">
        <v>46099</v>
      </c>
      <c r="G4604" s="13">
        <v>490</v>
      </c>
      <c r="H4604" s="14">
        <v>0</v>
      </c>
      <c r="I4604" s="14">
        <v>0</v>
      </c>
      <c r="J4604" s="14">
        <v>0</v>
      </c>
      <c r="K4604" s="14">
        <v>490</v>
      </c>
      <c r="L4604" t="s">
        <v>794</v>
      </c>
      <c r="M4604" s="23">
        <f t="shared" si="72"/>
        <v>2026</v>
      </c>
    </row>
    <row r="4605" spans="1:13" ht="12.75" hidden="1" customHeight="1">
      <c r="A4605" t="s">
        <v>801</v>
      </c>
      <c r="B4605" t="s">
        <v>13</v>
      </c>
      <c r="C4605" t="s">
        <v>726</v>
      </c>
      <c r="D4605" t="s">
        <v>1445</v>
      </c>
      <c r="E4605" s="17">
        <v>46100</v>
      </c>
      <c r="F4605" s="17">
        <v>46100</v>
      </c>
      <c r="G4605" s="13">
        <v>9.14</v>
      </c>
      <c r="H4605" s="14">
        <v>0</v>
      </c>
      <c r="I4605" s="14">
        <v>0</v>
      </c>
      <c r="J4605" s="14">
        <v>0</v>
      </c>
      <c r="K4605" s="14">
        <v>9.14</v>
      </c>
      <c r="L4605" t="s">
        <v>794</v>
      </c>
      <c r="M4605" s="23">
        <f t="shared" si="72"/>
        <v>2026</v>
      </c>
    </row>
    <row r="4606" spans="1:13" ht="12.75" hidden="1" customHeight="1">
      <c r="A4606" t="s">
        <v>1459</v>
      </c>
      <c r="B4606" t="s">
        <v>269</v>
      </c>
      <c r="C4606" t="s">
        <v>270</v>
      </c>
      <c r="D4606" t="s">
        <v>1445</v>
      </c>
      <c r="E4606" s="17">
        <v>46100</v>
      </c>
      <c r="F4606" s="17">
        <v>46100</v>
      </c>
      <c r="G4606" s="13">
        <v>70</v>
      </c>
      <c r="H4606" s="14">
        <v>0</v>
      </c>
      <c r="I4606" s="14">
        <v>0</v>
      </c>
      <c r="J4606" s="14">
        <v>0</v>
      </c>
      <c r="K4606" s="14">
        <v>70</v>
      </c>
      <c r="L4606" t="s">
        <v>794</v>
      </c>
      <c r="M4606" s="23">
        <f t="shared" si="72"/>
        <v>2026</v>
      </c>
    </row>
    <row r="4607" spans="1:13" ht="12.75" hidden="1" customHeight="1">
      <c r="A4607" t="s">
        <v>1459</v>
      </c>
      <c r="B4607" t="s">
        <v>269</v>
      </c>
      <c r="C4607" t="s">
        <v>270</v>
      </c>
      <c r="D4607" t="s">
        <v>1445</v>
      </c>
      <c r="E4607" s="17">
        <v>46099</v>
      </c>
      <c r="F4607" s="17">
        <v>46100</v>
      </c>
      <c r="G4607" s="13">
        <v>62.22</v>
      </c>
      <c r="H4607" s="14">
        <v>0</v>
      </c>
      <c r="I4607" s="14">
        <v>0</v>
      </c>
      <c r="J4607" s="14">
        <v>0</v>
      </c>
      <c r="K4607" s="14">
        <v>62.22</v>
      </c>
      <c r="L4607" t="s">
        <v>794</v>
      </c>
      <c r="M4607" s="23">
        <f t="shared" si="72"/>
        <v>2026</v>
      </c>
    </row>
    <row r="4608" spans="1:13" ht="12.75" hidden="1" customHeight="1">
      <c r="A4608" t="s">
        <v>833</v>
      </c>
      <c r="B4608" t="s">
        <v>27</v>
      </c>
      <c r="C4608" t="s">
        <v>483</v>
      </c>
      <c r="D4608" t="s">
        <v>1445</v>
      </c>
      <c r="E4608" s="17">
        <v>46100</v>
      </c>
      <c r="F4608" s="17">
        <v>46100</v>
      </c>
      <c r="G4608" s="13">
        <v>141.37</v>
      </c>
      <c r="H4608" s="14">
        <v>0</v>
      </c>
      <c r="I4608" s="14">
        <v>0</v>
      </c>
      <c r="J4608" s="14">
        <v>0</v>
      </c>
      <c r="K4608" s="14">
        <v>141.37</v>
      </c>
      <c r="L4608" t="s">
        <v>794</v>
      </c>
      <c r="M4608" s="23">
        <f t="shared" si="72"/>
        <v>2026</v>
      </c>
    </row>
    <row r="4609" spans="1:13" ht="12.75" hidden="1" customHeight="1">
      <c r="A4609" t="s">
        <v>1470</v>
      </c>
      <c r="B4609" t="s">
        <v>359</v>
      </c>
      <c r="C4609" t="s">
        <v>360</v>
      </c>
      <c r="D4609" t="s">
        <v>1445</v>
      </c>
      <c r="E4609" s="17">
        <v>46100</v>
      </c>
      <c r="F4609" s="17">
        <v>46100</v>
      </c>
      <c r="G4609" s="13">
        <v>157.80000000000001</v>
      </c>
      <c r="H4609" s="14">
        <v>0</v>
      </c>
      <c r="I4609" s="14">
        <v>0</v>
      </c>
      <c r="J4609" s="14">
        <v>0</v>
      </c>
      <c r="K4609" s="14">
        <v>157.80000000000001</v>
      </c>
      <c r="L4609" t="s">
        <v>794</v>
      </c>
      <c r="M4609" s="23">
        <f t="shared" si="72"/>
        <v>2026</v>
      </c>
    </row>
    <row r="4610" spans="1:13" ht="12.75" hidden="1" customHeight="1">
      <c r="A4610" t="s">
        <v>801</v>
      </c>
      <c r="B4610" t="s">
        <v>13</v>
      </c>
      <c r="C4610" t="s">
        <v>726</v>
      </c>
      <c r="D4610" t="s">
        <v>1445</v>
      </c>
      <c r="E4610" s="17">
        <v>46101</v>
      </c>
      <c r="F4610" s="17">
        <v>46101</v>
      </c>
      <c r="G4610" s="13">
        <v>4.38</v>
      </c>
      <c r="H4610" s="14">
        <v>0</v>
      </c>
      <c r="I4610" s="14">
        <v>0</v>
      </c>
      <c r="J4610" s="14">
        <v>0</v>
      </c>
      <c r="K4610" s="14">
        <v>4.38</v>
      </c>
      <c r="L4610" t="s">
        <v>794</v>
      </c>
      <c r="M4610" s="23">
        <f t="shared" si="72"/>
        <v>2026</v>
      </c>
    </row>
    <row r="4611" spans="1:13" ht="12.75" hidden="1" customHeight="1">
      <c r="A4611" t="s">
        <v>1167</v>
      </c>
      <c r="B4611" t="s">
        <v>47</v>
      </c>
      <c r="C4611" t="s">
        <v>733</v>
      </c>
      <c r="D4611" t="s">
        <v>1445</v>
      </c>
      <c r="E4611" s="17">
        <v>46101</v>
      </c>
      <c r="F4611" s="17">
        <v>46101</v>
      </c>
      <c r="G4611" s="13">
        <v>11.83</v>
      </c>
      <c r="H4611" s="14">
        <v>0</v>
      </c>
      <c r="I4611" s="14">
        <v>0</v>
      </c>
      <c r="J4611" s="14">
        <v>0</v>
      </c>
      <c r="K4611" s="14">
        <v>11.83</v>
      </c>
      <c r="L4611" t="s">
        <v>794</v>
      </c>
      <c r="M4611" s="23">
        <f t="shared" si="72"/>
        <v>2026</v>
      </c>
    </row>
    <row r="4612" spans="1:13" ht="12.75" hidden="1" customHeight="1">
      <c r="A4612" t="s">
        <v>1471</v>
      </c>
      <c r="B4612" t="s">
        <v>569</v>
      </c>
      <c r="C4612" t="s">
        <v>452</v>
      </c>
      <c r="D4612" t="s">
        <v>1445</v>
      </c>
      <c r="E4612" s="17">
        <v>46101</v>
      </c>
      <c r="F4612" s="17">
        <v>46101</v>
      </c>
      <c r="G4612" s="13">
        <v>70</v>
      </c>
      <c r="H4612" s="14">
        <v>0</v>
      </c>
      <c r="I4612" s="14">
        <v>0</v>
      </c>
      <c r="J4612" s="14">
        <v>0</v>
      </c>
      <c r="K4612" s="14">
        <v>70</v>
      </c>
      <c r="L4612" t="s">
        <v>794</v>
      </c>
      <c r="M4612" s="23">
        <f t="shared" si="72"/>
        <v>2026</v>
      </c>
    </row>
    <row r="4613" spans="1:13" ht="12.75" hidden="1" customHeight="1">
      <c r="A4613" t="s">
        <v>1472</v>
      </c>
      <c r="B4613" t="s">
        <v>386</v>
      </c>
      <c r="C4613" t="s">
        <v>387</v>
      </c>
      <c r="D4613" t="s">
        <v>1378</v>
      </c>
      <c r="E4613" s="17">
        <v>46063</v>
      </c>
      <c r="F4613" s="17">
        <v>46101</v>
      </c>
      <c r="G4613" s="13">
        <v>564.4</v>
      </c>
      <c r="H4613" s="14">
        <v>0</v>
      </c>
      <c r="I4613" s="14">
        <v>0</v>
      </c>
      <c r="J4613" s="14">
        <v>0</v>
      </c>
      <c r="K4613" s="14">
        <v>564.4</v>
      </c>
      <c r="L4613" t="s">
        <v>794</v>
      </c>
      <c r="M4613" s="23">
        <f t="shared" si="72"/>
        <v>2026</v>
      </c>
    </row>
    <row r="4614" spans="1:13" ht="12.75" hidden="1" customHeight="1">
      <c r="A4614" t="s">
        <v>814</v>
      </c>
      <c r="B4614" t="s">
        <v>56</v>
      </c>
      <c r="C4614" t="s">
        <v>732</v>
      </c>
      <c r="D4614" t="s">
        <v>1445</v>
      </c>
      <c r="E4614" s="17">
        <v>46101</v>
      </c>
      <c r="F4614" s="17">
        <v>46101</v>
      </c>
      <c r="G4614" s="13">
        <v>1125.5899999999999</v>
      </c>
      <c r="H4614" s="14">
        <v>0</v>
      </c>
      <c r="I4614" s="14">
        <v>0</v>
      </c>
      <c r="J4614" s="14">
        <v>0</v>
      </c>
      <c r="K4614" s="14">
        <v>1125.5899999999999</v>
      </c>
      <c r="L4614" t="s">
        <v>794</v>
      </c>
      <c r="M4614" s="23">
        <f t="shared" si="72"/>
        <v>2026</v>
      </c>
    </row>
    <row r="4615" spans="1:13" ht="12.75" hidden="1" customHeight="1">
      <c r="A4615" t="s">
        <v>814</v>
      </c>
      <c r="B4615" t="s">
        <v>56</v>
      </c>
      <c r="C4615" t="s">
        <v>204</v>
      </c>
      <c r="D4615" t="s">
        <v>1445</v>
      </c>
      <c r="E4615" s="17">
        <v>46101</v>
      </c>
      <c r="F4615" s="17">
        <v>46101</v>
      </c>
      <c r="G4615" s="13">
        <v>1488.59</v>
      </c>
      <c r="H4615" s="14">
        <v>0</v>
      </c>
      <c r="I4615" s="14">
        <v>0</v>
      </c>
      <c r="J4615" s="14">
        <v>0</v>
      </c>
      <c r="K4615" s="14">
        <v>1488.59</v>
      </c>
      <c r="L4615" t="s">
        <v>794</v>
      </c>
      <c r="M4615" s="23">
        <f t="shared" si="72"/>
        <v>2026</v>
      </c>
    </row>
    <row r="4616" spans="1:13" ht="12.75" hidden="1" customHeight="1">
      <c r="A4616" t="s">
        <v>839</v>
      </c>
      <c r="B4616" t="s">
        <v>44</v>
      </c>
      <c r="C4616" t="s">
        <v>722</v>
      </c>
      <c r="D4616" t="s">
        <v>1445</v>
      </c>
      <c r="E4616" s="17">
        <v>46101</v>
      </c>
      <c r="F4616" s="17">
        <v>46101</v>
      </c>
      <c r="G4616" s="13">
        <v>1055.17</v>
      </c>
      <c r="H4616" s="14">
        <v>0</v>
      </c>
      <c r="I4616" s="14">
        <v>0</v>
      </c>
      <c r="J4616" s="14">
        <v>0</v>
      </c>
      <c r="K4616" s="14">
        <v>1055.17</v>
      </c>
      <c r="L4616" t="s">
        <v>794</v>
      </c>
      <c r="M4616" s="23">
        <f t="shared" si="72"/>
        <v>2026</v>
      </c>
    </row>
    <row r="4617" spans="1:13" ht="12.75" hidden="1" customHeight="1">
      <c r="A4617" t="s">
        <v>839</v>
      </c>
      <c r="B4617" t="s">
        <v>44</v>
      </c>
      <c r="C4617" t="s">
        <v>722</v>
      </c>
      <c r="D4617" t="s">
        <v>1445</v>
      </c>
      <c r="E4617" s="17">
        <v>46101</v>
      </c>
      <c r="F4617" s="17">
        <v>46101</v>
      </c>
      <c r="G4617" s="13">
        <v>791.23</v>
      </c>
      <c r="H4617" s="14">
        <v>0</v>
      </c>
      <c r="I4617" s="14">
        <v>0</v>
      </c>
      <c r="J4617" s="14">
        <v>0</v>
      </c>
      <c r="K4617" s="14">
        <v>791.23</v>
      </c>
      <c r="L4617" t="s">
        <v>794</v>
      </c>
      <c r="M4617" s="23">
        <f t="shared" si="72"/>
        <v>2026</v>
      </c>
    </row>
    <row r="4618" spans="1:13" ht="12.75" hidden="1" customHeight="1">
      <c r="A4618" t="s">
        <v>1223</v>
      </c>
      <c r="B4618" t="s">
        <v>1224</v>
      </c>
      <c r="C4618" t="s">
        <v>725</v>
      </c>
      <c r="D4618" t="s">
        <v>1445</v>
      </c>
      <c r="E4618" s="17">
        <v>46100</v>
      </c>
      <c r="F4618" s="17">
        <v>46101</v>
      </c>
      <c r="G4618" s="13">
        <v>3143.38</v>
      </c>
      <c r="H4618" s="14">
        <v>0</v>
      </c>
      <c r="I4618" s="14">
        <v>0</v>
      </c>
      <c r="J4618" s="14">
        <v>0</v>
      </c>
      <c r="K4618" s="14">
        <v>3179.78</v>
      </c>
      <c r="L4618" t="s">
        <v>794</v>
      </c>
      <c r="M4618" s="23">
        <f t="shared" si="72"/>
        <v>2026</v>
      </c>
    </row>
    <row r="4619" spans="1:13" ht="12.75" hidden="1" customHeight="1">
      <c r="A4619" t="s">
        <v>1210</v>
      </c>
      <c r="B4619" t="s">
        <v>22</v>
      </c>
      <c r="C4619" t="s">
        <v>717</v>
      </c>
      <c r="D4619" t="s">
        <v>1445</v>
      </c>
      <c r="E4619" s="17">
        <v>46101</v>
      </c>
      <c r="F4619" s="17">
        <v>46101</v>
      </c>
      <c r="G4619" s="13">
        <v>10346.719999999999</v>
      </c>
      <c r="H4619" s="14">
        <v>0</v>
      </c>
      <c r="I4619" s="14">
        <v>0</v>
      </c>
      <c r="J4619" s="14">
        <v>0</v>
      </c>
      <c r="K4619" s="14">
        <v>10346.719999999999</v>
      </c>
      <c r="L4619" t="s">
        <v>794</v>
      </c>
      <c r="M4619" s="23">
        <f t="shared" si="72"/>
        <v>2026</v>
      </c>
    </row>
    <row r="4620" spans="1:13" ht="12.75" hidden="1" customHeight="1">
      <c r="A4620" t="s">
        <v>981</v>
      </c>
      <c r="B4620" t="s">
        <v>55</v>
      </c>
      <c r="C4620" t="s">
        <v>99</v>
      </c>
      <c r="D4620" t="s">
        <v>1445</v>
      </c>
      <c r="E4620" s="17">
        <v>46101</v>
      </c>
      <c r="F4620" s="17">
        <v>46101</v>
      </c>
      <c r="G4620" s="13">
        <v>105</v>
      </c>
      <c r="H4620" s="14">
        <v>0</v>
      </c>
      <c r="I4620" s="14">
        <v>0</v>
      </c>
      <c r="J4620" s="14">
        <v>0</v>
      </c>
      <c r="K4620" s="14">
        <v>105</v>
      </c>
      <c r="L4620" t="s">
        <v>794</v>
      </c>
      <c r="M4620" s="23">
        <f t="shared" si="72"/>
        <v>2026</v>
      </c>
    </row>
    <row r="4621" spans="1:13" ht="12.75" hidden="1" customHeight="1">
      <c r="A4621" t="s">
        <v>1166</v>
      </c>
      <c r="B4621" t="s">
        <v>274</v>
      </c>
      <c r="C4621" t="s">
        <v>470</v>
      </c>
      <c r="D4621" t="s">
        <v>1445</v>
      </c>
      <c r="E4621" s="17">
        <v>46104</v>
      </c>
      <c r="F4621" s="17">
        <v>46101</v>
      </c>
      <c r="G4621" s="13">
        <v>107.47</v>
      </c>
      <c r="H4621" s="14">
        <v>0</v>
      </c>
      <c r="I4621" s="14">
        <v>0</v>
      </c>
      <c r="J4621" s="14">
        <v>0</v>
      </c>
      <c r="K4621" s="14">
        <v>107.47</v>
      </c>
      <c r="L4621" t="s">
        <v>794</v>
      </c>
      <c r="M4621" s="23">
        <f t="shared" si="72"/>
        <v>2026</v>
      </c>
    </row>
    <row r="4622" spans="1:13" ht="12.75" hidden="1" customHeight="1">
      <c r="A4622" t="s">
        <v>797</v>
      </c>
      <c r="B4622" t="s">
        <v>25</v>
      </c>
      <c r="C4622" t="s">
        <v>206</v>
      </c>
      <c r="D4622" t="s">
        <v>1445</v>
      </c>
      <c r="E4622" s="17">
        <v>46101</v>
      </c>
      <c r="F4622" s="17">
        <v>46101</v>
      </c>
      <c r="G4622" s="13">
        <v>2652</v>
      </c>
      <c r="H4622" s="14">
        <v>0</v>
      </c>
      <c r="I4622" s="14">
        <v>0</v>
      </c>
      <c r="J4622" s="14">
        <v>0</v>
      </c>
      <c r="K4622" s="14">
        <v>2652</v>
      </c>
      <c r="L4622" t="s">
        <v>794</v>
      </c>
      <c r="M4622" s="23">
        <f t="shared" si="72"/>
        <v>2026</v>
      </c>
    </row>
    <row r="4623" spans="1:13" ht="12.75" hidden="1" customHeight="1">
      <c r="A4623" t="s">
        <v>797</v>
      </c>
      <c r="B4623" t="s">
        <v>25</v>
      </c>
      <c r="C4623" t="s">
        <v>206</v>
      </c>
      <c r="D4623" t="s">
        <v>1445</v>
      </c>
      <c r="E4623" s="17">
        <v>46101</v>
      </c>
      <c r="F4623" s="17">
        <v>46101</v>
      </c>
      <c r="G4623" s="13">
        <v>885</v>
      </c>
      <c r="H4623" s="14">
        <v>0</v>
      </c>
      <c r="I4623" s="14">
        <v>0</v>
      </c>
      <c r="J4623" s="14">
        <v>0</v>
      </c>
      <c r="K4623" s="14">
        <v>885</v>
      </c>
      <c r="L4623" t="s">
        <v>794</v>
      </c>
      <c r="M4623" s="23">
        <f t="shared" si="72"/>
        <v>2026</v>
      </c>
    </row>
    <row r="4624" spans="1:13" ht="12.75" hidden="1" customHeight="1">
      <c r="A4624" t="s">
        <v>792</v>
      </c>
      <c r="B4624" t="s">
        <v>35</v>
      </c>
      <c r="C4624" t="s">
        <v>206</v>
      </c>
      <c r="D4624" t="s">
        <v>1445</v>
      </c>
      <c r="E4624" s="17">
        <v>46101</v>
      </c>
      <c r="F4624" s="17">
        <v>46101</v>
      </c>
      <c r="G4624" s="13">
        <v>295</v>
      </c>
      <c r="H4624" s="14">
        <v>0</v>
      </c>
      <c r="I4624" s="14">
        <v>0</v>
      </c>
      <c r="J4624" s="14">
        <v>0</v>
      </c>
      <c r="K4624" s="14">
        <v>295</v>
      </c>
      <c r="L4624" t="s">
        <v>794</v>
      </c>
      <c r="M4624" s="23">
        <f t="shared" si="72"/>
        <v>2026</v>
      </c>
    </row>
    <row r="4625" spans="1:13" ht="12.75" hidden="1" customHeight="1">
      <c r="A4625" t="s">
        <v>792</v>
      </c>
      <c r="B4625" t="s">
        <v>35</v>
      </c>
      <c r="C4625" t="s">
        <v>206</v>
      </c>
      <c r="D4625" t="s">
        <v>1445</v>
      </c>
      <c r="E4625" s="17">
        <v>46101</v>
      </c>
      <c r="F4625" s="17">
        <v>46101</v>
      </c>
      <c r="G4625" s="13">
        <v>663</v>
      </c>
      <c r="H4625" s="14">
        <v>0</v>
      </c>
      <c r="I4625" s="14">
        <v>0</v>
      </c>
      <c r="J4625" s="14">
        <v>0</v>
      </c>
      <c r="K4625" s="14">
        <v>663</v>
      </c>
      <c r="L4625" t="s">
        <v>794</v>
      </c>
      <c r="M4625" s="23">
        <f t="shared" si="72"/>
        <v>2026</v>
      </c>
    </row>
    <row r="4626" spans="1:13" ht="12.75" hidden="1" customHeight="1">
      <c r="A4626" t="s">
        <v>1459</v>
      </c>
      <c r="B4626" t="s">
        <v>269</v>
      </c>
      <c r="C4626" t="s">
        <v>270</v>
      </c>
      <c r="D4626" t="s">
        <v>1445</v>
      </c>
      <c r="E4626" s="17">
        <v>46101</v>
      </c>
      <c r="F4626" s="17">
        <v>46101</v>
      </c>
      <c r="G4626" s="13">
        <v>70</v>
      </c>
      <c r="H4626" s="14">
        <v>0</v>
      </c>
      <c r="I4626" s="14">
        <v>0</v>
      </c>
      <c r="J4626" s="14">
        <v>0</v>
      </c>
      <c r="K4626" s="14">
        <v>70</v>
      </c>
      <c r="L4626" t="s">
        <v>794</v>
      </c>
      <c r="M4626" s="23">
        <f t="shared" si="72"/>
        <v>2026</v>
      </c>
    </row>
    <row r="4627" spans="1:13" ht="12.75" hidden="1" customHeight="1">
      <c r="A4627" t="s">
        <v>905</v>
      </c>
      <c r="B4627" t="s">
        <v>15</v>
      </c>
      <c r="C4627" t="s">
        <v>715</v>
      </c>
      <c r="D4627" t="s">
        <v>1445</v>
      </c>
      <c r="E4627" s="17">
        <v>46101</v>
      </c>
      <c r="F4627" s="17">
        <v>46101</v>
      </c>
      <c r="G4627" s="13">
        <v>18963.55</v>
      </c>
      <c r="H4627" s="14">
        <v>0</v>
      </c>
      <c r="I4627" s="14">
        <v>0</v>
      </c>
      <c r="J4627" s="14">
        <v>0</v>
      </c>
      <c r="K4627" s="14">
        <v>18963.55</v>
      </c>
      <c r="L4627" t="s">
        <v>794</v>
      </c>
      <c r="M4627" s="23">
        <f t="shared" si="72"/>
        <v>2026</v>
      </c>
    </row>
    <row r="4628" spans="1:13" ht="12.75" hidden="1" customHeight="1">
      <c r="A4628" t="s">
        <v>1072</v>
      </c>
      <c r="B4628" t="s">
        <v>65</v>
      </c>
      <c r="C4628" t="s">
        <v>756</v>
      </c>
      <c r="D4628" t="s">
        <v>1445</v>
      </c>
      <c r="E4628" s="17">
        <v>46101</v>
      </c>
      <c r="F4628" s="17">
        <v>46101</v>
      </c>
      <c r="G4628" s="13">
        <v>80.02</v>
      </c>
      <c r="H4628" s="14">
        <v>0</v>
      </c>
      <c r="I4628" s="14">
        <v>0</v>
      </c>
      <c r="J4628" s="14">
        <v>0</v>
      </c>
      <c r="K4628" s="14">
        <v>80.02</v>
      </c>
      <c r="L4628" t="s">
        <v>794</v>
      </c>
      <c r="M4628" s="23">
        <f t="shared" si="72"/>
        <v>2026</v>
      </c>
    </row>
    <row r="4629" spans="1:13" ht="12.75" hidden="1" customHeight="1">
      <c r="A4629" t="s">
        <v>1072</v>
      </c>
      <c r="B4629" t="s">
        <v>65</v>
      </c>
      <c r="C4629" t="s">
        <v>727</v>
      </c>
      <c r="D4629" t="s">
        <v>1445</v>
      </c>
      <c r="E4629" s="17">
        <v>46101</v>
      </c>
      <c r="F4629" s="17">
        <v>46101</v>
      </c>
      <c r="G4629" s="13">
        <v>2531.11</v>
      </c>
      <c r="H4629" s="14">
        <v>0</v>
      </c>
      <c r="I4629" s="14">
        <v>0</v>
      </c>
      <c r="J4629" s="14">
        <v>0</v>
      </c>
      <c r="K4629" s="14">
        <v>2531.11</v>
      </c>
      <c r="L4629" t="s">
        <v>794</v>
      </c>
      <c r="M4629" s="23">
        <f t="shared" si="72"/>
        <v>2026</v>
      </c>
    </row>
    <row r="4630" spans="1:13" ht="12.75" hidden="1" customHeight="1">
      <c r="A4630" t="s">
        <v>914</v>
      </c>
      <c r="B4630" t="s">
        <v>28</v>
      </c>
      <c r="C4630" t="s">
        <v>724</v>
      </c>
      <c r="D4630" t="s">
        <v>1445</v>
      </c>
      <c r="E4630" s="17">
        <v>46101</v>
      </c>
      <c r="F4630" s="17">
        <v>46101</v>
      </c>
      <c r="G4630" s="13">
        <v>1443.3700000000001</v>
      </c>
      <c r="H4630" s="14">
        <v>0</v>
      </c>
      <c r="I4630" s="14">
        <v>0</v>
      </c>
      <c r="J4630" s="14">
        <v>0</v>
      </c>
      <c r="K4630" s="14">
        <v>1443.3700000000001</v>
      </c>
      <c r="L4630" t="s">
        <v>794</v>
      </c>
      <c r="M4630" s="23">
        <f t="shared" si="72"/>
        <v>2026</v>
      </c>
    </row>
    <row r="4631" spans="1:13" ht="12.75" hidden="1" customHeight="1">
      <c r="A4631" t="s">
        <v>914</v>
      </c>
      <c r="B4631" t="s">
        <v>28</v>
      </c>
      <c r="C4631" t="s">
        <v>724</v>
      </c>
      <c r="D4631" t="s">
        <v>1445</v>
      </c>
      <c r="E4631" s="17">
        <v>46101</v>
      </c>
      <c r="F4631" s="17">
        <v>46101</v>
      </c>
      <c r="G4631" s="13">
        <v>3143.38</v>
      </c>
      <c r="H4631" s="14">
        <v>0</v>
      </c>
      <c r="I4631" s="14">
        <v>0</v>
      </c>
      <c r="J4631" s="14">
        <v>0</v>
      </c>
      <c r="K4631" s="14">
        <v>3143.38</v>
      </c>
      <c r="L4631" t="s">
        <v>794</v>
      </c>
      <c r="M4631" s="23">
        <f t="shared" si="72"/>
        <v>2026</v>
      </c>
    </row>
    <row r="4632" spans="1:13" ht="12.75" hidden="1" customHeight="1">
      <c r="A4632" t="s">
        <v>1436</v>
      </c>
      <c r="B4632" t="s">
        <v>98</v>
      </c>
      <c r="C4632" t="s">
        <v>99</v>
      </c>
      <c r="D4632" t="s">
        <v>1445</v>
      </c>
      <c r="E4632" s="17">
        <v>46101</v>
      </c>
      <c r="F4632" s="17">
        <v>46101</v>
      </c>
      <c r="G4632" s="13">
        <v>2964.29</v>
      </c>
      <c r="H4632" s="14">
        <v>0</v>
      </c>
      <c r="I4632" s="14">
        <v>0</v>
      </c>
      <c r="J4632" s="14">
        <v>0</v>
      </c>
      <c r="K4632" s="14">
        <v>2964.29</v>
      </c>
      <c r="L4632" t="s">
        <v>843</v>
      </c>
      <c r="M4632" s="23">
        <f t="shared" si="72"/>
        <v>2026</v>
      </c>
    </row>
    <row r="4633" spans="1:13" ht="12.75" hidden="1" customHeight="1">
      <c r="A4633" t="s">
        <v>801</v>
      </c>
      <c r="B4633" t="s">
        <v>13</v>
      </c>
      <c r="C4633" t="s">
        <v>726</v>
      </c>
      <c r="D4633" t="s">
        <v>1445</v>
      </c>
      <c r="E4633" s="17">
        <v>46104</v>
      </c>
      <c r="F4633" s="17">
        <v>46104</v>
      </c>
      <c r="G4633" s="13">
        <v>6.57</v>
      </c>
      <c r="H4633" s="14">
        <v>0</v>
      </c>
      <c r="I4633" s="14">
        <v>0</v>
      </c>
      <c r="J4633" s="14">
        <v>0</v>
      </c>
      <c r="K4633" s="14">
        <v>6.57</v>
      </c>
      <c r="L4633" t="s">
        <v>794</v>
      </c>
      <c r="M4633" s="23">
        <f t="shared" si="72"/>
        <v>2026</v>
      </c>
    </row>
    <row r="4634" spans="1:13" ht="12.75" hidden="1" customHeight="1">
      <c r="A4634" t="s">
        <v>1459</v>
      </c>
      <c r="B4634" t="s">
        <v>269</v>
      </c>
      <c r="C4634" t="s">
        <v>270</v>
      </c>
      <c r="D4634" t="s">
        <v>1445</v>
      </c>
      <c r="E4634" s="17">
        <v>46104</v>
      </c>
      <c r="F4634" s="17">
        <v>46104</v>
      </c>
      <c r="G4634" s="13">
        <v>30</v>
      </c>
      <c r="H4634" s="14">
        <v>0</v>
      </c>
      <c r="I4634" s="14">
        <v>0</v>
      </c>
      <c r="J4634" s="14">
        <v>0</v>
      </c>
      <c r="K4634" s="14">
        <v>30</v>
      </c>
      <c r="L4634" t="s">
        <v>794</v>
      </c>
      <c r="M4634" s="23">
        <f t="shared" si="72"/>
        <v>2026</v>
      </c>
    </row>
    <row r="4635" spans="1:13" ht="12.75" hidden="1" customHeight="1">
      <c r="A4635" t="s">
        <v>803</v>
      </c>
      <c r="B4635" t="s">
        <v>125</v>
      </c>
      <c r="C4635" t="s">
        <v>204</v>
      </c>
      <c r="D4635" t="s">
        <v>1445</v>
      </c>
      <c r="E4635" s="17">
        <v>46104</v>
      </c>
      <c r="F4635" s="17">
        <v>46104</v>
      </c>
      <c r="G4635" s="13">
        <v>4000</v>
      </c>
      <c r="H4635" s="14">
        <v>0</v>
      </c>
      <c r="I4635" s="14">
        <v>0</v>
      </c>
      <c r="J4635" s="14">
        <v>0</v>
      </c>
      <c r="K4635" s="14">
        <v>4000</v>
      </c>
      <c r="L4635" t="s">
        <v>794</v>
      </c>
      <c r="M4635" s="23">
        <f t="shared" ref="M4635:M4698" si="73">YEAR(F4635)</f>
        <v>2026</v>
      </c>
    </row>
    <row r="4636" spans="1:13" ht="12.75" hidden="1" customHeight="1">
      <c r="A4636" t="s">
        <v>1473</v>
      </c>
      <c r="B4636" t="s">
        <v>272</v>
      </c>
      <c r="C4636" t="s">
        <v>183</v>
      </c>
      <c r="D4636" t="s">
        <v>1445</v>
      </c>
      <c r="E4636" s="17">
        <v>46104</v>
      </c>
      <c r="F4636" s="17">
        <v>46104</v>
      </c>
      <c r="G4636" s="13">
        <v>1621.49</v>
      </c>
      <c r="H4636" s="14">
        <v>0</v>
      </c>
      <c r="I4636" s="14">
        <v>0</v>
      </c>
      <c r="J4636" s="14">
        <v>0</v>
      </c>
      <c r="K4636" s="14">
        <v>1621.49</v>
      </c>
      <c r="L4636" t="s">
        <v>794</v>
      </c>
      <c r="M4636" s="23">
        <f t="shared" si="73"/>
        <v>2026</v>
      </c>
    </row>
    <row r="4637" spans="1:13" ht="12.75" hidden="1" customHeight="1">
      <c r="A4637" t="s">
        <v>1134</v>
      </c>
      <c r="B4637" t="s">
        <v>33</v>
      </c>
      <c r="C4637" t="s">
        <v>760</v>
      </c>
      <c r="D4637" t="s">
        <v>1445</v>
      </c>
      <c r="E4637" s="17">
        <v>46104</v>
      </c>
      <c r="F4637" s="17">
        <v>46104</v>
      </c>
      <c r="G4637" s="13">
        <v>37.67</v>
      </c>
      <c r="H4637" s="14">
        <v>0</v>
      </c>
      <c r="I4637" s="14">
        <v>0</v>
      </c>
      <c r="J4637" s="14">
        <v>0</v>
      </c>
      <c r="K4637" s="14">
        <v>37.67</v>
      </c>
      <c r="L4637" t="s">
        <v>794</v>
      </c>
      <c r="M4637" s="23">
        <f t="shared" si="73"/>
        <v>2026</v>
      </c>
    </row>
    <row r="4638" spans="1:13" ht="12.75" hidden="1" customHeight="1">
      <c r="A4638" t="s">
        <v>801</v>
      </c>
      <c r="B4638" t="s">
        <v>13</v>
      </c>
      <c r="C4638" t="s">
        <v>726</v>
      </c>
      <c r="D4638" t="s">
        <v>1445</v>
      </c>
      <c r="E4638" s="17">
        <v>46104</v>
      </c>
      <c r="F4638" s="17">
        <v>46104</v>
      </c>
      <c r="G4638" s="13">
        <v>2.19</v>
      </c>
      <c r="H4638" s="14">
        <v>0</v>
      </c>
      <c r="I4638" s="14">
        <v>0</v>
      </c>
      <c r="J4638" s="14">
        <v>0</v>
      </c>
      <c r="K4638" s="14">
        <v>2.19</v>
      </c>
      <c r="L4638" t="s">
        <v>794</v>
      </c>
      <c r="M4638" s="23">
        <f t="shared" si="73"/>
        <v>2026</v>
      </c>
    </row>
    <row r="4639" spans="1:13" ht="12.75" hidden="1" customHeight="1">
      <c r="A4639" t="s">
        <v>1459</v>
      </c>
      <c r="B4639" t="s">
        <v>269</v>
      </c>
      <c r="C4639" t="s">
        <v>270</v>
      </c>
      <c r="D4639" t="s">
        <v>1445</v>
      </c>
      <c r="E4639" s="17">
        <v>46104</v>
      </c>
      <c r="F4639" s="17">
        <v>46104</v>
      </c>
      <c r="G4639" s="13">
        <v>70</v>
      </c>
      <c r="H4639" s="14">
        <v>0</v>
      </c>
      <c r="I4639" s="14">
        <v>0</v>
      </c>
      <c r="J4639" s="14">
        <v>0</v>
      </c>
      <c r="K4639" s="14">
        <v>70</v>
      </c>
      <c r="L4639" t="s">
        <v>794</v>
      </c>
      <c r="M4639" s="23">
        <f t="shared" si="73"/>
        <v>2026</v>
      </c>
    </row>
    <row r="4640" spans="1:13" ht="12.75" hidden="1" customHeight="1">
      <c r="A4640" t="s">
        <v>961</v>
      </c>
      <c r="B4640" t="s">
        <v>41</v>
      </c>
      <c r="C4640" t="s">
        <v>470</v>
      </c>
      <c r="D4640" t="s">
        <v>1445</v>
      </c>
      <c r="E4640" s="17">
        <v>46104</v>
      </c>
      <c r="F4640" s="17">
        <v>46104</v>
      </c>
      <c r="G4640" s="13">
        <v>28.05</v>
      </c>
      <c r="H4640" s="14">
        <v>0</v>
      </c>
      <c r="I4640" s="14">
        <v>0</v>
      </c>
      <c r="J4640" s="14">
        <v>0</v>
      </c>
      <c r="K4640" s="14">
        <v>28.05</v>
      </c>
      <c r="L4640" t="s">
        <v>794</v>
      </c>
      <c r="M4640" s="23">
        <f t="shared" si="73"/>
        <v>2026</v>
      </c>
    </row>
    <row r="4641" spans="1:13" ht="12.75" hidden="1" customHeight="1">
      <c r="A4641" t="s">
        <v>1459</v>
      </c>
      <c r="B4641" t="s">
        <v>269</v>
      </c>
      <c r="C4641" t="s">
        <v>270</v>
      </c>
      <c r="D4641" t="s">
        <v>1445</v>
      </c>
      <c r="E4641" s="17">
        <v>46104</v>
      </c>
      <c r="F4641" s="17">
        <v>46105</v>
      </c>
      <c r="G4641" s="13">
        <v>70</v>
      </c>
      <c r="H4641" s="14">
        <v>0</v>
      </c>
      <c r="I4641" s="14">
        <v>0</v>
      </c>
      <c r="J4641" s="14">
        <v>0</v>
      </c>
      <c r="K4641" s="14">
        <v>70</v>
      </c>
      <c r="L4641" t="s">
        <v>794</v>
      </c>
      <c r="M4641" s="23">
        <f t="shared" si="73"/>
        <v>2026</v>
      </c>
    </row>
    <row r="4642" spans="1:13" ht="12.75" hidden="1" customHeight="1">
      <c r="A4642" t="s">
        <v>894</v>
      </c>
      <c r="B4642" t="s">
        <v>50</v>
      </c>
      <c r="C4642" t="s">
        <v>152</v>
      </c>
      <c r="D4642" t="s">
        <v>1445</v>
      </c>
      <c r="E4642" s="17">
        <v>46106</v>
      </c>
      <c r="F4642" s="17">
        <v>46106</v>
      </c>
      <c r="G4642" s="13">
        <v>500</v>
      </c>
      <c r="H4642" s="14">
        <v>0</v>
      </c>
      <c r="I4642" s="14">
        <v>0</v>
      </c>
      <c r="J4642" s="14">
        <v>0</v>
      </c>
      <c r="K4642" s="14">
        <v>500</v>
      </c>
      <c r="L4642" t="s">
        <v>794</v>
      </c>
      <c r="M4642" s="23">
        <f t="shared" si="73"/>
        <v>2026</v>
      </c>
    </row>
    <row r="4643" spans="1:13" ht="12.75" hidden="1" customHeight="1">
      <c r="A4643" t="s">
        <v>895</v>
      </c>
      <c r="B4643" t="s">
        <v>155</v>
      </c>
      <c r="C4643" t="s">
        <v>384</v>
      </c>
      <c r="D4643" t="s">
        <v>1445</v>
      </c>
      <c r="E4643" s="17">
        <v>46106</v>
      </c>
      <c r="F4643" s="17">
        <v>46106</v>
      </c>
      <c r="G4643" s="13">
        <v>390</v>
      </c>
      <c r="H4643" s="14">
        <v>0</v>
      </c>
      <c r="I4643" s="14">
        <v>0</v>
      </c>
      <c r="J4643" s="14">
        <v>0</v>
      </c>
      <c r="K4643" s="14">
        <v>390</v>
      </c>
      <c r="L4643" t="s">
        <v>794</v>
      </c>
      <c r="M4643" s="23">
        <f t="shared" si="73"/>
        <v>2026</v>
      </c>
    </row>
    <row r="4644" spans="1:13" ht="12.75" hidden="1" customHeight="1">
      <c r="A4644" t="s">
        <v>935</v>
      </c>
      <c r="B4644" t="s">
        <v>158</v>
      </c>
      <c r="C4644" t="s">
        <v>741</v>
      </c>
      <c r="D4644" t="s">
        <v>1445</v>
      </c>
      <c r="E4644" s="17">
        <v>46106</v>
      </c>
      <c r="F4644" s="17">
        <v>46106</v>
      </c>
      <c r="G4644" s="13">
        <v>370</v>
      </c>
      <c r="H4644" s="14">
        <v>0</v>
      </c>
      <c r="I4644" s="14">
        <v>0</v>
      </c>
      <c r="J4644" s="14">
        <v>0</v>
      </c>
      <c r="K4644" s="14">
        <v>370</v>
      </c>
      <c r="L4644" t="s">
        <v>794</v>
      </c>
      <c r="M4644" s="23">
        <f t="shared" si="73"/>
        <v>2026</v>
      </c>
    </row>
    <row r="4645" spans="1:13" ht="12.75" hidden="1" customHeight="1">
      <c r="A4645" t="s">
        <v>1305</v>
      </c>
      <c r="B4645" t="s">
        <v>96</v>
      </c>
      <c r="C4645" t="s">
        <v>737</v>
      </c>
      <c r="D4645" t="s">
        <v>1445</v>
      </c>
      <c r="E4645" s="17">
        <v>46106</v>
      </c>
      <c r="F4645" s="17">
        <v>46106</v>
      </c>
      <c r="G4645" s="13">
        <v>1498.68</v>
      </c>
      <c r="H4645" s="14">
        <v>0</v>
      </c>
      <c r="I4645" s="14">
        <v>0</v>
      </c>
      <c r="J4645" s="14">
        <v>0</v>
      </c>
      <c r="K4645" s="14">
        <v>1498.68</v>
      </c>
      <c r="L4645" t="s">
        <v>794</v>
      </c>
      <c r="M4645" s="23">
        <f t="shared" si="73"/>
        <v>2026</v>
      </c>
    </row>
    <row r="4646" spans="1:13" ht="12.75" hidden="1" customHeight="1">
      <c r="A4646" t="s">
        <v>801</v>
      </c>
      <c r="B4646" t="s">
        <v>13</v>
      </c>
      <c r="C4646" t="s">
        <v>726</v>
      </c>
      <c r="D4646" t="s">
        <v>1445</v>
      </c>
      <c r="E4646" s="17">
        <v>46106</v>
      </c>
      <c r="F4646" s="17">
        <v>46106</v>
      </c>
      <c r="G4646" s="13">
        <v>6.57</v>
      </c>
      <c r="H4646" s="14">
        <v>0</v>
      </c>
      <c r="I4646" s="14">
        <v>0</v>
      </c>
      <c r="J4646" s="14">
        <v>0</v>
      </c>
      <c r="K4646" s="14">
        <v>6.57</v>
      </c>
      <c r="L4646" t="s">
        <v>794</v>
      </c>
      <c r="M4646" s="23">
        <f t="shared" si="73"/>
        <v>2026</v>
      </c>
    </row>
    <row r="4647" spans="1:13" ht="12.75" hidden="1" customHeight="1">
      <c r="A4647" t="s">
        <v>1409</v>
      </c>
      <c r="B4647" t="s">
        <v>86</v>
      </c>
      <c r="C4647" t="s">
        <v>270</v>
      </c>
      <c r="D4647" t="s">
        <v>1445</v>
      </c>
      <c r="E4647" s="17">
        <v>46106</v>
      </c>
      <c r="F4647" s="17">
        <v>46106</v>
      </c>
      <c r="G4647" s="13">
        <v>1000</v>
      </c>
      <c r="H4647" s="14">
        <v>0</v>
      </c>
      <c r="I4647" s="14">
        <v>0</v>
      </c>
      <c r="J4647" s="14">
        <v>0</v>
      </c>
      <c r="K4647" s="14">
        <v>1000</v>
      </c>
      <c r="L4647" t="s">
        <v>843</v>
      </c>
      <c r="M4647" s="23">
        <f t="shared" si="73"/>
        <v>2026</v>
      </c>
    </row>
    <row r="4648" spans="1:13" ht="12.75" hidden="1" customHeight="1">
      <c r="A4648" t="s">
        <v>1459</v>
      </c>
      <c r="B4648" t="s">
        <v>269</v>
      </c>
      <c r="C4648" t="s">
        <v>270</v>
      </c>
      <c r="D4648" t="s">
        <v>1445</v>
      </c>
      <c r="E4648" s="17">
        <v>46106</v>
      </c>
      <c r="F4648" s="17">
        <v>46106</v>
      </c>
      <c r="G4648" s="13">
        <v>70</v>
      </c>
      <c r="H4648" s="14">
        <v>0</v>
      </c>
      <c r="I4648" s="14">
        <v>0</v>
      </c>
      <c r="J4648" s="14">
        <v>0</v>
      </c>
      <c r="K4648" s="14">
        <v>70</v>
      </c>
      <c r="L4648" t="s">
        <v>794</v>
      </c>
      <c r="M4648" s="23">
        <f t="shared" si="73"/>
        <v>2026</v>
      </c>
    </row>
    <row r="4649" spans="1:13" ht="12.75" hidden="1" customHeight="1">
      <c r="A4649" t="s">
        <v>801</v>
      </c>
      <c r="B4649" t="s">
        <v>13</v>
      </c>
      <c r="C4649" t="s">
        <v>717</v>
      </c>
      <c r="D4649" t="s">
        <v>1445</v>
      </c>
      <c r="E4649" s="17">
        <v>46107</v>
      </c>
      <c r="F4649" s="17">
        <v>46107</v>
      </c>
      <c r="G4649" s="13">
        <v>194.87</v>
      </c>
      <c r="H4649" s="14">
        <v>0</v>
      </c>
      <c r="I4649" s="14">
        <v>0</v>
      </c>
      <c r="J4649" s="14">
        <v>0</v>
      </c>
      <c r="K4649" s="14">
        <v>194.87</v>
      </c>
      <c r="L4649" t="s">
        <v>794</v>
      </c>
      <c r="M4649" s="23">
        <f t="shared" si="73"/>
        <v>2026</v>
      </c>
    </row>
    <row r="4650" spans="1:13" ht="12.75" hidden="1" customHeight="1">
      <c r="A4650" t="s">
        <v>892</v>
      </c>
      <c r="B4650" t="s">
        <v>110</v>
      </c>
      <c r="C4650" t="s">
        <v>733</v>
      </c>
      <c r="D4650" t="s">
        <v>1445</v>
      </c>
      <c r="E4650" s="17">
        <v>46107</v>
      </c>
      <c r="F4650" s="17">
        <v>46107</v>
      </c>
      <c r="G4650" s="13">
        <v>297</v>
      </c>
      <c r="H4650" s="14">
        <v>0</v>
      </c>
      <c r="I4650" s="14">
        <v>0</v>
      </c>
      <c r="J4650" s="14">
        <v>0</v>
      </c>
      <c r="K4650" s="14">
        <v>297</v>
      </c>
      <c r="L4650" t="s">
        <v>794</v>
      </c>
      <c r="M4650" s="23">
        <f t="shared" si="73"/>
        <v>2026</v>
      </c>
    </row>
    <row r="4651" spans="1:13" ht="12.75" hidden="1" customHeight="1">
      <c r="A4651" t="s">
        <v>801</v>
      </c>
      <c r="B4651" t="s">
        <v>13</v>
      </c>
      <c r="C4651" t="s">
        <v>717</v>
      </c>
      <c r="D4651" t="s">
        <v>1445</v>
      </c>
      <c r="E4651" s="17">
        <v>46107</v>
      </c>
      <c r="F4651" s="17">
        <v>46107</v>
      </c>
      <c r="G4651" s="13">
        <v>338.1</v>
      </c>
      <c r="H4651" s="14">
        <v>0</v>
      </c>
      <c r="I4651" s="14">
        <v>0</v>
      </c>
      <c r="J4651" s="14">
        <v>0</v>
      </c>
      <c r="K4651" s="14">
        <v>338.1</v>
      </c>
      <c r="L4651" t="s">
        <v>794</v>
      </c>
      <c r="M4651" s="23">
        <f t="shared" si="73"/>
        <v>2026</v>
      </c>
    </row>
    <row r="4652" spans="1:13" ht="12.75" hidden="1" customHeight="1">
      <c r="A4652" t="s">
        <v>1166</v>
      </c>
      <c r="B4652" t="s">
        <v>274</v>
      </c>
      <c r="C4652" t="s">
        <v>646</v>
      </c>
      <c r="D4652" t="s">
        <v>1445</v>
      </c>
      <c r="E4652" s="17">
        <v>46107</v>
      </c>
      <c r="F4652" s="17">
        <v>46107</v>
      </c>
      <c r="G4652" s="13">
        <v>129.87</v>
      </c>
      <c r="H4652" s="14">
        <v>0</v>
      </c>
      <c r="I4652" s="14">
        <v>0</v>
      </c>
      <c r="J4652" s="14">
        <v>0</v>
      </c>
      <c r="K4652" s="14">
        <v>129.87</v>
      </c>
      <c r="L4652" t="s">
        <v>794</v>
      </c>
      <c r="M4652" s="23">
        <f t="shared" si="73"/>
        <v>2026</v>
      </c>
    </row>
    <row r="4653" spans="1:13" ht="12.75" hidden="1" customHeight="1">
      <c r="A4653" t="s">
        <v>1459</v>
      </c>
      <c r="B4653" t="s">
        <v>269</v>
      </c>
      <c r="C4653" t="s">
        <v>270</v>
      </c>
      <c r="D4653" t="s">
        <v>1445</v>
      </c>
      <c r="E4653" s="17">
        <v>46107</v>
      </c>
      <c r="F4653" s="17">
        <v>46107</v>
      </c>
      <c r="G4653" s="13">
        <v>70</v>
      </c>
      <c r="H4653" s="14">
        <v>0</v>
      </c>
      <c r="I4653" s="14">
        <v>0</v>
      </c>
      <c r="J4653" s="14">
        <v>0</v>
      </c>
      <c r="K4653" s="14">
        <v>70</v>
      </c>
      <c r="L4653" t="s">
        <v>794</v>
      </c>
      <c r="M4653" s="23">
        <f t="shared" si="73"/>
        <v>2026</v>
      </c>
    </row>
    <row r="4654" spans="1:13" ht="12.75" hidden="1" customHeight="1">
      <c r="A4654" t="s">
        <v>801</v>
      </c>
      <c r="B4654" t="s">
        <v>13</v>
      </c>
      <c r="C4654" t="s">
        <v>718</v>
      </c>
      <c r="D4654" t="s">
        <v>1445</v>
      </c>
      <c r="E4654" s="17">
        <v>46107</v>
      </c>
      <c r="F4654" s="17">
        <v>46107</v>
      </c>
      <c r="G4654" s="13">
        <v>12597.710000000001</v>
      </c>
      <c r="H4654" s="14">
        <v>0</v>
      </c>
      <c r="I4654" s="14">
        <v>0</v>
      </c>
      <c r="J4654" s="14">
        <v>0</v>
      </c>
      <c r="K4654" s="14">
        <v>12597.710000000001</v>
      </c>
      <c r="L4654" t="s">
        <v>794</v>
      </c>
      <c r="M4654" s="23">
        <f t="shared" si="73"/>
        <v>2026</v>
      </c>
    </row>
    <row r="4655" spans="1:13" ht="12.75" hidden="1" customHeight="1">
      <c r="A4655" t="s">
        <v>801</v>
      </c>
      <c r="B4655" t="s">
        <v>13</v>
      </c>
      <c r="C4655" t="s">
        <v>726</v>
      </c>
      <c r="D4655" t="s">
        <v>1445</v>
      </c>
      <c r="E4655" s="17">
        <v>46108</v>
      </c>
      <c r="F4655" s="17">
        <v>46108</v>
      </c>
      <c r="G4655" s="13">
        <v>2.19</v>
      </c>
      <c r="H4655" s="14">
        <v>0</v>
      </c>
      <c r="I4655" s="14">
        <v>0</v>
      </c>
      <c r="J4655" s="14">
        <v>0</v>
      </c>
      <c r="K4655" s="14">
        <v>2.19</v>
      </c>
      <c r="L4655" t="s">
        <v>794</v>
      </c>
      <c r="M4655" s="23">
        <f t="shared" si="73"/>
        <v>2026</v>
      </c>
    </row>
    <row r="4656" spans="1:13" ht="12.75" hidden="1" customHeight="1">
      <c r="A4656" t="s">
        <v>1459</v>
      </c>
      <c r="B4656" t="s">
        <v>269</v>
      </c>
      <c r="C4656" t="s">
        <v>270</v>
      </c>
      <c r="D4656" t="s">
        <v>1445</v>
      </c>
      <c r="E4656" s="17">
        <v>46108</v>
      </c>
      <c r="F4656" s="17">
        <v>46108</v>
      </c>
      <c r="G4656" s="13">
        <v>70</v>
      </c>
      <c r="H4656" s="14">
        <v>0</v>
      </c>
      <c r="I4656" s="14">
        <v>0</v>
      </c>
      <c r="J4656" s="14">
        <v>0</v>
      </c>
      <c r="K4656" s="14">
        <v>70</v>
      </c>
      <c r="L4656" t="s">
        <v>794</v>
      </c>
      <c r="M4656" s="23">
        <f t="shared" si="73"/>
        <v>2026</v>
      </c>
    </row>
    <row r="4657" spans="1:13" ht="12.75" hidden="1" customHeight="1">
      <c r="A4657" t="s">
        <v>1474</v>
      </c>
      <c r="B4657" t="s">
        <v>195</v>
      </c>
      <c r="C4657" t="s">
        <v>183</v>
      </c>
      <c r="D4657" t="s">
        <v>1445</v>
      </c>
      <c r="E4657" s="17">
        <v>46108</v>
      </c>
      <c r="F4657" s="17">
        <v>46108</v>
      </c>
      <c r="G4657" s="13">
        <v>1165</v>
      </c>
      <c r="H4657" s="14">
        <v>0</v>
      </c>
      <c r="I4657" s="14">
        <v>0</v>
      </c>
      <c r="J4657" s="14">
        <v>0</v>
      </c>
      <c r="K4657" s="14">
        <v>1165</v>
      </c>
      <c r="L4657" t="s">
        <v>794</v>
      </c>
      <c r="M4657" s="23">
        <f t="shared" si="73"/>
        <v>2026</v>
      </c>
    </row>
    <row r="4658" spans="1:13" ht="12.75" hidden="1" customHeight="1">
      <c r="A4658" t="s">
        <v>801</v>
      </c>
      <c r="B4658" t="s">
        <v>13</v>
      </c>
      <c r="C4658" t="s">
        <v>726</v>
      </c>
      <c r="D4658" t="s">
        <v>1445</v>
      </c>
      <c r="E4658" s="17">
        <v>46111</v>
      </c>
      <c r="F4658" s="17">
        <v>46111</v>
      </c>
      <c r="G4658" s="13">
        <v>13.14</v>
      </c>
      <c r="H4658" s="14">
        <v>0</v>
      </c>
      <c r="I4658" s="14">
        <v>0</v>
      </c>
      <c r="J4658" s="14">
        <v>0</v>
      </c>
      <c r="K4658" s="14">
        <v>13.14</v>
      </c>
      <c r="L4658" t="s">
        <v>794</v>
      </c>
      <c r="M4658" s="23">
        <f t="shared" si="73"/>
        <v>2026</v>
      </c>
    </row>
    <row r="4659" spans="1:13" ht="12.75" hidden="1" customHeight="1">
      <c r="A4659" t="s">
        <v>1166</v>
      </c>
      <c r="B4659" t="s">
        <v>274</v>
      </c>
      <c r="C4659" t="s">
        <v>458</v>
      </c>
      <c r="D4659" t="s">
        <v>1445</v>
      </c>
      <c r="E4659" s="17">
        <v>46111</v>
      </c>
      <c r="F4659" s="17">
        <v>46111</v>
      </c>
      <c r="G4659" s="13">
        <v>124.98</v>
      </c>
      <c r="H4659" s="14">
        <v>0</v>
      </c>
      <c r="I4659" s="14">
        <v>0</v>
      </c>
      <c r="J4659" s="14">
        <v>0</v>
      </c>
      <c r="K4659" s="14">
        <v>124.98</v>
      </c>
      <c r="L4659" t="s">
        <v>794</v>
      </c>
      <c r="M4659" s="23">
        <f t="shared" si="73"/>
        <v>2026</v>
      </c>
    </row>
    <row r="4660" spans="1:13" ht="12.75" hidden="1" customHeight="1">
      <c r="A4660" t="s">
        <v>1380</v>
      </c>
      <c r="B4660" t="s">
        <v>364</v>
      </c>
      <c r="C4660" t="s">
        <v>470</v>
      </c>
      <c r="D4660" t="s">
        <v>1445</v>
      </c>
      <c r="E4660" s="17">
        <v>46111</v>
      </c>
      <c r="F4660" s="17">
        <v>46111</v>
      </c>
      <c r="G4660" s="13">
        <v>51.4</v>
      </c>
      <c r="H4660" s="14">
        <v>0</v>
      </c>
      <c r="I4660" s="14">
        <v>0</v>
      </c>
      <c r="J4660" s="14">
        <v>0</v>
      </c>
      <c r="K4660" s="14">
        <v>51.4</v>
      </c>
      <c r="L4660" t="s">
        <v>794</v>
      </c>
      <c r="M4660" s="23">
        <f t="shared" si="73"/>
        <v>2026</v>
      </c>
    </row>
    <row r="4661" spans="1:13" ht="12.75" hidden="1" customHeight="1">
      <c r="A4661" t="s">
        <v>1316</v>
      </c>
      <c r="B4661" t="s">
        <v>59</v>
      </c>
      <c r="C4661" t="s">
        <v>139</v>
      </c>
      <c r="D4661" t="s">
        <v>1445</v>
      </c>
      <c r="E4661" s="17">
        <v>46111</v>
      </c>
      <c r="F4661" s="17">
        <v>46111</v>
      </c>
      <c r="G4661" s="13">
        <v>86</v>
      </c>
      <c r="H4661" s="14">
        <v>0</v>
      </c>
      <c r="I4661" s="14">
        <v>0</v>
      </c>
      <c r="J4661" s="14">
        <v>0</v>
      </c>
      <c r="K4661" s="14">
        <v>86</v>
      </c>
      <c r="L4661" t="s">
        <v>794</v>
      </c>
      <c r="M4661" s="23">
        <f t="shared" si="73"/>
        <v>2026</v>
      </c>
    </row>
    <row r="4662" spans="1:13" ht="12.75" hidden="1" customHeight="1">
      <c r="A4662" t="s">
        <v>825</v>
      </c>
      <c r="B4662" t="s">
        <v>46</v>
      </c>
      <c r="C4662" t="s">
        <v>140</v>
      </c>
      <c r="D4662" t="s">
        <v>1445</v>
      </c>
      <c r="E4662" s="17">
        <v>46111</v>
      </c>
      <c r="F4662" s="17">
        <v>46111</v>
      </c>
      <c r="G4662" s="13">
        <v>50</v>
      </c>
      <c r="H4662" s="14">
        <v>0</v>
      </c>
      <c r="I4662" s="14">
        <v>0</v>
      </c>
      <c r="J4662" s="14">
        <v>0</v>
      </c>
      <c r="K4662" s="14">
        <v>50</v>
      </c>
      <c r="L4662" t="s">
        <v>794</v>
      </c>
      <c r="M4662" s="23">
        <f t="shared" si="73"/>
        <v>2026</v>
      </c>
    </row>
    <row r="4663" spans="1:13" ht="12.75" hidden="1" customHeight="1">
      <c r="A4663" t="s">
        <v>841</v>
      </c>
      <c r="B4663" t="s">
        <v>164</v>
      </c>
      <c r="C4663" t="s">
        <v>722</v>
      </c>
      <c r="D4663" t="s">
        <v>1445</v>
      </c>
      <c r="E4663" s="17">
        <v>46111</v>
      </c>
      <c r="F4663" s="17">
        <v>46111</v>
      </c>
      <c r="G4663" s="13">
        <v>380.03000000000003</v>
      </c>
      <c r="H4663" s="14">
        <v>0</v>
      </c>
      <c r="I4663" s="14">
        <v>0</v>
      </c>
      <c r="J4663" s="14">
        <v>0</v>
      </c>
      <c r="K4663" s="14">
        <v>380.03000000000003</v>
      </c>
      <c r="L4663" t="s">
        <v>794</v>
      </c>
      <c r="M4663" s="23">
        <f t="shared" si="73"/>
        <v>2026</v>
      </c>
    </row>
    <row r="4664" spans="1:13" ht="12.75" hidden="1" customHeight="1">
      <c r="A4664" t="s">
        <v>1459</v>
      </c>
      <c r="B4664" t="s">
        <v>269</v>
      </c>
      <c r="C4664" t="s">
        <v>270</v>
      </c>
      <c r="D4664" t="s">
        <v>1445</v>
      </c>
      <c r="E4664" s="17">
        <v>46111</v>
      </c>
      <c r="F4664" s="17">
        <v>46111</v>
      </c>
      <c r="G4664" s="13">
        <v>70</v>
      </c>
      <c r="H4664" s="14">
        <v>0</v>
      </c>
      <c r="I4664" s="14">
        <v>0</v>
      </c>
      <c r="J4664" s="14">
        <v>0</v>
      </c>
      <c r="K4664" s="14">
        <v>70</v>
      </c>
      <c r="L4664" t="s">
        <v>794</v>
      </c>
      <c r="M4664" s="23">
        <f t="shared" si="73"/>
        <v>2026</v>
      </c>
    </row>
    <row r="4665" spans="1:13" ht="12.75" hidden="1" customHeight="1">
      <c r="A4665" t="s">
        <v>1316</v>
      </c>
      <c r="B4665" t="s">
        <v>59</v>
      </c>
      <c r="C4665" t="s">
        <v>141</v>
      </c>
      <c r="D4665" t="s">
        <v>1445</v>
      </c>
      <c r="E4665" s="17">
        <v>46111</v>
      </c>
      <c r="F4665" s="17">
        <v>46111</v>
      </c>
      <c r="G4665" s="13">
        <v>86</v>
      </c>
      <c r="H4665" s="14">
        <v>0</v>
      </c>
      <c r="I4665" s="14">
        <v>0</v>
      </c>
      <c r="J4665" s="14">
        <v>0</v>
      </c>
      <c r="K4665" s="14">
        <v>86</v>
      </c>
      <c r="L4665" t="s">
        <v>1114</v>
      </c>
      <c r="M4665" s="23">
        <f t="shared" si="73"/>
        <v>2026</v>
      </c>
    </row>
    <row r="4666" spans="1:13" ht="12.75" hidden="1" customHeight="1">
      <c r="A4666" t="s">
        <v>801</v>
      </c>
      <c r="B4666" t="s">
        <v>13</v>
      </c>
      <c r="C4666" t="s">
        <v>726</v>
      </c>
      <c r="D4666" t="s">
        <v>1445</v>
      </c>
      <c r="E4666" s="17">
        <v>46112</v>
      </c>
      <c r="F4666" s="17">
        <v>46112</v>
      </c>
      <c r="G4666" s="13">
        <v>8.76</v>
      </c>
      <c r="H4666" s="14">
        <v>0</v>
      </c>
      <c r="I4666" s="14">
        <v>0</v>
      </c>
      <c r="J4666" s="14">
        <v>0</v>
      </c>
      <c r="K4666" s="14">
        <v>8.76</v>
      </c>
      <c r="L4666" t="s">
        <v>794</v>
      </c>
      <c r="M4666" s="23">
        <f t="shared" si="73"/>
        <v>2026</v>
      </c>
    </row>
    <row r="4667" spans="1:13" ht="12.75" hidden="1" customHeight="1">
      <c r="A4667" t="s">
        <v>905</v>
      </c>
      <c r="B4667" t="s">
        <v>15</v>
      </c>
      <c r="C4667" t="s">
        <v>715</v>
      </c>
      <c r="D4667" t="s">
        <v>1445</v>
      </c>
      <c r="E4667" s="17">
        <v>46112</v>
      </c>
      <c r="F4667" s="17">
        <v>46112</v>
      </c>
      <c r="G4667" s="13">
        <v>744.98</v>
      </c>
      <c r="H4667" s="14">
        <v>0</v>
      </c>
      <c r="I4667" s="14">
        <v>0</v>
      </c>
      <c r="J4667" s="14">
        <v>0</v>
      </c>
      <c r="K4667" s="14">
        <v>744.98</v>
      </c>
      <c r="L4667" t="s">
        <v>794</v>
      </c>
      <c r="M4667" s="23">
        <f t="shared" si="73"/>
        <v>2026</v>
      </c>
    </row>
    <row r="4668" spans="1:13" ht="12.75" hidden="1" customHeight="1">
      <c r="A4668" t="s">
        <v>1475</v>
      </c>
      <c r="B4668" t="s">
        <v>679</v>
      </c>
      <c r="C4668" t="s">
        <v>491</v>
      </c>
      <c r="D4668" t="s">
        <v>1445</v>
      </c>
      <c r="E4668" s="17">
        <v>46112</v>
      </c>
      <c r="F4668" s="17">
        <v>46112</v>
      </c>
      <c r="G4668" s="13">
        <v>20</v>
      </c>
      <c r="H4668" s="14">
        <v>0</v>
      </c>
      <c r="I4668" s="14">
        <v>0</v>
      </c>
      <c r="J4668" s="14">
        <v>0</v>
      </c>
      <c r="K4668" s="14">
        <v>20</v>
      </c>
      <c r="L4668" t="s">
        <v>794</v>
      </c>
      <c r="M4668" s="23">
        <f t="shared" si="73"/>
        <v>2026</v>
      </c>
    </row>
    <row r="4669" spans="1:13" ht="12.75" hidden="1" customHeight="1">
      <c r="A4669" t="s">
        <v>945</v>
      </c>
      <c r="B4669" t="s">
        <v>362</v>
      </c>
      <c r="C4669" t="s">
        <v>646</v>
      </c>
      <c r="D4669" t="s">
        <v>1445</v>
      </c>
      <c r="E4669" s="17">
        <v>46085</v>
      </c>
      <c r="F4669" s="17">
        <v>46085</v>
      </c>
      <c r="G4669" s="13">
        <v>11.85</v>
      </c>
      <c r="H4669" s="14">
        <v>0</v>
      </c>
      <c r="I4669" s="14">
        <v>0</v>
      </c>
      <c r="J4669" s="14">
        <v>0</v>
      </c>
      <c r="K4669" s="14">
        <v>11.85</v>
      </c>
      <c r="L4669" t="s">
        <v>794</v>
      </c>
      <c r="M4669" s="23">
        <f t="shared" si="73"/>
        <v>2026</v>
      </c>
    </row>
    <row r="4670" spans="1:13" ht="12.75" hidden="1" customHeight="1">
      <c r="A4670" t="s">
        <v>945</v>
      </c>
      <c r="B4670" t="s">
        <v>362</v>
      </c>
      <c r="C4670" t="s">
        <v>558</v>
      </c>
      <c r="D4670" t="s">
        <v>1445</v>
      </c>
      <c r="E4670" s="17">
        <v>46085</v>
      </c>
      <c r="F4670" s="17">
        <v>46085</v>
      </c>
      <c r="G4670" s="13">
        <v>12</v>
      </c>
      <c r="H4670" s="14">
        <v>0</v>
      </c>
      <c r="I4670" s="14">
        <v>0</v>
      </c>
      <c r="J4670" s="14">
        <v>0</v>
      </c>
      <c r="K4670" s="14">
        <v>12</v>
      </c>
      <c r="L4670" t="s">
        <v>794</v>
      </c>
      <c r="M4670" s="23">
        <f t="shared" si="73"/>
        <v>2026</v>
      </c>
    </row>
    <row r="4671" spans="1:13" ht="12.75" hidden="1" customHeight="1">
      <c r="A4671" t="s">
        <v>1007</v>
      </c>
      <c r="B4671" t="s">
        <v>232</v>
      </c>
      <c r="C4671" t="s">
        <v>141</v>
      </c>
      <c r="D4671" t="s">
        <v>1445</v>
      </c>
      <c r="E4671" s="17">
        <v>46091</v>
      </c>
      <c r="F4671" s="17">
        <v>46091</v>
      </c>
      <c r="G4671" s="13">
        <v>680</v>
      </c>
      <c r="H4671" s="14">
        <v>0</v>
      </c>
      <c r="I4671" s="14">
        <v>0</v>
      </c>
      <c r="J4671" s="14">
        <v>0</v>
      </c>
      <c r="K4671" s="14">
        <v>680</v>
      </c>
      <c r="L4671" t="s">
        <v>794</v>
      </c>
      <c r="M4671" s="23">
        <f t="shared" si="73"/>
        <v>2026</v>
      </c>
    </row>
    <row r="4672" spans="1:13" ht="12.75" hidden="1" customHeight="1">
      <c r="A4672" t="s">
        <v>1004</v>
      </c>
      <c r="B4672" t="s">
        <v>1476</v>
      </c>
      <c r="C4672" t="s">
        <v>141</v>
      </c>
      <c r="D4672" t="s">
        <v>1445</v>
      </c>
      <c r="E4672" s="17">
        <v>46091</v>
      </c>
      <c r="F4672" s="17">
        <v>46091</v>
      </c>
      <c r="G4672" s="13">
        <v>680</v>
      </c>
      <c r="H4672" s="14">
        <v>0</v>
      </c>
      <c r="I4672" s="14">
        <v>0</v>
      </c>
      <c r="J4672" s="14">
        <v>0</v>
      </c>
      <c r="K4672" s="14">
        <v>680</v>
      </c>
      <c r="L4672" t="s">
        <v>794</v>
      </c>
      <c r="M4672" s="23">
        <f t="shared" si="73"/>
        <v>2026</v>
      </c>
    </row>
    <row r="4673" spans="1:13" ht="12.75" hidden="1" customHeight="1">
      <c r="A4673" t="s">
        <v>1009</v>
      </c>
      <c r="B4673" t="s">
        <v>667</v>
      </c>
      <c r="C4673" t="s">
        <v>140</v>
      </c>
      <c r="D4673" t="s">
        <v>1445</v>
      </c>
      <c r="E4673" s="17">
        <v>46091</v>
      </c>
      <c r="F4673" s="17">
        <v>46091</v>
      </c>
      <c r="G4673" s="13">
        <v>30</v>
      </c>
      <c r="H4673" s="14">
        <v>0</v>
      </c>
      <c r="I4673" s="14">
        <v>0</v>
      </c>
      <c r="J4673" s="14">
        <v>0</v>
      </c>
      <c r="K4673" s="14">
        <v>30</v>
      </c>
      <c r="L4673" t="s">
        <v>794</v>
      </c>
      <c r="M4673" s="23">
        <f t="shared" si="73"/>
        <v>2026</v>
      </c>
    </row>
    <row r="4674" spans="1:13" ht="12.75" hidden="1" customHeight="1">
      <c r="A4674" t="s">
        <v>1004</v>
      </c>
      <c r="B4674" t="s">
        <v>1476</v>
      </c>
      <c r="C4674" t="s">
        <v>141</v>
      </c>
      <c r="D4674" t="s">
        <v>1445</v>
      </c>
      <c r="E4674" s="17">
        <v>46091</v>
      </c>
      <c r="F4674" s="17">
        <v>46091</v>
      </c>
      <c r="G4674" s="13">
        <v>36</v>
      </c>
      <c r="H4674" s="14">
        <v>0</v>
      </c>
      <c r="I4674" s="14">
        <v>0</v>
      </c>
      <c r="J4674" s="14">
        <v>0</v>
      </c>
      <c r="K4674" s="14">
        <v>36</v>
      </c>
      <c r="L4674" t="s">
        <v>794</v>
      </c>
      <c r="M4674" s="23">
        <f t="shared" si="73"/>
        <v>2026</v>
      </c>
    </row>
    <row r="4675" spans="1:13" ht="12.75" hidden="1" customHeight="1">
      <c r="A4675" t="s">
        <v>1012</v>
      </c>
      <c r="B4675" t="s">
        <v>59</v>
      </c>
      <c r="C4675" t="s">
        <v>141</v>
      </c>
      <c r="D4675" t="s">
        <v>1445</v>
      </c>
      <c r="E4675" s="17">
        <v>46091</v>
      </c>
      <c r="F4675" s="17">
        <v>46091</v>
      </c>
      <c r="G4675" s="13">
        <v>80</v>
      </c>
      <c r="H4675" s="14">
        <v>0</v>
      </c>
      <c r="I4675" s="14">
        <v>0</v>
      </c>
      <c r="J4675" s="14">
        <v>0</v>
      </c>
      <c r="K4675" s="14">
        <v>80</v>
      </c>
      <c r="L4675" t="s">
        <v>794</v>
      </c>
      <c r="M4675" s="23">
        <f t="shared" si="73"/>
        <v>2026</v>
      </c>
    </row>
    <row r="4676" spans="1:13" ht="12.75" hidden="1" customHeight="1">
      <c r="A4676" t="s">
        <v>900</v>
      </c>
      <c r="B4676" t="s">
        <v>566</v>
      </c>
      <c r="C4676" t="s">
        <v>142</v>
      </c>
      <c r="D4676" t="s">
        <v>1445</v>
      </c>
      <c r="E4676" s="17">
        <v>46099</v>
      </c>
      <c r="F4676" s="17">
        <v>46099</v>
      </c>
      <c r="G4676" s="13">
        <v>40</v>
      </c>
      <c r="H4676" s="14">
        <v>0</v>
      </c>
      <c r="I4676" s="14">
        <v>0</v>
      </c>
      <c r="J4676" s="14">
        <v>0</v>
      </c>
      <c r="K4676" s="14">
        <v>40</v>
      </c>
      <c r="L4676" t="s">
        <v>794</v>
      </c>
      <c r="M4676" s="23">
        <f t="shared" si="73"/>
        <v>2026</v>
      </c>
    </row>
    <row r="4677" spans="1:13" ht="12.75" hidden="1" customHeight="1">
      <c r="A4677" t="s">
        <v>1268</v>
      </c>
      <c r="B4677" t="s">
        <v>511</v>
      </c>
      <c r="C4677" t="s">
        <v>681</v>
      </c>
      <c r="D4677" t="s">
        <v>1445</v>
      </c>
      <c r="E4677" s="17">
        <v>46101</v>
      </c>
      <c r="F4677" s="17">
        <v>46101</v>
      </c>
      <c r="G4677" s="13">
        <v>16</v>
      </c>
      <c r="H4677" s="14">
        <v>0</v>
      </c>
      <c r="I4677" s="14">
        <v>0</v>
      </c>
      <c r="J4677" s="14">
        <v>0</v>
      </c>
      <c r="K4677" s="14">
        <v>16</v>
      </c>
      <c r="L4677" t="s">
        <v>794</v>
      </c>
      <c r="M4677" s="23">
        <f t="shared" si="73"/>
        <v>2026</v>
      </c>
    </row>
    <row r="4678" spans="1:13" ht="12.75" hidden="1" customHeight="1">
      <c r="A4678" t="s">
        <v>1268</v>
      </c>
      <c r="B4678" t="s">
        <v>511</v>
      </c>
      <c r="C4678" t="s">
        <v>681</v>
      </c>
      <c r="D4678" t="s">
        <v>1445</v>
      </c>
      <c r="E4678" s="17">
        <v>46101</v>
      </c>
      <c r="F4678" s="17">
        <v>46101</v>
      </c>
      <c r="G4678" s="13">
        <v>2.5</v>
      </c>
      <c r="H4678" s="14">
        <v>0</v>
      </c>
      <c r="I4678" s="14">
        <v>0</v>
      </c>
      <c r="J4678" s="14">
        <v>0</v>
      </c>
      <c r="K4678" s="14">
        <v>2.5</v>
      </c>
      <c r="L4678" t="s">
        <v>794</v>
      </c>
      <c r="M4678" s="23">
        <f t="shared" si="73"/>
        <v>2026</v>
      </c>
    </row>
    <row r="4679" spans="1:13" ht="12.75" hidden="1" customHeight="1">
      <c r="A4679" t="s">
        <v>849</v>
      </c>
      <c r="B4679" t="s">
        <v>1116</v>
      </c>
      <c r="C4679" t="s">
        <v>681</v>
      </c>
      <c r="D4679" t="s">
        <v>1445</v>
      </c>
      <c r="E4679" s="17">
        <v>46101</v>
      </c>
      <c r="F4679" s="17">
        <v>46101</v>
      </c>
      <c r="G4679" s="13">
        <v>40</v>
      </c>
      <c r="H4679" s="14">
        <v>0</v>
      </c>
      <c r="I4679" s="14">
        <v>0</v>
      </c>
      <c r="J4679" s="14">
        <v>0</v>
      </c>
      <c r="K4679" s="14">
        <v>40</v>
      </c>
      <c r="L4679" t="s">
        <v>794</v>
      </c>
      <c r="M4679" s="23">
        <f t="shared" si="73"/>
        <v>2026</v>
      </c>
    </row>
    <row r="4680" spans="1:13" ht="12.75" hidden="1" customHeight="1">
      <c r="A4680" t="s">
        <v>1002</v>
      </c>
      <c r="B4680" t="s">
        <v>433</v>
      </c>
      <c r="C4680" t="s">
        <v>141</v>
      </c>
      <c r="D4680" t="s">
        <v>1445</v>
      </c>
      <c r="E4680" s="17">
        <v>46101</v>
      </c>
      <c r="F4680" s="17">
        <v>46101</v>
      </c>
      <c r="G4680" s="13">
        <v>214</v>
      </c>
      <c r="H4680" s="14">
        <v>0</v>
      </c>
      <c r="I4680" s="14">
        <v>0</v>
      </c>
      <c r="J4680" s="14">
        <v>0</v>
      </c>
      <c r="K4680" s="14">
        <v>214</v>
      </c>
      <c r="L4680" t="s">
        <v>794</v>
      </c>
      <c r="M4680" s="23">
        <f t="shared" si="73"/>
        <v>2026</v>
      </c>
    </row>
    <row r="4681" spans="1:13" ht="12.75" hidden="1" customHeight="1">
      <c r="A4681" t="s">
        <v>1007</v>
      </c>
      <c r="B4681" t="s">
        <v>232</v>
      </c>
      <c r="C4681" t="s">
        <v>141</v>
      </c>
      <c r="D4681" t="s">
        <v>1445</v>
      </c>
      <c r="E4681" s="17">
        <v>46104</v>
      </c>
      <c r="F4681" s="17">
        <v>46104</v>
      </c>
      <c r="G4681" s="13">
        <v>236</v>
      </c>
      <c r="H4681" s="14">
        <v>0</v>
      </c>
      <c r="I4681" s="14">
        <v>0</v>
      </c>
      <c r="J4681" s="14">
        <v>0</v>
      </c>
      <c r="K4681" s="14">
        <v>236</v>
      </c>
      <c r="L4681" t="s">
        <v>794</v>
      </c>
      <c r="M4681" s="23">
        <f t="shared" si="73"/>
        <v>2026</v>
      </c>
    </row>
    <row r="4682" spans="1:13" ht="12.75" hidden="1" customHeight="1">
      <c r="A4682" t="s">
        <v>1072</v>
      </c>
      <c r="B4682" t="s">
        <v>177</v>
      </c>
      <c r="C4682" t="s">
        <v>141</v>
      </c>
      <c r="D4682" t="s">
        <v>1445</v>
      </c>
      <c r="E4682" s="17">
        <v>46104</v>
      </c>
      <c r="F4682" s="17">
        <v>46104</v>
      </c>
      <c r="G4682" s="13">
        <v>40</v>
      </c>
      <c r="H4682" s="14">
        <v>0</v>
      </c>
      <c r="I4682" s="14">
        <v>0</v>
      </c>
      <c r="J4682" s="14">
        <v>0</v>
      </c>
      <c r="K4682" s="14">
        <v>40</v>
      </c>
      <c r="L4682" t="s">
        <v>794</v>
      </c>
      <c r="M4682" s="23">
        <f t="shared" si="73"/>
        <v>2026</v>
      </c>
    </row>
    <row r="4683" spans="1:13" ht="12.75" hidden="1" customHeight="1">
      <c r="A4683" t="s">
        <v>1012</v>
      </c>
      <c r="B4683" t="s">
        <v>59</v>
      </c>
      <c r="C4683" t="s">
        <v>141</v>
      </c>
      <c r="D4683" t="s">
        <v>1445</v>
      </c>
      <c r="E4683" s="17">
        <v>46104</v>
      </c>
      <c r="F4683" s="17">
        <v>46104</v>
      </c>
      <c r="G4683" s="13">
        <v>70</v>
      </c>
      <c r="H4683" s="14">
        <v>0</v>
      </c>
      <c r="I4683" s="14">
        <v>0</v>
      </c>
      <c r="J4683" s="14">
        <v>0</v>
      </c>
      <c r="K4683" s="14">
        <v>70</v>
      </c>
      <c r="L4683" t="s">
        <v>794</v>
      </c>
      <c r="M4683" s="23">
        <f t="shared" si="73"/>
        <v>2026</v>
      </c>
    </row>
    <row r="4684" spans="1:13" ht="12.75" hidden="1" customHeight="1">
      <c r="A4684" t="s">
        <v>931</v>
      </c>
      <c r="B4684" t="s">
        <v>49</v>
      </c>
      <c r="C4684" t="s">
        <v>733</v>
      </c>
      <c r="D4684" t="s">
        <v>1445</v>
      </c>
      <c r="E4684" s="17">
        <v>46106</v>
      </c>
      <c r="F4684" s="17">
        <v>46106</v>
      </c>
      <c r="G4684" s="13">
        <v>45</v>
      </c>
      <c r="H4684" s="14">
        <v>0</v>
      </c>
      <c r="I4684" s="14">
        <v>0</v>
      </c>
      <c r="J4684" s="14">
        <v>0</v>
      </c>
      <c r="K4684" s="14">
        <v>45</v>
      </c>
      <c r="L4684" t="s">
        <v>794</v>
      </c>
      <c r="M4684" s="23">
        <f t="shared" si="73"/>
        <v>2026</v>
      </c>
    </row>
    <row r="4685" spans="1:13" ht="12.75" hidden="1" customHeight="1">
      <c r="A4685" t="s">
        <v>806</v>
      </c>
      <c r="B4685" t="s">
        <v>435</v>
      </c>
      <c r="C4685" t="s">
        <v>733</v>
      </c>
      <c r="D4685" t="s">
        <v>1445</v>
      </c>
      <c r="E4685" s="17">
        <v>46106</v>
      </c>
      <c r="F4685" s="17">
        <v>46106</v>
      </c>
      <c r="G4685" s="13">
        <v>84.93</v>
      </c>
      <c r="H4685" s="14">
        <v>0</v>
      </c>
      <c r="I4685" s="14">
        <v>0</v>
      </c>
      <c r="J4685" s="14">
        <v>0</v>
      </c>
      <c r="K4685" s="14">
        <v>84.93</v>
      </c>
      <c r="L4685" t="s">
        <v>794</v>
      </c>
      <c r="M4685" s="23">
        <f t="shared" si="73"/>
        <v>2026</v>
      </c>
    </row>
    <row r="4686" spans="1:13" ht="12.75" hidden="1" customHeight="1">
      <c r="A4686" t="s">
        <v>849</v>
      </c>
      <c r="B4686" t="s">
        <v>1116</v>
      </c>
      <c r="C4686" t="s">
        <v>681</v>
      </c>
      <c r="D4686" t="s">
        <v>1445</v>
      </c>
      <c r="E4686" s="17">
        <v>46107</v>
      </c>
      <c r="F4686" s="17">
        <v>46107</v>
      </c>
      <c r="G4686" s="13">
        <v>40</v>
      </c>
      <c r="H4686" s="14">
        <v>0</v>
      </c>
      <c r="I4686" s="14">
        <v>0</v>
      </c>
      <c r="J4686" s="14">
        <v>0</v>
      </c>
      <c r="K4686" s="14">
        <v>40</v>
      </c>
      <c r="L4686" t="s">
        <v>794</v>
      </c>
      <c r="M4686" s="23">
        <f t="shared" si="73"/>
        <v>2026</v>
      </c>
    </row>
    <row r="4687" spans="1:13" ht="12.75" hidden="1" customHeight="1">
      <c r="A4687" t="s">
        <v>1007</v>
      </c>
      <c r="B4687" t="s">
        <v>232</v>
      </c>
      <c r="C4687" t="s">
        <v>141</v>
      </c>
      <c r="D4687" t="s">
        <v>1445</v>
      </c>
      <c r="E4687" s="17">
        <v>46111</v>
      </c>
      <c r="F4687" s="17">
        <v>46111</v>
      </c>
      <c r="G4687" s="13">
        <v>338</v>
      </c>
      <c r="H4687" s="14">
        <v>0</v>
      </c>
      <c r="I4687" s="14">
        <v>0</v>
      </c>
      <c r="J4687" s="14">
        <v>0</v>
      </c>
      <c r="K4687" s="14">
        <v>338</v>
      </c>
      <c r="L4687" t="s">
        <v>794</v>
      </c>
      <c r="M4687" s="23">
        <f t="shared" si="73"/>
        <v>2026</v>
      </c>
    </row>
    <row r="4688" spans="1:13" ht="12.75" hidden="1" customHeight="1">
      <c r="A4688" t="s">
        <v>921</v>
      </c>
      <c r="B4688" t="s">
        <v>184</v>
      </c>
      <c r="C4688" t="s">
        <v>646</v>
      </c>
      <c r="D4688" t="s">
        <v>1429</v>
      </c>
      <c r="E4688" s="17">
        <v>46118</v>
      </c>
      <c r="F4688" s="17">
        <v>46118</v>
      </c>
      <c r="G4688" s="13">
        <v>23</v>
      </c>
      <c r="H4688" s="14">
        <v>0</v>
      </c>
      <c r="I4688" s="14">
        <v>0</v>
      </c>
      <c r="J4688" s="14">
        <v>0</v>
      </c>
      <c r="K4688" s="14">
        <v>23</v>
      </c>
      <c r="L4688" t="s">
        <v>794</v>
      </c>
      <c r="M4688" s="23">
        <f t="shared" si="73"/>
        <v>2026</v>
      </c>
    </row>
    <row r="4689" spans="1:13" ht="12.75" hidden="1" customHeight="1">
      <c r="A4689" t="s">
        <v>1108</v>
      </c>
      <c r="B4689" t="s">
        <v>328</v>
      </c>
      <c r="C4689" t="s">
        <v>646</v>
      </c>
      <c r="D4689" t="s">
        <v>1429</v>
      </c>
      <c r="E4689" s="17">
        <v>46118</v>
      </c>
      <c r="F4689" s="17">
        <v>46118</v>
      </c>
      <c r="G4689" s="13">
        <v>27.98</v>
      </c>
      <c r="H4689" s="14">
        <v>0</v>
      </c>
      <c r="I4689" s="14">
        <v>0</v>
      </c>
      <c r="J4689" s="14">
        <v>0</v>
      </c>
      <c r="K4689" s="14">
        <v>27.98</v>
      </c>
      <c r="L4689" t="s">
        <v>794</v>
      </c>
      <c r="M4689" s="23">
        <f t="shared" si="73"/>
        <v>2026</v>
      </c>
    </row>
    <row r="4690" spans="1:13" ht="12.75" hidden="1" customHeight="1">
      <c r="A4690" t="s">
        <v>1420</v>
      </c>
      <c r="B4690" t="s">
        <v>136</v>
      </c>
      <c r="C4690" t="s">
        <v>141</v>
      </c>
      <c r="D4690" t="s">
        <v>1429</v>
      </c>
      <c r="E4690" s="17">
        <v>46118</v>
      </c>
      <c r="F4690" s="17">
        <v>46118</v>
      </c>
      <c r="G4690" s="13">
        <v>88</v>
      </c>
      <c r="H4690" s="14">
        <v>0</v>
      </c>
      <c r="I4690" s="14">
        <v>0</v>
      </c>
      <c r="J4690" s="14">
        <v>0</v>
      </c>
      <c r="K4690" s="14">
        <v>88</v>
      </c>
      <c r="L4690" t="s">
        <v>794</v>
      </c>
      <c r="M4690" s="23">
        <f t="shared" si="73"/>
        <v>2026</v>
      </c>
    </row>
    <row r="4691" spans="1:13" ht="12.75" hidden="1" customHeight="1">
      <c r="A4691" t="s">
        <v>1121</v>
      </c>
      <c r="B4691" t="s">
        <v>295</v>
      </c>
      <c r="C4691" t="s">
        <v>142</v>
      </c>
      <c r="D4691" t="s">
        <v>1429</v>
      </c>
      <c r="E4691" s="17">
        <v>46118</v>
      </c>
      <c r="F4691" s="17">
        <v>46118</v>
      </c>
      <c r="G4691" s="13">
        <v>40</v>
      </c>
      <c r="H4691" s="14">
        <v>0</v>
      </c>
      <c r="I4691" s="14">
        <v>0</v>
      </c>
      <c r="J4691" s="14">
        <v>0</v>
      </c>
      <c r="K4691" s="14">
        <v>40</v>
      </c>
      <c r="L4691" t="s">
        <v>794</v>
      </c>
      <c r="M4691" s="23">
        <f t="shared" si="73"/>
        <v>2026</v>
      </c>
    </row>
    <row r="4692" spans="1:13" ht="12.75" hidden="1" customHeight="1">
      <c r="A4692" t="s">
        <v>1108</v>
      </c>
      <c r="B4692" t="s">
        <v>328</v>
      </c>
      <c r="C4692" t="s">
        <v>483</v>
      </c>
      <c r="D4692" t="s">
        <v>1429</v>
      </c>
      <c r="E4692" s="17">
        <v>46118</v>
      </c>
      <c r="F4692" s="17">
        <v>46118</v>
      </c>
      <c r="G4692" s="13">
        <v>89.320000000000007</v>
      </c>
      <c r="H4692" s="14">
        <v>0</v>
      </c>
      <c r="I4692" s="14">
        <v>0</v>
      </c>
      <c r="J4692" s="14">
        <v>0</v>
      </c>
      <c r="K4692" s="14">
        <v>89.320000000000007</v>
      </c>
      <c r="L4692" t="s">
        <v>794</v>
      </c>
      <c r="M4692" s="23">
        <f t="shared" si="73"/>
        <v>2026</v>
      </c>
    </row>
    <row r="4693" spans="1:13" ht="12.75" hidden="1" customHeight="1">
      <c r="A4693" t="s">
        <v>811</v>
      </c>
      <c r="B4693" t="s">
        <v>39</v>
      </c>
      <c r="C4693" t="s">
        <v>141</v>
      </c>
      <c r="D4693" t="s">
        <v>1429</v>
      </c>
      <c r="E4693" s="17">
        <v>46118</v>
      </c>
      <c r="F4693" s="17">
        <v>46118</v>
      </c>
      <c r="G4693" s="13">
        <v>120</v>
      </c>
      <c r="H4693" s="14">
        <v>0</v>
      </c>
      <c r="I4693" s="14">
        <v>0</v>
      </c>
      <c r="J4693" s="14">
        <v>0</v>
      </c>
      <c r="K4693" s="14">
        <v>120</v>
      </c>
      <c r="L4693" t="s">
        <v>794</v>
      </c>
      <c r="M4693" s="23">
        <f t="shared" si="73"/>
        <v>2026</v>
      </c>
    </row>
    <row r="4694" spans="1:13" ht="12.75" hidden="1" customHeight="1">
      <c r="A4694" t="s">
        <v>1317</v>
      </c>
      <c r="B4694" t="s">
        <v>64</v>
      </c>
      <c r="C4694" t="s">
        <v>141</v>
      </c>
      <c r="D4694" t="s">
        <v>1429</v>
      </c>
      <c r="E4694" s="17">
        <v>46118</v>
      </c>
      <c r="F4694" s="17">
        <v>46118</v>
      </c>
      <c r="G4694" s="13">
        <v>40</v>
      </c>
      <c r="H4694" s="14">
        <v>0</v>
      </c>
      <c r="I4694" s="14">
        <v>0</v>
      </c>
      <c r="J4694" s="14">
        <v>0</v>
      </c>
      <c r="K4694" s="14">
        <v>40</v>
      </c>
      <c r="L4694" t="s">
        <v>794</v>
      </c>
      <c r="M4694" s="23">
        <f t="shared" si="73"/>
        <v>2026</v>
      </c>
    </row>
    <row r="4695" spans="1:13" ht="12.75" hidden="1" customHeight="1">
      <c r="A4695" t="s">
        <v>1316</v>
      </c>
      <c r="B4695" t="s">
        <v>59</v>
      </c>
      <c r="C4695" t="s">
        <v>141</v>
      </c>
      <c r="D4695" t="s">
        <v>1429</v>
      </c>
      <c r="E4695" s="17">
        <v>46118</v>
      </c>
      <c r="F4695" s="17">
        <v>46118</v>
      </c>
      <c r="G4695" s="13">
        <v>80</v>
      </c>
      <c r="H4695" s="14">
        <v>0</v>
      </c>
      <c r="I4695" s="14">
        <v>0</v>
      </c>
      <c r="J4695" s="14">
        <v>0</v>
      </c>
      <c r="K4695" s="14">
        <v>80</v>
      </c>
      <c r="L4695" t="s">
        <v>794</v>
      </c>
      <c r="M4695" s="23">
        <f t="shared" si="73"/>
        <v>2026</v>
      </c>
    </row>
    <row r="4696" spans="1:13" ht="12.75" hidden="1" customHeight="1">
      <c r="A4696" t="s">
        <v>1446</v>
      </c>
      <c r="B4696" t="s">
        <v>167</v>
      </c>
      <c r="C4696" t="s">
        <v>141</v>
      </c>
      <c r="D4696" t="s">
        <v>1429</v>
      </c>
      <c r="E4696" s="17">
        <v>46118</v>
      </c>
      <c r="F4696" s="17">
        <v>46118</v>
      </c>
      <c r="G4696" s="13">
        <v>124</v>
      </c>
      <c r="H4696" s="14">
        <v>0</v>
      </c>
      <c r="I4696" s="14">
        <v>0</v>
      </c>
      <c r="J4696" s="14">
        <v>0</v>
      </c>
      <c r="K4696" s="14">
        <v>124</v>
      </c>
      <c r="L4696" t="s">
        <v>794</v>
      </c>
      <c r="M4696" s="23">
        <f t="shared" si="73"/>
        <v>2026</v>
      </c>
    </row>
    <row r="4697" spans="1:13" ht="12.75" hidden="1" customHeight="1">
      <c r="A4697" t="s">
        <v>818</v>
      </c>
      <c r="B4697" t="s">
        <v>30</v>
      </c>
      <c r="C4697" t="s">
        <v>141</v>
      </c>
      <c r="D4697" t="s">
        <v>1429</v>
      </c>
      <c r="E4697" s="17">
        <v>46118</v>
      </c>
      <c r="F4697" s="17">
        <v>46118</v>
      </c>
      <c r="G4697" s="13">
        <v>138</v>
      </c>
      <c r="H4697" s="14">
        <v>0</v>
      </c>
      <c r="I4697" s="14">
        <v>0</v>
      </c>
      <c r="J4697" s="14">
        <v>0</v>
      </c>
      <c r="K4697" s="14">
        <v>138</v>
      </c>
      <c r="L4697" t="s">
        <v>794</v>
      </c>
      <c r="M4697" s="23">
        <f t="shared" si="73"/>
        <v>2026</v>
      </c>
    </row>
    <row r="4698" spans="1:13" ht="12.75" hidden="1" customHeight="1">
      <c r="A4698" t="s">
        <v>1477</v>
      </c>
      <c r="B4698" t="s">
        <v>405</v>
      </c>
      <c r="C4698" t="s">
        <v>140</v>
      </c>
      <c r="D4698" t="s">
        <v>1429</v>
      </c>
      <c r="E4698" s="17">
        <v>46118</v>
      </c>
      <c r="F4698" s="17">
        <v>46118</v>
      </c>
      <c r="G4698" s="13">
        <v>219.6</v>
      </c>
      <c r="H4698" s="14">
        <v>0</v>
      </c>
      <c r="I4698" s="14">
        <v>0</v>
      </c>
      <c r="J4698" s="14">
        <v>0</v>
      </c>
      <c r="K4698" s="14">
        <v>219.6</v>
      </c>
      <c r="L4698" t="s">
        <v>794</v>
      </c>
      <c r="M4698" s="23">
        <f t="shared" si="73"/>
        <v>2026</v>
      </c>
    </row>
    <row r="4699" spans="1:13" ht="12.75" hidden="1" customHeight="1">
      <c r="A4699" t="s">
        <v>1373</v>
      </c>
      <c r="B4699" t="s">
        <v>313</v>
      </c>
      <c r="C4699" t="s">
        <v>140</v>
      </c>
      <c r="D4699" t="s">
        <v>1429</v>
      </c>
      <c r="E4699" s="17">
        <v>46119</v>
      </c>
      <c r="F4699" s="17">
        <v>46119</v>
      </c>
      <c r="G4699" s="13">
        <v>5</v>
      </c>
      <c r="H4699" s="14">
        <v>0</v>
      </c>
      <c r="I4699" s="14">
        <v>0</v>
      </c>
      <c r="J4699" s="14">
        <v>0</v>
      </c>
      <c r="K4699" s="14">
        <v>5</v>
      </c>
      <c r="L4699" t="s">
        <v>794</v>
      </c>
      <c r="M4699" s="23">
        <f t="shared" ref="M4699:M4762" si="74">YEAR(F4699)</f>
        <v>2026</v>
      </c>
    </row>
    <row r="4700" spans="1:13" ht="12.75" hidden="1" customHeight="1">
      <c r="A4700" t="s">
        <v>921</v>
      </c>
      <c r="B4700" t="s">
        <v>184</v>
      </c>
      <c r="C4700" t="s">
        <v>646</v>
      </c>
      <c r="D4700" t="s">
        <v>1429</v>
      </c>
      <c r="E4700" s="17">
        <v>46120</v>
      </c>
      <c r="F4700" s="17">
        <v>46120</v>
      </c>
      <c r="G4700" s="13">
        <v>60.4</v>
      </c>
      <c r="H4700" s="14">
        <v>0</v>
      </c>
      <c r="I4700" s="14">
        <v>0</v>
      </c>
      <c r="J4700" s="14">
        <v>0</v>
      </c>
      <c r="K4700" s="14">
        <v>60.4</v>
      </c>
      <c r="L4700" t="s">
        <v>794</v>
      </c>
      <c r="M4700" s="23">
        <f t="shared" si="74"/>
        <v>2026</v>
      </c>
    </row>
    <row r="4701" spans="1:13" ht="12.75" hidden="1" customHeight="1">
      <c r="A4701" t="s">
        <v>1478</v>
      </c>
      <c r="B4701" t="s">
        <v>644</v>
      </c>
      <c r="C4701" t="s">
        <v>483</v>
      </c>
      <c r="D4701" t="s">
        <v>1429</v>
      </c>
      <c r="E4701" s="17">
        <v>46120</v>
      </c>
      <c r="F4701" s="17">
        <v>46120</v>
      </c>
      <c r="G4701" s="13">
        <v>39.83</v>
      </c>
      <c r="H4701" s="14">
        <v>0</v>
      </c>
      <c r="I4701" s="14">
        <v>0</v>
      </c>
      <c r="J4701" s="14">
        <v>0</v>
      </c>
      <c r="K4701" s="14">
        <v>39.83</v>
      </c>
      <c r="L4701" t="s">
        <v>794</v>
      </c>
      <c r="M4701" s="23">
        <f t="shared" si="74"/>
        <v>2026</v>
      </c>
    </row>
    <row r="4702" spans="1:13" ht="12.75" hidden="1" customHeight="1">
      <c r="A4702" t="s">
        <v>1121</v>
      </c>
      <c r="B4702" t="s">
        <v>295</v>
      </c>
      <c r="C4702" t="s">
        <v>142</v>
      </c>
      <c r="D4702" t="s">
        <v>1429</v>
      </c>
      <c r="E4702" s="17">
        <v>46121</v>
      </c>
      <c r="F4702" s="17">
        <v>46121</v>
      </c>
      <c r="G4702" s="13">
        <v>40</v>
      </c>
      <c r="H4702" s="14">
        <v>0</v>
      </c>
      <c r="I4702" s="14">
        <v>0</v>
      </c>
      <c r="J4702" s="14">
        <v>0</v>
      </c>
      <c r="K4702" s="14">
        <v>40</v>
      </c>
      <c r="L4702" t="s">
        <v>794</v>
      </c>
      <c r="M4702" s="23">
        <f t="shared" si="74"/>
        <v>2026</v>
      </c>
    </row>
    <row r="4703" spans="1:13" ht="12.75" hidden="1" customHeight="1">
      <c r="A4703" t="s">
        <v>1121</v>
      </c>
      <c r="B4703" t="s">
        <v>295</v>
      </c>
      <c r="C4703" t="s">
        <v>142</v>
      </c>
      <c r="D4703" t="s">
        <v>1429</v>
      </c>
      <c r="E4703" s="17">
        <v>46121</v>
      </c>
      <c r="F4703" s="17">
        <v>46121</v>
      </c>
      <c r="G4703" s="13">
        <v>40</v>
      </c>
      <c r="H4703" s="14">
        <v>0</v>
      </c>
      <c r="I4703" s="14">
        <v>0</v>
      </c>
      <c r="J4703" s="14">
        <v>0</v>
      </c>
      <c r="K4703" s="14">
        <v>40</v>
      </c>
      <c r="L4703" t="s">
        <v>794</v>
      </c>
      <c r="M4703" s="23">
        <f t="shared" si="74"/>
        <v>2026</v>
      </c>
    </row>
    <row r="4704" spans="1:13" ht="12.75" hidden="1" customHeight="1">
      <c r="A4704" t="s">
        <v>1313</v>
      </c>
      <c r="B4704" t="s">
        <v>362</v>
      </c>
      <c r="C4704" t="s">
        <v>558</v>
      </c>
      <c r="D4704" t="s">
        <v>1429</v>
      </c>
      <c r="E4704" s="17">
        <v>46121</v>
      </c>
      <c r="F4704" s="17">
        <v>46121</v>
      </c>
      <c r="G4704" s="13">
        <v>5.5</v>
      </c>
      <c r="H4704" s="14">
        <v>0</v>
      </c>
      <c r="I4704" s="14">
        <v>0</v>
      </c>
      <c r="J4704" s="14">
        <v>0</v>
      </c>
      <c r="K4704" s="14">
        <v>5.5</v>
      </c>
      <c r="L4704" t="s">
        <v>794</v>
      </c>
      <c r="M4704" s="23">
        <f t="shared" si="74"/>
        <v>2026</v>
      </c>
    </row>
    <row r="4705" spans="1:13" ht="12.75" hidden="1" customHeight="1">
      <c r="A4705" t="s">
        <v>1446</v>
      </c>
      <c r="B4705" t="s">
        <v>167</v>
      </c>
      <c r="C4705" t="s">
        <v>141</v>
      </c>
      <c r="D4705" t="s">
        <v>1429</v>
      </c>
      <c r="E4705" s="17">
        <v>46122</v>
      </c>
      <c r="F4705" s="17">
        <v>46122</v>
      </c>
      <c r="G4705" s="13">
        <v>660</v>
      </c>
      <c r="H4705" s="14">
        <v>0</v>
      </c>
      <c r="I4705" s="14">
        <v>0</v>
      </c>
      <c r="J4705" s="14">
        <v>0</v>
      </c>
      <c r="K4705" s="14">
        <v>660</v>
      </c>
      <c r="L4705" t="s">
        <v>794</v>
      </c>
      <c r="M4705" s="23">
        <f t="shared" si="74"/>
        <v>2026</v>
      </c>
    </row>
    <row r="4706" spans="1:13" ht="12.75" hidden="1" customHeight="1">
      <c r="A4706" t="s">
        <v>1316</v>
      </c>
      <c r="B4706" t="s">
        <v>59</v>
      </c>
      <c r="C4706" t="s">
        <v>141</v>
      </c>
      <c r="D4706" t="s">
        <v>1429</v>
      </c>
      <c r="E4706" s="17">
        <v>46122</v>
      </c>
      <c r="F4706" s="17">
        <v>46122</v>
      </c>
      <c r="G4706" s="13">
        <v>1270</v>
      </c>
      <c r="H4706" s="14">
        <v>0</v>
      </c>
      <c r="I4706" s="14">
        <v>0</v>
      </c>
      <c r="J4706" s="14">
        <v>0</v>
      </c>
      <c r="K4706" s="14">
        <v>1270</v>
      </c>
      <c r="L4706" t="s">
        <v>794</v>
      </c>
      <c r="M4706" s="23">
        <f t="shared" si="74"/>
        <v>2026</v>
      </c>
    </row>
    <row r="4707" spans="1:13" ht="12.75" hidden="1" customHeight="1">
      <c r="A4707" t="s">
        <v>921</v>
      </c>
      <c r="B4707" t="s">
        <v>184</v>
      </c>
      <c r="C4707" t="s">
        <v>646</v>
      </c>
      <c r="D4707" t="s">
        <v>1429</v>
      </c>
      <c r="E4707" s="17">
        <v>46122</v>
      </c>
      <c r="F4707" s="17">
        <v>46122</v>
      </c>
      <c r="G4707" s="13">
        <v>45.5</v>
      </c>
      <c r="H4707" s="14">
        <v>0</v>
      </c>
      <c r="I4707" s="14">
        <v>0</v>
      </c>
      <c r="J4707" s="14">
        <v>0</v>
      </c>
      <c r="K4707" s="14">
        <v>45.5</v>
      </c>
      <c r="L4707" t="s">
        <v>794</v>
      </c>
      <c r="M4707" s="23">
        <f t="shared" si="74"/>
        <v>2026</v>
      </c>
    </row>
    <row r="4708" spans="1:13" ht="12.75" hidden="1" customHeight="1">
      <c r="A4708" t="s">
        <v>1317</v>
      </c>
      <c r="B4708" t="s">
        <v>64</v>
      </c>
      <c r="C4708" t="s">
        <v>141</v>
      </c>
      <c r="D4708" t="s">
        <v>1429</v>
      </c>
      <c r="E4708" s="17">
        <v>46122</v>
      </c>
      <c r="F4708" s="17">
        <v>46122</v>
      </c>
      <c r="G4708" s="13">
        <v>1300</v>
      </c>
      <c r="H4708" s="14">
        <v>0</v>
      </c>
      <c r="I4708" s="14">
        <v>0</v>
      </c>
      <c r="J4708" s="14">
        <v>0</v>
      </c>
      <c r="K4708" s="14">
        <v>1300</v>
      </c>
      <c r="L4708" t="s">
        <v>794</v>
      </c>
      <c r="M4708" s="23">
        <f t="shared" si="74"/>
        <v>2026</v>
      </c>
    </row>
    <row r="4709" spans="1:13" ht="12.75" hidden="1" customHeight="1">
      <c r="A4709" t="s">
        <v>836</v>
      </c>
      <c r="B4709" t="s">
        <v>37</v>
      </c>
      <c r="C4709" t="s">
        <v>141</v>
      </c>
      <c r="D4709" t="s">
        <v>1429</v>
      </c>
      <c r="E4709" s="17">
        <v>46122</v>
      </c>
      <c r="F4709" s="17">
        <v>46122</v>
      </c>
      <c r="G4709" s="13">
        <v>200</v>
      </c>
      <c r="H4709" s="14">
        <v>0</v>
      </c>
      <c r="I4709" s="14">
        <v>0</v>
      </c>
      <c r="J4709" s="14">
        <v>0</v>
      </c>
      <c r="K4709" s="14">
        <v>200</v>
      </c>
      <c r="L4709" t="s">
        <v>794</v>
      </c>
      <c r="M4709" s="23">
        <f t="shared" si="74"/>
        <v>2026</v>
      </c>
    </row>
    <row r="4710" spans="1:13" ht="12.75" hidden="1" customHeight="1">
      <c r="A4710" t="s">
        <v>818</v>
      </c>
      <c r="B4710" t="s">
        <v>30</v>
      </c>
      <c r="C4710" t="s">
        <v>141</v>
      </c>
      <c r="D4710" t="s">
        <v>1429</v>
      </c>
      <c r="E4710" s="17">
        <v>46122</v>
      </c>
      <c r="F4710" s="17">
        <v>46122</v>
      </c>
      <c r="G4710" s="13">
        <v>1550</v>
      </c>
      <c r="H4710" s="14">
        <v>0</v>
      </c>
      <c r="I4710" s="14">
        <v>0</v>
      </c>
      <c r="J4710" s="14">
        <v>0</v>
      </c>
      <c r="K4710" s="14">
        <v>1550</v>
      </c>
      <c r="L4710" t="s">
        <v>794</v>
      </c>
      <c r="M4710" s="23">
        <f t="shared" si="74"/>
        <v>2026</v>
      </c>
    </row>
    <row r="4711" spans="1:13" ht="12.75" hidden="1" customHeight="1">
      <c r="A4711" t="s">
        <v>811</v>
      </c>
      <c r="B4711" t="s">
        <v>39</v>
      </c>
      <c r="C4711" t="s">
        <v>141</v>
      </c>
      <c r="D4711" t="s">
        <v>1429</v>
      </c>
      <c r="E4711" s="17">
        <v>46122</v>
      </c>
      <c r="F4711" s="17">
        <v>46122</v>
      </c>
      <c r="G4711" s="13">
        <v>1660</v>
      </c>
      <c r="H4711" s="14">
        <v>0</v>
      </c>
      <c r="I4711" s="14">
        <v>0</v>
      </c>
      <c r="J4711" s="14">
        <v>0</v>
      </c>
      <c r="K4711" s="14">
        <v>1660</v>
      </c>
      <c r="L4711" t="s">
        <v>794</v>
      </c>
      <c r="M4711" s="23">
        <f t="shared" si="74"/>
        <v>2026</v>
      </c>
    </row>
    <row r="4712" spans="1:13" ht="12.75" hidden="1" customHeight="1">
      <c r="A4712" t="s">
        <v>1420</v>
      </c>
      <c r="B4712" t="s">
        <v>136</v>
      </c>
      <c r="C4712" t="s">
        <v>141</v>
      </c>
      <c r="D4712" t="s">
        <v>1429</v>
      </c>
      <c r="E4712" s="17">
        <v>46122</v>
      </c>
      <c r="F4712" s="17">
        <v>46122</v>
      </c>
      <c r="G4712" s="13">
        <v>720</v>
      </c>
      <c r="H4712" s="14">
        <v>0</v>
      </c>
      <c r="I4712" s="14">
        <v>0</v>
      </c>
      <c r="J4712" s="14">
        <v>0</v>
      </c>
      <c r="K4712" s="14">
        <v>720</v>
      </c>
      <c r="L4712" t="s">
        <v>794</v>
      </c>
      <c r="M4712" s="23">
        <f t="shared" si="74"/>
        <v>2026</v>
      </c>
    </row>
    <row r="4713" spans="1:13" ht="12.75" hidden="1" customHeight="1">
      <c r="A4713" t="s">
        <v>896</v>
      </c>
      <c r="B4713" t="s">
        <v>293</v>
      </c>
      <c r="C4713" t="s">
        <v>733</v>
      </c>
      <c r="D4713" t="s">
        <v>1429</v>
      </c>
      <c r="E4713" s="17">
        <v>46122</v>
      </c>
      <c r="F4713" s="17">
        <v>46122</v>
      </c>
      <c r="G4713" s="13">
        <v>28.98</v>
      </c>
      <c r="H4713" s="14">
        <v>0</v>
      </c>
      <c r="I4713" s="14">
        <v>0</v>
      </c>
      <c r="J4713" s="14">
        <v>0</v>
      </c>
      <c r="K4713" s="14">
        <v>28.98</v>
      </c>
      <c r="L4713" t="s">
        <v>794</v>
      </c>
      <c r="M4713" s="23">
        <f t="shared" si="74"/>
        <v>2026</v>
      </c>
    </row>
    <row r="4714" spans="1:13" ht="12.75" hidden="1" customHeight="1">
      <c r="A4714" t="s">
        <v>1413</v>
      </c>
      <c r="B4714" t="s">
        <v>592</v>
      </c>
      <c r="C4714" t="s">
        <v>733</v>
      </c>
      <c r="D4714" t="s">
        <v>1429</v>
      </c>
      <c r="E4714" s="17">
        <v>46122</v>
      </c>
      <c r="F4714" s="17">
        <v>46122</v>
      </c>
      <c r="G4714" s="13">
        <v>37.03</v>
      </c>
      <c r="H4714" s="14">
        <v>0</v>
      </c>
      <c r="I4714" s="14">
        <v>0</v>
      </c>
      <c r="J4714" s="14">
        <v>0</v>
      </c>
      <c r="K4714" s="14">
        <v>37.03</v>
      </c>
      <c r="L4714" t="s">
        <v>794</v>
      </c>
      <c r="M4714" s="23">
        <f t="shared" si="74"/>
        <v>2026</v>
      </c>
    </row>
    <row r="4715" spans="1:13" ht="12.75" hidden="1" customHeight="1">
      <c r="A4715" t="s">
        <v>818</v>
      </c>
      <c r="B4715" t="s">
        <v>30</v>
      </c>
      <c r="C4715" t="s">
        <v>141</v>
      </c>
      <c r="D4715" t="s">
        <v>1429</v>
      </c>
      <c r="E4715" s="17">
        <v>46125</v>
      </c>
      <c r="F4715" s="17">
        <v>46125</v>
      </c>
      <c r="G4715" s="13">
        <v>350</v>
      </c>
      <c r="H4715" s="14">
        <v>0</v>
      </c>
      <c r="I4715" s="14">
        <v>0</v>
      </c>
      <c r="J4715" s="14">
        <v>0</v>
      </c>
      <c r="K4715" s="14">
        <v>350</v>
      </c>
      <c r="L4715" t="s">
        <v>794</v>
      </c>
      <c r="M4715" s="23">
        <f t="shared" si="74"/>
        <v>2026</v>
      </c>
    </row>
    <row r="4716" spans="1:13" ht="12.75" hidden="1" customHeight="1">
      <c r="A4716" t="s">
        <v>1316</v>
      </c>
      <c r="B4716" t="s">
        <v>59</v>
      </c>
      <c r="C4716" t="s">
        <v>141</v>
      </c>
      <c r="D4716" t="s">
        <v>1429</v>
      </c>
      <c r="E4716" s="17">
        <v>46125</v>
      </c>
      <c r="F4716" s="17">
        <v>46125</v>
      </c>
      <c r="G4716" s="13">
        <v>110</v>
      </c>
      <c r="H4716" s="14">
        <v>0</v>
      </c>
      <c r="I4716" s="14">
        <v>0</v>
      </c>
      <c r="J4716" s="14">
        <v>0</v>
      </c>
      <c r="K4716" s="14">
        <v>110</v>
      </c>
      <c r="L4716" t="s">
        <v>794</v>
      </c>
      <c r="M4716" s="23">
        <f t="shared" si="74"/>
        <v>2026</v>
      </c>
    </row>
    <row r="4717" spans="1:13" ht="12.75" hidden="1" customHeight="1">
      <c r="A4717" t="s">
        <v>826</v>
      </c>
      <c r="B4717" t="s">
        <v>21</v>
      </c>
      <c r="C4717" t="s">
        <v>141</v>
      </c>
      <c r="D4717" t="s">
        <v>1429</v>
      </c>
      <c r="E4717" s="17">
        <v>46125</v>
      </c>
      <c r="F4717" s="17">
        <v>46125</v>
      </c>
      <c r="G4717" s="13">
        <v>2450</v>
      </c>
      <c r="H4717" s="14">
        <v>0</v>
      </c>
      <c r="I4717" s="14">
        <v>0</v>
      </c>
      <c r="J4717" s="14">
        <v>0</v>
      </c>
      <c r="K4717" s="14">
        <v>2450</v>
      </c>
      <c r="L4717" t="s">
        <v>794</v>
      </c>
      <c r="M4717" s="23">
        <f t="shared" si="74"/>
        <v>2026</v>
      </c>
    </row>
    <row r="4718" spans="1:13" ht="12.75" hidden="1" customHeight="1">
      <c r="A4718" t="s">
        <v>1317</v>
      </c>
      <c r="B4718" t="s">
        <v>64</v>
      </c>
      <c r="C4718" t="s">
        <v>141</v>
      </c>
      <c r="D4718" t="s">
        <v>1429</v>
      </c>
      <c r="E4718" s="17">
        <v>46125</v>
      </c>
      <c r="F4718" s="17">
        <v>46125</v>
      </c>
      <c r="G4718" s="13">
        <v>110</v>
      </c>
      <c r="H4718" s="14">
        <v>0</v>
      </c>
      <c r="I4718" s="14">
        <v>0</v>
      </c>
      <c r="J4718" s="14">
        <v>0</v>
      </c>
      <c r="K4718" s="14">
        <v>110</v>
      </c>
      <c r="L4718" t="s">
        <v>794</v>
      </c>
      <c r="M4718" s="23">
        <f t="shared" si="74"/>
        <v>2026</v>
      </c>
    </row>
    <row r="4719" spans="1:13" ht="12.75" hidden="1" customHeight="1">
      <c r="A4719" t="s">
        <v>906</v>
      </c>
      <c r="B4719" t="s">
        <v>289</v>
      </c>
      <c r="C4719" t="s">
        <v>681</v>
      </c>
      <c r="D4719" t="s">
        <v>1429</v>
      </c>
      <c r="E4719" s="17">
        <v>46125</v>
      </c>
      <c r="F4719" s="17">
        <v>46125</v>
      </c>
      <c r="G4719" s="13">
        <v>28</v>
      </c>
      <c r="H4719" s="14">
        <v>0</v>
      </c>
      <c r="I4719" s="14">
        <v>0</v>
      </c>
      <c r="J4719" s="14">
        <v>0</v>
      </c>
      <c r="K4719" s="14">
        <v>28</v>
      </c>
      <c r="L4719" t="s">
        <v>794</v>
      </c>
      <c r="M4719" s="23">
        <f t="shared" si="74"/>
        <v>2026</v>
      </c>
    </row>
    <row r="4720" spans="1:13" ht="12.75" hidden="1" customHeight="1">
      <c r="A4720" t="s">
        <v>907</v>
      </c>
      <c r="B4720" t="s">
        <v>291</v>
      </c>
      <c r="C4720" t="s">
        <v>483</v>
      </c>
      <c r="D4720" t="s">
        <v>1429</v>
      </c>
      <c r="E4720" s="17">
        <v>46127</v>
      </c>
      <c r="F4720" s="17">
        <v>46127</v>
      </c>
      <c r="G4720" s="13">
        <v>8.1999999999999993</v>
      </c>
      <c r="H4720" s="14">
        <v>0</v>
      </c>
      <c r="I4720" s="14">
        <v>0</v>
      </c>
      <c r="J4720" s="14">
        <v>0</v>
      </c>
      <c r="K4720" s="14">
        <v>8.1999999999999993</v>
      </c>
      <c r="L4720" t="s">
        <v>794</v>
      </c>
      <c r="M4720" s="23">
        <f t="shared" si="74"/>
        <v>2026</v>
      </c>
    </row>
    <row r="4721" spans="1:13" ht="12.75" hidden="1" customHeight="1">
      <c r="A4721" t="s">
        <v>1479</v>
      </c>
      <c r="B4721" t="s">
        <v>609</v>
      </c>
      <c r="C4721" t="s">
        <v>141</v>
      </c>
      <c r="D4721" t="s">
        <v>1429</v>
      </c>
      <c r="E4721" s="17">
        <v>46127</v>
      </c>
      <c r="F4721" s="17">
        <v>46127</v>
      </c>
      <c r="G4721" s="13">
        <v>50</v>
      </c>
      <c r="H4721" s="14">
        <v>0</v>
      </c>
      <c r="I4721" s="14">
        <v>0</v>
      </c>
      <c r="J4721" s="14">
        <v>0</v>
      </c>
      <c r="K4721" s="14">
        <v>50</v>
      </c>
      <c r="L4721" t="s">
        <v>794</v>
      </c>
      <c r="M4721" s="23">
        <f t="shared" si="74"/>
        <v>2026</v>
      </c>
    </row>
    <row r="4722" spans="1:13" ht="12.75" hidden="1" customHeight="1">
      <c r="A4722" t="s">
        <v>1480</v>
      </c>
      <c r="B4722" t="s">
        <v>506</v>
      </c>
      <c r="C4722" t="s">
        <v>141</v>
      </c>
      <c r="D4722" t="s">
        <v>1429</v>
      </c>
      <c r="E4722" s="17">
        <v>46127</v>
      </c>
      <c r="F4722" s="17">
        <v>46127</v>
      </c>
      <c r="G4722" s="13">
        <v>50</v>
      </c>
      <c r="H4722" s="14">
        <v>0</v>
      </c>
      <c r="I4722" s="14">
        <v>0</v>
      </c>
      <c r="J4722" s="14">
        <v>0</v>
      </c>
      <c r="K4722" s="14">
        <v>50</v>
      </c>
      <c r="L4722" t="s">
        <v>794</v>
      </c>
      <c r="M4722" s="23">
        <f t="shared" si="74"/>
        <v>2026</v>
      </c>
    </row>
    <row r="4723" spans="1:13" ht="12.75" hidden="1" customHeight="1">
      <c r="A4723" t="s">
        <v>852</v>
      </c>
      <c r="B4723" t="s">
        <v>342</v>
      </c>
      <c r="C4723" t="s">
        <v>483</v>
      </c>
      <c r="D4723" t="s">
        <v>1429</v>
      </c>
      <c r="E4723" s="17">
        <v>46127</v>
      </c>
      <c r="F4723" s="17">
        <v>46127</v>
      </c>
      <c r="G4723" s="13">
        <v>5.5</v>
      </c>
      <c r="H4723" s="14">
        <v>0</v>
      </c>
      <c r="I4723" s="14">
        <v>0</v>
      </c>
      <c r="J4723" s="14">
        <v>0</v>
      </c>
      <c r="K4723" s="14">
        <v>5.5</v>
      </c>
      <c r="L4723" t="s">
        <v>794</v>
      </c>
      <c r="M4723" s="23">
        <f t="shared" si="74"/>
        <v>2026</v>
      </c>
    </row>
    <row r="4724" spans="1:13" ht="12.75" hidden="1" customHeight="1">
      <c r="A4724" t="s">
        <v>852</v>
      </c>
      <c r="B4724" t="s">
        <v>342</v>
      </c>
      <c r="C4724" t="s">
        <v>483</v>
      </c>
      <c r="D4724" t="s">
        <v>1429</v>
      </c>
      <c r="E4724" s="17">
        <v>46127</v>
      </c>
      <c r="F4724" s="17">
        <v>46127</v>
      </c>
      <c r="G4724" s="13">
        <v>77.86</v>
      </c>
      <c r="H4724" s="14">
        <v>0</v>
      </c>
      <c r="I4724" s="14">
        <v>0</v>
      </c>
      <c r="J4724" s="14">
        <v>0</v>
      </c>
      <c r="K4724" s="14">
        <v>77.86</v>
      </c>
      <c r="L4724" t="s">
        <v>794</v>
      </c>
      <c r="M4724" s="23">
        <f t="shared" si="74"/>
        <v>2026</v>
      </c>
    </row>
    <row r="4725" spans="1:13" ht="12.75" hidden="1" customHeight="1">
      <c r="A4725" t="s">
        <v>907</v>
      </c>
      <c r="B4725" t="s">
        <v>291</v>
      </c>
      <c r="C4725" t="s">
        <v>483</v>
      </c>
      <c r="D4725" t="s">
        <v>1429</v>
      </c>
      <c r="E4725" s="17">
        <v>46129</v>
      </c>
      <c r="F4725" s="17">
        <v>46129</v>
      </c>
      <c r="G4725" s="13">
        <v>23.63</v>
      </c>
      <c r="H4725" s="14">
        <v>0</v>
      </c>
      <c r="I4725" s="14">
        <v>0</v>
      </c>
      <c r="J4725" s="14">
        <v>0</v>
      </c>
      <c r="K4725" s="14">
        <v>23.63</v>
      </c>
      <c r="L4725" t="s">
        <v>794</v>
      </c>
      <c r="M4725" s="23">
        <f t="shared" si="74"/>
        <v>2026</v>
      </c>
    </row>
    <row r="4726" spans="1:13" ht="12.75" hidden="1" customHeight="1">
      <c r="A4726" t="s">
        <v>818</v>
      </c>
      <c r="B4726" t="s">
        <v>30</v>
      </c>
      <c r="C4726" t="s">
        <v>141</v>
      </c>
      <c r="D4726" t="s">
        <v>1429</v>
      </c>
      <c r="E4726" s="17">
        <v>46129</v>
      </c>
      <c r="F4726" s="17">
        <v>46129</v>
      </c>
      <c r="G4726" s="13">
        <v>180</v>
      </c>
      <c r="H4726" s="14">
        <v>0</v>
      </c>
      <c r="I4726" s="14">
        <v>0</v>
      </c>
      <c r="J4726" s="14">
        <v>0</v>
      </c>
      <c r="K4726" s="14">
        <v>180</v>
      </c>
      <c r="L4726" t="s">
        <v>794</v>
      </c>
      <c r="M4726" s="23">
        <f t="shared" si="74"/>
        <v>2026</v>
      </c>
    </row>
    <row r="4727" spans="1:13" ht="12.75" hidden="1" customHeight="1">
      <c r="A4727" t="s">
        <v>1481</v>
      </c>
      <c r="B4727" t="s">
        <v>589</v>
      </c>
      <c r="C4727" t="s">
        <v>745</v>
      </c>
      <c r="D4727" t="s">
        <v>1429</v>
      </c>
      <c r="E4727" s="17">
        <v>46130</v>
      </c>
      <c r="F4727" s="17">
        <v>46130</v>
      </c>
      <c r="G4727" s="13">
        <v>60</v>
      </c>
      <c r="H4727" s="14">
        <v>0</v>
      </c>
      <c r="I4727" s="14">
        <v>0</v>
      </c>
      <c r="J4727" s="14">
        <v>0</v>
      </c>
      <c r="K4727" s="14">
        <v>60</v>
      </c>
      <c r="L4727" t="s">
        <v>794</v>
      </c>
      <c r="M4727" s="23">
        <f t="shared" si="74"/>
        <v>2026</v>
      </c>
    </row>
    <row r="4728" spans="1:13" ht="12.75" hidden="1" customHeight="1">
      <c r="A4728" t="s">
        <v>1446</v>
      </c>
      <c r="B4728" t="s">
        <v>167</v>
      </c>
      <c r="C4728" t="s">
        <v>141</v>
      </c>
      <c r="D4728" t="s">
        <v>1429</v>
      </c>
      <c r="E4728" s="17">
        <v>46132</v>
      </c>
      <c r="F4728" s="17">
        <v>46132</v>
      </c>
      <c r="G4728" s="13">
        <v>40</v>
      </c>
      <c r="H4728" s="14">
        <v>0</v>
      </c>
      <c r="I4728" s="14">
        <v>0</v>
      </c>
      <c r="J4728" s="14">
        <v>0</v>
      </c>
      <c r="K4728" s="14">
        <v>40</v>
      </c>
      <c r="L4728" t="s">
        <v>794</v>
      </c>
      <c r="M4728" s="23">
        <f t="shared" si="74"/>
        <v>2026</v>
      </c>
    </row>
    <row r="4729" spans="1:13" ht="12.75" hidden="1" customHeight="1">
      <c r="A4729" t="s">
        <v>1316</v>
      </c>
      <c r="B4729" t="s">
        <v>59</v>
      </c>
      <c r="C4729" t="s">
        <v>141</v>
      </c>
      <c r="D4729" t="s">
        <v>1429</v>
      </c>
      <c r="E4729" s="17">
        <v>46132</v>
      </c>
      <c r="F4729" s="17">
        <v>46132</v>
      </c>
      <c r="G4729" s="13">
        <v>220</v>
      </c>
      <c r="H4729" s="14">
        <v>0</v>
      </c>
      <c r="I4729" s="14">
        <v>0</v>
      </c>
      <c r="J4729" s="14">
        <v>0</v>
      </c>
      <c r="K4729" s="14">
        <v>220</v>
      </c>
      <c r="L4729" t="s">
        <v>794</v>
      </c>
      <c r="M4729" s="23">
        <f t="shared" si="74"/>
        <v>2026</v>
      </c>
    </row>
    <row r="4730" spans="1:13" ht="12.75" hidden="1" customHeight="1">
      <c r="A4730" t="s">
        <v>1062</v>
      </c>
      <c r="B4730" t="s">
        <v>335</v>
      </c>
      <c r="C4730" t="s">
        <v>141</v>
      </c>
      <c r="D4730" t="s">
        <v>1429</v>
      </c>
      <c r="E4730" s="17">
        <v>46132</v>
      </c>
      <c r="F4730" s="17">
        <v>46132</v>
      </c>
      <c r="G4730" s="13">
        <v>40</v>
      </c>
      <c r="H4730" s="14">
        <v>0</v>
      </c>
      <c r="I4730" s="14">
        <v>0</v>
      </c>
      <c r="J4730" s="14">
        <v>0</v>
      </c>
      <c r="K4730" s="14">
        <v>40</v>
      </c>
      <c r="L4730" t="s">
        <v>794</v>
      </c>
      <c r="M4730" s="23">
        <f t="shared" si="74"/>
        <v>2026</v>
      </c>
    </row>
    <row r="4731" spans="1:13" ht="12.75" hidden="1" customHeight="1">
      <c r="A4731" t="s">
        <v>818</v>
      </c>
      <c r="B4731" t="s">
        <v>30</v>
      </c>
      <c r="C4731" t="s">
        <v>141</v>
      </c>
      <c r="D4731" t="s">
        <v>1429</v>
      </c>
      <c r="E4731" s="17">
        <v>46132</v>
      </c>
      <c r="F4731" s="17">
        <v>46132</v>
      </c>
      <c r="G4731" s="13">
        <v>40</v>
      </c>
      <c r="H4731" s="14">
        <v>0</v>
      </c>
      <c r="I4731" s="14">
        <v>0</v>
      </c>
      <c r="J4731" s="14">
        <v>0</v>
      </c>
      <c r="K4731" s="14">
        <v>40</v>
      </c>
      <c r="L4731" t="s">
        <v>794</v>
      </c>
      <c r="M4731" s="23">
        <f t="shared" si="74"/>
        <v>2026</v>
      </c>
    </row>
    <row r="4732" spans="1:13" ht="12.75" hidden="1" customHeight="1">
      <c r="A4732" t="s">
        <v>1317</v>
      </c>
      <c r="B4732" t="s">
        <v>64</v>
      </c>
      <c r="C4732" t="s">
        <v>141</v>
      </c>
      <c r="D4732" t="s">
        <v>1429</v>
      </c>
      <c r="E4732" s="17">
        <v>46132</v>
      </c>
      <c r="F4732" s="17">
        <v>46132</v>
      </c>
      <c r="G4732" s="13">
        <v>40</v>
      </c>
      <c r="H4732" s="14">
        <v>0</v>
      </c>
      <c r="I4732" s="14">
        <v>0</v>
      </c>
      <c r="J4732" s="14">
        <v>0</v>
      </c>
      <c r="K4732" s="14">
        <v>40</v>
      </c>
      <c r="L4732" t="s">
        <v>794</v>
      </c>
      <c r="M4732" s="23">
        <f t="shared" si="74"/>
        <v>2026</v>
      </c>
    </row>
    <row r="4733" spans="1:13" ht="12.75" hidden="1" customHeight="1">
      <c r="A4733" t="s">
        <v>981</v>
      </c>
      <c r="B4733" t="s">
        <v>55</v>
      </c>
      <c r="C4733" t="s">
        <v>738</v>
      </c>
      <c r="D4733" t="s">
        <v>1429</v>
      </c>
      <c r="E4733" s="17">
        <v>46134</v>
      </c>
      <c r="F4733" s="17">
        <v>46134</v>
      </c>
      <c r="G4733" s="13">
        <v>100</v>
      </c>
      <c r="H4733" s="14">
        <v>0</v>
      </c>
      <c r="I4733" s="14">
        <v>0</v>
      </c>
      <c r="J4733" s="14">
        <v>0</v>
      </c>
      <c r="K4733" s="14">
        <v>100</v>
      </c>
      <c r="L4733" t="s">
        <v>794</v>
      </c>
      <c r="M4733" s="23">
        <f t="shared" si="74"/>
        <v>2026</v>
      </c>
    </row>
    <row r="4734" spans="1:13" ht="12.75" hidden="1" customHeight="1">
      <c r="A4734" t="s">
        <v>1173</v>
      </c>
      <c r="B4734" t="s">
        <v>45</v>
      </c>
      <c r="C4734" t="s">
        <v>599</v>
      </c>
      <c r="D4734" t="s">
        <v>1429</v>
      </c>
      <c r="E4734" s="17">
        <v>46135</v>
      </c>
      <c r="F4734" s="17">
        <v>46135</v>
      </c>
      <c r="G4734" s="13">
        <v>100</v>
      </c>
      <c r="H4734" s="14">
        <v>0</v>
      </c>
      <c r="I4734" s="14">
        <v>0</v>
      </c>
      <c r="J4734" s="14">
        <v>0</v>
      </c>
      <c r="K4734" s="14">
        <v>100</v>
      </c>
      <c r="L4734" t="s">
        <v>794</v>
      </c>
      <c r="M4734" s="23">
        <f t="shared" si="74"/>
        <v>2026</v>
      </c>
    </row>
    <row r="4735" spans="1:13" ht="12.75" hidden="1" customHeight="1">
      <c r="A4735" t="s">
        <v>921</v>
      </c>
      <c r="B4735" t="s">
        <v>184</v>
      </c>
      <c r="C4735" t="s">
        <v>646</v>
      </c>
      <c r="D4735" t="s">
        <v>1429</v>
      </c>
      <c r="E4735" s="17">
        <v>46135</v>
      </c>
      <c r="F4735" s="17">
        <v>46135</v>
      </c>
      <c r="G4735" s="13">
        <v>91.960000000000008</v>
      </c>
      <c r="H4735" s="14">
        <v>0</v>
      </c>
      <c r="I4735" s="14">
        <v>0</v>
      </c>
      <c r="J4735" s="14">
        <v>0</v>
      </c>
      <c r="K4735" s="14">
        <v>91.960000000000008</v>
      </c>
      <c r="L4735" t="s">
        <v>794</v>
      </c>
      <c r="M4735" s="23">
        <f t="shared" si="74"/>
        <v>2026</v>
      </c>
    </row>
    <row r="4736" spans="1:13" ht="12.75" hidden="1" customHeight="1">
      <c r="A4736" t="s">
        <v>921</v>
      </c>
      <c r="B4736" t="s">
        <v>184</v>
      </c>
      <c r="C4736" t="s">
        <v>646</v>
      </c>
      <c r="D4736" t="s">
        <v>1429</v>
      </c>
      <c r="E4736" s="17">
        <v>46135</v>
      </c>
      <c r="F4736" s="17">
        <v>46135</v>
      </c>
      <c r="G4736" s="13">
        <v>39</v>
      </c>
      <c r="H4736" s="14">
        <v>0</v>
      </c>
      <c r="I4736" s="14">
        <v>0</v>
      </c>
      <c r="J4736" s="14">
        <v>0</v>
      </c>
      <c r="K4736" s="14">
        <v>39</v>
      </c>
      <c r="L4736" t="s">
        <v>794</v>
      </c>
      <c r="M4736" s="23">
        <f t="shared" si="74"/>
        <v>2026</v>
      </c>
    </row>
    <row r="4737" spans="1:13" ht="12.75" hidden="1" customHeight="1">
      <c r="A4737" t="s">
        <v>907</v>
      </c>
      <c r="B4737" t="s">
        <v>291</v>
      </c>
      <c r="C4737" t="s">
        <v>483</v>
      </c>
      <c r="D4737" t="s">
        <v>1429</v>
      </c>
      <c r="E4737" s="17">
        <v>46136</v>
      </c>
      <c r="F4737" s="17">
        <v>46136</v>
      </c>
      <c r="G4737" s="13">
        <v>15.3</v>
      </c>
      <c r="H4737" s="14">
        <v>0</v>
      </c>
      <c r="I4737" s="14">
        <v>0</v>
      </c>
      <c r="J4737" s="14">
        <v>0</v>
      </c>
      <c r="K4737" s="14">
        <v>15.3</v>
      </c>
      <c r="L4737" t="s">
        <v>794</v>
      </c>
      <c r="M4737" s="23">
        <f t="shared" si="74"/>
        <v>2026</v>
      </c>
    </row>
    <row r="4738" spans="1:13" ht="12.75" hidden="1" customHeight="1">
      <c r="A4738" t="s">
        <v>906</v>
      </c>
      <c r="B4738" t="s">
        <v>289</v>
      </c>
      <c r="C4738" t="s">
        <v>483</v>
      </c>
      <c r="D4738" t="s">
        <v>1429</v>
      </c>
      <c r="E4738" s="17">
        <v>46136</v>
      </c>
      <c r="F4738" s="17">
        <v>46136</v>
      </c>
      <c r="G4738" s="13">
        <v>40</v>
      </c>
      <c r="H4738" s="14">
        <v>0</v>
      </c>
      <c r="I4738" s="14">
        <v>0</v>
      </c>
      <c r="J4738" s="14">
        <v>0</v>
      </c>
      <c r="K4738" s="14">
        <v>40</v>
      </c>
      <c r="L4738" t="s">
        <v>794</v>
      </c>
      <c r="M4738" s="23">
        <f t="shared" si="74"/>
        <v>2026</v>
      </c>
    </row>
    <row r="4739" spans="1:13" ht="12.75" hidden="1" customHeight="1">
      <c r="A4739" t="s">
        <v>921</v>
      </c>
      <c r="B4739" t="s">
        <v>184</v>
      </c>
      <c r="C4739" t="s">
        <v>646</v>
      </c>
      <c r="D4739" t="s">
        <v>1429</v>
      </c>
      <c r="E4739" s="17">
        <v>46137</v>
      </c>
      <c r="F4739" s="17">
        <v>46137</v>
      </c>
      <c r="G4739" s="13">
        <v>125</v>
      </c>
      <c r="H4739" s="14">
        <v>0</v>
      </c>
      <c r="I4739" s="14">
        <v>0</v>
      </c>
      <c r="J4739" s="14">
        <v>0</v>
      </c>
      <c r="K4739" s="14">
        <v>125</v>
      </c>
      <c r="L4739" t="s">
        <v>794</v>
      </c>
      <c r="M4739" s="23">
        <f t="shared" si="74"/>
        <v>2026</v>
      </c>
    </row>
    <row r="4740" spans="1:13" ht="12.75" hidden="1" customHeight="1">
      <c r="A4740" t="s">
        <v>818</v>
      </c>
      <c r="B4740" t="s">
        <v>30</v>
      </c>
      <c r="C4740" t="s">
        <v>141</v>
      </c>
      <c r="D4740" t="s">
        <v>1429</v>
      </c>
      <c r="E4740" s="17">
        <v>46137</v>
      </c>
      <c r="F4740" s="17">
        <v>46137</v>
      </c>
      <c r="G4740" s="13">
        <v>200</v>
      </c>
      <c r="H4740" s="14">
        <v>0</v>
      </c>
      <c r="I4740" s="14">
        <v>0</v>
      </c>
      <c r="J4740" s="14">
        <v>0</v>
      </c>
      <c r="K4740" s="14">
        <v>200</v>
      </c>
      <c r="L4740" t="s">
        <v>794</v>
      </c>
      <c r="M4740" s="23">
        <f t="shared" si="74"/>
        <v>2026</v>
      </c>
    </row>
    <row r="4741" spans="1:13" ht="12.75" hidden="1" customHeight="1">
      <c r="A4741" t="s">
        <v>1446</v>
      </c>
      <c r="B4741" t="s">
        <v>167</v>
      </c>
      <c r="C4741" t="s">
        <v>141</v>
      </c>
      <c r="D4741" t="s">
        <v>1429</v>
      </c>
      <c r="E4741" s="17">
        <v>46139</v>
      </c>
      <c r="F4741" s="17">
        <v>46139</v>
      </c>
      <c r="G4741" s="13">
        <v>100</v>
      </c>
      <c r="H4741" s="14">
        <v>0</v>
      </c>
      <c r="I4741" s="14">
        <v>0</v>
      </c>
      <c r="J4741" s="14">
        <v>0</v>
      </c>
      <c r="K4741" s="14">
        <v>100</v>
      </c>
      <c r="L4741" t="s">
        <v>794</v>
      </c>
      <c r="M4741" s="23">
        <f t="shared" si="74"/>
        <v>2026</v>
      </c>
    </row>
    <row r="4742" spans="1:13" ht="12.75" hidden="1" customHeight="1">
      <c r="A4742" t="s">
        <v>1317</v>
      </c>
      <c r="B4742" t="s">
        <v>64</v>
      </c>
      <c r="C4742" t="s">
        <v>141</v>
      </c>
      <c r="D4742" t="s">
        <v>1429</v>
      </c>
      <c r="E4742" s="17">
        <v>46139</v>
      </c>
      <c r="F4742" s="17">
        <v>46139</v>
      </c>
      <c r="G4742" s="13">
        <v>40</v>
      </c>
      <c r="H4742" s="14">
        <v>0</v>
      </c>
      <c r="I4742" s="14">
        <v>0</v>
      </c>
      <c r="J4742" s="14">
        <v>0</v>
      </c>
      <c r="K4742" s="14">
        <v>40</v>
      </c>
      <c r="L4742" t="s">
        <v>794</v>
      </c>
      <c r="M4742" s="23">
        <f t="shared" si="74"/>
        <v>2026</v>
      </c>
    </row>
    <row r="4743" spans="1:13" ht="12.75" hidden="1" customHeight="1">
      <c r="A4743" t="s">
        <v>921</v>
      </c>
      <c r="B4743" t="s">
        <v>184</v>
      </c>
      <c r="C4743" t="s">
        <v>483</v>
      </c>
      <c r="D4743" t="s">
        <v>1429</v>
      </c>
      <c r="E4743" s="17">
        <v>46139</v>
      </c>
      <c r="F4743" s="17">
        <v>46139</v>
      </c>
      <c r="G4743" s="13">
        <v>30.2</v>
      </c>
      <c r="H4743" s="14">
        <v>0</v>
      </c>
      <c r="I4743" s="14">
        <v>0</v>
      </c>
      <c r="J4743" s="14">
        <v>0</v>
      </c>
      <c r="K4743" s="14">
        <v>30.2</v>
      </c>
      <c r="L4743" t="s">
        <v>794</v>
      </c>
      <c r="M4743" s="23">
        <f t="shared" si="74"/>
        <v>2026</v>
      </c>
    </row>
    <row r="4744" spans="1:13" ht="12.75" hidden="1" customHeight="1">
      <c r="A4744" t="s">
        <v>906</v>
      </c>
      <c r="B4744" t="s">
        <v>289</v>
      </c>
      <c r="C4744" t="s">
        <v>483</v>
      </c>
      <c r="D4744" t="s">
        <v>1429</v>
      </c>
      <c r="E4744" s="17">
        <v>46139</v>
      </c>
      <c r="F4744" s="17">
        <v>46139</v>
      </c>
      <c r="G4744" s="13">
        <v>52</v>
      </c>
      <c r="H4744" s="14">
        <v>0</v>
      </c>
      <c r="I4744" s="14">
        <v>0</v>
      </c>
      <c r="J4744" s="14">
        <v>0</v>
      </c>
      <c r="K4744" s="14">
        <v>52</v>
      </c>
      <c r="L4744" t="s">
        <v>794</v>
      </c>
      <c r="M4744" s="23">
        <f t="shared" si="74"/>
        <v>2026</v>
      </c>
    </row>
    <row r="4745" spans="1:13" ht="12.75" hidden="1" customHeight="1">
      <c r="A4745" t="s">
        <v>1316</v>
      </c>
      <c r="B4745" t="s">
        <v>59</v>
      </c>
      <c r="C4745" t="s">
        <v>141</v>
      </c>
      <c r="D4745" t="s">
        <v>1429</v>
      </c>
      <c r="E4745" s="17">
        <v>46139</v>
      </c>
      <c r="F4745" s="17">
        <v>46139</v>
      </c>
      <c r="G4745" s="13">
        <v>40</v>
      </c>
      <c r="H4745" s="14">
        <v>0</v>
      </c>
      <c r="I4745" s="14">
        <v>0</v>
      </c>
      <c r="J4745" s="14">
        <v>0</v>
      </c>
      <c r="K4745" s="14">
        <v>40</v>
      </c>
      <c r="L4745" t="s">
        <v>794</v>
      </c>
      <c r="M4745" s="23">
        <f t="shared" si="74"/>
        <v>2026</v>
      </c>
    </row>
    <row r="4746" spans="1:13" ht="12.75" hidden="1" customHeight="1">
      <c r="A4746" t="s">
        <v>1121</v>
      </c>
      <c r="B4746" t="s">
        <v>295</v>
      </c>
      <c r="C4746" t="s">
        <v>142</v>
      </c>
      <c r="D4746" t="s">
        <v>1429</v>
      </c>
      <c r="E4746" s="17">
        <v>46140</v>
      </c>
      <c r="F4746" s="17">
        <v>46140</v>
      </c>
      <c r="G4746" s="13">
        <v>40</v>
      </c>
      <c r="H4746" s="14">
        <v>0</v>
      </c>
      <c r="I4746" s="14">
        <v>0</v>
      </c>
      <c r="J4746" s="14">
        <v>0</v>
      </c>
      <c r="K4746" s="14">
        <v>40</v>
      </c>
      <c r="L4746" t="s">
        <v>794</v>
      </c>
      <c r="M4746" s="23">
        <f t="shared" si="74"/>
        <v>2026</v>
      </c>
    </row>
    <row r="4747" spans="1:13" ht="12.75" hidden="1" customHeight="1">
      <c r="A4747" t="s">
        <v>1121</v>
      </c>
      <c r="B4747" t="s">
        <v>295</v>
      </c>
      <c r="C4747" t="s">
        <v>142</v>
      </c>
      <c r="D4747" t="s">
        <v>1429</v>
      </c>
      <c r="E4747" s="17">
        <v>46141</v>
      </c>
      <c r="F4747" s="17">
        <v>46141</v>
      </c>
      <c r="G4747" s="13">
        <v>40</v>
      </c>
      <c r="H4747" s="14">
        <v>0</v>
      </c>
      <c r="I4747" s="14">
        <v>0</v>
      </c>
      <c r="J4747" s="14">
        <v>0</v>
      </c>
      <c r="K4747" s="14">
        <v>40</v>
      </c>
      <c r="L4747" t="s">
        <v>794</v>
      </c>
      <c r="M4747" s="23">
        <f t="shared" si="74"/>
        <v>2026</v>
      </c>
    </row>
    <row r="4748" spans="1:13" ht="12.75" hidden="1" customHeight="1">
      <c r="A4748" t="s">
        <v>1482</v>
      </c>
      <c r="B4748" t="s">
        <v>394</v>
      </c>
      <c r="C4748" t="s">
        <v>140</v>
      </c>
      <c r="D4748" t="s">
        <v>1429</v>
      </c>
      <c r="E4748" s="17">
        <v>46141</v>
      </c>
      <c r="F4748" s="17">
        <v>46141</v>
      </c>
      <c r="G4748" s="13">
        <v>12.02</v>
      </c>
      <c r="H4748" s="14">
        <v>0</v>
      </c>
      <c r="I4748" s="14">
        <v>0</v>
      </c>
      <c r="J4748" s="14">
        <v>0</v>
      </c>
      <c r="K4748" s="14">
        <v>12.200000000000001</v>
      </c>
      <c r="L4748" t="s">
        <v>794</v>
      </c>
      <c r="M4748" s="23">
        <f t="shared" si="74"/>
        <v>2026</v>
      </c>
    </row>
    <row r="4749" spans="1:13" ht="12.75" hidden="1" customHeight="1">
      <c r="A4749" t="s">
        <v>921</v>
      </c>
      <c r="B4749" t="s">
        <v>184</v>
      </c>
      <c r="C4749" t="s">
        <v>483</v>
      </c>
      <c r="D4749" t="s">
        <v>1429</v>
      </c>
      <c r="E4749" s="17">
        <v>46142</v>
      </c>
      <c r="F4749" s="17">
        <v>46142</v>
      </c>
      <c r="G4749" s="13">
        <v>219.9</v>
      </c>
      <c r="H4749" s="14">
        <v>0</v>
      </c>
      <c r="I4749" s="14">
        <v>0</v>
      </c>
      <c r="J4749" s="14">
        <v>0</v>
      </c>
      <c r="K4749" s="14">
        <v>219.9</v>
      </c>
      <c r="L4749" t="s">
        <v>794</v>
      </c>
      <c r="M4749" s="23">
        <f t="shared" si="74"/>
        <v>2026</v>
      </c>
    </row>
    <row r="4750" spans="1:13" ht="12.75" hidden="1" customHeight="1">
      <c r="A4750" t="s">
        <v>907</v>
      </c>
      <c r="B4750" t="s">
        <v>291</v>
      </c>
      <c r="C4750" t="s">
        <v>483</v>
      </c>
      <c r="D4750" t="s">
        <v>1429</v>
      </c>
      <c r="E4750" s="17">
        <v>46142</v>
      </c>
      <c r="F4750" s="17">
        <v>46142</v>
      </c>
      <c r="G4750" s="13">
        <v>19.350000000000001</v>
      </c>
      <c r="H4750" s="14">
        <v>0</v>
      </c>
      <c r="I4750" s="14">
        <v>0</v>
      </c>
      <c r="J4750" s="14">
        <v>0</v>
      </c>
      <c r="K4750" s="14">
        <v>19.350000000000001</v>
      </c>
      <c r="L4750" t="s">
        <v>794</v>
      </c>
      <c r="M4750" s="23">
        <f t="shared" si="74"/>
        <v>2026</v>
      </c>
    </row>
    <row r="4751" spans="1:13" ht="12.75" hidden="1" customHeight="1">
      <c r="A4751" t="s">
        <v>1108</v>
      </c>
      <c r="B4751" t="s">
        <v>328</v>
      </c>
      <c r="C4751" t="s">
        <v>483</v>
      </c>
      <c r="D4751" t="s">
        <v>1429</v>
      </c>
      <c r="E4751" s="17">
        <v>46142</v>
      </c>
      <c r="F4751" s="17">
        <v>46142</v>
      </c>
      <c r="G4751" s="13">
        <v>38.369999999999997</v>
      </c>
      <c r="H4751" s="14">
        <v>0</v>
      </c>
      <c r="I4751" s="14">
        <v>0</v>
      </c>
      <c r="J4751" s="14">
        <v>0</v>
      </c>
      <c r="K4751" s="14">
        <v>38.369999999999997</v>
      </c>
      <c r="L4751" t="s">
        <v>794</v>
      </c>
      <c r="M4751" s="23">
        <f t="shared" si="74"/>
        <v>2026</v>
      </c>
    </row>
    <row r="4752" spans="1:13" ht="12.75" hidden="1" customHeight="1">
      <c r="A4752" t="s">
        <v>992</v>
      </c>
      <c r="B4752" t="s">
        <v>277</v>
      </c>
      <c r="C4752" t="s">
        <v>99</v>
      </c>
      <c r="D4752" t="s">
        <v>1429</v>
      </c>
      <c r="E4752" s="17">
        <v>46142</v>
      </c>
      <c r="F4752" s="17">
        <v>46142</v>
      </c>
      <c r="G4752" s="13">
        <v>29.900000000000002</v>
      </c>
      <c r="H4752" s="14">
        <v>0</v>
      </c>
      <c r="I4752" s="14">
        <v>0</v>
      </c>
      <c r="J4752" s="14">
        <v>0</v>
      </c>
      <c r="K4752" s="14">
        <v>29.900000000000002</v>
      </c>
      <c r="L4752" t="s">
        <v>794</v>
      </c>
      <c r="M4752" s="23">
        <f t="shared" si="74"/>
        <v>2026</v>
      </c>
    </row>
    <row r="4753" spans="1:13" ht="12.75" hidden="1" customHeight="1">
      <c r="A4753" t="s">
        <v>1313</v>
      </c>
      <c r="B4753" t="s">
        <v>362</v>
      </c>
      <c r="C4753" t="s">
        <v>558</v>
      </c>
      <c r="D4753" t="s">
        <v>1429</v>
      </c>
      <c r="E4753" s="17">
        <v>46142</v>
      </c>
      <c r="F4753" s="17">
        <v>46142</v>
      </c>
      <c r="G4753" s="13">
        <v>8.25</v>
      </c>
      <c r="H4753" s="14">
        <v>0</v>
      </c>
      <c r="I4753" s="14">
        <v>0</v>
      </c>
      <c r="J4753" s="14">
        <v>0</v>
      </c>
      <c r="K4753" s="14">
        <v>8.25</v>
      </c>
      <c r="L4753" t="s">
        <v>794</v>
      </c>
      <c r="M4753" s="23">
        <f t="shared" si="74"/>
        <v>2026</v>
      </c>
    </row>
    <row r="4754" spans="1:13" ht="12.75" hidden="1" customHeight="1">
      <c r="A4754" t="s">
        <v>799</v>
      </c>
      <c r="B4754" t="s">
        <v>24</v>
      </c>
      <c r="C4754" t="s">
        <v>138</v>
      </c>
      <c r="D4754" t="s">
        <v>1429</v>
      </c>
      <c r="E4754" s="17">
        <v>46113</v>
      </c>
      <c r="F4754" s="17">
        <v>46113</v>
      </c>
      <c r="G4754" s="13">
        <v>3353.41</v>
      </c>
      <c r="H4754" s="14">
        <v>0</v>
      </c>
      <c r="I4754" s="14">
        <v>0</v>
      </c>
      <c r="J4754" s="14">
        <v>0</v>
      </c>
      <c r="K4754" s="14">
        <v>3353.41</v>
      </c>
      <c r="L4754" t="s">
        <v>794</v>
      </c>
      <c r="M4754" s="23">
        <f t="shared" si="74"/>
        <v>2026</v>
      </c>
    </row>
    <row r="4755" spans="1:13" ht="12.75" hidden="1" customHeight="1">
      <c r="A4755" t="s">
        <v>1459</v>
      </c>
      <c r="B4755" t="s">
        <v>269</v>
      </c>
      <c r="C4755" t="s">
        <v>270</v>
      </c>
      <c r="D4755" t="s">
        <v>1429</v>
      </c>
      <c r="E4755" s="17">
        <v>46113</v>
      </c>
      <c r="F4755" s="17">
        <v>46113</v>
      </c>
      <c r="G4755" s="13">
        <v>70</v>
      </c>
      <c r="H4755" s="14">
        <v>0</v>
      </c>
      <c r="I4755" s="14">
        <v>0</v>
      </c>
      <c r="J4755" s="14">
        <v>0</v>
      </c>
      <c r="K4755" s="14">
        <v>70</v>
      </c>
      <c r="L4755" t="s">
        <v>794</v>
      </c>
      <c r="M4755" s="23">
        <f t="shared" si="74"/>
        <v>2026</v>
      </c>
    </row>
    <row r="4756" spans="1:13" ht="12.75" hidden="1" customHeight="1">
      <c r="A4756" t="s">
        <v>892</v>
      </c>
      <c r="B4756" t="s">
        <v>110</v>
      </c>
      <c r="C4756" t="s">
        <v>733</v>
      </c>
      <c r="D4756" t="s">
        <v>1429</v>
      </c>
      <c r="E4756" s="17">
        <v>46113</v>
      </c>
      <c r="F4756" s="17">
        <v>46113</v>
      </c>
      <c r="G4756" s="13">
        <v>900</v>
      </c>
      <c r="H4756" s="14">
        <v>0</v>
      </c>
      <c r="I4756" s="14">
        <v>0</v>
      </c>
      <c r="J4756" s="14">
        <v>0</v>
      </c>
      <c r="K4756" s="14">
        <v>900</v>
      </c>
      <c r="L4756" t="s">
        <v>794</v>
      </c>
      <c r="M4756" s="23">
        <f t="shared" si="74"/>
        <v>2026</v>
      </c>
    </row>
    <row r="4757" spans="1:13" ht="12.75" hidden="1" customHeight="1">
      <c r="A4757" t="s">
        <v>801</v>
      </c>
      <c r="B4757" t="s">
        <v>13</v>
      </c>
      <c r="C4757" t="s">
        <v>726</v>
      </c>
      <c r="D4757" t="s">
        <v>1429</v>
      </c>
      <c r="E4757" s="17">
        <v>46113</v>
      </c>
      <c r="F4757" s="17">
        <v>46113</v>
      </c>
      <c r="G4757" s="13">
        <v>8.76</v>
      </c>
      <c r="H4757" s="14">
        <v>0</v>
      </c>
      <c r="I4757" s="14">
        <v>0</v>
      </c>
      <c r="J4757" s="14">
        <v>0</v>
      </c>
      <c r="K4757" s="14">
        <v>8.76</v>
      </c>
      <c r="L4757" t="s">
        <v>794</v>
      </c>
      <c r="M4757" s="23">
        <f t="shared" si="74"/>
        <v>2026</v>
      </c>
    </row>
    <row r="4758" spans="1:13" ht="12.75" hidden="1" customHeight="1">
      <c r="A4758" t="s">
        <v>799</v>
      </c>
      <c r="B4758" t="s">
        <v>24</v>
      </c>
      <c r="C4758" t="s">
        <v>139</v>
      </c>
      <c r="D4758" t="s">
        <v>1445</v>
      </c>
      <c r="E4758" s="17">
        <v>46112</v>
      </c>
      <c r="F4758" s="17">
        <v>46113</v>
      </c>
      <c r="G4758" s="13">
        <v>4230.16</v>
      </c>
      <c r="H4758" s="14">
        <v>0</v>
      </c>
      <c r="I4758" s="14">
        <v>0</v>
      </c>
      <c r="J4758" s="14">
        <v>0</v>
      </c>
      <c r="K4758" s="14">
        <v>4230.16</v>
      </c>
      <c r="L4758" t="s">
        <v>794</v>
      </c>
      <c r="M4758" s="23">
        <f t="shared" si="74"/>
        <v>2026</v>
      </c>
    </row>
    <row r="4759" spans="1:13" ht="12.75" hidden="1" customHeight="1">
      <c r="A4759" t="s">
        <v>1373</v>
      </c>
      <c r="B4759" t="s">
        <v>313</v>
      </c>
      <c r="C4759" t="s">
        <v>139</v>
      </c>
      <c r="D4759" t="s">
        <v>1429</v>
      </c>
      <c r="E4759" s="17">
        <v>46113</v>
      </c>
      <c r="F4759" s="17">
        <v>46113</v>
      </c>
      <c r="G4759" s="13">
        <v>256.2</v>
      </c>
      <c r="H4759" s="14">
        <v>0</v>
      </c>
      <c r="I4759" s="14">
        <v>0</v>
      </c>
      <c r="J4759" s="14">
        <v>0</v>
      </c>
      <c r="K4759" s="14">
        <v>256.2</v>
      </c>
      <c r="L4759" t="s">
        <v>794</v>
      </c>
      <c r="M4759" s="23">
        <f t="shared" si="74"/>
        <v>2026</v>
      </c>
    </row>
    <row r="4760" spans="1:13" ht="12.75" hidden="1" customHeight="1">
      <c r="A4760" t="s">
        <v>1399</v>
      </c>
      <c r="B4760" t="s">
        <v>305</v>
      </c>
      <c r="C4760" t="s">
        <v>139</v>
      </c>
      <c r="D4760" t="s">
        <v>1429</v>
      </c>
      <c r="E4760" s="17">
        <v>46113</v>
      </c>
      <c r="F4760" s="17">
        <v>46113</v>
      </c>
      <c r="G4760" s="13">
        <v>268.39999999999998</v>
      </c>
      <c r="H4760" s="14">
        <v>0</v>
      </c>
      <c r="I4760" s="14">
        <v>0</v>
      </c>
      <c r="J4760" s="14">
        <v>0</v>
      </c>
      <c r="K4760" s="14">
        <v>268.39999999999998</v>
      </c>
      <c r="L4760" t="s">
        <v>794</v>
      </c>
      <c r="M4760" s="23">
        <f t="shared" si="74"/>
        <v>2026</v>
      </c>
    </row>
    <row r="4761" spans="1:13" ht="12.75" hidden="1" customHeight="1">
      <c r="A4761" t="s">
        <v>1401</v>
      </c>
      <c r="B4761" t="s">
        <v>254</v>
      </c>
      <c r="C4761" t="s">
        <v>139</v>
      </c>
      <c r="D4761" t="s">
        <v>1429</v>
      </c>
      <c r="E4761" s="17">
        <v>46113</v>
      </c>
      <c r="F4761" s="17">
        <v>46113</v>
      </c>
      <c r="G4761" s="13">
        <v>501.6</v>
      </c>
      <c r="H4761" s="14">
        <v>0</v>
      </c>
      <c r="I4761" s="14">
        <v>0</v>
      </c>
      <c r="J4761" s="14">
        <v>0</v>
      </c>
      <c r="K4761" s="14">
        <v>501.6</v>
      </c>
      <c r="L4761" t="s">
        <v>794</v>
      </c>
      <c r="M4761" s="23">
        <f t="shared" si="74"/>
        <v>2026</v>
      </c>
    </row>
    <row r="4762" spans="1:13" ht="12.75" hidden="1" customHeight="1">
      <c r="A4762" t="s">
        <v>1466</v>
      </c>
      <c r="B4762" t="s">
        <v>203</v>
      </c>
      <c r="C4762" t="s">
        <v>139</v>
      </c>
      <c r="D4762" t="s">
        <v>1429</v>
      </c>
      <c r="E4762" s="17">
        <v>46113</v>
      </c>
      <c r="F4762" s="17">
        <v>46113</v>
      </c>
      <c r="G4762" s="13">
        <v>244</v>
      </c>
      <c r="H4762" s="14">
        <v>0</v>
      </c>
      <c r="I4762" s="14">
        <v>0</v>
      </c>
      <c r="J4762" s="14">
        <v>0</v>
      </c>
      <c r="K4762" s="14">
        <v>244</v>
      </c>
      <c r="L4762" t="s">
        <v>794</v>
      </c>
      <c r="M4762" s="23">
        <f t="shared" si="74"/>
        <v>2026</v>
      </c>
    </row>
    <row r="4763" spans="1:13" ht="12.75" hidden="1" customHeight="1">
      <c r="A4763" t="s">
        <v>836</v>
      </c>
      <c r="B4763" t="s">
        <v>37</v>
      </c>
      <c r="C4763" t="s">
        <v>139</v>
      </c>
      <c r="D4763" t="s">
        <v>1429</v>
      </c>
      <c r="E4763" s="17">
        <v>46113</v>
      </c>
      <c r="F4763" s="17">
        <v>46113</v>
      </c>
      <c r="G4763" s="13">
        <v>524</v>
      </c>
      <c r="H4763" s="14">
        <v>0</v>
      </c>
      <c r="I4763" s="14">
        <v>0</v>
      </c>
      <c r="J4763" s="14">
        <v>0</v>
      </c>
      <c r="K4763" s="14">
        <v>524</v>
      </c>
      <c r="L4763" t="s">
        <v>794</v>
      </c>
      <c r="M4763" s="23">
        <f t="shared" ref="M4763:M4826" si="75">YEAR(F4763)</f>
        <v>2026</v>
      </c>
    </row>
    <row r="4764" spans="1:13" ht="12.75" hidden="1" customHeight="1">
      <c r="A4764" t="s">
        <v>825</v>
      </c>
      <c r="B4764" t="s">
        <v>46</v>
      </c>
      <c r="C4764" t="s">
        <v>139</v>
      </c>
      <c r="D4764" t="s">
        <v>1429</v>
      </c>
      <c r="E4764" s="17">
        <v>46113</v>
      </c>
      <c r="F4764" s="17">
        <v>46113</v>
      </c>
      <c r="G4764" s="13">
        <v>48.800000000000004</v>
      </c>
      <c r="H4764" s="14">
        <v>0</v>
      </c>
      <c r="I4764" s="14">
        <v>0</v>
      </c>
      <c r="J4764" s="14">
        <v>0</v>
      </c>
      <c r="K4764" s="14">
        <v>48.800000000000004</v>
      </c>
      <c r="L4764" t="s">
        <v>794</v>
      </c>
      <c r="M4764" s="23">
        <f t="shared" si="75"/>
        <v>2026</v>
      </c>
    </row>
    <row r="4765" spans="1:13" ht="12.75" hidden="1" customHeight="1">
      <c r="A4765" t="s">
        <v>1451</v>
      </c>
      <c r="B4765" t="s">
        <v>208</v>
      </c>
      <c r="C4765" t="s">
        <v>139</v>
      </c>
      <c r="D4765" t="s">
        <v>1429</v>
      </c>
      <c r="E4765" s="17">
        <v>46113</v>
      </c>
      <c r="F4765" s="17">
        <v>46113</v>
      </c>
      <c r="G4765" s="13">
        <v>292.8</v>
      </c>
      <c r="H4765" s="14">
        <v>0</v>
      </c>
      <c r="I4765" s="14">
        <v>0</v>
      </c>
      <c r="J4765" s="14">
        <v>0</v>
      </c>
      <c r="K4765" s="14">
        <v>292.8</v>
      </c>
      <c r="L4765" t="s">
        <v>794</v>
      </c>
      <c r="M4765" s="23">
        <f t="shared" si="75"/>
        <v>2026</v>
      </c>
    </row>
    <row r="4766" spans="1:13" ht="12.75" hidden="1" customHeight="1">
      <c r="A4766" t="s">
        <v>1004</v>
      </c>
      <c r="B4766" t="s">
        <v>57</v>
      </c>
      <c r="C4766" t="s">
        <v>139</v>
      </c>
      <c r="D4766" t="s">
        <v>1429</v>
      </c>
      <c r="E4766" s="17">
        <v>46113</v>
      </c>
      <c r="F4766" s="17">
        <v>46113</v>
      </c>
      <c r="G4766" s="13">
        <v>268.39999999999998</v>
      </c>
      <c r="H4766" s="14">
        <v>0</v>
      </c>
      <c r="I4766" s="14">
        <v>0</v>
      </c>
      <c r="J4766" s="14">
        <v>0</v>
      </c>
      <c r="K4766" s="14">
        <v>268.39999999999998</v>
      </c>
      <c r="L4766" t="s">
        <v>794</v>
      </c>
      <c r="M4766" s="23">
        <f t="shared" si="75"/>
        <v>2026</v>
      </c>
    </row>
    <row r="4767" spans="1:13" ht="12.75" hidden="1" customHeight="1">
      <c r="A4767" t="s">
        <v>819</v>
      </c>
      <c r="B4767" t="s">
        <v>38</v>
      </c>
      <c r="C4767" t="s">
        <v>139</v>
      </c>
      <c r="D4767" t="s">
        <v>1429</v>
      </c>
      <c r="E4767" s="17">
        <v>46113</v>
      </c>
      <c r="F4767" s="17">
        <v>46113</v>
      </c>
      <c r="G4767" s="13">
        <v>441</v>
      </c>
      <c r="H4767" s="14">
        <v>0</v>
      </c>
      <c r="I4767" s="14">
        <v>0</v>
      </c>
      <c r="J4767" s="14">
        <v>0</v>
      </c>
      <c r="K4767" s="14">
        <v>441</v>
      </c>
      <c r="L4767" t="s">
        <v>794</v>
      </c>
      <c r="M4767" s="23">
        <f t="shared" si="75"/>
        <v>2026</v>
      </c>
    </row>
    <row r="4768" spans="1:13" ht="12.75" hidden="1" customHeight="1">
      <c r="A4768" t="s">
        <v>833</v>
      </c>
      <c r="B4768" t="s">
        <v>27</v>
      </c>
      <c r="C4768" t="s">
        <v>139</v>
      </c>
      <c r="D4768" t="s">
        <v>1429</v>
      </c>
      <c r="E4768" s="17">
        <v>46113</v>
      </c>
      <c r="F4768" s="17">
        <v>46113</v>
      </c>
      <c r="G4768" s="13">
        <v>430.16</v>
      </c>
      <c r="H4768" s="14">
        <v>0</v>
      </c>
      <c r="I4768" s="14">
        <v>0</v>
      </c>
      <c r="J4768" s="14">
        <v>0</v>
      </c>
      <c r="K4768" s="14">
        <v>430.16</v>
      </c>
      <c r="L4768" t="s">
        <v>794</v>
      </c>
      <c r="M4768" s="23">
        <f t="shared" si="75"/>
        <v>2026</v>
      </c>
    </row>
    <row r="4769" spans="1:13" ht="12.75" hidden="1" customHeight="1">
      <c r="A4769" t="s">
        <v>1467</v>
      </c>
      <c r="B4769" t="s">
        <v>185</v>
      </c>
      <c r="C4769" t="s">
        <v>139</v>
      </c>
      <c r="D4769" t="s">
        <v>1429</v>
      </c>
      <c r="E4769" s="17">
        <v>46113</v>
      </c>
      <c r="F4769" s="17">
        <v>46113</v>
      </c>
      <c r="G4769" s="13">
        <v>292.8</v>
      </c>
      <c r="H4769" s="14">
        <v>0</v>
      </c>
      <c r="I4769" s="14">
        <v>0</v>
      </c>
      <c r="J4769" s="14">
        <v>0</v>
      </c>
      <c r="K4769" s="14">
        <v>292.8</v>
      </c>
      <c r="L4769" t="s">
        <v>794</v>
      </c>
      <c r="M4769" s="23">
        <f t="shared" si="75"/>
        <v>2026</v>
      </c>
    </row>
    <row r="4770" spans="1:13" ht="12.75" hidden="1" customHeight="1">
      <c r="A4770" t="s">
        <v>1420</v>
      </c>
      <c r="B4770" t="s">
        <v>136</v>
      </c>
      <c r="C4770" t="s">
        <v>139</v>
      </c>
      <c r="D4770" t="s">
        <v>1429</v>
      </c>
      <c r="E4770" s="17">
        <v>46113</v>
      </c>
      <c r="F4770" s="17">
        <v>46113</v>
      </c>
      <c r="G4770" s="13">
        <v>268.39999999999998</v>
      </c>
      <c r="H4770" s="14">
        <v>0</v>
      </c>
      <c r="I4770" s="14">
        <v>0</v>
      </c>
      <c r="J4770" s="14">
        <v>0</v>
      </c>
      <c r="K4770" s="14">
        <v>268.39999999999998</v>
      </c>
      <c r="L4770" t="s">
        <v>794</v>
      </c>
      <c r="M4770" s="23">
        <f t="shared" si="75"/>
        <v>2026</v>
      </c>
    </row>
    <row r="4771" spans="1:13" ht="12.75" hidden="1" customHeight="1">
      <c r="A4771" t="s">
        <v>1446</v>
      </c>
      <c r="B4771" t="s">
        <v>167</v>
      </c>
      <c r="C4771" t="s">
        <v>139</v>
      </c>
      <c r="D4771" t="s">
        <v>1429</v>
      </c>
      <c r="E4771" s="17">
        <v>46113</v>
      </c>
      <c r="F4771" s="17">
        <v>46113</v>
      </c>
      <c r="G4771" s="13">
        <v>280.60000000000002</v>
      </c>
      <c r="H4771" s="14">
        <v>0</v>
      </c>
      <c r="I4771" s="14">
        <v>0</v>
      </c>
      <c r="J4771" s="14">
        <v>0</v>
      </c>
      <c r="K4771" s="14">
        <v>280.60000000000002</v>
      </c>
      <c r="L4771" t="s">
        <v>794</v>
      </c>
      <c r="M4771" s="23">
        <f t="shared" si="75"/>
        <v>2026</v>
      </c>
    </row>
    <row r="4772" spans="1:13" ht="12.75" hidden="1" customHeight="1">
      <c r="A4772" t="s">
        <v>1316</v>
      </c>
      <c r="B4772" t="s">
        <v>59</v>
      </c>
      <c r="C4772" t="s">
        <v>139</v>
      </c>
      <c r="D4772" t="s">
        <v>1429</v>
      </c>
      <c r="E4772" s="17">
        <v>46113</v>
      </c>
      <c r="F4772" s="17">
        <v>46113</v>
      </c>
      <c r="G4772" s="13">
        <v>431.48</v>
      </c>
      <c r="H4772" s="14">
        <v>0</v>
      </c>
      <c r="I4772" s="14">
        <v>0</v>
      </c>
      <c r="J4772" s="14">
        <v>0</v>
      </c>
      <c r="K4772" s="14">
        <v>431.48</v>
      </c>
      <c r="L4772" t="s">
        <v>794</v>
      </c>
      <c r="M4772" s="23">
        <f t="shared" si="75"/>
        <v>2026</v>
      </c>
    </row>
    <row r="4773" spans="1:13" ht="12.75" hidden="1" customHeight="1">
      <c r="A4773" t="s">
        <v>1112</v>
      </c>
      <c r="B4773" t="s">
        <v>68</v>
      </c>
      <c r="C4773" t="s">
        <v>139</v>
      </c>
      <c r="D4773" t="s">
        <v>1429</v>
      </c>
      <c r="E4773" s="17">
        <v>46113</v>
      </c>
      <c r="F4773" s="17">
        <v>46113</v>
      </c>
      <c r="G4773" s="13">
        <v>207.4</v>
      </c>
      <c r="H4773" s="14">
        <v>0</v>
      </c>
      <c r="I4773" s="14">
        <v>0</v>
      </c>
      <c r="J4773" s="14">
        <v>0</v>
      </c>
      <c r="K4773" s="14">
        <v>207.4</v>
      </c>
      <c r="L4773" t="s">
        <v>794</v>
      </c>
      <c r="M4773" s="23">
        <f t="shared" si="75"/>
        <v>2026</v>
      </c>
    </row>
    <row r="4774" spans="1:13" ht="12.75" hidden="1" customHeight="1">
      <c r="A4774" t="s">
        <v>999</v>
      </c>
      <c r="B4774" t="s">
        <v>329</v>
      </c>
      <c r="C4774" t="s">
        <v>139</v>
      </c>
      <c r="D4774" t="s">
        <v>1429</v>
      </c>
      <c r="E4774" s="17">
        <v>46113</v>
      </c>
      <c r="F4774" s="17">
        <v>46113</v>
      </c>
      <c r="G4774" s="13">
        <v>256.2</v>
      </c>
      <c r="H4774" s="14">
        <v>0</v>
      </c>
      <c r="I4774" s="14">
        <v>0</v>
      </c>
      <c r="J4774" s="14">
        <v>0</v>
      </c>
      <c r="K4774" s="14">
        <v>256.2</v>
      </c>
      <c r="L4774" t="s">
        <v>794</v>
      </c>
      <c r="M4774" s="23">
        <f t="shared" si="75"/>
        <v>2026</v>
      </c>
    </row>
    <row r="4775" spans="1:13" ht="12.75" hidden="1" customHeight="1">
      <c r="A4775" t="s">
        <v>819</v>
      </c>
      <c r="B4775" t="s">
        <v>38</v>
      </c>
      <c r="C4775" t="s">
        <v>138</v>
      </c>
      <c r="D4775" t="s">
        <v>1429</v>
      </c>
      <c r="E4775" s="17">
        <v>46113</v>
      </c>
      <c r="F4775" s="17">
        <v>46113</v>
      </c>
      <c r="G4775" s="13">
        <v>255.42000000000002</v>
      </c>
      <c r="H4775" s="14">
        <v>0</v>
      </c>
      <c r="I4775" s="14">
        <v>0</v>
      </c>
      <c r="J4775" s="14">
        <v>0</v>
      </c>
      <c r="K4775" s="14">
        <v>255.42000000000002</v>
      </c>
      <c r="L4775" t="s">
        <v>794</v>
      </c>
      <c r="M4775" s="23">
        <f t="shared" si="75"/>
        <v>2026</v>
      </c>
    </row>
    <row r="4776" spans="1:13" ht="12.75" hidden="1" customHeight="1">
      <c r="A4776" t="s">
        <v>833</v>
      </c>
      <c r="B4776" t="s">
        <v>27</v>
      </c>
      <c r="C4776" t="s">
        <v>138</v>
      </c>
      <c r="D4776" t="s">
        <v>1429</v>
      </c>
      <c r="E4776" s="17">
        <v>46113</v>
      </c>
      <c r="F4776" s="17">
        <v>46113</v>
      </c>
      <c r="G4776" s="13">
        <v>255.42000000000002</v>
      </c>
      <c r="H4776" s="14">
        <v>0</v>
      </c>
      <c r="I4776" s="14">
        <v>0</v>
      </c>
      <c r="J4776" s="14">
        <v>0</v>
      </c>
      <c r="K4776" s="14">
        <v>255.42000000000002</v>
      </c>
      <c r="L4776" t="s">
        <v>794</v>
      </c>
      <c r="M4776" s="23">
        <f t="shared" si="75"/>
        <v>2026</v>
      </c>
    </row>
    <row r="4777" spans="1:13" ht="12.75" hidden="1" customHeight="1">
      <c r="A4777" t="s">
        <v>1467</v>
      </c>
      <c r="B4777" t="s">
        <v>185</v>
      </c>
      <c r="C4777" t="s">
        <v>138</v>
      </c>
      <c r="D4777" t="s">
        <v>1429</v>
      </c>
      <c r="E4777" s="17">
        <v>46113</v>
      </c>
      <c r="F4777" s="17">
        <v>46113</v>
      </c>
      <c r="G4777" s="13">
        <v>255.42000000000002</v>
      </c>
      <c r="H4777" s="14">
        <v>0</v>
      </c>
      <c r="I4777" s="14">
        <v>0</v>
      </c>
      <c r="J4777" s="14">
        <v>0</v>
      </c>
      <c r="K4777" s="14">
        <v>255.42000000000002</v>
      </c>
      <c r="L4777" t="s">
        <v>794</v>
      </c>
      <c r="M4777" s="23">
        <f t="shared" si="75"/>
        <v>2026</v>
      </c>
    </row>
    <row r="4778" spans="1:13" ht="12.75" hidden="1" customHeight="1">
      <c r="A4778" t="s">
        <v>1420</v>
      </c>
      <c r="B4778" t="s">
        <v>136</v>
      </c>
      <c r="C4778" t="s">
        <v>138</v>
      </c>
      <c r="D4778" t="s">
        <v>1429</v>
      </c>
      <c r="E4778" s="17">
        <v>46113</v>
      </c>
      <c r="F4778" s="17">
        <v>46113</v>
      </c>
      <c r="G4778" s="13">
        <v>255.42000000000002</v>
      </c>
      <c r="H4778" s="14">
        <v>0</v>
      </c>
      <c r="I4778" s="14">
        <v>0</v>
      </c>
      <c r="J4778" s="14">
        <v>0</v>
      </c>
      <c r="K4778" s="14">
        <v>255.42000000000002</v>
      </c>
      <c r="L4778" t="s">
        <v>794</v>
      </c>
      <c r="M4778" s="23">
        <f t="shared" si="75"/>
        <v>2026</v>
      </c>
    </row>
    <row r="4779" spans="1:13" ht="12.75" hidden="1" customHeight="1">
      <c r="A4779" t="s">
        <v>1446</v>
      </c>
      <c r="B4779" t="s">
        <v>167</v>
      </c>
      <c r="C4779" t="s">
        <v>138</v>
      </c>
      <c r="D4779" t="s">
        <v>1429</v>
      </c>
      <c r="E4779" s="17">
        <v>46113</v>
      </c>
      <c r="F4779" s="17">
        <v>46113</v>
      </c>
      <c r="G4779" s="13">
        <v>255.42000000000002</v>
      </c>
      <c r="H4779" s="14">
        <v>0</v>
      </c>
      <c r="I4779" s="14">
        <v>0</v>
      </c>
      <c r="J4779" s="14">
        <v>0</v>
      </c>
      <c r="K4779" s="14">
        <v>255.42000000000002</v>
      </c>
      <c r="L4779" t="s">
        <v>794</v>
      </c>
      <c r="M4779" s="23">
        <f t="shared" si="75"/>
        <v>2026</v>
      </c>
    </row>
    <row r="4780" spans="1:13" ht="12.75" hidden="1" customHeight="1">
      <c r="A4780" t="s">
        <v>1316</v>
      </c>
      <c r="B4780" t="s">
        <v>59</v>
      </c>
      <c r="C4780" t="s">
        <v>138</v>
      </c>
      <c r="D4780" t="s">
        <v>1429</v>
      </c>
      <c r="E4780" s="17">
        <v>46113</v>
      </c>
      <c r="F4780" s="17">
        <v>46113</v>
      </c>
      <c r="G4780" s="13">
        <v>255.42000000000002</v>
      </c>
      <c r="H4780" s="14">
        <v>0</v>
      </c>
      <c r="I4780" s="14">
        <v>0</v>
      </c>
      <c r="J4780" s="14">
        <v>0</v>
      </c>
      <c r="K4780" s="14">
        <v>255.42000000000002</v>
      </c>
      <c r="L4780" t="s">
        <v>794</v>
      </c>
      <c r="M4780" s="23">
        <f t="shared" si="75"/>
        <v>2026</v>
      </c>
    </row>
    <row r="4781" spans="1:13" ht="12.75" hidden="1" customHeight="1">
      <c r="A4781" t="s">
        <v>1112</v>
      </c>
      <c r="B4781" t="s">
        <v>68</v>
      </c>
      <c r="C4781" t="s">
        <v>138</v>
      </c>
      <c r="D4781" t="s">
        <v>1429</v>
      </c>
      <c r="E4781" s="17">
        <v>46113</v>
      </c>
      <c r="F4781" s="17">
        <v>46113</v>
      </c>
      <c r="G4781" s="13">
        <v>255.42000000000002</v>
      </c>
      <c r="H4781" s="14">
        <v>0</v>
      </c>
      <c r="I4781" s="14">
        <v>0</v>
      </c>
      <c r="J4781" s="14">
        <v>0</v>
      </c>
      <c r="K4781" s="14">
        <v>255.42000000000002</v>
      </c>
      <c r="L4781" t="s">
        <v>794</v>
      </c>
      <c r="M4781" s="23">
        <f t="shared" si="75"/>
        <v>2026</v>
      </c>
    </row>
    <row r="4782" spans="1:13" ht="12.75" hidden="1" customHeight="1">
      <c r="A4782" t="s">
        <v>1466</v>
      </c>
      <c r="B4782" t="s">
        <v>203</v>
      </c>
      <c r="C4782" t="s">
        <v>138</v>
      </c>
      <c r="D4782" t="s">
        <v>1429</v>
      </c>
      <c r="E4782" s="17">
        <v>46113</v>
      </c>
      <c r="F4782" s="17">
        <v>46113</v>
      </c>
      <c r="G4782" s="13">
        <v>255.42000000000002</v>
      </c>
      <c r="H4782" s="14">
        <v>0</v>
      </c>
      <c r="I4782" s="14">
        <v>0</v>
      </c>
      <c r="J4782" s="14">
        <v>0</v>
      </c>
      <c r="K4782" s="14">
        <v>255.42000000000002</v>
      </c>
      <c r="L4782" t="s">
        <v>794</v>
      </c>
      <c r="M4782" s="23">
        <f t="shared" si="75"/>
        <v>2026</v>
      </c>
    </row>
    <row r="4783" spans="1:13" ht="12.75" hidden="1" customHeight="1">
      <c r="A4783" t="s">
        <v>1451</v>
      </c>
      <c r="B4783" t="s">
        <v>208</v>
      </c>
      <c r="C4783" t="s">
        <v>138</v>
      </c>
      <c r="D4783" t="s">
        <v>1429</v>
      </c>
      <c r="E4783" s="17">
        <v>46113</v>
      </c>
      <c r="F4783" s="17">
        <v>46113</v>
      </c>
      <c r="G4783" s="13">
        <v>255.42000000000002</v>
      </c>
      <c r="H4783" s="14">
        <v>0</v>
      </c>
      <c r="I4783" s="14">
        <v>0</v>
      </c>
      <c r="J4783" s="14">
        <v>0</v>
      </c>
      <c r="K4783" s="14">
        <v>255.42000000000002</v>
      </c>
      <c r="L4783" t="s">
        <v>794</v>
      </c>
      <c r="M4783" s="23">
        <f t="shared" si="75"/>
        <v>2026</v>
      </c>
    </row>
    <row r="4784" spans="1:13" ht="12.75" hidden="1" customHeight="1">
      <c r="A4784" t="s">
        <v>1336</v>
      </c>
      <c r="B4784" t="s">
        <v>118</v>
      </c>
      <c r="C4784" t="s">
        <v>558</v>
      </c>
      <c r="D4784" t="s">
        <v>1429</v>
      </c>
      <c r="E4784" s="17">
        <v>46113</v>
      </c>
      <c r="F4784" s="17">
        <v>46113</v>
      </c>
      <c r="G4784" s="13">
        <v>1805.24</v>
      </c>
      <c r="H4784" s="14">
        <v>0</v>
      </c>
      <c r="I4784" s="14">
        <v>0</v>
      </c>
      <c r="J4784" s="14">
        <v>0</v>
      </c>
      <c r="K4784" s="14">
        <v>1805.24</v>
      </c>
      <c r="L4784" t="s">
        <v>794</v>
      </c>
      <c r="M4784" s="23">
        <f t="shared" si="75"/>
        <v>2026</v>
      </c>
    </row>
    <row r="4785" spans="1:13" ht="12.75" hidden="1" customHeight="1">
      <c r="A4785" t="s">
        <v>801</v>
      </c>
      <c r="B4785" t="s">
        <v>13</v>
      </c>
      <c r="C4785" t="s">
        <v>726</v>
      </c>
      <c r="D4785" t="s">
        <v>1429</v>
      </c>
      <c r="E4785" s="17">
        <v>46113</v>
      </c>
      <c r="F4785" s="17">
        <v>46113</v>
      </c>
      <c r="G4785" s="13">
        <v>17.52</v>
      </c>
      <c r="H4785" s="14">
        <v>0</v>
      </c>
      <c r="I4785" s="14">
        <v>0</v>
      </c>
      <c r="J4785" s="14">
        <v>0</v>
      </c>
      <c r="K4785" s="14">
        <v>17.52</v>
      </c>
      <c r="L4785" t="s">
        <v>794</v>
      </c>
      <c r="M4785" s="23">
        <f t="shared" si="75"/>
        <v>2026</v>
      </c>
    </row>
    <row r="4786" spans="1:13" ht="12.75" hidden="1" customHeight="1">
      <c r="A4786" t="s">
        <v>810</v>
      </c>
      <c r="B4786" t="s">
        <v>54</v>
      </c>
      <c r="C4786" t="s">
        <v>204</v>
      </c>
      <c r="D4786" t="s">
        <v>1429</v>
      </c>
      <c r="E4786" s="17">
        <v>46114</v>
      </c>
      <c r="F4786" s="17">
        <v>46114</v>
      </c>
      <c r="G4786" s="13">
        <v>1600.17</v>
      </c>
      <c r="H4786" s="14">
        <v>0</v>
      </c>
      <c r="I4786" s="14">
        <v>0</v>
      </c>
      <c r="J4786" s="14">
        <v>0</v>
      </c>
      <c r="K4786" s="14">
        <v>1600.17</v>
      </c>
      <c r="L4786" t="s">
        <v>794</v>
      </c>
      <c r="M4786" s="23">
        <f t="shared" si="75"/>
        <v>2026</v>
      </c>
    </row>
    <row r="4787" spans="1:13" ht="12.75" hidden="1" customHeight="1">
      <c r="A4787" t="s">
        <v>801</v>
      </c>
      <c r="B4787" t="s">
        <v>13</v>
      </c>
      <c r="C4787" t="s">
        <v>726</v>
      </c>
      <c r="D4787" t="s">
        <v>1429</v>
      </c>
      <c r="E4787" s="17">
        <v>46114</v>
      </c>
      <c r="F4787" s="17">
        <v>46114</v>
      </c>
      <c r="G4787" s="13">
        <v>87.350000000000009</v>
      </c>
      <c r="H4787" s="14">
        <v>0</v>
      </c>
      <c r="I4787" s="14">
        <v>0</v>
      </c>
      <c r="J4787" s="14">
        <v>0</v>
      </c>
      <c r="K4787" s="14">
        <v>87.350000000000009</v>
      </c>
      <c r="L4787" t="s">
        <v>794</v>
      </c>
      <c r="M4787" s="23">
        <f t="shared" si="75"/>
        <v>2026</v>
      </c>
    </row>
    <row r="4788" spans="1:13" ht="12.75" hidden="1" customHeight="1">
      <c r="A4788" t="s">
        <v>801</v>
      </c>
      <c r="B4788" t="s">
        <v>13</v>
      </c>
      <c r="C4788" t="s">
        <v>726</v>
      </c>
      <c r="D4788" t="s">
        <v>1429</v>
      </c>
      <c r="E4788" s="17">
        <v>46114</v>
      </c>
      <c r="F4788" s="17">
        <v>46114</v>
      </c>
      <c r="G4788" s="13">
        <v>15.33</v>
      </c>
      <c r="H4788" s="14">
        <v>0</v>
      </c>
      <c r="I4788" s="14">
        <v>0</v>
      </c>
      <c r="J4788" s="14">
        <v>0</v>
      </c>
      <c r="K4788" s="14">
        <v>15.33</v>
      </c>
      <c r="L4788" t="s">
        <v>794</v>
      </c>
      <c r="M4788" s="23">
        <f t="shared" si="75"/>
        <v>2026</v>
      </c>
    </row>
    <row r="4789" spans="1:13" ht="12.75" hidden="1" customHeight="1">
      <c r="A4789" t="s">
        <v>801</v>
      </c>
      <c r="B4789" t="s">
        <v>13</v>
      </c>
      <c r="C4789" t="s">
        <v>726</v>
      </c>
      <c r="D4789" t="s">
        <v>1429</v>
      </c>
      <c r="E4789" s="17">
        <v>46114</v>
      </c>
      <c r="F4789" s="17">
        <v>46114</v>
      </c>
      <c r="G4789" s="13">
        <v>474.85</v>
      </c>
      <c r="H4789" s="14">
        <v>0</v>
      </c>
      <c r="I4789" s="14">
        <v>0</v>
      </c>
      <c r="J4789" s="14">
        <v>0</v>
      </c>
      <c r="K4789" s="14">
        <v>474.85</v>
      </c>
      <c r="L4789" t="s">
        <v>794</v>
      </c>
      <c r="M4789" s="23">
        <f t="shared" si="75"/>
        <v>2026</v>
      </c>
    </row>
    <row r="4790" spans="1:13" ht="12.75" hidden="1" customHeight="1">
      <c r="A4790" t="s">
        <v>801</v>
      </c>
      <c r="B4790" t="s">
        <v>13</v>
      </c>
      <c r="C4790" t="s">
        <v>726</v>
      </c>
      <c r="D4790" t="s">
        <v>1429</v>
      </c>
      <c r="E4790" s="17">
        <v>46114</v>
      </c>
      <c r="F4790" s="17">
        <v>46114</v>
      </c>
      <c r="G4790" s="13">
        <v>375.36</v>
      </c>
      <c r="H4790" s="14">
        <v>0</v>
      </c>
      <c r="I4790" s="14">
        <v>0</v>
      </c>
      <c r="J4790" s="14">
        <v>0</v>
      </c>
      <c r="K4790" s="14">
        <v>375.36</v>
      </c>
      <c r="L4790" t="s">
        <v>794</v>
      </c>
      <c r="M4790" s="23">
        <f t="shared" si="75"/>
        <v>2026</v>
      </c>
    </row>
    <row r="4791" spans="1:13" ht="12.75" hidden="1" customHeight="1">
      <c r="A4791" t="s">
        <v>792</v>
      </c>
      <c r="B4791" t="s">
        <v>35</v>
      </c>
      <c r="C4791" t="s">
        <v>206</v>
      </c>
      <c r="D4791" t="s">
        <v>1429</v>
      </c>
      <c r="E4791" s="17">
        <v>46114</v>
      </c>
      <c r="F4791" s="17">
        <v>46114</v>
      </c>
      <c r="G4791" s="13">
        <v>400</v>
      </c>
      <c r="H4791" s="14">
        <v>0</v>
      </c>
      <c r="I4791" s="14">
        <v>0</v>
      </c>
      <c r="J4791" s="14">
        <v>0</v>
      </c>
      <c r="K4791" s="14">
        <v>400</v>
      </c>
      <c r="L4791" t="s">
        <v>794</v>
      </c>
      <c r="M4791" s="23">
        <f t="shared" si="75"/>
        <v>2026</v>
      </c>
    </row>
    <row r="4792" spans="1:13" ht="12.75" hidden="1" customHeight="1">
      <c r="A4792" t="s">
        <v>792</v>
      </c>
      <c r="B4792" t="s">
        <v>35</v>
      </c>
      <c r="C4792" t="s">
        <v>206</v>
      </c>
      <c r="D4792" t="s">
        <v>1429</v>
      </c>
      <c r="E4792" s="17">
        <v>46114</v>
      </c>
      <c r="F4792" s="17">
        <v>46114</v>
      </c>
      <c r="G4792" s="13">
        <v>697.9</v>
      </c>
      <c r="H4792" s="14">
        <v>0</v>
      </c>
      <c r="I4792" s="14">
        <v>0</v>
      </c>
      <c r="J4792" s="14">
        <v>0</v>
      </c>
      <c r="K4792" s="14">
        <v>697.9</v>
      </c>
      <c r="L4792" t="s">
        <v>794</v>
      </c>
      <c r="M4792" s="23">
        <f t="shared" si="75"/>
        <v>2026</v>
      </c>
    </row>
    <row r="4793" spans="1:13" ht="12.75" hidden="1" customHeight="1">
      <c r="A4793" t="s">
        <v>797</v>
      </c>
      <c r="B4793" t="s">
        <v>25</v>
      </c>
      <c r="C4793" t="s">
        <v>206</v>
      </c>
      <c r="D4793" t="s">
        <v>1429</v>
      </c>
      <c r="E4793" s="17">
        <v>46114</v>
      </c>
      <c r="F4793" s="17">
        <v>46114</v>
      </c>
      <c r="G4793" s="13">
        <v>1600</v>
      </c>
      <c r="H4793" s="14">
        <v>0</v>
      </c>
      <c r="I4793" s="14">
        <v>0</v>
      </c>
      <c r="J4793" s="14">
        <v>0</v>
      </c>
      <c r="K4793" s="14">
        <v>1600</v>
      </c>
      <c r="L4793" t="s">
        <v>794</v>
      </c>
      <c r="M4793" s="23">
        <f t="shared" si="75"/>
        <v>2026</v>
      </c>
    </row>
    <row r="4794" spans="1:13" ht="12.75" hidden="1" customHeight="1">
      <c r="A4794" t="s">
        <v>797</v>
      </c>
      <c r="B4794" t="s">
        <v>25</v>
      </c>
      <c r="C4794" t="s">
        <v>206</v>
      </c>
      <c r="D4794" t="s">
        <v>1429</v>
      </c>
      <c r="E4794" s="17">
        <v>46114</v>
      </c>
      <c r="F4794" s="17">
        <v>46114</v>
      </c>
      <c r="G4794" s="13">
        <v>2802.1</v>
      </c>
      <c r="H4794" s="14">
        <v>0</v>
      </c>
      <c r="I4794" s="14">
        <v>0</v>
      </c>
      <c r="J4794" s="14">
        <v>0</v>
      </c>
      <c r="K4794" s="14">
        <v>2802.1</v>
      </c>
      <c r="L4794" t="s">
        <v>794</v>
      </c>
      <c r="M4794" s="23">
        <f t="shared" si="75"/>
        <v>2026</v>
      </c>
    </row>
    <row r="4795" spans="1:13" ht="12.75" hidden="1" customHeight="1">
      <c r="A4795" t="s">
        <v>825</v>
      </c>
      <c r="B4795" t="s">
        <v>46</v>
      </c>
      <c r="C4795" t="s">
        <v>730</v>
      </c>
      <c r="D4795" t="s">
        <v>1429</v>
      </c>
      <c r="E4795" s="17">
        <v>46114</v>
      </c>
      <c r="F4795" s="17">
        <v>46114</v>
      </c>
      <c r="G4795" s="13">
        <v>1726.91</v>
      </c>
      <c r="H4795" s="14">
        <v>0</v>
      </c>
      <c r="I4795" s="14">
        <v>0</v>
      </c>
      <c r="J4795" s="14">
        <v>0</v>
      </c>
      <c r="K4795" s="14">
        <v>1726.91</v>
      </c>
      <c r="L4795" t="s">
        <v>794</v>
      </c>
      <c r="M4795" s="23">
        <f t="shared" si="75"/>
        <v>2026</v>
      </c>
    </row>
    <row r="4796" spans="1:13" ht="12.75" hidden="1" customHeight="1">
      <c r="A4796" t="s">
        <v>914</v>
      </c>
      <c r="B4796" t="s">
        <v>28</v>
      </c>
      <c r="C4796" t="s">
        <v>732</v>
      </c>
      <c r="D4796" t="s">
        <v>1429</v>
      </c>
      <c r="E4796" s="17">
        <v>46114</v>
      </c>
      <c r="F4796" s="17">
        <v>46114</v>
      </c>
      <c r="G4796" s="13">
        <v>864.88</v>
      </c>
      <c r="H4796" s="14">
        <v>0</v>
      </c>
      <c r="I4796" s="14">
        <v>0</v>
      </c>
      <c r="J4796" s="14">
        <v>0</v>
      </c>
      <c r="K4796" s="14">
        <v>864.88</v>
      </c>
      <c r="L4796" t="s">
        <v>794</v>
      </c>
      <c r="M4796" s="23">
        <f t="shared" si="75"/>
        <v>2026</v>
      </c>
    </row>
    <row r="4797" spans="1:13" ht="12.75" hidden="1" customHeight="1">
      <c r="A4797" t="s">
        <v>801</v>
      </c>
      <c r="B4797" t="s">
        <v>13</v>
      </c>
      <c r="C4797" t="s">
        <v>726</v>
      </c>
      <c r="D4797" t="s">
        <v>1429</v>
      </c>
      <c r="E4797" s="17">
        <v>46114</v>
      </c>
      <c r="F4797" s="17">
        <v>46114</v>
      </c>
      <c r="G4797" s="13">
        <v>21.8</v>
      </c>
      <c r="H4797" s="14">
        <v>0</v>
      </c>
      <c r="I4797" s="14">
        <v>0</v>
      </c>
      <c r="J4797" s="14">
        <v>0</v>
      </c>
      <c r="K4797" s="14">
        <v>21.8</v>
      </c>
      <c r="L4797" t="s">
        <v>794</v>
      </c>
      <c r="M4797" s="23">
        <f t="shared" si="75"/>
        <v>2026</v>
      </c>
    </row>
    <row r="4798" spans="1:13" ht="12.75" hidden="1" customHeight="1">
      <c r="A4798" t="s">
        <v>801</v>
      </c>
      <c r="B4798" t="s">
        <v>13</v>
      </c>
      <c r="C4798" t="s">
        <v>726</v>
      </c>
      <c r="D4798" t="s">
        <v>1429</v>
      </c>
      <c r="E4798" s="17">
        <v>46114</v>
      </c>
      <c r="F4798" s="17">
        <v>46114</v>
      </c>
      <c r="G4798" s="13">
        <v>67.89</v>
      </c>
      <c r="H4798" s="14">
        <v>0</v>
      </c>
      <c r="I4798" s="14">
        <v>0</v>
      </c>
      <c r="J4798" s="14">
        <v>0</v>
      </c>
      <c r="K4798" s="14">
        <v>67.89</v>
      </c>
      <c r="L4798" t="s">
        <v>794</v>
      </c>
      <c r="M4798" s="23">
        <f t="shared" si="75"/>
        <v>2026</v>
      </c>
    </row>
    <row r="4799" spans="1:13" ht="12.75" hidden="1" customHeight="1">
      <c r="A4799" t="s">
        <v>801</v>
      </c>
      <c r="B4799" t="s">
        <v>13</v>
      </c>
      <c r="C4799" t="s">
        <v>726</v>
      </c>
      <c r="D4799" t="s">
        <v>1429</v>
      </c>
      <c r="E4799" s="17">
        <v>46118</v>
      </c>
      <c r="F4799" s="17">
        <v>46118</v>
      </c>
      <c r="G4799" s="13">
        <v>48.56</v>
      </c>
      <c r="H4799" s="14">
        <v>0</v>
      </c>
      <c r="I4799" s="14">
        <v>0</v>
      </c>
      <c r="J4799" s="14">
        <v>0</v>
      </c>
      <c r="K4799" s="14">
        <v>48.56</v>
      </c>
      <c r="L4799" t="s">
        <v>794</v>
      </c>
      <c r="M4799" s="23">
        <f t="shared" si="75"/>
        <v>2026</v>
      </c>
    </row>
    <row r="4800" spans="1:13" ht="12.75" hidden="1" customHeight="1">
      <c r="A4800" t="s">
        <v>801</v>
      </c>
      <c r="B4800" t="s">
        <v>13</v>
      </c>
      <c r="C4800" t="s">
        <v>717</v>
      </c>
      <c r="D4800" t="s">
        <v>1429</v>
      </c>
      <c r="E4800" s="17">
        <v>46118</v>
      </c>
      <c r="F4800" s="17">
        <v>46118</v>
      </c>
      <c r="G4800" s="13">
        <v>135.52000000000001</v>
      </c>
      <c r="H4800" s="14">
        <v>0</v>
      </c>
      <c r="I4800" s="14">
        <v>0</v>
      </c>
      <c r="J4800" s="14">
        <v>0</v>
      </c>
      <c r="K4800" s="14">
        <v>135.52000000000001</v>
      </c>
      <c r="L4800" t="s">
        <v>794</v>
      </c>
      <c r="M4800" s="23">
        <f t="shared" si="75"/>
        <v>2026</v>
      </c>
    </row>
    <row r="4801" spans="1:13" ht="12.75" hidden="1" customHeight="1">
      <c r="A4801" t="s">
        <v>801</v>
      </c>
      <c r="B4801" t="s">
        <v>13</v>
      </c>
      <c r="C4801" t="s">
        <v>717</v>
      </c>
      <c r="D4801" t="s">
        <v>1429</v>
      </c>
      <c r="E4801" s="17">
        <v>46118</v>
      </c>
      <c r="F4801" s="17">
        <v>46118</v>
      </c>
      <c r="G4801" s="13">
        <v>4668.09</v>
      </c>
      <c r="H4801" s="14">
        <v>0</v>
      </c>
      <c r="I4801" s="14">
        <v>0</v>
      </c>
      <c r="J4801" s="14">
        <v>0</v>
      </c>
      <c r="K4801" s="14">
        <v>4668.09</v>
      </c>
      <c r="L4801" t="s">
        <v>794</v>
      </c>
      <c r="M4801" s="23">
        <f t="shared" si="75"/>
        <v>2026</v>
      </c>
    </row>
    <row r="4802" spans="1:13" ht="12.75" hidden="1" customHeight="1">
      <c r="A4802" t="s">
        <v>981</v>
      </c>
      <c r="B4802" t="s">
        <v>55</v>
      </c>
      <c r="C4802" t="s">
        <v>99</v>
      </c>
      <c r="D4802" t="s">
        <v>1429</v>
      </c>
      <c r="E4802" s="17">
        <v>46118</v>
      </c>
      <c r="F4802" s="17">
        <v>46118</v>
      </c>
      <c r="G4802" s="13">
        <v>700</v>
      </c>
      <c r="H4802" s="14">
        <v>0</v>
      </c>
      <c r="I4802" s="14">
        <v>0</v>
      </c>
      <c r="J4802" s="14">
        <v>0</v>
      </c>
      <c r="K4802" s="14">
        <v>700</v>
      </c>
      <c r="L4802" t="s">
        <v>794</v>
      </c>
      <c r="M4802" s="23">
        <f t="shared" si="75"/>
        <v>2026</v>
      </c>
    </row>
    <row r="4803" spans="1:13" ht="12.75" hidden="1" customHeight="1">
      <c r="A4803" t="s">
        <v>879</v>
      </c>
      <c r="B4803" t="s">
        <v>23</v>
      </c>
      <c r="C4803" t="s">
        <v>713</v>
      </c>
      <c r="D4803" t="s">
        <v>1429</v>
      </c>
      <c r="E4803" s="17">
        <v>46118</v>
      </c>
      <c r="F4803" s="17">
        <v>46118</v>
      </c>
      <c r="G4803" s="13">
        <v>1585.33</v>
      </c>
      <c r="H4803" s="14">
        <v>0</v>
      </c>
      <c r="I4803" s="14">
        <v>0</v>
      </c>
      <c r="J4803" s="14">
        <v>0</v>
      </c>
      <c r="K4803" s="14">
        <v>1585.33</v>
      </c>
      <c r="L4803" t="s">
        <v>794</v>
      </c>
      <c r="M4803" s="23">
        <f t="shared" si="75"/>
        <v>2026</v>
      </c>
    </row>
    <row r="4804" spans="1:13" ht="12.75" hidden="1" customHeight="1">
      <c r="A4804" t="s">
        <v>1305</v>
      </c>
      <c r="B4804" t="s">
        <v>96</v>
      </c>
      <c r="C4804" t="s">
        <v>737</v>
      </c>
      <c r="D4804" t="s">
        <v>1429</v>
      </c>
      <c r="E4804" s="17">
        <v>46118</v>
      </c>
      <c r="F4804" s="17">
        <v>46118</v>
      </c>
      <c r="G4804" s="13">
        <v>80</v>
      </c>
      <c r="H4804" s="14">
        <v>0</v>
      </c>
      <c r="I4804" s="14">
        <v>0</v>
      </c>
      <c r="J4804" s="14">
        <v>0</v>
      </c>
      <c r="K4804" s="14">
        <v>80</v>
      </c>
      <c r="L4804" t="s">
        <v>794</v>
      </c>
      <c r="M4804" s="23">
        <f t="shared" si="75"/>
        <v>2026</v>
      </c>
    </row>
    <row r="4805" spans="1:13" ht="12.75" hidden="1" customHeight="1">
      <c r="A4805" t="s">
        <v>837</v>
      </c>
      <c r="B4805" t="s">
        <v>58</v>
      </c>
      <c r="C4805" t="s">
        <v>206</v>
      </c>
      <c r="D4805" t="s">
        <v>1429</v>
      </c>
      <c r="E4805" s="17">
        <v>46118</v>
      </c>
      <c r="F4805" s="17">
        <v>46118</v>
      </c>
      <c r="G4805" s="13">
        <v>2005.93</v>
      </c>
      <c r="H4805" s="14">
        <v>0</v>
      </c>
      <c r="I4805" s="14">
        <v>0</v>
      </c>
      <c r="J4805" s="14">
        <v>0</v>
      </c>
      <c r="K4805" s="14">
        <v>2005.93</v>
      </c>
      <c r="L4805" t="s">
        <v>794</v>
      </c>
      <c r="M4805" s="23">
        <f t="shared" si="75"/>
        <v>2026</v>
      </c>
    </row>
    <row r="4806" spans="1:13" ht="12.75" hidden="1" customHeight="1">
      <c r="A4806" t="s">
        <v>823</v>
      </c>
      <c r="B4806" t="s">
        <v>245</v>
      </c>
      <c r="C4806" t="s">
        <v>736</v>
      </c>
      <c r="D4806" t="s">
        <v>1429</v>
      </c>
      <c r="E4806" s="17">
        <v>46118</v>
      </c>
      <c r="F4806" s="17">
        <v>46118</v>
      </c>
      <c r="G4806" s="13">
        <v>129.97</v>
      </c>
      <c r="H4806" s="14">
        <v>0</v>
      </c>
      <c r="I4806" s="14">
        <v>0</v>
      </c>
      <c r="J4806" s="14">
        <v>0</v>
      </c>
      <c r="K4806" s="14">
        <v>129.97</v>
      </c>
      <c r="L4806" t="s">
        <v>794</v>
      </c>
      <c r="M4806" s="23">
        <f t="shared" si="75"/>
        <v>2026</v>
      </c>
    </row>
    <row r="4807" spans="1:13" ht="12.75" hidden="1" customHeight="1">
      <c r="A4807" t="s">
        <v>998</v>
      </c>
      <c r="B4807" t="s">
        <v>368</v>
      </c>
      <c r="C4807" t="s">
        <v>733</v>
      </c>
      <c r="D4807" t="s">
        <v>1429</v>
      </c>
      <c r="E4807" s="17">
        <v>46118</v>
      </c>
      <c r="F4807" s="17">
        <v>46118</v>
      </c>
      <c r="G4807" s="13">
        <v>31.42</v>
      </c>
      <c r="H4807" s="14">
        <v>0</v>
      </c>
      <c r="I4807" s="14">
        <v>0</v>
      </c>
      <c r="J4807" s="14">
        <v>0</v>
      </c>
      <c r="K4807" s="14">
        <v>31.42</v>
      </c>
      <c r="L4807" t="s">
        <v>794</v>
      </c>
      <c r="M4807" s="23">
        <f t="shared" si="75"/>
        <v>2026</v>
      </c>
    </row>
    <row r="4808" spans="1:13" ht="12.75" hidden="1" customHeight="1">
      <c r="A4808" t="s">
        <v>1359</v>
      </c>
      <c r="B4808" t="s">
        <v>497</v>
      </c>
      <c r="C4808" t="s">
        <v>470</v>
      </c>
      <c r="D4808" t="s">
        <v>1429</v>
      </c>
      <c r="E4808" s="17">
        <v>46118</v>
      </c>
      <c r="F4808" s="17">
        <v>46118</v>
      </c>
      <c r="G4808" s="13">
        <v>103.96000000000001</v>
      </c>
      <c r="H4808" s="14">
        <v>0</v>
      </c>
      <c r="I4808" s="14">
        <v>0</v>
      </c>
      <c r="J4808" s="14">
        <v>0</v>
      </c>
      <c r="K4808" s="14">
        <v>103.96000000000001</v>
      </c>
      <c r="L4808" t="s">
        <v>794</v>
      </c>
      <c r="M4808" s="23">
        <f t="shared" si="75"/>
        <v>2026</v>
      </c>
    </row>
    <row r="4809" spans="1:13" ht="12.75" hidden="1" customHeight="1">
      <c r="A4809" t="s">
        <v>864</v>
      </c>
      <c r="B4809" t="s">
        <v>36</v>
      </c>
      <c r="C4809" t="s">
        <v>201</v>
      </c>
      <c r="D4809" t="s">
        <v>1429</v>
      </c>
      <c r="E4809" s="17">
        <v>46118</v>
      </c>
      <c r="F4809" s="17">
        <v>46118</v>
      </c>
      <c r="G4809" s="13">
        <v>700</v>
      </c>
      <c r="H4809" s="14">
        <v>0</v>
      </c>
      <c r="I4809" s="14">
        <v>0</v>
      </c>
      <c r="J4809" s="14">
        <v>0</v>
      </c>
      <c r="K4809" s="14">
        <v>700</v>
      </c>
      <c r="L4809" t="s">
        <v>794</v>
      </c>
      <c r="M4809" s="23">
        <f t="shared" si="75"/>
        <v>2026</v>
      </c>
    </row>
    <row r="4810" spans="1:13" ht="12.75" hidden="1" customHeight="1">
      <c r="A4810" t="s">
        <v>801</v>
      </c>
      <c r="B4810" t="s">
        <v>13</v>
      </c>
      <c r="C4810" t="s">
        <v>726</v>
      </c>
      <c r="D4810" t="s">
        <v>1429</v>
      </c>
      <c r="E4810" s="17">
        <v>46118</v>
      </c>
      <c r="F4810" s="17">
        <v>46118</v>
      </c>
      <c r="G4810" s="13">
        <v>111.69</v>
      </c>
      <c r="H4810" s="14">
        <v>0</v>
      </c>
      <c r="I4810" s="14">
        <v>0</v>
      </c>
      <c r="J4810" s="14">
        <v>0</v>
      </c>
      <c r="K4810" s="14">
        <v>111.69</v>
      </c>
      <c r="L4810" t="s">
        <v>794</v>
      </c>
      <c r="M4810" s="23">
        <f t="shared" si="75"/>
        <v>2026</v>
      </c>
    </row>
    <row r="4811" spans="1:13" ht="12.75" hidden="1" customHeight="1">
      <c r="A4811" t="s">
        <v>808</v>
      </c>
      <c r="B4811" t="s">
        <v>154</v>
      </c>
      <c r="C4811" t="s">
        <v>693</v>
      </c>
      <c r="D4811" t="s">
        <v>1429</v>
      </c>
      <c r="E4811" s="17">
        <v>46119</v>
      </c>
      <c r="F4811" s="17">
        <v>46119</v>
      </c>
      <c r="G4811" s="13">
        <v>550</v>
      </c>
      <c r="H4811" s="14">
        <v>0</v>
      </c>
      <c r="I4811" s="14">
        <v>0</v>
      </c>
      <c r="J4811" s="14">
        <v>0</v>
      </c>
      <c r="K4811" s="14">
        <v>550</v>
      </c>
      <c r="L4811" t="s">
        <v>794</v>
      </c>
      <c r="M4811" s="23">
        <f t="shared" si="75"/>
        <v>2026</v>
      </c>
    </row>
    <row r="4812" spans="1:13" ht="12.75" hidden="1" customHeight="1">
      <c r="A4812" t="s">
        <v>1483</v>
      </c>
      <c r="B4812" t="s">
        <v>538</v>
      </c>
      <c r="C4812" t="s">
        <v>452</v>
      </c>
      <c r="D4812" t="s">
        <v>1429</v>
      </c>
      <c r="E4812" s="17">
        <v>46119</v>
      </c>
      <c r="F4812" s="17">
        <v>46119</v>
      </c>
      <c r="G4812" s="13">
        <v>99</v>
      </c>
      <c r="H4812" s="14">
        <v>0</v>
      </c>
      <c r="I4812" s="14">
        <v>0</v>
      </c>
      <c r="J4812" s="14">
        <v>0</v>
      </c>
      <c r="K4812" s="14">
        <v>99</v>
      </c>
      <c r="L4812" t="s">
        <v>794</v>
      </c>
      <c r="M4812" s="23">
        <f t="shared" si="75"/>
        <v>2026</v>
      </c>
    </row>
    <row r="4813" spans="1:13" ht="12.75" hidden="1" customHeight="1">
      <c r="A4813" t="s">
        <v>801</v>
      </c>
      <c r="B4813" t="s">
        <v>13</v>
      </c>
      <c r="C4813" t="s">
        <v>726</v>
      </c>
      <c r="D4813" t="s">
        <v>1429</v>
      </c>
      <c r="E4813" s="17">
        <v>46119</v>
      </c>
      <c r="F4813" s="17">
        <v>46119</v>
      </c>
      <c r="G4813" s="13">
        <v>269.37</v>
      </c>
      <c r="H4813" s="14">
        <v>0</v>
      </c>
      <c r="I4813" s="14">
        <v>0</v>
      </c>
      <c r="J4813" s="14">
        <v>0</v>
      </c>
      <c r="K4813" s="14">
        <v>269.37</v>
      </c>
      <c r="L4813" t="s">
        <v>794</v>
      </c>
      <c r="M4813" s="23">
        <f t="shared" si="75"/>
        <v>2026</v>
      </c>
    </row>
    <row r="4814" spans="1:13" ht="12.75" hidden="1" customHeight="1">
      <c r="A4814" t="s">
        <v>1134</v>
      </c>
      <c r="B4814" t="s">
        <v>33</v>
      </c>
      <c r="C4814" t="s">
        <v>137</v>
      </c>
      <c r="D4814" t="s">
        <v>1429</v>
      </c>
      <c r="E4814" s="17">
        <v>46119</v>
      </c>
      <c r="F4814" s="17">
        <v>46119</v>
      </c>
      <c r="G4814" s="13">
        <v>1573</v>
      </c>
      <c r="H4814" s="14">
        <v>0</v>
      </c>
      <c r="I4814" s="14">
        <v>0</v>
      </c>
      <c r="J4814" s="14">
        <v>0</v>
      </c>
      <c r="K4814" s="14">
        <v>1573</v>
      </c>
      <c r="L4814" t="s">
        <v>794</v>
      </c>
      <c r="M4814" s="23">
        <f t="shared" si="75"/>
        <v>2026</v>
      </c>
    </row>
    <row r="4815" spans="1:13" ht="12.75" hidden="1" customHeight="1">
      <c r="A4815" t="s">
        <v>855</v>
      </c>
      <c r="B4815" t="s">
        <v>20</v>
      </c>
      <c r="C4815" t="s">
        <v>721</v>
      </c>
      <c r="D4815" t="s">
        <v>1429</v>
      </c>
      <c r="E4815" s="17">
        <v>46119</v>
      </c>
      <c r="F4815" s="17">
        <v>46119</v>
      </c>
      <c r="G4815" s="13">
        <v>5000</v>
      </c>
      <c r="H4815" s="14">
        <v>0</v>
      </c>
      <c r="I4815" s="14">
        <v>0</v>
      </c>
      <c r="J4815" s="14">
        <v>0</v>
      </c>
      <c r="K4815" s="14">
        <v>5000</v>
      </c>
      <c r="L4815" t="s">
        <v>794</v>
      </c>
      <c r="M4815" s="23">
        <f t="shared" si="75"/>
        <v>2026</v>
      </c>
    </row>
    <row r="4816" spans="1:13" ht="12.75" hidden="1" customHeight="1">
      <c r="A4816" t="s">
        <v>855</v>
      </c>
      <c r="B4816" t="s">
        <v>20</v>
      </c>
      <c r="C4816" t="s">
        <v>721</v>
      </c>
      <c r="D4816" t="s">
        <v>1429</v>
      </c>
      <c r="E4816" s="17">
        <v>46119</v>
      </c>
      <c r="F4816" s="17">
        <v>46119</v>
      </c>
      <c r="G4816" s="13">
        <v>1000</v>
      </c>
      <c r="H4816" s="14">
        <v>0</v>
      </c>
      <c r="I4816" s="14">
        <v>0</v>
      </c>
      <c r="J4816" s="14">
        <v>0</v>
      </c>
      <c r="K4816" s="14">
        <v>1000</v>
      </c>
      <c r="L4816" t="s">
        <v>794</v>
      </c>
      <c r="M4816" s="23">
        <f t="shared" si="75"/>
        <v>2026</v>
      </c>
    </row>
    <row r="4817" spans="1:13" ht="12.75" hidden="1" customHeight="1">
      <c r="A4817" t="s">
        <v>855</v>
      </c>
      <c r="B4817" t="s">
        <v>20</v>
      </c>
      <c r="C4817" t="s">
        <v>140</v>
      </c>
      <c r="D4817" t="s">
        <v>1429</v>
      </c>
      <c r="E4817" s="17">
        <v>46119</v>
      </c>
      <c r="F4817" s="17">
        <v>46119</v>
      </c>
      <c r="G4817" s="13">
        <v>500</v>
      </c>
      <c r="H4817" s="14">
        <v>0</v>
      </c>
      <c r="I4817" s="14">
        <v>0</v>
      </c>
      <c r="J4817" s="14">
        <v>0</v>
      </c>
      <c r="K4817" s="14">
        <v>500</v>
      </c>
      <c r="L4817" t="s">
        <v>794</v>
      </c>
      <c r="M4817" s="23">
        <f t="shared" si="75"/>
        <v>2026</v>
      </c>
    </row>
    <row r="4818" spans="1:13" ht="12.75" hidden="1" customHeight="1">
      <c r="A4818" t="s">
        <v>1451</v>
      </c>
      <c r="B4818" t="s">
        <v>208</v>
      </c>
      <c r="C4818" t="s">
        <v>137</v>
      </c>
      <c r="D4818" t="s">
        <v>1429</v>
      </c>
      <c r="E4818" s="17">
        <v>46119</v>
      </c>
      <c r="F4818" s="17">
        <v>46119</v>
      </c>
      <c r="G4818" s="13">
        <v>587.6</v>
      </c>
      <c r="H4818" s="14">
        <v>0</v>
      </c>
      <c r="I4818" s="14">
        <v>0</v>
      </c>
      <c r="J4818" s="14">
        <v>0</v>
      </c>
      <c r="K4818" s="14">
        <v>587.6</v>
      </c>
      <c r="L4818" t="s">
        <v>794</v>
      </c>
      <c r="M4818" s="23">
        <f t="shared" si="75"/>
        <v>2026</v>
      </c>
    </row>
    <row r="4819" spans="1:13" ht="12.75" hidden="1" customHeight="1">
      <c r="A4819" t="s">
        <v>1467</v>
      </c>
      <c r="B4819" t="s">
        <v>185</v>
      </c>
      <c r="C4819" t="s">
        <v>137</v>
      </c>
      <c r="D4819" t="s">
        <v>1429</v>
      </c>
      <c r="E4819" s="17">
        <v>46119</v>
      </c>
      <c r="F4819" s="17">
        <v>46119</v>
      </c>
      <c r="G4819" s="13">
        <v>235.04</v>
      </c>
      <c r="H4819" s="14">
        <v>0</v>
      </c>
      <c r="I4819" s="14">
        <v>0</v>
      </c>
      <c r="J4819" s="14">
        <v>0</v>
      </c>
      <c r="K4819" s="14">
        <v>235.04</v>
      </c>
      <c r="L4819" t="s">
        <v>794</v>
      </c>
      <c r="M4819" s="23">
        <f t="shared" si="75"/>
        <v>2026</v>
      </c>
    </row>
    <row r="4820" spans="1:13" ht="12.75" hidden="1" customHeight="1">
      <c r="A4820" t="s">
        <v>1446</v>
      </c>
      <c r="B4820" t="s">
        <v>167</v>
      </c>
      <c r="C4820" t="s">
        <v>137</v>
      </c>
      <c r="D4820" t="s">
        <v>1429</v>
      </c>
      <c r="E4820" s="17">
        <v>46119</v>
      </c>
      <c r="F4820" s="17">
        <v>46119</v>
      </c>
      <c r="G4820" s="13">
        <v>998.92000000000007</v>
      </c>
      <c r="H4820" s="14">
        <v>0</v>
      </c>
      <c r="I4820" s="14">
        <v>0</v>
      </c>
      <c r="J4820" s="14">
        <v>0</v>
      </c>
      <c r="K4820" s="14">
        <v>998.92000000000007</v>
      </c>
      <c r="L4820" t="s">
        <v>794</v>
      </c>
      <c r="M4820" s="23">
        <f t="shared" si="75"/>
        <v>2026</v>
      </c>
    </row>
    <row r="4821" spans="1:13" ht="12.75" hidden="1" customHeight="1">
      <c r="A4821" t="s">
        <v>1466</v>
      </c>
      <c r="B4821" t="s">
        <v>203</v>
      </c>
      <c r="C4821" t="s">
        <v>137</v>
      </c>
      <c r="D4821" t="s">
        <v>1429</v>
      </c>
      <c r="E4821" s="17">
        <v>46119</v>
      </c>
      <c r="F4821" s="17">
        <v>46119</v>
      </c>
      <c r="G4821" s="13">
        <v>814</v>
      </c>
      <c r="H4821" s="14">
        <v>0</v>
      </c>
      <c r="I4821" s="14">
        <v>0</v>
      </c>
      <c r="J4821" s="14">
        <v>0</v>
      </c>
      <c r="K4821" s="14">
        <v>814</v>
      </c>
      <c r="L4821" t="s">
        <v>794</v>
      </c>
      <c r="M4821" s="23">
        <f t="shared" si="75"/>
        <v>2026</v>
      </c>
    </row>
    <row r="4822" spans="1:13" ht="12.75" hidden="1" customHeight="1">
      <c r="A4822" t="s">
        <v>1466</v>
      </c>
      <c r="B4822" t="s">
        <v>203</v>
      </c>
      <c r="C4822" t="s">
        <v>137</v>
      </c>
      <c r="D4822" t="s">
        <v>1429</v>
      </c>
      <c r="E4822" s="17">
        <v>46119</v>
      </c>
      <c r="F4822" s="17">
        <v>46119</v>
      </c>
      <c r="G4822" s="13">
        <v>117.52</v>
      </c>
      <c r="H4822" s="14">
        <v>0</v>
      </c>
      <c r="I4822" s="14">
        <v>0</v>
      </c>
      <c r="J4822" s="14">
        <v>0</v>
      </c>
      <c r="K4822" s="14">
        <v>117.52</v>
      </c>
      <c r="L4822" t="s">
        <v>794</v>
      </c>
      <c r="M4822" s="23">
        <f t="shared" si="75"/>
        <v>2026</v>
      </c>
    </row>
    <row r="4823" spans="1:13" ht="12.75" hidden="1" customHeight="1">
      <c r="A4823" t="s">
        <v>836</v>
      </c>
      <c r="B4823" t="s">
        <v>37</v>
      </c>
      <c r="C4823" t="s">
        <v>137</v>
      </c>
      <c r="D4823" t="s">
        <v>1429</v>
      </c>
      <c r="E4823" s="17">
        <v>46119</v>
      </c>
      <c r="F4823" s="17">
        <v>46119</v>
      </c>
      <c r="G4823" s="13">
        <v>1573</v>
      </c>
      <c r="H4823" s="14">
        <v>0</v>
      </c>
      <c r="I4823" s="14">
        <v>0</v>
      </c>
      <c r="J4823" s="14">
        <v>0</v>
      </c>
      <c r="K4823" s="14">
        <v>1573</v>
      </c>
      <c r="L4823" t="s">
        <v>794</v>
      </c>
      <c r="M4823" s="23">
        <f t="shared" si="75"/>
        <v>2026</v>
      </c>
    </row>
    <row r="4824" spans="1:13" ht="12.75" hidden="1" customHeight="1">
      <c r="A4824" t="s">
        <v>811</v>
      </c>
      <c r="B4824" t="s">
        <v>39</v>
      </c>
      <c r="C4824" t="s">
        <v>137</v>
      </c>
      <c r="D4824" t="s">
        <v>1429</v>
      </c>
      <c r="E4824" s="17">
        <v>46119</v>
      </c>
      <c r="F4824" s="17">
        <v>46119</v>
      </c>
      <c r="G4824" s="13">
        <v>1573</v>
      </c>
      <c r="H4824" s="14">
        <v>0</v>
      </c>
      <c r="I4824" s="14">
        <v>0</v>
      </c>
      <c r="J4824" s="14">
        <v>0</v>
      </c>
      <c r="K4824" s="14">
        <v>1573</v>
      </c>
      <c r="L4824" t="s">
        <v>794</v>
      </c>
      <c r="M4824" s="23">
        <f t="shared" si="75"/>
        <v>2026</v>
      </c>
    </row>
    <row r="4825" spans="1:13" ht="12.75" hidden="1" customHeight="1">
      <c r="A4825" t="s">
        <v>1420</v>
      </c>
      <c r="B4825" t="s">
        <v>136</v>
      </c>
      <c r="C4825" t="s">
        <v>137</v>
      </c>
      <c r="D4825" t="s">
        <v>1429</v>
      </c>
      <c r="E4825" s="17">
        <v>46119</v>
      </c>
      <c r="F4825" s="17">
        <v>46119</v>
      </c>
      <c r="G4825" s="13">
        <v>1608</v>
      </c>
      <c r="H4825" s="14">
        <v>0</v>
      </c>
      <c r="I4825" s="14">
        <v>0</v>
      </c>
      <c r="J4825" s="14">
        <v>0</v>
      </c>
      <c r="K4825" s="14">
        <v>1608</v>
      </c>
      <c r="L4825" t="s">
        <v>794</v>
      </c>
      <c r="M4825" s="23">
        <f t="shared" si="75"/>
        <v>2026</v>
      </c>
    </row>
    <row r="4826" spans="1:13" ht="12.75" hidden="1" customHeight="1">
      <c r="A4826" t="s">
        <v>826</v>
      </c>
      <c r="B4826" t="s">
        <v>21</v>
      </c>
      <c r="C4826" t="s">
        <v>137</v>
      </c>
      <c r="D4826" t="s">
        <v>1429</v>
      </c>
      <c r="E4826" s="17">
        <v>46119</v>
      </c>
      <c r="F4826" s="17">
        <v>46119</v>
      </c>
      <c r="G4826" s="13">
        <v>1586</v>
      </c>
      <c r="H4826" s="14">
        <v>0</v>
      </c>
      <c r="I4826" s="14">
        <v>0</v>
      </c>
      <c r="J4826" s="14">
        <v>0</v>
      </c>
      <c r="K4826" s="14">
        <v>1586</v>
      </c>
      <c r="L4826" t="s">
        <v>794</v>
      </c>
      <c r="M4826" s="23">
        <f t="shared" si="75"/>
        <v>2026</v>
      </c>
    </row>
    <row r="4827" spans="1:13" ht="12.75" hidden="1" customHeight="1">
      <c r="A4827" t="s">
        <v>825</v>
      </c>
      <c r="B4827" t="s">
        <v>46</v>
      </c>
      <c r="C4827" t="s">
        <v>137</v>
      </c>
      <c r="D4827" t="s">
        <v>1429</v>
      </c>
      <c r="E4827" s="17">
        <v>46119</v>
      </c>
      <c r="F4827" s="17">
        <v>46119</v>
      </c>
      <c r="G4827" s="13">
        <v>1009</v>
      </c>
      <c r="H4827" s="14">
        <v>0</v>
      </c>
      <c r="I4827" s="14">
        <v>0</v>
      </c>
      <c r="J4827" s="14">
        <v>0</v>
      </c>
      <c r="K4827" s="14">
        <v>1009</v>
      </c>
      <c r="L4827" t="s">
        <v>794</v>
      </c>
      <c r="M4827" s="23">
        <f t="shared" ref="M4827:M4890" si="76">YEAR(F4827)</f>
        <v>2026</v>
      </c>
    </row>
    <row r="4828" spans="1:13" ht="12.75" hidden="1" customHeight="1">
      <c r="A4828" t="s">
        <v>1104</v>
      </c>
      <c r="B4828" t="s">
        <v>53</v>
      </c>
      <c r="C4828" t="s">
        <v>137</v>
      </c>
      <c r="D4828" t="s">
        <v>1429</v>
      </c>
      <c r="E4828" s="17">
        <v>46119</v>
      </c>
      <c r="F4828" s="17">
        <v>46119</v>
      </c>
      <c r="G4828" s="13">
        <v>1472</v>
      </c>
      <c r="H4828" s="14">
        <v>0</v>
      </c>
      <c r="I4828" s="14">
        <v>0</v>
      </c>
      <c r="J4828" s="14">
        <v>0</v>
      </c>
      <c r="K4828" s="14">
        <v>1472</v>
      </c>
      <c r="L4828" t="s">
        <v>794</v>
      </c>
      <c r="M4828" s="23">
        <f t="shared" si="76"/>
        <v>2026</v>
      </c>
    </row>
    <row r="4829" spans="1:13" ht="12.75" hidden="1" customHeight="1">
      <c r="A4829" t="s">
        <v>1105</v>
      </c>
      <c r="B4829" t="s">
        <v>1395</v>
      </c>
      <c r="C4829" t="s">
        <v>137</v>
      </c>
      <c r="D4829" t="s">
        <v>1429</v>
      </c>
      <c r="E4829" s="17">
        <v>46119</v>
      </c>
      <c r="F4829" s="17">
        <v>46119</v>
      </c>
      <c r="G4829" s="13">
        <v>1573</v>
      </c>
      <c r="H4829" s="14">
        <v>0</v>
      </c>
      <c r="I4829" s="14">
        <v>0</v>
      </c>
      <c r="J4829" s="14">
        <v>0</v>
      </c>
      <c r="K4829" s="14">
        <v>1573</v>
      </c>
      <c r="L4829" t="s">
        <v>794</v>
      </c>
      <c r="M4829" s="23">
        <f t="shared" si="76"/>
        <v>2026</v>
      </c>
    </row>
    <row r="4830" spans="1:13" ht="12.75" hidden="1" customHeight="1">
      <c r="A4830" t="s">
        <v>1467</v>
      </c>
      <c r="B4830" t="s">
        <v>185</v>
      </c>
      <c r="C4830" t="s">
        <v>137</v>
      </c>
      <c r="D4830" t="s">
        <v>1429</v>
      </c>
      <c r="E4830" s="17">
        <v>46119</v>
      </c>
      <c r="F4830" s="17">
        <v>46119</v>
      </c>
      <c r="G4830" s="13">
        <v>893</v>
      </c>
      <c r="H4830" s="14">
        <v>0</v>
      </c>
      <c r="I4830" s="14">
        <v>0</v>
      </c>
      <c r="J4830" s="14">
        <v>0</v>
      </c>
      <c r="K4830" s="14">
        <v>893</v>
      </c>
      <c r="L4830" t="s">
        <v>794</v>
      </c>
      <c r="M4830" s="23">
        <f t="shared" si="76"/>
        <v>2026</v>
      </c>
    </row>
    <row r="4831" spans="1:13" ht="12.75" hidden="1" customHeight="1">
      <c r="A4831" t="s">
        <v>1173</v>
      </c>
      <c r="B4831" t="s">
        <v>45</v>
      </c>
      <c r="C4831" t="s">
        <v>137</v>
      </c>
      <c r="D4831" t="s">
        <v>1429</v>
      </c>
      <c r="E4831" s="17">
        <v>46119</v>
      </c>
      <c r="F4831" s="17">
        <v>46119</v>
      </c>
      <c r="G4831" s="13">
        <v>1809</v>
      </c>
      <c r="H4831" s="14">
        <v>0</v>
      </c>
      <c r="I4831" s="14">
        <v>0</v>
      </c>
      <c r="J4831" s="14">
        <v>0</v>
      </c>
      <c r="K4831" s="14">
        <v>1809</v>
      </c>
      <c r="L4831" t="s">
        <v>794</v>
      </c>
      <c r="M4831" s="23">
        <f t="shared" si="76"/>
        <v>2026</v>
      </c>
    </row>
    <row r="4832" spans="1:13" ht="12.75" hidden="1" customHeight="1">
      <c r="A4832" t="s">
        <v>1316</v>
      </c>
      <c r="B4832" t="s">
        <v>59</v>
      </c>
      <c r="C4832" t="s">
        <v>137</v>
      </c>
      <c r="D4832" t="s">
        <v>1429</v>
      </c>
      <c r="E4832" s="17">
        <v>46119</v>
      </c>
      <c r="F4832" s="17">
        <v>46119</v>
      </c>
      <c r="G4832" s="13">
        <v>1573</v>
      </c>
      <c r="H4832" s="14">
        <v>0</v>
      </c>
      <c r="I4832" s="14">
        <v>0</v>
      </c>
      <c r="J4832" s="14">
        <v>0</v>
      </c>
      <c r="K4832" s="14">
        <v>1573</v>
      </c>
      <c r="L4832" t="s">
        <v>794</v>
      </c>
      <c r="M4832" s="23">
        <f t="shared" si="76"/>
        <v>2026</v>
      </c>
    </row>
    <row r="4833" spans="1:13" ht="12.75" hidden="1" customHeight="1">
      <c r="A4833" t="s">
        <v>961</v>
      </c>
      <c r="B4833" t="s">
        <v>41</v>
      </c>
      <c r="C4833" t="s">
        <v>137</v>
      </c>
      <c r="D4833" t="s">
        <v>1429</v>
      </c>
      <c r="E4833" s="17">
        <v>46119</v>
      </c>
      <c r="F4833" s="17">
        <v>46119</v>
      </c>
      <c r="G4833" s="13">
        <v>1573</v>
      </c>
      <c r="H4833" s="14">
        <v>0</v>
      </c>
      <c r="I4833" s="14">
        <v>0</v>
      </c>
      <c r="J4833" s="14">
        <v>0</v>
      </c>
      <c r="K4833" s="14">
        <v>1573</v>
      </c>
      <c r="L4833" t="s">
        <v>794</v>
      </c>
      <c r="M4833" s="23">
        <f t="shared" si="76"/>
        <v>2026</v>
      </c>
    </row>
    <row r="4834" spans="1:13" ht="12.75" hidden="1" customHeight="1">
      <c r="A4834" t="s">
        <v>1167</v>
      </c>
      <c r="B4834" t="s">
        <v>47</v>
      </c>
      <c r="C4834" t="s">
        <v>137</v>
      </c>
      <c r="D4834" t="s">
        <v>1429</v>
      </c>
      <c r="E4834" s="17">
        <v>46119</v>
      </c>
      <c r="F4834" s="17">
        <v>46119</v>
      </c>
      <c r="G4834" s="13">
        <v>1816</v>
      </c>
      <c r="H4834" s="14">
        <v>0</v>
      </c>
      <c r="I4834" s="14">
        <v>0</v>
      </c>
      <c r="J4834" s="14">
        <v>0</v>
      </c>
      <c r="K4834" s="14">
        <v>1816</v>
      </c>
      <c r="L4834" t="s">
        <v>794</v>
      </c>
      <c r="M4834" s="23">
        <f t="shared" si="76"/>
        <v>2026</v>
      </c>
    </row>
    <row r="4835" spans="1:13" ht="12.75" hidden="1" customHeight="1">
      <c r="A4835" t="s">
        <v>819</v>
      </c>
      <c r="B4835" t="s">
        <v>38</v>
      </c>
      <c r="C4835" t="s">
        <v>137</v>
      </c>
      <c r="D4835" t="s">
        <v>1429</v>
      </c>
      <c r="E4835" s="17">
        <v>46119</v>
      </c>
      <c r="F4835" s="17">
        <v>46119</v>
      </c>
      <c r="G4835" s="13">
        <v>1724</v>
      </c>
      <c r="H4835" s="14">
        <v>0</v>
      </c>
      <c r="I4835" s="14">
        <v>0</v>
      </c>
      <c r="J4835" s="14">
        <v>0</v>
      </c>
      <c r="K4835" s="14">
        <v>1724</v>
      </c>
      <c r="L4835" t="s">
        <v>794</v>
      </c>
      <c r="M4835" s="23">
        <f t="shared" si="76"/>
        <v>2026</v>
      </c>
    </row>
    <row r="4836" spans="1:13" ht="12.75" hidden="1" customHeight="1">
      <c r="A4836" t="s">
        <v>1004</v>
      </c>
      <c r="B4836" t="s">
        <v>57</v>
      </c>
      <c r="C4836" t="s">
        <v>137</v>
      </c>
      <c r="D4836" t="s">
        <v>1429</v>
      </c>
      <c r="E4836" s="17">
        <v>46119</v>
      </c>
      <c r="F4836" s="17">
        <v>46119</v>
      </c>
      <c r="G4836" s="13">
        <v>1601</v>
      </c>
      <c r="H4836" s="14">
        <v>0</v>
      </c>
      <c r="I4836" s="14">
        <v>0</v>
      </c>
      <c r="J4836" s="14">
        <v>0</v>
      </c>
      <c r="K4836" s="14">
        <v>1601</v>
      </c>
      <c r="L4836" t="s">
        <v>794</v>
      </c>
      <c r="M4836" s="23">
        <f t="shared" si="76"/>
        <v>2026</v>
      </c>
    </row>
    <row r="4837" spans="1:13" ht="12.75" hidden="1" customHeight="1">
      <c r="A4837" t="s">
        <v>1446</v>
      </c>
      <c r="B4837" t="s">
        <v>167</v>
      </c>
      <c r="C4837" t="s">
        <v>137</v>
      </c>
      <c r="D4837" t="s">
        <v>1429</v>
      </c>
      <c r="E4837" s="17">
        <v>46119</v>
      </c>
      <c r="F4837" s="17">
        <v>46119</v>
      </c>
      <c r="G4837" s="13">
        <v>459</v>
      </c>
      <c r="H4837" s="14">
        <v>0</v>
      </c>
      <c r="I4837" s="14">
        <v>0</v>
      </c>
      <c r="J4837" s="14">
        <v>0</v>
      </c>
      <c r="K4837" s="14">
        <v>459</v>
      </c>
      <c r="L4837" t="s">
        <v>794</v>
      </c>
      <c r="M4837" s="23">
        <f t="shared" si="76"/>
        <v>2026</v>
      </c>
    </row>
    <row r="4838" spans="1:13" ht="12.75" hidden="1" customHeight="1">
      <c r="A4838" t="s">
        <v>1196</v>
      </c>
      <c r="B4838" t="s">
        <v>1197</v>
      </c>
      <c r="C4838" t="s">
        <v>137</v>
      </c>
      <c r="D4838" t="s">
        <v>1429</v>
      </c>
      <c r="E4838" s="17">
        <v>46119</v>
      </c>
      <c r="F4838" s="17">
        <v>46119</v>
      </c>
      <c r="G4838" s="13">
        <v>1724</v>
      </c>
      <c r="H4838" s="14">
        <v>0</v>
      </c>
      <c r="I4838" s="14">
        <v>0</v>
      </c>
      <c r="J4838" s="14">
        <v>0</v>
      </c>
      <c r="K4838" s="14">
        <v>1724</v>
      </c>
      <c r="L4838" t="s">
        <v>794</v>
      </c>
      <c r="M4838" s="23">
        <f t="shared" si="76"/>
        <v>2026</v>
      </c>
    </row>
    <row r="4839" spans="1:13" ht="12.75" hidden="1" customHeight="1">
      <c r="A4839" t="s">
        <v>1317</v>
      </c>
      <c r="B4839" t="s">
        <v>64</v>
      </c>
      <c r="C4839" t="s">
        <v>137</v>
      </c>
      <c r="D4839" t="s">
        <v>1429</v>
      </c>
      <c r="E4839" s="17">
        <v>46119</v>
      </c>
      <c r="F4839" s="17">
        <v>46119</v>
      </c>
      <c r="G4839" s="13">
        <v>1573</v>
      </c>
      <c r="H4839" s="14">
        <v>0</v>
      </c>
      <c r="I4839" s="14">
        <v>0</v>
      </c>
      <c r="J4839" s="14">
        <v>0</v>
      </c>
      <c r="K4839" s="14">
        <v>1573</v>
      </c>
      <c r="L4839" t="s">
        <v>794</v>
      </c>
      <c r="M4839" s="23">
        <f t="shared" si="76"/>
        <v>2026</v>
      </c>
    </row>
    <row r="4840" spans="1:13" ht="12.75" hidden="1" customHeight="1">
      <c r="A4840" t="s">
        <v>833</v>
      </c>
      <c r="B4840" t="s">
        <v>27</v>
      </c>
      <c r="C4840" t="s">
        <v>137</v>
      </c>
      <c r="D4840" t="s">
        <v>1429</v>
      </c>
      <c r="E4840" s="17">
        <v>46119</v>
      </c>
      <c r="F4840" s="17">
        <v>46119</v>
      </c>
      <c r="G4840" s="13">
        <v>1815</v>
      </c>
      <c r="H4840" s="14">
        <v>0</v>
      </c>
      <c r="I4840" s="14">
        <v>0</v>
      </c>
      <c r="J4840" s="14">
        <v>0</v>
      </c>
      <c r="K4840" s="14">
        <v>1815</v>
      </c>
      <c r="L4840" t="s">
        <v>794</v>
      </c>
      <c r="M4840" s="23">
        <f t="shared" si="76"/>
        <v>2026</v>
      </c>
    </row>
    <row r="4841" spans="1:13" ht="12.75" hidden="1" customHeight="1">
      <c r="A4841" t="s">
        <v>1451</v>
      </c>
      <c r="B4841" t="s">
        <v>208</v>
      </c>
      <c r="C4841" t="s">
        <v>137</v>
      </c>
      <c r="D4841" t="s">
        <v>1429</v>
      </c>
      <c r="E4841" s="17">
        <v>46119</v>
      </c>
      <c r="F4841" s="17">
        <v>46119</v>
      </c>
      <c r="G4841" s="13">
        <v>102</v>
      </c>
      <c r="H4841" s="14">
        <v>0</v>
      </c>
      <c r="I4841" s="14">
        <v>0</v>
      </c>
      <c r="J4841" s="14">
        <v>0</v>
      </c>
      <c r="K4841" s="14">
        <v>102</v>
      </c>
      <c r="L4841" t="s">
        <v>794</v>
      </c>
      <c r="M4841" s="23">
        <f t="shared" si="76"/>
        <v>2026</v>
      </c>
    </row>
    <row r="4842" spans="1:13" ht="12.75" hidden="1" customHeight="1">
      <c r="A4842" t="s">
        <v>1112</v>
      </c>
      <c r="B4842" t="s">
        <v>68</v>
      </c>
      <c r="C4842" t="s">
        <v>736</v>
      </c>
      <c r="D4842" t="s">
        <v>1429</v>
      </c>
      <c r="E4842" s="17">
        <v>46119</v>
      </c>
      <c r="F4842" s="17">
        <v>46119</v>
      </c>
      <c r="G4842" s="13">
        <v>900</v>
      </c>
      <c r="H4842" s="14">
        <v>0</v>
      </c>
      <c r="I4842" s="14">
        <v>0</v>
      </c>
      <c r="J4842" s="14">
        <v>0</v>
      </c>
      <c r="K4842" s="14">
        <v>900</v>
      </c>
      <c r="L4842" t="s">
        <v>794</v>
      </c>
      <c r="M4842" s="23">
        <f t="shared" si="76"/>
        <v>2026</v>
      </c>
    </row>
    <row r="4843" spans="1:13" ht="12.75" hidden="1" customHeight="1">
      <c r="A4843" t="s">
        <v>818</v>
      </c>
      <c r="B4843" t="s">
        <v>30</v>
      </c>
      <c r="C4843" t="s">
        <v>137</v>
      </c>
      <c r="D4843" t="s">
        <v>1429</v>
      </c>
      <c r="E4843" s="17">
        <v>46119</v>
      </c>
      <c r="F4843" s="17">
        <v>46119</v>
      </c>
      <c r="G4843" s="13">
        <v>1573</v>
      </c>
      <c r="H4843" s="14">
        <v>0</v>
      </c>
      <c r="I4843" s="14">
        <v>0</v>
      </c>
      <c r="J4843" s="14">
        <v>0</v>
      </c>
      <c r="K4843" s="14">
        <v>1573</v>
      </c>
      <c r="L4843" t="s">
        <v>794</v>
      </c>
      <c r="M4843" s="23">
        <f t="shared" si="76"/>
        <v>2026</v>
      </c>
    </row>
    <row r="4844" spans="1:13" ht="12.75" hidden="1" customHeight="1">
      <c r="A4844" t="s">
        <v>833</v>
      </c>
      <c r="B4844" t="s">
        <v>27</v>
      </c>
      <c r="C4844" t="s">
        <v>140</v>
      </c>
      <c r="D4844" t="s">
        <v>1429</v>
      </c>
      <c r="E4844" s="17">
        <v>46119</v>
      </c>
      <c r="F4844" s="17">
        <v>46119</v>
      </c>
      <c r="G4844" s="13">
        <v>1000</v>
      </c>
      <c r="H4844" s="14">
        <v>0</v>
      </c>
      <c r="I4844" s="14">
        <v>0</v>
      </c>
      <c r="J4844" s="14">
        <v>0</v>
      </c>
      <c r="K4844" s="14">
        <v>1000</v>
      </c>
      <c r="L4844" t="s">
        <v>794</v>
      </c>
      <c r="M4844" s="23">
        <f t="shared" si="76"/>
        <v>2026</v>
      </c>
    </row>
    <row r="4845" spans="1:13" ht="12.75" hidden="1" customHeight="1">
      <c r="A4845" t="s">
        <v>1166</v>
      </c>
      <c r="B4845" t="s">
        <v>274</v>
      </c>
      <c r="C4845" t="s">
        <v>458</v>
      </c>
      <c r="D4845" t="s">
        <v>1429</v>
      </c>
      <c r="E4845" s="17">
        <v>46119</v>
      </c>
      <c r="F4845" s="17">
        <v>46119</v>
      </c>
      <c r="G4845" s="13">
        <v>95.79</v>
      </c>
      <c r="H4845" s="14">
        <v>0</v>
      </c>
      <c r="I4845" s="14">
        <v>0</v>
      </c>
      <c r="J4845" s="14">
        <v>0</v>
      </c>
      <c r="K4845" s="14">
        <v>95.79</v>
      </c>
      <c r="L4845" t="s">
        <v>794</v>
      </c>
      <c r="M4845" s="23">
        <f t="shared" si="76"/>
        <v>2026</v>
      </c>
    </row>
    <row r="4846" spans="1:13" ht="12.75" hidden="1" customHeight="1">
      <c r="A4846" t="s">
        <v>1484</v>
      </c>
      <c r="B4846" t="s">
        <v>596</v>
      </c>
      <c r="C4846" t="s">
        <v>764</v>
      </c>
      <c r="D4846" t="s">
        <v>1429</v>
      </c>
      <c r="E4846" s="17">
        <v>46119</v>
      </c>
      <c r="F4846" s="17">
        <v>46119</v>
      </c>
      <c r="G4846" s="13">
        <v>50.39</v>
      </c>
      <c r="H4846" s="14">
        <v>0</v>
      </c>
      <c r="I4846" s="14">
        <v>0</v>
      </c>
      <c r="J4846" s="14">
        <v>0</v>
      </c>
      <c r="K4846" s="14">
        <v>50.39</v>
      </c>
      <c r="L4846" t="s">
        <v>794</v>
      </c>
      <c r="M4846" s="23">
        <f t="shared" si="76"/>
        <v>2026</v>
      </c>
    </row>
    <row r="4847" spans="1:13" ht="12.75" hidden="1" customHeight="1">
      <c r="A4847" t="s">
        <v>998</v>
      </c>
      <c r="B4847" t="s">
        <v>368</v>
      </c>
      <c r="C4847" t="s">
        <v>733</v>
      </c>
      <c r="D4847" t="s">
        <v>1429</v>
      </c>
      <c r="E4847" s="17">
        <v>46119</v>
      </c>
      <c r="F4847" s="17">
        <v>46119</v>
      </c>
      <c r="G4847" s="13">
        <v>44</v>
      </c>
      <c r="H4847" s="14">
        <v>0</v>
      </c>
      <c r="I4847" s="14">
        <v>0</v>
      </c>
      <c r="J4847" s="14">
        <v>0</v>
      </c>
      <c r="K4847" s="14">
        <v>44</v>
      </c>
      <c r="L4847" t="s">
        <v>794</v>
      </c>
      <c r="M4847" s="23">
        <f t="shared" si="76"/>
        <v>2026</v>
      </c>
    </row>
    <row r="4848" spans="1:13" ht="12.75" hidden="1" customHeight="1">
      <c r="A4848" t="s">
        <v>998</v>
      </c>
      <c r="B4848" t="s">
        <v>368</v>
      </c>
      <c r="C4848" t="s">
        <v>733</v>
      </c>
      <c r="D4848" t="s">
        <v>1429</v>
      </c>
      <c r="E4848" s="17">
        <v>46119</v>
      </c>
      <c r="F4848" s="17">
        <v>46119</v>
      </c>
      <c r="G4848" s="13">
        <v>40</v>
      </c>
      <c r="H4848" s="14">
        <v>0</v>
      </c>
      <c r="I4848" s="14">
        <v>0</v>
      </c>
      <c r="J4848" s="14">
        <v>0</v>
      </c>
      <c r="K4848" s="14">
        <v>40</v>
      </c>
      <c r="L4848" t="s">
        <v>794</v>
      </c>
      <c r="M4848" s="23">
        <f t="shared" si="76"/>
        <v>2026</v>
      </c>
    </row>
    <row r="4849" spans="1:13" ht="12.75" hidden="1" customHeight="1">
      <c r="A4849" t="s">
        <v>801</v>
      </c>
      <c r="B4849" t="s">
        <v>13</v>
      </c>
      <c r="C4849" t="s">
        <v>726</v>
      </c>
      <c r="D4849" t="s">
        <v>1429</v>
      </c>
      <c r="E4849" s="17">
        <v>46119</v>
      </c>
      <c r="F4849" s="17">
        <v>46119</v>
      </c>
      <c r="G4849" s="13">
        <v>137.97</v>
      </c>
      <c r="H4849" s="14">
        <v>0</v>
      </c>
      <c r="I4849" s="14">
        <v>0</v>
      </c>
      <c r="J4849" s="14">
        <v>0</v>
      </c>
      <c r="K4849" s="14">
        <v>137.97</v>
      </c>
      <c r="L4849" t="s">
        <v>794</v>
      </c>
      <c r="M4849" s="23">
        <f t="shared" si="76"/>
        <v>2026</v>
      </c>
    </row>
    <row r="4850" spans="1:13" ht="12.75" hidden="1" customHeight="1">
      <c r="A4850" t="s">
        <v>915</v>
      </c>
      <c r="B4850" t="s">
        <v>145</v>
      </c>
      <c r="C4850" t="s">
        <v>183</v>
      </c>
      <c r="D4850" t="s">
        <v>1429</v>
      </c>
      <c r="E4850" s="17">
        <v>46119</v>
      </c>
      <c r="F4850" s="17">
        <v>46119</v>
      </c>
      <c r="G4850" s="13">
        <v>2661.6</v>
      </c>
      <c r="H4850" s="14">
        <v>0</v>
      </c>
      <c r="I4850" s="14">
        <v>0</v>
      </c>
      <c r="J4850" s="14">
        <v>0</v>
      </c>
      <c r="K4850" s="14">
        <v>2661.6</v>
      </c>
      <c r="L4850" t="s">
        <v>794</v>
      </c>
      <c r="M4850" s="23">
        <f t="shared" si="76"/>
        <v>2026</v>
      </c>
    </row>
    <row r="4851" spans="1:13" ht="12.75" hidden="1" customHeight="1">
      <c r="A4851" t="s">
        <v>809</v>
      </c>
      <c r="B4851" t="s">
        <v>91</v>
      </c>
      <c r="C4851" t="s">
        <v>152</v>
      </c>
      <c r="D4851" t="s">
        <v>1429</v>
      </c>
      <c r="E4851" s="17">
        <v>46120</v>
      </c>
      <c r="F4851" s="17">
        <v>46120</v>
      </c>
      <c r="G4851" s="13">
        <v>2000</v>
      </c>
      <c r="H4851" s="14">
        <v>0</v>
      </c>
      <c r="I4851" s="14">
        <v>0</v>
      </c>
      <c r="J4851" s="14">
        <v>0</v>
      </c>
      <c r="K4851" s="14">
        <v>2000</v>
      </c>
      <c r="L4851" t="s">
        <v>794</v>
      </c>
      <c r="M4851" s="23">
        <f t="shared" si="76"/>
        <v>2026</v>
      </c>
    </row>
    <row r="4852" spans="1:13" ht="12.75" hidden="1" customHeight="1">
      <c r="A4852" t="s">
        <v>801</v>
      </c>
      <c r="B4852" t="s">
        <v>13</v>
      </c>
      <c r="C4852" t="s">
        <v>726</v>
      </c>
      <c r="D4852" t="s">
        <v>1429</v>
      </c>
      <c r="E4852" s="17">
        <v>46120</v>
      </c>
      <c r="F4852" s="17">
        <v>46120</v>
      </c>
      <c r="G4852" s="13">
        <v>884.76</v>
      </c>
      <c r="H4852" s="14">
        <v>0</v>
      </c>
      <c r="I4852" s="14">
        <v>0</v>
      </c>
      <c r="J4852" s="14">
        <v>0</v>
      </c>
      <c r="K4852" s="14">
        <v>884.76</v>
      </c>
      <c r="L4852" t="s">
        <v>794</v>
      </c>
      <c r="M4852" s="23">
        <f t="shared" si="76"/>
        <v>2026</v>
      </c>
    </row>
    <row r="4853" spans="1:13" ht="12.75" hidden="1" customHeight="1">
      <c r="A4853" t="s">
        <v>864</v>
      </c>
      <c r="B4853" t="s">
        <v>36</v>
      </c>
      <c r="C4853" t="s">
        <v>200</v>
      </c>
      <c r="D4853" t="s">
        <v>1429</v>
      </c>
      <c r="E4853" s="17">
        <v>46120</v>
      </c>
      <c r="F4853" s="17">
        <v>46120</v>
      </c>
      <c r="G4853" s="13">
        <v>280</v>
      </c>
      <c r="H4853" s="14">
        <v>0</v>
      </c>
      <c r="I4853" s="14">
        <v>0</v>
      </c>
      <c r="J4853" s="14">
        <v>0</v>
      </c>
      <c r="K4853" s="14">
        <v>280</v>
      </c>
      <c r="L4853" t="s">
        <v>794</v>
      </c>
      <c r="M4853" s="23">
        <f t="shared" si="76"/>
        <v>2026</v>
      </c>
    </row>
    <row r="4854" spans="1:13" ht="12.75" hidden="1" customHeight="1">
      <c r="A4854" t="s">
        <v>801</v>
      </c>
      <c r="B4854" t="s">
        <v>13</v>
      </c>
      <c r="C4854" t="s">
        <v>726</v>
      </c>
      <c r="D4854" t="s">
        <v>1429</v>
      </c>
      <c r="E4854" s="17">
        <v>46120</v>
      </c>
      <c r="F4854" s="17">
        <v>46120</v>
      </c>
      <c r="G4854" s="13">
        <v>81.41</v>
      </c>
      <c r="H4854" s="14">
        <v>0</v>
      </c>
      <c r="I4854" s="14">
        <v>0</v>
      </c>
      <c r="J4854" s="14">
        <v>0</v>
      </c>
      <c r="K4854" s="14">
        <v>81.41</v>
      </c>
      <c r="L4854" t="s">
        <v>794</v>
      </c>
      <c r="M4854" s="23">
        <f t="shared" si="76"/>
        <v>2026</v>
      </c>
    </row>
    <row r="4855" spans="1:13" ht="12.75" hidden="1" customHeight="1">
      <c r="A4855" t="s">
        <v>801</v>
      </c>
      <c r="B4855" t="s">
        <v>13</v>
      </c>
      <c r="C4855" t="s">
        <v>726</v>
      </c>
      <c r="D4855" t="s">
        <v>1429</v>
      </c>
      <c r="E4855" s="17">
        <v>46122</v>
      </c>
      <c r="F4855" s="17">
        <v>46121</v>
      </c>
      <c r="G4855" s="13">
        <v>10.950000000000001</v>
      </c>
      <c r="H4855" s="14">
        <v>0</v>
      </c>
      <c r="I4855" s="14">
        <v>0</v>
      </c>
      <c r="J4855" s="14">
        <v>0</v>
      </c>
      <c r="K4855" s="14">
        <v>10.950000000000001</v>
      </c>
      <c r="L4855" t="s">
        <v>794</v>
      </c>
      <c r="M4855" s="23">
        <f t="shared" si="76"/>
        <v>2026</v>
      </c>
    </row>
    <row r="4856" spans="1:13" ht="12.75" hidden="1" customHeight="1">
      <c r="A4856" t="s">
        <v>801</v>
      </c>
      <c r="B4856" t="s">
        <v>13</v>
      </c>
      <c r="C4856" t="s">
        <v>726</v>
      </c>
      <c r="D4856" t="s">
        <v>1429</v>
      </c>
      <c r="E4856" s="17">
        <v>46121</v>
      </c>
      <c r="F4856" s="17">
        <v>46121</v>
      </c>
      <c r="G4856" s="13">
        <v>4.38</v>
      </c>
      <c r="H4856" s="14">
        <v>0</v>
      </c>
      <c r="I4856" s="14">
        <v>0</v>
      </c>
      <c r="J4856" s="14">
        <v>0</v>
      </c>
      <c r="K4856" s="14">
        <v>4.38</v>
      </c>
      <c r="L4856" t="s">
        <v>794</v>
      </c>
      <c r="M4856" s="23">
        <f t="shared" si="76"/>
        <v>2026</v>
      </c>
    </row>
    <row r="4857" spans="1:13" ht="12.75" hidden="1" customHeight="1">
      <c r="A4857" t="s">
        <v>801</v>
      </c>
      <c r="B4857" t="s">
        <v>13</v>
      </c>
      <c r="C4857" t="s">
        <v>726</v>
      </c>
      <c r="D4857" t="s">
        <v>1429</v>
      </c>
      <c r="E4857" s="17">
        <v>46122</v>
      </c>
      <c r="F4857" s="17">
        <v>46122</v>
      </c>
      <c r="G4857" s="13">
        <v>8.76</v>
      </c>
      <c r="H4857" s="14">
        <v>0</v>
      </c>
      <c r="I4857" s="14">
        <v>0</v>
      </c>
      <c r="J4857" s="14">
        <v>0</v>
      </c>
      <c r="K4857" s="14">
        <v>8.76</v>
      </c>
      <c r="L4857" t="s">
        <v>794</v>
      </c>
      <c r="M4857" s="23">
        <f t="shared" si="76"/>
        <v>2026</v>
      </c>
    </row>
    <row r="4858" spans="1:13" ht="12.75" hidden="1" customHeight="1">
      <c r="A4858" t="s">
        <v>845</v>
      </c>
      <c r="B4858" t="s">
        <v>67</v>
      </c>
      <c r="C4858" t="s">
        <v>729</v>
      </c>
      <c r="D4858" t="s">
        <v>1429</v>
      </c>
      <c r="E4858" s="17">
        <v>46122</v>
      </c>
      <c r="F4858" s="17">
        <v>46122</v>
      </c>
      <c r="G4858" s="13">
        <v>1757.08</v>
      </c>
      <c r="H4858" s="14">
        <v>0</v>
      </c>
      <c r="I4858" s="14">
        <v>0</v>
      </c>
      <c r="J4858" s="14">
        <v>0</v>
      </c>
      <c r="K4858" s="14">
        <v>1757.08</v>
      </c>
      <c r="L4858" t="s">
        <v>794</v>
      </c>
      <c r="M4858" s="23">
        <f t="shared" si="76"/>
        <v>2026</v>
      </c>
    </row>
    <row r="4859" spans="1:13" ht="12.75" hidden="1" customHeight="1">
      <c r="A4859" t="s">
        <v>1134</v>
      </c>
      <c r="B4859" t="s">
        <v>33</v>
      </c>
      <c r="C4859" t="s">
        <v>200</v>
      </c>
      <c r="D4859" t="s">
        <v>1429</v>
      </c>
      <c r="E4859" s="17">
        <v>46122</v>
      </c>
      <c r="F4859" s="17">
        <v>46122</v>
      </c>
      <c r="G4859" s="13">
        <v>2392</v>
      </c>
      <c r="H4859" s="14">
        <v>0</v>
      </c>
      <c r="I4859" s="14">
        <v>0</v>
      </c>
      <c r="J4859" s="14">
        <v>0</v>
      </c>
      <c r="K4859" s="14">
        <v>2392</v>
      </c>
      <c r="L4859" t="s">
        <v>794</v>
      </c>
      <c r="M4859" s="23">
        <f t="shared" si="76"/>
        <v>2026</v>
      </c>
    </row>
    <row r="4860" spans="1:13" ht="12.75" hidden="1" customHeight="1">
      <c r="A4860" t="s">
        <v>1355</v>
      </c>
      <c r="B4860" t="s">
        <v>161</v>
      </c>
      <c r="C4860" t="s">
        <v>200</v>
      </c>
      <c r="D4860" t="s">
        <v>1429</v>
      </c>
      <c r="E4860" s="17">
        <v>46122</v>
      </c>
      <c r="F4860" s="17">
        <v>46122</v>
      </c>
      <c r="G4860" s="13">
        <v>1008</v>
      </c>
      <c r="H4860" s="14">
        <v>0</v>
      </c>
      <c r="I4860" s="14">
        <v>0</v>
      </c>
      <c r="J4860" s="14">
        <v>0</v>
      </c>
      <c r="K4860" s="14">
        <v>1008</v>
      </c>
      <c r="L4860" t="s">
        <v>794</v>
      </c>
      <c r="M4860" s="23">
        <f t="shared" si="76"/>
        <v>2026</v>
      </c>
    </row>
    <row r="4861" spans="1:13" ht="12.75" hidden="1" customHeight="1">
      <c r="A4861" t="s">
        <v>1176</v>
      </c>
      <c r="B4861" t="s">
        <v>106</v>
      </c>
      <c r="C4861" t="s">
        <v>200</v>
      </c>
      <c r="D4861" t="s">
        <v>1429</v>
      </c>
      <c r="E4861" s="17">
        <v>46122</v>
      </c>
      <c r="F4861" s="17">
        <v>46122</v>
      </c>
      <c r="G4861" s="13">
        <v>1428</v>
      </c>
      <c r="H4861" s="14">
        <v>0</v>
      </c>
      <c r="I4861" s="14">
        <v>0</v>
      </c>
      <c r="J4861" s="14">
        <v>0</v>
      </c>
      <c r="K4861" s="14">
        <v>1428</v>
      </c>
      <c r="L4861" t="s">
        <v>794</v>
      </c>
      <c r="M4861" s="23">
        <f t="shared" si="76"/>
        <v>2026</v>
      </c>
    </row>
    <row r="4862" spans="1:13" ht="12.75" hidden="1" customHeight="1">
      <c r="A4862" t="s">
        <v>1411</v>
      </c>
      <c r="B4862" t="s">
        <v>228</v>
      </c>
      <c r="C4862" t="s">
        <v>200</v>
      </c>
      <c r="D4862" t="s">
        <v>1429</v>
      </c>
      <c r="E4862" s="17">
        <v>46122</v>
      </c>
      <c r="F4862" s="17">
        <v>46122</v>
      </c>
      <c r="G4862" s="13">
        <v>1192</v>
      </c>
      <c r="H4862" s="14">
        <v>0</v>
      </c>
      <c r="I4862" s="14">
        <v>0</v>
      </c>
      <c r="J4862" s="14">
        <v>0</v>
      </c>
      <c r="K4862" s="14">
        <v>1192</v>
      </c>
      <c r="L4862" t="s">
        <v>794</v>
      </c>
      <c r="M4862" s="23">
        <f t="shared" si="76"/>
        <v>2026</v>
      </c>
    </row>
    <row r="4863" spans="1:13" ht="12.75" hidden="1" customHeight="1">
      <c r="A4863" t="s">
        <v>881</v>
      </c>
      <c r="B4863" t="s">
        <v>48</v>
      </c>
      <c r="C4863" t="s">
        <v>200</v>
      </c>
      <c r="D4863" t="s">
        <v>1429</v>
      </c>
      <c r="E4863" s="17">
        <v>46122</v>
      </c>
      <c r="F4863" s="17">
        <v>46122</v>
      </c>
      <c r="G4863" s="13">
        <v>5088</v>
      </c>
      <c r="H4863" s="14">
        <v>0</v>
      </c>
      <c r="I4863" s="14">
        <v>0</v>
      </c>
      <c r="J4863" s="14">
        <v>0</v>
      </c>
      <c r="K4863" s="14">
        <v>5088</v>
      </c>
      <c r="L4863" t="s">
        <v>794</v>
      </c>
      <c r="M4863" s="23">
        <f t="shared" si="76"/>
        <v>2026</v>
      </c>
    </row>
    <row r="4864" spans="1:13" ht="12.75" hidden="1" customHeight="1">
      <c r="A4864" t="s">
        <v>1384</v>
      </c>
      <c r="B4864" t="s">
        <v>159</v>
      </c>
      <c r="C4864" t="s">
        <v>200</v>
      </c>
      <c r="D4864" t="s">
        <v>1429</v>
      </c>
      <c r="E4864" s="17">
        <v>46122</v>
      </c>
      <c r="F4864" s="17">
        <v>46122</v>
      </c>
      <c r="G4864" s="13">
        <v>1344</v>
      </c>
      <c r="H4864" s="14">
        <v>0</v>
      </c>
      <c r="I4864" s="14">
        <v>0</v>
      </c>
      <c r="J4864" s="14">
        <v>0</v>
      </c>
      <c r="K4864" s="14">
        <v>1344</v>
      </c>
      <c r="L4864" t="s">
        <v>794</v>
      </c>
      <c r="M4864" s="23">
        <f t="shared" si="76"/>
        <v>2026</v>
      </c>
    </row>
    <row r="4865" spans="1:13" ht="12.75" hidden="1" customHeight="1">
      <c r="A4865" t="s">
        <v>961</v>
      </c>
      <c r="B4865" t="s">
        <v>41</v>
      </c>
      <c r="C4865" t="s">
        <v>200</v>
      </c>
      <c r="D4865" t="s">
        <v>1429</v>
      </c>
      <c r="E4865" s="17">
        <v>46122</v>
      </c>
      <c r="F4865" s="17">
        <v>46122</v>
      </c>
      <c r="G4865" s="13">
        <v>616</v>
      </c>
      <c r="H4865" s="14">
        <v>0</v>
      </c>
      <c r="I4865" s="14">
        <v>0</v>
      </c>
      <c r="J4865" s="14">
        <v>0</v>
      </c>
      <c r="K4865" s="14">
        <v>616</v>
      </c>
      <c r="L4865" t="s">
        <v>794</v>
      </c>
      <c r="M4865" s="23">
        <f t="shared" si="76"/>
        <v>2026</v>
      </c>
    </row>
    <row r="4866" spans="1:13" ht="12.75" hidden="1" customHeight="1">
      <c r="A4866" t="s">
        <v>1330</v>
      </c>
      <c r="B4866" t="s">
        <v>175</v>
      </c>
      <c r="C4866" t="s">
        <v>200</v>
      </c>
      <c r="D4866" t="s">
        <v>1429</v>
      </c>
      <c r="E4866" s="17">
        <v>46122</v>
      </c>
      <c r="F4866" s="17">
        <v>46122</v>
      </c>
      <c r="G4866" s="13">
        <v>1008</v>
      </c>
      <c r="H4866" s="14">
        <v>0</v>
      </c>
      <c r="I4866" s="14">
        <v>0</v>
      </c>
      <c r="J4866" s="14">
        <v>0</v>
      </c>
      <c r="K4866" s="14">
        <v>1008</v>
      </c>
      <c r="L4866" t="s">
        <v>794</v>
      </c>
      <c r="M4866" s="23">
        <f t="shared" si="76"/>
        <v>2026</v>
      </c>
    </row>
    <row r="4867" spans="1:13" ht="12.75" hidden="1" customHeight="1">
      <c r="A4867" t="s">
        <v>882</v>
      </c>
      <c r="B4867" t="s">
        <v>34</v>
      </c>
      <c r="C4867" t="s">
        <v>200</v>
      </c>
      <c r="D4867" t="s">
        <v>1429</v>
      </c>
      <c r="E4867" s="17">
        <v>46122</v>
      </c>
      <c r="F4867" s="17">
        <v>46122</v>
      </c>
      <c r="G4867" s="13">
        <v>2668</v>
      </c>
      <c r="H4867" s="14">
        <v>0</v>
      </c>
      <c r="I4867" s="14">
        <v>0</v>
      </c>
      <c r="J4867" s="14">
        <v>0</v>
      </c>
      <c r="K4867" s="14">
        <v>2668</v>
      </c>
      <c r="L4867" t="s">
        <v>794</v>
      </c>
      <c r="M4867" s="23">
        <f t="shared" si="76"/>
        <v>2026</v>
      </c>
    </row>
    <row r="4868" spans="1:13" ht="12.75" hidden="1" customHeight="1">
      <c r="A4868" t="s">
        <v>855</v>
      </c>
      <c r="B4868" t="s">
        <v>20</v>
      </c>
      <c r="C4868" t="s">
        <v>200</v>
      </c>
      <c r="D4868" t="s">
        <v>1429</v>
      </c>
      <c r="E4868" s="17">
        <v>46122</v>
      </c>
      <c r="F4868" s="17">
        <v>46122</v>
      </c>
      <c r="G4868" s="13">
        <v>1656</v>
      </c>
      <c r="H4868" s="14">
        <v>0</v>
      </c>
      <c r="I4868" s="14">
        <v>0</v>
      </c>
      <c r="J4868" s="14">
        <v>0</v>
      </c>
      <c r="K4868" s="14">
        <v>1656</v>
      </c>
      <c r="L4868" t="s">
        <v>794</v>
      </c>
      <c r="M4868" s="23">
        <f t="shared" si="76"/>
        <v>2026</v>
      </c>
    </row>
    <row r="4869" spans="1:13" ht="12.75" hidden="1" customHeight="1">
      <c r="A4869" t="s">
        <v>1173</v>
      </c>
      <c r="B4869" t="s">
        <v>45</v>
      </c>
      <c r="C4869" t="s">
        <v>200</v>
      </c>
      <c r="D4869" t="s">
        <v>1429</v>
      </c>
      <c r="E4869" s="17">
        <v>46122</v>
      </c>
      <c r="F4869" s="17">
        <v>46122</v>
      </c>
      <c r="G4869" s="13">
        <v>1092</v>
      </c>
      <c r="H4869" s="14">
        <v>0</v>
      </c>
      <c r="I4869" s="14">
        <v>0</v>
      </c>
      <c r="J4869" s="14">
        <v>0</v>
      </c>
      <c r="K4869" s="14">
        <v>1092</v>
      </c>
      <c r="L4869" t="s">
        <v>794</v>
      </c>
      <c r="M4869" s="23">
        <f t="shared" si="76"/>
        <v>2026</v>
      </c>
    </row>
    <row r="4870" spans="1:13" ht="12.75" hidden="1" customHeight="1">
      <c r="A4870" t="s">
        <v>1343</v>
      </c>
      <c r="B4870" t="s">
        <v>92</v>
      </c>
      <c r="C4870" t="s">
        <v>201</v>
      </c>
      <c r="D4870" t="s">
        <v>1429</v>
      </c>
      <c r="E4870" s="17">
        <v>46122</v>
      </c>
      <c r="F4870" s="17">
        <v>46122</v>
      </c>
      <c r="G4870" s="13">
        <v>2400</v>
      </c>
      <c r="H4870" s="14">
        <v>0</v>
      </c>
      <c r="I4870" s="14">
        <v>0</v>
      </c>
      <c r="J4870" s="14">
        <v>0</v>
      </c>
      <c r="K4870" s="14">
        <v>2400</v>
      </c>
      <c r="L4870" t="s">
        <v>794</v>
      </c>
      <c r="M4870" s="23">
        <f t="shared" si="76"/>
        <v>2026</v>
      </c>
    </row>
    <row r="4871" spans="1:13" ht="12.75" hidden="1" customHeight="1">
      <c r="A4871" t="s">
        <v>887</v>
      </c>
      <c r="B4871" t="s">
        <v>61</v>
      </c>
      <c r="C4871" t="s">
        <v>201</v>
      </c>
      <c r="D4871" t="s">
        <v>1429</v>
      </c>
      <c r="E4871" s="17">
        <v>46122</v>
      </c>
      <c r="F4871" s="17">
        <v>46122</v>
      </c>
      <c r="G4871" s="13">
        <v>1440</v>
      </c>
      <c r="H4871" s="14">
        <v>0</v>
      </c>
      <c r="I4871" s="14">
        <v>0</v>
      </c>
      <c r="J4871" s="14">
        <v>0</v>
      </c>
      <c r="K4871" s="14">
        <v>1440</v>
      </c>
      <c r="L4871" t="s">
        <v>794</v>
      </c>
      <c r="M4871" s="23">
        <f t="shared" si="76"/>
        <v>2026</v>
      </c>
    </row>
    <row r="4872" spans="1:13" ht="12.75" hidden="1" customHeight="1">
      <c r="A4872" t="s">
        <v>1202</v>
      </c>
      <c r="B4872" t="s">
        <v>70</v>
      </c>
      <c r="C4872" t="s">
        <v>201</v>
      </c>
      <c r="D4872" t="s">
        <v>1429</v>
      </c>
      <c r="E4872" s="17">
        <v>46122</v>
      </c>
      <c r="F4872" s="17">
        <v>46122</v>
      </c>
      <c r="G4872" s="13">
        <v>720</v>
      </c>
      <c r="H4872" s="14">
        <v>0</v>
      </c>
      <c r="I4872" s="14">
        <v>0</v>
      </c>
      <c r="J4872" s="14">
        <v>0</v>
      </c>
      <c r="K4872" s="14">
        <v>720</v>
      </c>
      <c r="L4872" t="s">
        <v>794</v>
      </c>
      <c r="M4872" s="23">
        <f t="shared" si="76"/>
        <v>2026</v>
      </c>
    </row>
    <row r="4873" spans="1:13" ht="12.75" hidden="1" customHeight="1">
      <c r="A4873" t="s">
        <v>1094</v>
      </c>
      <c r="B4873" t="s">
        <v>80</v>
      </c>
      <c r="C4873" t="s">
        <v>201</v>
      </c>
      <c r="D4873" t="s">
        <v>1429</v>
      </c>
      <c r="E4873" s="17">
        <v>46122</v>
      </c>
      <c r="F4873" s="17">
        <v>46122</v>
      </c>
      <c r="G4873" s="13">
        <v>720</v>
      </c>
      <c r="H4873" s="14">
        <v>0</v>
      </c>
      <c r="I4873" s="14">
        <v>0</v>
      </c>
      <c r="J4873" s="14">
        <v>0</v>
      </c>
      <c r="K4873" s="14">
        <v>720</v>
      </c>
      <c r="L4873" t="s">
        <v>794</v>
      </c>
      <c r="M4873" s="23">
        <f t="shared" si="76"/>
        <v>2026</v>
      </c>
    </row>
    <row r="4874" spans="1:13" ht="12.75" hidden="1" customHeight="1">
      <c r="A4874" t="s">
        <v>881</v>
      </c>
      <c r="B4874" t="s">
        <v>48</v>
      </c>
      <c r="C4874" t="s">
        <v>201</v>
      </c>
      <c r="D4874" t="s">
        <v>1429</v>
      </c>
      <c r="E4874" s="17">
        <v>46122</v>
      </c>
      <c r="F4874" s="17">
        <v>46122</v>
      </c>
      <c r="G4874" s="13">
        <v>80</v>
      </c>
      <c r="H4874" s="14">
        <v>0</v>
      </c>
      <c r="I4874" s="14">
        <v>0</v>
      </c>
      <c r="J4874" s="14">
        <v>0</v>
      </c>
      <c r="K4874" s="14">
        <v>80</v>
      </c>
      <c r="L4874" t="s">
        <v>794</v>
      </c>
      <c r="M4874" s="23">
        <f t="shared" si="76"/>
        <v>2026</v>
      </c>
    </row>
    <row r="4875" spans="1:13" ht="12.75" hidden="1" customHeight="1">
      <c r="A4875" t="s">
        <v>881</v>
      </c>
      <c r="B4875" t="s">
        <v>48</v>
      </c>
      <c r="C4875" t="s">
        <v>201</v>
      </c>
      <c r="D4875" t="s">
        <v>1429</v>
      </c>
      <c r="E4875" s="17">
        <v>46122</v>
      </c>
      <c r="F4875" s="17">
        <v>46122</v>
      </c>
      <c r="G4875" s="13">
        <v>800</v>
      </c>
      <c r="H4875" s="14">
        <v>0</v>
      </c>
      <c r="I4875" s="14">
        <v>0</v>
      </c>
      <c r="J4875" s="14">
        <v>0</v>
      </c>
      <c r="K4875" s="14">
        <v>800</v>
      </c>
      <c r="L4875" t="s">
        <v>794</v>
      </c>
      <c r="M4875" s="23">
        <f t="shared" si="76"/>
        <v>2026</v>
      </c>
    </row>
    <row r="4876" spans="1:13" ht="12.75" hidden="1" customHeight="1">
      <c r="A4876" t="s">
        <v>1461</v>
      </c>
      <c r="B4876" t="s">
        <v>199</v>
      </c>
      <c r="C4876" t="s">
        <v>201</v>
      </c>
      <c r="D4876" t="s">
        <v>1429</v>
      </c>
      <c r="E4876" s="17">
        <v>46122</v>
      </c>
      <c r="F4876" s="17">
        <v>46122</v>
      </c>
      <c r="G4876" s="13">
        <v>1560</v>
      </c>
      <c r="H4876" s="14">
        <v>0</v>
      </c>
      <c r="I4876" s="14">
        <v>0</v>
      </c>
      <c r="J4876" s="14">
        <v>0</v>
      </c>
      <c r="K4876" s="14">
        <v>1560</v>
      </c>
      <c r="L4876" t="s">
        <v>794</v>
      </c>
      <c r="M4876" s="23">
        <f t="shared" si="76"/>
        <v>2026</v>
      </c>
    </row>
    <row r="4877" spans="1:13" ht="12.75" hidden="1" customHeight="1">
      <c r="A4877" t="s">
        <v>1155</v>
      </c>
      <c r="B4877" t="s">
        <v>88</v>
      </c>
      <c r="C4877" t="s">
        <v>201</v>
      </c>
      <c r="D4877" t="s">
        <v>1429</v>
      </c>
      <c r="E4877" s="17">
        <v>46122</v>
      </c>
      <c r="F4877" s="17">
        <v>46122</v>
      </c>
      <c r="G4877" s="13">
        <v>720</v>
      </c>
      <c r="H4877" s="14">
        <v>0</v>
      </c>
      <c r="I4877" s="14">
        <v>0</v>
      </c>
      <c r="J4877" s="14">
        <v>0</v>
      </c>
      <c r="K4877" s="14">
        <v>720</v>
      </c>
      <c r="L4877" t="s">
        <v>794</v>
      </c>
      <c r="M4877" s="23">
        <f t="shared" si="76"/>
        <v>2026</v>
      </c>
    </row>
    <row r="4878" spans="1:13" ht="12.75" hidden="1" customHeight="1">
      <c r="A4878" t="s">
        <v>882</v>
      </c>
      <c r="B4878" t="s">
        <v>34</v>
      </c>
      <c r="C4878" t="s">
        <v>201</v>
      </c>
      <c r="D4878" t="s">
        <v>1429</v>
      </c>
      <c r="E4878" s="17">
        <v>46122</v>
      </c>
      <c r="F4878" s="17">
        <v>46122</v>
      </c>
      <c r="G4878" s="13">
        <v>100</v>
      </c>
      <c r="H4878" s="14">
        <v>0</v>
      </c>
      <c r="I4878" s="14">
        <v>0</v>
      </c>
      <c r="J4878" s="14">
        <v>0</v>
      </c>
      <c r="K4878" s="14">
        <v>100</v>
      </c>
      <c r="L4878" t="s">
        <v>794</v>
      </c>
      <c r="M4878" s="23">
        <f t="shared" si="76"/>
        <v>2026</v>
      </c>
    </row>
    <row r="4879" spans="1:13" ht="12.75" hidden="1" customHeight="1">
      <c r="A4879" t="s">
        <v>882</v>
      </c>
      <c r="B4879" t="s">
        <v>34</v>
      </c>
      <c r="C4879" t="s">
        <v>201</v>
      </c>
      <c r="D4879" t="s">
        <v>1429</v>
      </c>
      <c r="E4879" s="17">
        <v>46122</v>
      </c>
      <c r="F4879" s="17">
        <v>46122</v>
      </c>
      <c r="G4879" s="13">
        <v>360</v>
      </c>
      <c r="H4879" s="14">
        <v>0</v>
      </c>
      <c r="I4879" s="14">
        <v>0</v>
      </c>
      <c r="J4879" s="14">
        <v>0</v>
      </c>
      <c r="K4879" s="14">
        <v>360</v>
      </c>
      <c r="L4879" t="s">
        <v>794</v>
      </c>
      <c r="M4879" s="23">
        <f t="shared" si="76"/>
        <v>2026</v>
      </c>
    </row>
    <row r="4880" spans="1:13" ht="12.75" hidden="1" customHeight="1">
      <c r="A4880" t="s">
        <v>974</v>
      </c>
      <c r="B4880" t="s">
        <v>220</v>
      </c>
      <c r="C4880" t="s">
        <v>201</v>
      </c>
      <c r="D4880" t="s">
        <v>1429</v>
      </c>
      <c r="E4880" s="17">
        <v>46122</v>
      </c>
      <c r="F4880" s="17">
        <v>46122</v>
      </c>
      <c r="G4880" s="13">
        <v>1760</v>
      </c>
      <c r="H4880" s="14">
        <v>0</v>
      </c>
      <c r="I4880" s="14">
        <v>0</v>
      </c>
      <c r="J4880" s="14">
        <v>0</v>
      </c>
      <c r="K4880" s="14">
        <v>1760</v>
      </c>
      <c r="L4880" t="s">
        <v>794</v>
      </c>
      <c r="M4880" s="23">
        <f t="shared" si="76"/>
        <v>2026</v>
      </c>
    </row>
    <row r="4881" spans="1:13" ht="12.75" hidden="1" customHeight="1">
      <c r="A4881" t="s">
        <v>1045</v>
      </c>
      <c r="B4881" t="s">
        <v>71</v>
      </c>
      <c r="C4881" t="s">
        <v>201</v>
      </c>
      <c r="D4881" t="s">
        <v>1429</v>
      </c>
      <c r="E4881" s="17">
        <v>46122</v>
      </c>
      <c r="F4881" s="17">
        <v>46122</v>
      </c>
      <c r="G4881" s="13">
        <v>3040</v>
      </c>
      <c r="H4881" s="14">
        <v>0</v>
      </c>
      <c r="I4881" s="14">
        <v>0</v>
      </c>
      <c r="J4881" s="14">
        <v>0</v>
      </c>
      <c r="K4881" s="14">
        <v>3040</v>
      </c>
      <c r="L4881" t="s">
        <v>794</v>
      </c>
      <c r="M4881" s="23">
        <f t="shared" si="76"/>
        <v>2026</v>
      </c>
    </row>
    <row r="4882" spans="1:13" ht="12.75" hidden="1" customHeight="1">
      <c r="A4882" t="s">
        <v>1461</v>
      </c>
      <c r="B4882" t="s">
        <v>199</v>
      </c>
      <c r="C4882" t="s">
        <v>200</v>
      </c>
      <c r="D4882" t="s">
        <v>1429</v>
      </c>
      <c r="E4882" s="17">
        <v>46122</v>
      </c>
      <c r="F4882" s="17">
        <v>46122</v>
      </c>
      <c r="G4882" s="13">
        <v>2184</v>
      </c>
      <c r="H4882" s="14">
        <v>0</v>
      </c>
      <c r="I4882" s="14">
        <v>0</v>
      </c>
      <c r="J4882" s="14">
        <v>0</v>
      </c>
      <c r="K4882" s="14">
        <v>2184</v>
      </c>
      <c r="L4882" t="s">
        <v>794</v>
      </c>
      <c r="M4882" s="23">
        <f t="shared" si="76"/>
        <v>2026</v>
      </c>
    </row>
    <row r="4883" spans="1:13" ht="12.75" hidden="1" customHeight="1">
      <c r="A4883" t="s">
        <v>1339</v>
      </c>
      <c r="B4883" t="s">
        <v>66</v>
      </c>
      <c r="C4883" t="s">
        <v>200</v>
      </c>
      <c r="D4883" t="s">
        <v>1429</v>
      </c>
      <c r="E4883" s="17">
        <v>46122</v>
      </c>
      <c r="F4883" s="17">
        <v>46122</v>
      </c>
      <c r="G4883" s="13">
        <v>2688</v>
      </c>
      <c r="H4883" s="14">
        <v>0</v>
      </c>
      <c r="I4883" s="14">
        <v>0</v>
      </c>
      <c r="J4883" s="14">
        <v>0</v>
      </c>
      <c r="K4883" s="14">
        <v>2688</v>
      </c>
      <c r="L4883" t="s">
        <v>794</v>
      </c>
      <c r="M4883" s="23">
        <f t="shared" si="76"/>
        <v>2026</v>
      </c>
    </row>
    <row r="4884" spans="1:13" ht="12.75" hidden="1" customHeight="1">
      <c r="A4884" t="s">
        <v>1374</v>
      </c>
      <c r="B4884" t="s">
        <v>237</v>
      </c>
      <c r="C4884" t="s">
        <v>200</v>
      </c>
      <c r="D4884" t="s">
        <v>1429</v>
      </c>
      <c r="E4884" s="17">
        <v>46122</v>
      </c>
      <c r="F4884" s="17">
        <v>46122</v>
      </c>
      <c r="G4884" s="13">
        <v>756</v>
      </c>
      <c r="H4884" s="14">
        <v>0</v>
      </c>
      <c r="I4884" s="14">
        <v>0</v>
      </c>
      <c r="J4884" s="14">
        <v>0</v>
      </c>
      <c r="K4884" s="14">
        <v>756</v>
      </c>
      <c r="L4884" t="s">
        <v>794</v>
      </c>
      <c r="M4884" s="23">
        <f t="shared" si="76"/>
        <v>2026</v>
      </c>
    </row>
    <row r="4885" spans="1:13" ht="12.75" hidden="1" customHeight="1">
      <c r="A4885" t="s">
        <v>1463</v>
      </c>
      <c r="B4885" t="s">
        <v>279</v>
      </c>
      <c r="C4885" t="s">
        <v>200</v>
      </c>
      <c r="D4885" t="s">
        <v>1429</v>
      </c>
      <c r="E4885" s="17">
        <v>46122</v>
      </c>
      <c r="F4885" s="17">
        <v>46122</v>
      </c>
      <c r="G4885" s="13">
        <v>756</v>
      </c>
      <c r="H4885" s="14">
        <v>0</v>
      </c>
      <c r="I4885" s="14">
        <v>0</v>
      </c>
      <c r="J4885" s="14">
        <v>0</v>
      </c>
      <c r="K4885" s="14">
        <v>756</v>
      </c>
      <c r="L4885" t="s">
        <v>794</v>
      </c>
      <c r="M4885" s="23">
        <f t="shared" si="76"/>
        <v>2026</v>
      </c>
    </row>
    <row r="4886" spans="1:13" ht="12.75" hidden="1" customHeight="1">
      <c r="A4886" t="s">
        <v>1485</v>
      </c>
      <c r="B4886" t="s">
        <v>304</v>
      </c>
      <c r="C4886" t="s">
        <v>200</v>
      </c>
      <c r="D4886" t="s">
        <v>1429</v>
      </c>
      <c r="E4886" s="17">
        <v>46122</v>
      </c>
      <c r="F4886" s="17">
        <v>46122</v>
      </c>
      <c r="G4886" s="13">
        <v>168</v>
      </c>
      <c r="H4886" s="14">
        <v>0</v>
      </c>
      <c r="I4886" s="14">
        <v>0</v>
      </c>
      <c r="J4886" s="14">
        <v>0</v>
      </c>
      <c r="K4886" s="14">
        <v>168</v>
      </c>
      <c r="L4886" t="s">
        <v>794</v>
      </c>
      <c r="M4886" s="23">
        <f t="shared" si="76"/>
        <v>2026</v>
      </c>
    </row>
    <row r="4887" spans="1:13" ht="12.75" hidden="1" customHeight="1">
      <c r="A4887" t="s">
        <v>1375</v>
      </c>
      <c r="B4887" t="s">
        <v>290</v>
      </c>
      <c r="C4887" t="s">
        <v>200</v>
      </c>
      <c r="D4887" t="s">
        <v>1429</v>
      </c>
      <c r="E4887" s="17">
        <v>46122</v>
      </c>
      <c r="F4887" s="17">
        <v>46122</v>
      </c>
      <c r="G4887" s="13">
        <v>336</v>
      </c>
      <c r="H4887" s="14">
        <v>0</v>
      </c>
      <c r="I4887" s="14">
        <v>0</v>
      </c>
      <c r="J4887" s="14">
        <v>0</v>
      </c>
      <c r="K4887" s="14">
        <v>336</v>
      </c>
      <c r="L4887" t="s">
        <v>794</v>
      </c>
      <c r="M4887" s="23">
        <f t="shared" si="76"/>
        <v>2026</v>
      </c>
    </row>
    <row r="4888" spans="1:13" ht="12.75" hidden="1" customHeight="1">
      <c r="A4888" t="s">
        <v>1408</v>
      </c>
      <c r="B4888" t="s">
        <v>197</v>
      </c>
      <c r="C4888" t="s">
        <v>200</v>
      </c>
      <c r="D4888" t="s">
        <v>1429</v>
      </c>
      <c r="E4888" s="17">
        <v>46122</v>
      </c>
      <c r="F4888" s="17">
        <v>46122</v>
      </c>
      <c r="G4888" s="13">
        <v>1008</v>
      </c>
      <c r="H4888" s="14">
        <v>0</v>
      </c>
      <c r="I4888" s="14">
        <v>0</v>
      </c>
      <c r="J4888" s="14">
        <v>0</v>
      </c>
      <c r="K4888" s="14">
        <v>1008</v>
      </c>
      <c r="L4888" t="s">
        <v>794</v>
      </c>
      <c r="M4888" s="23">
        <f t="shared" si="76"/>
        <v>2026</v>
      </c>
    </row>
    <row r="4889" spans="1:13" ht="12.75" hidden="1" customHeight="1">
      <c r="A4889" t="s">
        <v>847</v>
      </c>
      <c r="B4889" t="s">
        <v>169</v>
      </c>
      <c r="C4889" t="s">
        <v>722</v>
      </c>
      <c r="D4889" t="s">
        <v>1429</v>
      </c>
      <c r="E4889" s="17">
        <v>46122</v>
      </c>
      <c r="F4889" s="17">
        <v>46122</v>
      </c>
      <c r="G4889" s="13">
        <v>276.26</v>
      </c>
      <c r="H4889" s="14">
        <v>0</v>
      </c>
      <c r="I4889" s="14">
        <v>0</v>
      </c>
      <c r="J4889" s="14">
        <v>0</v>
      </c>
      <c r="K4889" s="14">
        <v>276.26</v>
      </c>
      <c r="L4889" t="s">
        <v>794</v>
      </c>
      <c r="M4889" s="23">
        <f t="shared" si="76"/>
        <v>2026</v>
      </c>
    </row>
    <row r="4890" spans="1:13" ht="12.75" hidden="1" customHeight="1">
      <c r="A4890" t="s">
        <v>879</v>
      </c>
      <c r="B4890" t="s">
        <v>23</v>
      </c>
      <c r="C4890" t="s">
        <v>713</v>
      </c>
      <c r="D4890" t="s">
        <v>1429</v>
      </c>
      <c r="E4890" s="17">
        <v>46122</v>
      </c>
      <c r="F4890" s="17">
        <v>46122</v>
      </c>
      <c r="G4890" s="13">
        <v>1708.9</v>
      </c>
      <c r="H4890" s="14">
        <v>0</v>
      </c>
      <c r="I4890" s="14">
        <v>0</v>
      </c>
      <c r="J4890" s="14">
        <v>0</v>
      </c>
      <c r="K4890" s="14">
        <v>1708.9</v>
      </c>
      <c r="L4890" t="s">
        <v>794</v>
      </c>
      <c r="M4890" s="23">
        <f t="shared" si="76"/>
        <v>2026</v>
      </c>
    </row>
    <row r="4891" spans="1:13" ht="12.75" hidden="1" customHeight="1">
      <c r="A4891" t="s">
        <v>1222</v>
      </c>
      <c r="B4891" t="s">
        <v>176</v>
      </c>
      <c r="C4891" t="s">
        <v>387</v>
      </c>
      <c r="D4891" t="s">
        <v>1429</v>
      </c>
      <c r="E4891" s="17">
        <v>46122</v>
      </c>
      <c r="F4891" s="17">
        <v>46122</v>
      </c>
      <c r="G4891" s="13">
        <v>475.32</v>
      </c>
      <c r="H4891" s="14">
        <v>0</v>
      </c>
      <c r="I4891" s="14">
        <v>0</v>
      </c>
      <c r="J4891" s="14">
        <v>0</v>
      </c>
      <c r="K4891" s="14">
        <v>475.32</v>
      </c>
      <c r="L4891" t="s">
        <v>794</v>
      </c>
      <c r="M4891" s="23">
        <f t="shared" ref="M4891:M4954" si="77">YEAR(F4891)</f>
        <v>2026</v>
      </c>
    </row>
    <row r="4892" spans="1:13" ht="12.75" hidden="1" customHeight="1">
      <c r="A4892" t="s">
        <v>1011</v>
      </c>
      <c r="B4892" t="s">
        <v>77</v>
      </c>
      <c r="C4892" t="s">
        <v>201</v>
      </c>
      <c r="D4892" t="s">
        <v>1429</v>
      </c>
      <c r="E4892" s="17">
        <v>46122</v>
      </c>
      <c r="F4892" s="17">
        <v>46122</v>
      </c>
      <c r="G4892" s="13">
        <v>1620</v>
      </c>
      <c r="H4892" s="14">
        <v>0</v>
      </c>
      <c r="I4892" s="14">
        <v>0</v>
      </c>
      <c r="J4892" s="14">
        <v>0</v>
      </c>
      <c r="K4892" s="14">
        <v>1620</v>
      </c>
      <c r="L4892" t="s">
        <v>794</v>
      </c>
      <c r="M4892" s="23">
        <f t="shared" si="77"/>
        <v>2026</v>
      </c>
    </row>
    <row r="4893" spans="1:13" ht="12.75" hidden="1" customHeight="1">
      <c r="A4893" t="s">
        <v>836</v>
      </c>
      <c r="B4893" t="s">
        <v>37</v>
      </c>
      <c r="C4893" t="s">
        <v>141</v>
      </c>
      <c r="D4893" t="s">
        <v>1429</v>
      </c>
      <c r="E4893" s="17">
        <v>46126</v>
      </c>
      <c r="F4893" s="17">
        <v>46122</v>
      </c>
      <c r="G4893" s="13">
        <v>325</v>
      </c>
      <c r="H4893" s="14">
        <v>0</v>
      </c>
      <c r="I4893" s="14">
        <v>0</v>
      </c>
      <c r="J4893" s="14">
        <v>0</v>
      </c>
      <c r="K4893" s="14">
        <v>325</v>
      </c>
      <c r="L4893" t="s">
        <v>794</v>
      </c>
      <c r="M4893" s="23">
        <f t="shared" si="77"/>
        <v>2026</v>
      </c>
    </row>
    <row r="4894" spans="1:13" ht="12.75" hidden="1" customHeight="1">
      <c r="A4894" t="s">
        <v>833</v>
      </c>
      <c r="B4894" t="s">
        <v>27</v>
      </c>
      <c r="C4894" t="s">
        <v>141</v>
      </c>
      <c r="D4894" t="s">
        <v>1429</v>
      </c>
      <c r="E4894" s="17">
        <v>46126</v>
      </c>
      <c r="F4894" s="17">
        <v>46122</v>
      </c>
      <c r="G4894" s="13">
        <v>250</v>
      </c>
      <c r="H4894" s="14">
        <v>0</v>
      </c>
      <c r="I4894" s="14">
        <v>0</v>
      </c>
      <c r="J4894" s="14">
        <v>0</v>
      </c>
      <c r="K4894" s="14">
        <v>250</v>
      </c>
      <c r="L4894" t="s">
        <v>794</v>
      </c>
      <c r="M4894" s="23">
        <f t="shared" si="77"/>
        <v>2026</v>
      </c>
    </row>
    <row r="4895" spans="1:13" ht="12.75" hidden="1" customHeight="1">
      <c r="A4895" t="s">
        <v>961</v>
      </c>
      <c r="B4895" t="s">
        <v>41</v>
      </c>
      <c r="C4895" t="s">
        <v>141</v>
      </c>
      <c r="D4895" t="s">
        <v>1429</v>
      </c>
      <c r="E4895" s="17">
        <v>46126</v>
      </c>
      <c r="F4895" s="17">
        <v>46122</v>
      </c>
      <c r="G4895" s="13">
        <v>235</v>
      </c>
      <c r="H4895" s="14">
        <v>0</v>
      </c>
      <c r="I4895" s="14">
        <v>0</v>
      </c>
      <c r="J4895" s="14">
        <v>0</v>
      </c>
      <c r="K4895" s="14">
        <v>235</v>
      </c>
      <c r="L4895" t="s">
        <v>794</v>
      </c>
      <c r="M4895" s="23">
        <f t="shared" si="77"/>
        <v>2026</v>
      </c>
    </row>
    <row r="4896" spans="1:13" ht="12.75" hidden="1" customHeight="1">
      <c r="A4896" t="s">
        <v>1399</v>
      </c>
      <c r="B4896" t="s">
        <v>305</v>
      </c>
      <c r="C4896" t="s">
        <v>141</v>
      </c>
      <c r="D4896" t="s">
        <v>1429</v>
      </c>
      <c r="E4896" s="17">
        <v>46126</v>
      </c>
      <c r="F4896" s="17">
        <v>46122</v>
      </c>
      <c r="G4896" s="13">
        <v>50</v>
      </c>
      <c r="H4896" s="14">
        <v>0</v>
      </c>
      <c r="I4896" s="14">
        <v>0</v>
      </c>
      <c r="J4896" s="14">
        <v>0</v>
      </c>
      <c r="K4896" s="14">
        <v>50</v>
      </c>
      <c r="L4896" t="s">
        <v>794</v>
      </c>
      <c r="M4896" s="23">
        <f t="shared" si="77"/>
        <v>2026</v>
      </c>
    </row>
    <row r="4897" spans="1:13" ht="12.75" hidden="1" customHeight="1">
      <c r="A4897" t="s">
        <v>833</v>
      </c>
      <c r="B4897" t="s">
        <v>27</v>
      </c>
      <c r="C4897" t="s">
        <v>141</v>
      </c>
      <c r="D4897" t="s">
        <v>1429</v>
      </c>
      <c r="E4897" s="17">
        <v>46126</v>
      </c>
      <c r="F4897" s="17">
        <v>46122</v>
      </c>
      <c r="G4897" s="13">
        <v>150</v>
      </c>
      <c r="H4897" s="14">
        <v>0</v>
      </c>
      <c r="I4897" s="14">
        <v>0</v>
      </c>
      <c r="J4897" s="14">
        <v>0</v>
      </c>
      <c r="K4897" s="14">
        <v>150</v>
      </c>
      <c r="L4897" t="s">
        <v>794</v>
      </c>
      <c r="M4897" s="23">
        <f t="shared" si="77"/>
        <v>2026</v>
      </c>
    </row>
    <row r="4898" spans="1:13" ht="12.75" hidden="1" customHeight="1">
      <c r="A4898" t="s">
        <v>1401</v>
      </c>
      <c r="B4898" t="s">
        <v>254</v>
      </c>
      <c r="C4898" t="s">
        <v>141</v>
      </c>
      <c r="D4898" t="s">
        <v>1429</v>
      </c>
      <c r="E4898" s="17">
        <v>46126</v>
      </c>
      <c r="F4898" s="17">
        <v>46122</v>
      </c>
      <c r="G4898" s="13">
        <v>50</v>
      </c>
      <c r="H4898" s="14">
        <v>0</v>
      </c>
      <c r="I4898" s="14">
        <v>0</v>
      </c>
      <c r="J4898" s="14">
        <v>0</v>
      </c>
      <c r="K4898" s="14">
        <v>50</v>
      </c>
      <c r="L4898" t="s">
        <v>794</v>
      </c>
      <c r="M4898" s="23">
        <f t="shared" si="77"/>
        <v>2026</v>
      </c>
    </row>
    <row r="4899" spans="1:13" ht="12.75" hidden="1" customHeight="1">
      <c r="A4899" t="s">
        <v>819</v>
      </c>
      <c r="B4899" t="s">
        <v>38</v>
      </c>
      <c r="C4899" t="s">
        <v>141</v>
      </c>
      <c r="D4899" t="s">
        <v>1429</v>
      </c>
      <c r="E4899" s="17">
        <v>46126</v>
      </c>
      <c r="F4899" s="17">
        <v>46122</v>
      </c>
      <c r="G4899" s="13">
        <v>150</v>
      </c>
      <c r="H4899" s="14">
        <v>0</v>
      </c>
      <c r="I4899" s="14">
        <v>0</v>
      </c>
      <c r="J4899" s="14">
        <v>0</v>
      </c>
      <c r="K4899" s="14">
        <v>150</v>
      </c>
      <c r="L4899" t="s">
        <v>794</v>
      </c>
      <c r="M4899" s="23">
        <f t="shared" si="77"/>
        <v>2026</v>
      </c>
    </row>
    <row r="4900" spans="1:13" ht="12.75" hidden="1" customHeight="1">
      <c r="A4900" t="s">
        <v>1104</v>
      </c>
      <c r="B4900" t="s">
        <v>53</v>
      </c>
      <c r="C4900" t="s">
        <v>141</v>
      </c>
      <c r="D4900" t="s">
        <v>1429</v>
      </c>
      <c r="E4900" s="17">
        <v>46126</v>
      </c>
      <c r="F4900" s="17">
        <v>46122</v>
      </c>
      <c r="G4900" s="13">
        <v>100</v>
      </c>
      <c r="H4900" s="14">
        <v>0</v>
      </c>
      <c r="I4900" s="14">
        <v>0</v>
      </c>
      <c r="J4900" s="14">
        <v>0</v>
      </c>
      <c r="K4900" s="14">
        <v>100</v>
      </c>
      <c r="L4900" t="s">
        <v>794</v>
      </c>
      <c r="M4900" s="23">
        <f t="shared" si="77"/>
        <v>2026</v>
      </c>
    </row>
    <row r="4901" spans="1:13" ht="12.75" hidden="1" customHeight="1">
      <c r="A4901" t="s">
        <v>855</v>
      </c>
      <c r="B4901" t="s">
        <v>20</v>
      </c>
      <c r="C4901" t="s">
        <v>141</v>
      </c>
      <c r="D4901" t="s">
        <v>1429</v>
      </c>
      <c r="E4901" s="17">
        <v>46126</v>
      </c>
      <c r="F4901" s="17">
        <v>46122</v>
      </c>
      <c r="G4901" s="13">
        <v>500</v>
      </c>
      <c r="H4901" s="14">
        <v>0</v>
      </c>
      <c r="I4901" s="14">
        <v>0</v>
      </c>
      <c r="J4901" s="14">
        <v>0</v>
      </c>
      <c r="K4901" s="14">
        <v>500</v>
      </c>
      <c r="L4901" t="s">
        <v>794</v>
      </c>
      <c r="M4901" s="23">
        <f t="shared" si="77"/>
        <v>2026</v>
      </c>
    </row>
    <row r="4902" spans="1:13" ht="12.75" hidden="1" customHeight="1">
      <c r="A4902" t="s">
        <v>1112</v>
      </c>
      <c r="B4902" t="s">
        <v>68</v>
      </c>
      <c r="C4902" t="s">
        <v>141</v>
      </c>
      <c r="D4902" t="s">
        <v>1429</v>
      </c>
      <c r="E4902" s="17">
        <v>46126</v>
      </c>
      <c r="F4902" s="17">
        <v>46122</v>
      </c>
      <c r="G4902" s="13">
        <v>150</v>
      </c>
      <c r="H4902" s="14">
        <v>0</v>
      </c>
      <c r="I4902" s="14">
        <v>0</v>
      </c>
      <c r="J4902" s="14">
        <v>0</v>
      </c>
      <c r="K4902" s="14">
        <v>150</v>
      </c>
      <c r="L4902" t="s">
        <v>794</v>
      </c>
      <c r="M4902" s="23">
        <f t="shared" si="77"/>
        <v>2026</v>
      </c>
    </row>
    <row r="4903" spans="1:13" ht="12.75" hidden="1" customHeight="1">
      <c r="A4903" t="s">
        <v>1196</v>
      </c>
      <c r="B4903" t="s">
        <v>1197</v>
      </c>
      <c r="C4903" t="s">
        <v>141</v>
      </c>
      <c r="D4903" t="s">
        <v>1429</v>
      </c>
      <c r="E4903" s="17">
        <v>46126</v>
      </c>
      <c r="F4903" s="17">
        <v>46122</v>
      </c>
      <c r="G4903" s="13">
        <v>250</v>
      </c>
      <c r="H4903" s="14">
        <v>0</v>
      </c>
      <c r="I4903" s="14">
        <v>0</v>
      </c>
      <c r="J4903" s="14">
        <v>0</v>
      </c>
      <c r="K4903" s="14">
        <v>250</v>
      </c>
      <c r="L4903" t="s">
        <v>794</v>
      </c>
      <c r="M4903" s="23">
        <f t="shared" si="77"/>
        <v>2026</v>
      </c>
    </row>
    <row r="4904" spans="1:13" ht="12.75" hidden="1" customHeight="1">
      <c r="A4904" t="s">
        <v>1104</v>
      </c>
      <c r="B4904" t="s">
        <v>53</v>
      </c>
      <c r="C4904" t="s">
        <v>141</v>
      </c>
      <c r="D4904" t="s">
        <v>1429</v>
      </c>
      <c r="E4904" s="17">
        <v>46126</v>
      </c>
      <c r="F4904" s="17">
        <v>46122</v>
      </c>
      <c r="G4904" s="13">
        <v>200</v>
      </c>
      <c r="H4904" s="14">
        <v>0</v>
      </c>
      <c r="I4904" s="14">
        <v>0</v>
      </c>
      <c r="J4904" s="14">
        <v>0</v>
      </c>
      <c r="K4904" s="14">
        <v>200</v>
      </c>
      <c r="L4904" t="s">
        <v>794</v>
      </c>
      <c r="M4904" s="23">
        <f t="shared" si="77"/>
        <v>2026</v>
      </c>
    </row>
    <row r="4905" spans="1:13" ht="12.75" hidden="1" customHeight="1">
      <c r="A4905" t="s">
        <v>1430</v>
      </c>
      <c r="B4905" t="s">
        <v>244</v>
      </c>
      <c r="C4905" t="s">
        <v>200</v>
      </c>
      <c r="D4905" t="s">
        <v>1429</v>
      </c>
      <c r="E4905" s="17">
        <v>46122</v>
      </c>
      <c r="F4905" s="17">
        <v>46122</v>
      </c>
      <c r="G4905" s="13">
        <v>1176</v>
      </c>
      <c r="H4905" s="14">
        <v>0</v>
      </c>
      <c r="I4905" s="14">
        <v>0</v>
      </c>
      <c r="J4905" s="14">
        <v>0</v>
      </c>
      <c r="K4905" s="14">
        <v>1176</v>
      </c>
      <c r="L4905" t="s">
        <v>794</v>
      </c>
      <c r="M4905" s="23">
        <f t="shared" si="77"/>
        <v>2026</v>
      </c>
    </row>
    <row r="4906" spans="1:13" ht="12.75" hidden="1" customHeight="1">
      <c r="A4906" t="s">
        <v>878</v>
      </c>
      <c r="B4906" t="s">
        <v>32</v>
      </c>
      <c r="C4906" t="s">
        <v>200</v>
      </c>
      <c r="D4906" t="s">
        <v>1429</v>
      </c>
      <c r="E4906" s="17">
        <v>46122</v>
      </c>
      <c r="F4906" s="17">
        <v>46122</v>
      </c>
      <c r="G4906" s="13">
        <v>3074</v>
      </c>
      <c r="H4906" s="14">
        <v>0</v>
      </c>
      <c r="I4906" s="14">
        <v>0</v>
      </c>
      <c r="J4906" s="14">
        <v>0</v>
      </c>
      <c r="K4906" s="14">
        <v>3074</v>
      </c>
      <c r="L4906" t="s">
        <v>794</v>
      </c>
      <c r="M4906" s="23">
        <f t="shared" si="77"/>
        <v>2026</v>
      </c>
    </row>
    <row r="4907" spans="1:13" ht="12.75" hidden="1" customHeight="1">
      <c r="A4907" t="s">
        <v>1158</v>
      </c>
      <c r="B4907" t="s">
        <v>60</v>
      </c>
      <c r="C4907" t="s">
        <v>200</v>
      </c>
      <c r="D4907" t="s">
        <v>1429</v>
      </c>
      <c r="E4907" s="17">
        <v>46122</v>
      </c>
      <c r="F4907" s="17">
        <v>46122</v>
      </c>
      <c r="G4907" s="13">
        <v>2604</v>
      </c>
      <c r="H4907" s="14">
        <v>0</v>
      </c>
      <c r="I4907" s="14">
        <v>0</v>
      </c>
      <c r="J4907" s="14">
        <v>0</v>
      </c>
      <c r="K4907" s="14">
        <v>2604</v>
      </c>
      <c r="L4907" t="s">
        <v>794</v>
      </c>
      <c r="M4907" s="23">
        <f t="shared" si="77"/>
        <v>2026</v>
      </c>
    </row>
    <row r="4908" spans="1:13" ht="12.75" hidden="1" customHeight="1">
      <c r="A4908" t="s">
        <v>1308</v>
      </c>
      <c r="B4908" t="s">
        <v>133</v>
      </c>
      <c r="C4908" t="s">
        <v>200</v>
      </c>
      <c r="D4908" t="s">
        <v>1429</v>
      </c>
      <c r="E4908" s="17">
        <v>46122</v>
      </c>
      <c r="F4908" s="17">
        <v>46122</v>
      </c>
      <c r="G4908" s="13">
        <v>1092</v>
      </c>
      <c r="H4908" s="14">
        <v>0</v>
      </c>
      <c r="I4908" s="14">
        <v>0</v>
      </c>
      <c r="J4908" s="14">
        <v>0</v>
      </c>
      <c r="K4908" s="14">
        <v>1092</v>
      </c>
      <c r="L4908" t="s">
        <v>794</v>
      </c>
      <c r="M4908" s="23">
        <f t="shared" si="77"/>
        <v>2026</v>
      </c>
    </row>
    <row r="4909" spans="1:13" ht="12.75" hidden="1" customHeight="1">
      <c r="A4909" t="s">
        <v>1407</v>
      </c>
      <c r="B4909" t="s">
        <v>226</v>
      </c>
      <c r="C4909" t="s">
        <v>200</v>
      </c>
      <c r="D4909" t="s">
        <v>1429</v>
      </c>
      <c r="E4909" s="17">
        <v>46122</v>
      </c>
      <c r="F4909" s="17">
        <v>46122</v>
      </c>
      <c r="G4909" s="13">
        <v>1008</v>
      </c>
      <c r="H4909" s="14">
        <v>0</v>
      </c>
      <c r="I4909" s="14">
        <v>0</v>
      </c>
      <c r="J4909" s="14">
        <v>0</v>
      </c>
      <c r="K4909" s="14">
        <v>1008</v>
      </c>
      <c r="L4909" t="s">
        <v>794</v>
      </c>
      <c r="M4909" s="23">
        <f t="shared" si="77"/>
        <v>2026</v>
      </c>
    </row>
    <row r="4910" spans="1:13" ht="12.75" hidden="1" customHeight="1">
      <c r="A4910" t="s">
        <v>1331</v>
      </c>
      <c r="B4910" t="s">
        <v>168</v>
      </c>
      <c r="C4910" t="s">
        <v>200</v>
      </c>
      <c r="D4910" t="s">
        <v>1429</v>
      </c>
      <c r="E4910" s="17">
        <v>46122</v>
      </c>
      <c r="F4910" s="17">
        <v>46122</v>
      </c>
      <c r="G4910" s="13">
        <v>1092</v>
      </c>
      <c r="H4910" s="14">
        <v>0</v>
      </c>
      <c r="I4910" s="14">
        <v>0</v>
      </c>
      <c r="J4910" s="14">
        <v>0</v>
      </c>
      <c r="K4910" s="14">
        <v>1092</v>
      </c>
      <c r="L4910" t="s">
        <v>794</v>
      </c>
      <c r="M4910" s="23">
        <f t="shared" si="77"/>
        <v>2026</v>
      </c>
    </row>
    <row r="4911" spans="1:13" ht="12.75" hidden="1" customHeight="1">
      <c r="A4911" t="s">
        <v>1104</v>
      </c>
      <c r="B4911" t="s">
        <v>53</v>
      </c>
      <c r="C4911" t="s">
        <v>141</v>
      </c>
      <c r="D4911" t="s">
        <v>1429</v>
      </c>
      <c r="E4911" s="17">
        <v>46125</v>
      </c>
      <c r="F4911" s="17">
        <v>46122</v>
      </c>
      <c r="G4911" s="13">
        <v>100</v>
      </c>
      <c r="H4911" s="14">
        <v>0</v>
      </c>
      <c r="I4911" s="14">
        <v>0</v>
      </c>
      <c r="J4911" s="14">
        <v>0</v>
      </c>
      <c r="K4911" s="14">
        <v>100</v>
      </c>
      <c r="L4911" t="s">
        <v>794</v>
      </c>
      <c r="M4911" s="23">
        <f t="shared" si="77"/>
        <v>2026</v>
      </c>
    </row>
    <row r="4912" spans="1:13" ht="12.75" hidden="1" customHeight="1">
      <c r="A4912" t="s">
        <v>995</v>
      </c>
      <c r="B4912" t="s">
        <v>122</v>
      </c>
      <c r="C4912" t="s">
        <v>735</v>
      </c>
      <c r="D4912" t="s">
        <v>1429</v>
      </c>
      <c r="E4912" s="17">
        <v>46122</v>
      </c>
      <c r="F4912" s="17">
        <v>46122</v>
      </c>
      <c r="G4912" s="13">
        <v>605</v>
      </c>
      <c r="H4912" s="14">
        <v>0</v>
      </c>
      <c r="I4912" s="14">
        <v>0</v>
      </c>
      <c r="J4912" s="14">
        <v>0</v>
      </c>
      <c r="K4912" s="14">
        <v>605</v>
      </c>
      <c r="L4912" t="s">
        <v>794</v>
      </c>
      <c r="M4912" s="23">
        <f t="shared" si="77"/>
        <v>2026</v>
      </c>
    </row>
    <row r="4913" spans="1:13" ht="12.75" hidden="1" customHeight="1">
      <c r="A4913" t="s">
        <v>844</v>
      </c>
      <c r="B4913" t="s">
        <v>43</v>
      </c>
      <c r="C4913" t="s">
        <v>719</v>
      </c>
      <c r="D4913" t="s">
        <v>1429</v>
      </c>
      <c r="E4913" s="17">
        <v>46122</v>
      </c>
      <c r="F4913" s="17">
        <v>46122</v>
      </c>
      <c r="G4913" s="13">
        <v>9304.76</v>
      </c>
      <c r="H4913" s="14">
        <v>0</v>
      </c>
      <c r="I4913" s="14">
        <v>0</v>
      </c>
      <c r="J4913" s="14">
        <v>0</v>
      </c>
      <c r="K4913" s="14">
        <v>9304.76</v>
      </c>
      <c r="L4913" t="s">
        <v>794</v>
      </c>
      <c r="M4913" s="23">
        <f t="shared" si="77"/>
        <v>2026</v>
      </c>
    </row>
    <row r="4914" spans="1:13" ht="12.75" hidden="1" customHeight="1">
      <c r="A4914" t="s">
        <v>1296</v>
      </c>
      <c r="B4914" t="s">
        <v>42</v>
      </c>
      <c r="C4914" t="s">
        <v>728</v>
      </c>
      <c r="D4914" t="s">
        <v>1429</v>
      </c>
      <c r="E4914" s="17">
        <v>46122</v>
      </c>
      <c r="F4914" s="17">
        <v>46122</v>
      </c>
      <c r="G4914" s="13">
        <v>4100.17</v>
      </c>
      <c r="H4914" s="14">
        <v>0</v>
      </c>
      <c r="I4914" s="14">
        <v>0</v>
      </c>
      <c r="J4914" s="14">
        <v>0</v>
      </c>
      <c r="K4914" s="14">
        <v>4100.17</v>
      </c>
      <c r="L4914" t="s">
        <v>794</v>
      </c>
      <c r="M4914" s="23">
        <f t="shared" si="77"/>
        <v>2026</v>
      </c>
    </row>
    <row r="4915" spans="1:13" ht="12.75" hidden="1" customHeight="1">
      <c r="A4915" t="s">
        <v>848</v>
      </c>
      <c r="B4915" t="s">
        <v>14</v>
      </c>
      <c r="C4915" t="s">
        <v>714</v>
      </c>
      <c r="D4915" t="s">
        <v>1429</v>
      </c>
      <c r="E4915" s="17">
        <v>46122</v>
      </c>
      <c r="F4915" s="17">
        <v>46122</v>
      </c>
      <c r="G4915" s="13">
        <v>28087.8</v>
      </c>
      <c r="H4915" s="14">
        <v>0</v>
      </c>
      <c r="I4915" s="14">
        <v>0</v>
      </c>
      <c r="J4915" s="14">
        <v>0</v>
      </c>
      <c r="K4915" s="14">
        <v>28087.8</v>
      </c>
      <c r="L4915" t="s">
        <v>794</v>
      </c>
      <c r="M4915" s="23">
        <f t="shared" si="77"/>
        <v>2026</v>
      </c>
    </row>
    <row r="4916" spans="1:13" ht="12.75" hidden="1" customHeight="1">
      <c r="A4916" t="s">
        <v>1248</v>
      </c>
      <c r="B4916" t="s">
        <v>111</v>
      </c>
      <c r="C4916" t="s">
        <v>183</v>
      </c>
      <c r="D4916" t="s">
        <v>1429</v>
      </c>
      <c r="E4916" s="17">
        <v>46122</v>
      </c>
      <c r="F4916" s="17">
        <v>46122</v>
      </c>
      <c r="G4916" s="13">
        <v>997.5</v>
      </c>
      <c r="H4916" s="14">
        <v>0</v>
      </c>
      <c r="I4916" s="14">
        <v>0</v>
      </c>
      <c r="J4916" s="14">
        <v>0</v>
      </c>
      <c r="K4916" s="14">
        <v>997.5</v>
      </c>
      <c r="L4916" t="s">
        <v>794</v>
      </c>
      <c r="M4916" s="23">
        <f t="shared" si="77"/>
        <v>2026</v>
      </c>
    </row>
    <row r="4917" spans="1:13" ht="12.75" hidden="1" customHeight="1">
      <c r="A4917" t="s">
        <v>855</v>
      </c>
      <c r="B4917" t="s">
        <v>20</v>
      </c>
      <c r="C4917" t="s">
        <v>483</v>
      </c>
      <c r="D4917" t="s">
        <v>1429</v>
      </c>
      <c r="E4917" s="17">
        <v>46122</v>
      </c>
      <c r="F4917" s="17">
        <v>46122</v>
      </c>
      <c r="G4917" s="13">
        <v>100</v>
      </c>
      <c r="H4917" s="14">
        <v>0</v>
      </c>
      <c r="I4917" s="14">
        <v>0</v>
      </c>
      <c r="J4917" s="14">
        <v>0</v>
      </c>
      <c r="K4917" s="14">
        <v>100</v>
      </c>
      <c r="L4917" t="s">
        <v>794</v>
      </c>
      <c r="M4917" s="23">
        <f t="shared" si="77"/>
        <v>2026</v>
      </c>
    </row>
    <row r="4918" spans="1:13" ht="12.75" hidden="1" customHeight="1">
      <c r="A4918" t="s">
        <v>1112</v>
      </c>
      <c r="B4918" t="s">
        <v>68</v>
      </c>
      <c r="C4918" t="s">
        <v>736</v>
      </c>
      <c r="D4918" t="s">
        <v>1429</v>
      </c>
      <c r="E4918" s="17">
        <v>46122</v>
      </c>
      <c r="F4918" s="17">
        <v>46122</v>
      </c>
      <c r="G4918" s="13">
        <v>855</v>
      </c>
      <c r="H4918" s="14">
        <v>0</v>
      </c>
      <c r="I4918" s="14">
        <v>0</v>
      </c>
      <c r="J4918" s="14">
        <v>0</v>
      </c>
      <c r="K4918" s="14">
        <v>855</v>
      </c>
      <c r="L4918" t="s">
        <v>794</v>
      </c>
      <c r="M4918" s="23">
        <f t="shared" si="77"/>
        <v>2026</v>
      </c>
    </row>
    <row r="4919" spans="1:13" ht="12.75" hidden="1" customHeight="1">
      <c r="A4919" t="s">
        <v>1486</v>
      </c>
      <c r="B4919" t="s">
        <v>495</v>
      </c>
      <c r="C4919" t="s">
        <v>452</v>
      </c>
      <c r="D4919" t="s">
        <v>1429</v>
      </c>
      <c r="E4919" s="17">
        <v>46122</v>
      </c>
      <c r="F4919" s="17">
        <v>46122</v>
      </c>
      <c r="G4919" s="13">
        <v>149</v>
      </c>
      <c r="H4919" s="14">
        <v>0</v>
      </c>
      <c r="I4919" s="14">
        <v>0</v>
      </c>
      <c r="J4919" s="14">
        <v>0</v>
      </c>
      <c r="K4919" s="14">
        <v>149</v>
      </c>
      <c r="L4919" t="s">
        <v>794</v>
      </c>
      <c r="M4919" s="23">
        <f t="shared" si="77"/>
        <v>2026</v>
      </c>
    </row>
    <row r="4920" spans="1:13" ht="12.75" hidden="1" customHeight="1">
      <c r="A4920" t="s">
        <v>1470</v>
      </c>
      <c r="B4920" t="s">
        <v>359</v>
      </c>
      <c r="C4920" t="s">
        <v>140</v>
      </c>
      <c r="D4920" t="s">
        <v>1429</v>
      </c>
      <c r="E4920" s="17">
        <v>46122</v>
      </c>
      <c r="F4920" s="17">
        <v>46122</v>
      </c>
      <c r="G4920" s="13">
        <v>22.84</v>
      </c>
      <c r="H4920" s="14">
        <v>0</v>
      </c>
      <c r="I4920" s="14">
        <v>0</v>
      </c>
      <c r="J4920" s="14">
        <v>0</v>
      </c>
      <c r="K4920" s="14">
        <v>22.84</v>
      </c>
      <c r="L4920" t="s">
        <v>794</v>
      </c>
      <c r="M4920" s="23">
        <f t="shared" si="77"/>
        <v>2026</v>
      </c>
    </row>
    <row r="4921" spans="1:13" ht="12.75" hidden="1" customHeight="1">
      <c r="A4921" t="s">
        <v>1105</v>
      </c>
      <c r="B4921" t="s">
        <v>1395</v>
      </c>
      <c r="C4921" t="s">
        <v>141</v>
      </c>
      <c r="D4921" t="s">
        <v>1429</v>
      </c>
      <c r="E4921" s="17">
        <v>46122</v>
      </c>
      <c r="F4921" s="17">
        <v>46122</v>
      </c>
      <c r="G4921" s="13">
        <v>150</v>
      </c>
      <c r="H4921" s="14">
        <v>0</v>
      </c>
      <c r="I4921" s="14">
        <v>0</v>
      </c>
      <c r="J4921" s="14">
        <v>0</v>
      </c>
      <c r="K4921" s="14">
        <v>150</v>
      </c>
      <c r="L4921" t="s">
        <v>1114</v>
      </c>
      <c r="M4921" s="23">
        <f t="shared" si="77"/>
        <v>2026</v>
      </c>
    </row>
    <row r="4922" spans="1:13" ht="12.75" hidden="1" customHeight="1">
      <c r="A4922" t="s">
        <v>805</v>
      </c>
      <c r="B4922" t="s">
        <v>17</v>
      </c>
      <c r="C4922" t="s">
        <v>713</v>
      </c>
      <c r="D4922" t="s">
        <v>1338</v>
      </c>
      <c r="E4922" s="17">
        <v>45964</v>
      </c>
      <c r="F4922" s="17">
        <v>46125</v>
      </c>
      <c r="G4922" s="13">
        <v>10873.6</v>
      </c>
      <c r="H4922" s="14">
        <v>0</v>
      </c>
      <c r="I4922" s="14">
        <v>0</v>
      </c>
      <c r="J4922" s="14">
        <v>0</v>
      </c>
      <c r="K4922" s="14">
        <v>10873.6</v>
      </c>
      <c r="L4922" t="s">
        <v>794</v>
      </c>
      <c r="M4922" s="23">
        <f t="shared" si="77"/>
        <v>2026</v>
      </c>
    </row>
    <row r="4923" spans="1:13" ht="12.75" hidden="1" customHeight="1">
      <c r="A4923" t="s">
        <v>1166</v>
      </c>
      <c r="B4923" t="s">
        <v>274</v>
      </c>
      <c r="C4923" t="s">
        <v>470</v>
      </c>
      <c r="D4923" t="s">
        <v>1429</v>
      </c>
      <c r="E4923" s="17">
        <v>46125</v>
      </c>
      <c r="F4923" s="17">
        <v>46125</v>
      </c>
      <c r="G4923" s="13">
        <v>167.58</v>
      </c>
      <c r="H4923" s="14">
        <v>0</v>
      </c>
      <c r="I4923" s="14">
        <v>0</v>
      </c>
      <c r="J4923" s="14">
        <v>0</v>
      </c>
      <c r="K4923" s="14">
        <v>167.58</v>
      </c>
      <c r="L4923" t="s">
        <v>794</v>
      </c>
      <c r="M4923" s="23">
        <f t="shared" si="77"/>
        <v>2026</v>
      </c>
    </row>
    <row r="4924" spans="1:13" ht="12.75" hidden="1" customHeight="1">
      <c r="A4924" t="s">
        <v>1166</v>
      </c>
      <c r="B4924" t="s">
        <v>274</v>
      </c>
      <c r="C4924" t="s">
        <v>470</v>
      </c>
      <c r="D4924" t="s">
        <v>1429</v>
      </c>
      <c r="E4924" s="17">
        <v>46125</v>
      </c>
      <c r="F4924" s="17">
        <v>46125</v>
      </c>
      <c r="G4924" s="13">
        <v>77.89</v>
      </c>
      <c r="H4924" s="14">
        <v>0</v>
      </c>
      <c r="I4924" s="14">
        <v>0</v>
      </c>
      <c r="J4924" s="14">
        <v>0</v>
      </c>
      <c r="K4924" s="14">
        <v>77.89</v>
      </c>
      <c r="L4924" t="s">
        <v>794</v>
      </c>
      <c r="M4924" s="23">
        <f t="shared" si="77"/>
        <v>2026</v>
      </c>
    </row>
    <row r="4925" spans="1:13" ht="12.75" hidden="1" customHeight="1">
      <c r="A4925" t="s">
        <v>801</v>
      </c>
      <c r="B4925" t="s">
        <v>13</v>
      </c>
      <c r="C4925" t="s">
        <v>726</v>
      </c>
      <c r="D4925" t="s">
        <v>1429</v>
      </c>
      <c r="E4925" s="17">
        <v>46125</v>
      </c>
      <c r="F4925" s="17">
        <v>46125</v>
      </c>
      <c r="G4925" s="13">
        <v>1965.1000000000001</v>
      </c>
      <c r="H4925" s="14">
        <v>0</v>
      </c>
      <c r="I4925" s="14">
        <v>0</v>
      </c>
      <c r="J4925" s="14">
        <v>0</v>
      </c>
      <c r="K4925" s="14">
        <v>1965.1000000000001</v>
      </c>
      <c r="L4925" t="s">
        <v>794</v>
      </c>
      <c r="M4925" s="23">
        <f t="shared" si="77"/>
        <v>2026</v>
      </c>
    </row>
    <row r="4926" spans="1:13" ht="12.75" hidden="1" customHeight="1">
      <c r="A4926" t="s">
        <v>1214</v>
      </c>
      <c r="B4926" t="s">
        <v>229</v>
      </c>
      <c r="C4926" t="s">
        <v>183</v>
      </c>
      <c r="D4926" t="s">
        <v>1429</v>
      </c>
      <c r="E4926" s="17">
        <v>46125</v>
      </c>
      <c r="F4926" s="17">
        <v>46125</v>
      </c>
      <c r="G4926" s="13">
        <v>200</v>
      </c>
      <c r="H4926" s="14">
        <v>0</v>
      </c>
      <c r="I4926" s="14">
        <v>0</v>
      </c>
      <c r="J4926" s="14">
        <v>0</v>
      </c>
      <c r="K4926" s="14">
        <v>200</v>
      </c>
      <c r="L4926" t="s">
        <v>794</v>
      </c>
      <c r="M4926" s="23">
        <f t="shared" si="77"/>
        <v>2026</v>
      </c>
    </row>
    <row r="4927" spans="1:13" ht="12.75" hidden="1" customHeight="1">
      <c r="A4927" t="s">
        <v>1221</v>
      </c>
      <c r="B4927" t="s">
        <v>100</v>
      </c>
      <c r="C4927" t="s">
        <v>183</v>
      </c>
      <c r="D4927" t="s">
        <v>1429</v>
      </c>
      <c r="E4927" s="17">
        <v>46125</v>
      </c>
      <c r="F4927" s="17">
        <v>46125</v>
      </c>
      <c r="G4927" s="13">
        <v>1095</v>
      </c>
      <c r="H4927" s="14">
        <v>0</v>
      </c>
      <c r="I4927" s="14">
        <v>0</v>
      </c>
      <c r="J4927" s="14">
        <v>0</v>
      </c>
      <c r="K4927" s="14">
        <v>1095</v>
      </c>
      <c r="L4927" t="s">
        <v>794</v>
      </c>
      <c r="M4927" s="23">
        <f t="shared" si="77"/>
        <v>2026</v>
      </c>
    </row>
    <row r="4928" spans="1:13" ht="12.75" hidden="1" customHeight="1">
      <c r="A4928" t="s">
        <v>1433</v>
      </c>
      <c r="B4928" t="s">
        <v>182</v>
      </c>
      <c r="C4928" t="s">
        <v>183</v>
      </c>
      <c r="D4928" t="s">
        <v>1429</v>
      </c>
      <c r="E4928" s="17">
        <v>46125</v>
      </c>
      <c r="F4928" s="17">
        <v>46125</v>
      </c>
      <c r="G4928" s="13">
        <v>1440</v>
      </c>
      <c r="H4928" s="14">
        <v>0</v>
      </c>
      <c r="I4928" s="14">
        <v>0</v>
      </c>
      <c r="J4928" s="14">
        <v>0</v>
      </c>
      <c r="K4928" s="14">
        <v>1440</v>
      </c>
      <c r="L4928" t="s">
        <v>794</v>
      </c>
      <c r="M4928" s="23">
        <f t="shared" si="77"/>
        <v>2026</v>
      </c>
    </row>
    <row r="4929" spans="1:13" ht="12.75" hidden="1" customHeight="1">
      <c r="A4929" t="s">
        <v>1134</v>
      </c>
      <c r="B4929" t="s">
        <v>33</v>
      </c>
      <c r="C4929" t="s">
        <v>764</v>
      </c>
      <c r="D4929" t="s">
        <v>1429</v>
      </c>
      <c r="E4929" s="17">
        <v>46125</v>
      </c>
      <c r="F4929" s="17">
        <v>46125</v>
      </c>
      <c r="G4929" s="13">
        <v>199.9</v>
      </c>
      <c r="H4929" s="14">
        <v>0</v>
      </c>
      <c r="I4929" s="14">
        <v>0</v>
      </c>
      <c r="J4929" s="14">
        <v>0</v>
      </c>
      <c r="K4929" s="14">
        <v>199.9</v>
      </c>
      <c r="L4929" t="s">
        <v>794</v>
      </c>
      <c r="M4929" s="23">
        <f t="shared" si="77"/>
        <v>2026</v>
      </c>
    </row>
    <row r="4930" spans="1:13" ht="12.75" hidden="1" customHeight="1">
      <c r="A4930" t="s">
        <v>1362</v>
      </c>
      <c r="B4930" t="s">
        <v>479</v>
      </c>
      <c r="C4930" t="s">
        <v>99</v>
      </c>
      <c r="D4930" t="s">
        <v>1429</v>
      </c>
      <c r="E4930" s="17">
        <v>46125</v>
      </c>
      <c r="F4930" s="17">
        <v>46125</v>
      </c>
      <c r="G4930" s="13">
        <v>14.49</v>
      </c>
      <c r="H4930" s="14">
        <v>0</v>
      </c>
      <c r="I4930" s="14">
        <v>0</v>
      </c>
      <c r="J4930" s="14">
        <v>0</v>
      </c>
      <c r="K4930" s="14">
        <v>14.49</v>
      </c>
      <c r="L4930" t="s">
        <v>794</v>
      </c>
      <c r="M4930" s="23">
        <f t="shared" si="77"/>
        <v>2026</v>
      </c>
    </row>
    <row r="4931" spans="1:13" ht="12.75" hidden="1" customHeight="1">
      <c r="A4931" t="s">
        <v>1426</v>
      </c>
      <c r="B4931" t="s">
        <v>151</v>
      </c>
      <c r="C4931" t="s">
        <v>152</v>
      </c>
      <c r="D4931" t="s">
        <v>1429</v>
      </c>
      <c r="E4931" s="17">
        <v>46125</v>
      </c>
      <c r="F4931" s="17">
        <v>46125</v>
      </c>
      <c r="G4931" s="13">
        <v>6000</v>
      </c>
      <c r="H4931" s="14">
        <v>0</v>
      </c>
      <c r="I4931" s="14">
        <v>0</v>
      </c>
      <c r="J4931" s="14">
        <v>0</v>
      </c>
      <c r="K4931" s="14">
        <v>6000</v>
      </c>
      <c r="L4931" t="s">
        <v>794</v>
      </c>
      <c r="M4931" s="23">
        <f t="shared" si="77"/>
        <v>2026</v>
      </c>
    </row>
    <row r="4932" spans="1:13" ht="12.75" hidden="1" customHeight="1">
      <c r="A4932" t="s">
        <v>1426</v>
      </c>
      <c r="B4932" t="s">
        <v>151</v>
      </c>
      <c r="C4932" t="s">
        <v>152</v>
      </c>
      <c r="D4932" t="s">
        <v>1429</v>
      </c>
      <c r="E4932" s="17">
        <v>46125</v>
      </c>
      <c r="F4932" s="17">
        <v>46125</v>
      </c>
      <c r="G4932" s="13">
        <v>240</v>
      </c>
      <c r="H4932" s="14">
        <v>0</v>
      </c>
      <c r="I4932" s="14">
        <v>0</v>
      </c>
      <c r="J4932" s="14">
        <v>0</v>
      </c>
      <c r="K4932" s="14">
        <v>240</v>
      </c>
      <c r="L4932" t="s">
        <v>794</v>
      </c>
      <c r="M4932" s="23">
        <f t="shared" si="77"/>
        <v>2026</v>
      </c>
    </row>
    <row r="4933" spans="1:13" ht="12.75" hidden="1" customHeight="1">
      <c r="A4933" t="s">
        <v>1069</v>
      </c>
      <c r="B4933" t="s">
        <v>147</v>
      </c>
      <c r="C4933" t="s">
        <v>738</v>
      </c>
      <c r="D4933" t="s">
        <v>1394</v>
      </c>
      <c r="E4933" s="17">
        <v>46126</v>
      </c>
      <c r="F4933" s="17">
        <v>46125</v>
      </c>
      <c r="G4933" s="13">
        <v>1450</v>
      </c>
      <c r="H4933" s="14">
        <v>0</v>
      </c>
      <c r="I4933" s="14">
        <v>0</v>
      </c>
      <c r="J4933" s="14">
        <v>0</v>
      </c>
      <c r="K4933" s="14">
        <v>1450</v>
      </c>
      <c r="L4933" t="s">
        <v>843</v>
      </c>
      <c r="M4933" s="23">
        <f t="shared" si="77"/>
        <v>2026</v>
      </c>
    </row>
    <row r="4934" spans="1:13" ht="12.75" hidden="1" customHeight="1">
      <c r="A4934" t="s">
        <v>948</v>
      </c>
      <c r="B4934" t="s">
        <v>89</v>
      </c>
      <c r="C4934" t="s">
        <v>725</v>
      </c>
      <c r="D4934" t="s">
        <v>1429</v>
      </c>
      <c r="E4934" s="17">
        <v>46125</v>
      </c>
      <c r="F4934" s="17">
        <v>46125</v>
      </c>
      <c r="G4934" s="13">
        <v>824</v>
      </c>
      <c r="H4934" s="14">
        <v>0</v>
      </c>
      <c r="I4934" s="14">
        <v>0</v>
      </c>
      <c r="J4934" s="14">
        <v>0</v>
      </c>
      <c r="K4934" s="14">
        <v>824</v>
      </c>
      <c r="L4934" t="s">
        <v>794</v>
      </c>
      <c r="M4934" s="23">
        <f t="shared" si="77"/>
        <v>2026</v>
      </c>
    </row>
    <row r="4935" spans="1:13" ht="12.75" hidden="1" customHeight="1">
      <c r="A4935" t="s">
        <v>1487</v>
      </c>
      <c r="B4935" t="s">
        <v>397</v>
      </c>
      <c r="C4935" t="s">
        <v>398</v>
      </c>
      <c r="D4935" t="s">
        <v>1429</v>
      </c>
      <c r="E4935" s="17">
        <v>46125</v>
      </c>
      <c r="F4935" s="17">
        <v>46125</v>
      </c>
      <c r="G4935" s="13">
        <v>500</v>
      </c>
      <c r="H4935" s="14">
        <v>0</v>
      </c>
      <c r="I4935" s="14">
        <v>0</v>
      </c>
      <c r="J4935" s="14">
        <v>0</v>
      </c>
      <c r="K4935" s="14">
        <v>500</v>
      </c>
      <c r="L4935" t="s">
        <v>794</v>
      </c>
      <c r="M4935" s="23">
        <f t="shared" si="77"/>
        <v>2026</v>
      </c>
    </row>
    <row r="4936" spans="1:13" ht="12.75" hidden="1" customHeight="1">
      <c r="A4936" t="s">
        <v>1474</v>
      </c>
      <c r="B4936" t="s">
        <v>195</v>
      </c>
      <c r="C4936" t="s">
        <v>183</v>
      </c>
      <c r="D4936" t="s">
        <v>1429</v>
      </c>
      <c r="E4936" s="17">
        <v>46125</v>
      </c>
      <c r="F4936" s="17">
        <v>46126</v>
      </c>
      <c r="G4936" s="13">
        <v>2765.1</v>
      </c>
      <c r="H4936" s="14">
        <v>0</v>
      </c>
      <c r="I4936" s="14">
        <v>0</v>
      </c>
      <c r="J4936" s="14">
        <v>0</v>
      </c>
      <c r="K4936" s="14">
        <v>2765.1</v>
      </c>
      <c r="L4936" t="s">
        <v>794</v>
      </c>
      <c r="M4936" s="23">
        <f t="shared" si="77"/>
        <v>2026</v>
      </c>
    </row>
    <row r="4937" spans="1:13" ht="12.75" hidden="1" customHeight="1">
      <c r="A4937" t="s">
        <v>1488</v>
      </c>
      <c r="B4937" t="s">
        <v>205</v>
      </c>
      <c r="C4937" t="s">
        <v>206</v>
      </c>
      <c r="D4937" t="s">
        <v>1429</v>
      </c>
      <c r="E4937" s="17">
        <v>46126</v>
      </c>
      <c r="F4937" s="17">
        <v>46126</v>
      </c>
      <c r="G4937" s="13">
        <v>3101.59</v>
      </c>
      <c r="H4937" s="14">
        <v>0</v>
      </c>
      <c r="I4937" s="14">
        <v>0</v>
      </c>
      <c r="J4937" s="14">
        <v>0</v>
      </c>
      <c r="K4937" s="14">
        <v>3101.59</v>
      </c>
      <c r="L4937" t="s">
        <v>794</v>
      </c>
      <c r="M4937" s="23">
        <f t="shared" si="77"/>
        <v>2026</v>
      </c>
    </row>
    <row r="4938" spans="1:13" ht="12.75" hidden="1" customHeight="1">
      <c r="A4938" t="s">
        <v>878</v>
      </c>
      <c r="B4938" t="s">
        <v>32</v>
      </c>
      <c r="C4938" t="s">
        <v>721</v>
      </c>
      <c r="D4938" t="s">
        <v>1429</v>
      </c>
      <c r="E4938" s="17">
        <v>46126</v>
      </c>
      <c r="F4938" s="17">
        <v>46126</v>
      </c>
      <c r="G4938" s="13">
        <v>1537</v>
      </c>
      <c r="H4938" s="14">
        <v>0</v>
      </c>
      <c r="I4938" s="14">
        <v>0</v>
      </c>
      <c r="J4938" s="14">
        <v>0</v>
      </c>
      <c r="K4938" s="14">
        <v>1537</v>
      </c>
      <c r="L4938" t="s">
        <v>794</v>
      </c>
      <c r="M4938" s="23">
        <f t="shared" si="77"/>
        <v>2026</v>
      </c>
    </row>
    <row r="4939" spans="1:13" ht="12.75" hidden="1" customHeight="1">
      <c r="A4939" t="s">
        <v>1470</v>
      </c>
      <c r="B4939" t="s">
        <v>359</v>
      </c>
      <c r="C4939" t="s">
        <v>270</v>
      </c>
      <c r="D4939" t="s">
        <v>1429</v>
      </c>
      <c r="E4939" s="17">
        <v>46126</v>
      </c>
      <c r="F4939" s="17">
        <v>46126</v>
      </c>
      <c r="G4939" s="13">
        <v>524.73</v>
      </c>
      <c r="H4939" s="14">
        <v>0</v>
      </c>
      <c r="I4939" s="14">
        <v>0</v>
      </c>
      <c r="J4939" s="14">
        <v>0</v>
      </c>
      <c r="K4939" s="14">
        <v>524.73</v>
      </c>
      <c r="L4939" t="s">
        <v>794</v>
      </c>
      <c r="M4939" s="23">
        <f t="shared" si="77"/>
        <v>2026</v>
      </c>
    </row>
    <row r="4940" spans="1:13" ht="12.75" hidden="1" customHeight="1">
      <c r="A4940" t="s">
        <v>801</v>
      </c>
      <c r="B4940" t="s">
        <v>13</v>
      </c>
      <c r="C4940" t="s">
        <v>726</v>
      </c>
      <c r="D4940" t="s">
        <v>1429</v>
      </c>
      <c r="E4940" s="17">
        <v>46126</v>
      </c>
      <c r="F4940" s="17">
        <v>46126</v>
      </c>
      <c r="G4940" s="13">
        <v>2.19</v>
      </c>
      <c r="H4940" s="14">
        <v>0</v>
      </c>
      <c r="I4940" s="14">
        <v>0</v>
      </c>
      <c r="J4940" s="14">
        <v>0</v>
      </c>
      <c r="K4940" s="14">
        <v>2.19</v>
      </c>
      <c r="L4940" t="s">
        <v>794</v>
      </c>
      <c r="M4940" s="23">
        <f t="shared" si="77"/>
        <v>2026</v>
      </c>
    </row>
    <row r="4941" spans="1:13" ht="12.75" hidden="1" customHeight="1">
      <c r="A4941" t="s">
        <v>801</v>
      </c>
      <c r="B4941" t="s">
        <v>13</v>
      </c>
      <c r="C4941" t="s">
        <v>726</v>
      </c>
      <c r="D4941" t="s">
        <v>1429</v>
      </c>
      <c r="E4941" s="17">
        <v>46126</v>
      </c>
      <c r="F4941" s="17">
        <v>46126</v>
      </c>
      <c r="G4941" s="13">
        <v>2.19</v>
      </c>
      <c r="H4941" s="14">
        <v>0</v>
      </c>
      <c r="I4941" s="14">
        <v>0</v>
      </c>
      <c r="J4941" s="14">
        <v>0</v>
      </c>
      <c r="K4941" s="14">
        <v>2.19</v>
      </c>
      <c r="L4941" t="s">
        <v>794</v>
      </c>
      <c r="M4941" s="23">
        <f t="shared" si="77"/>
        <v>2026</v>
      </c>
    </row>
    <row r="4942" spans="1:13" ht="12.75" hidden="1" customHeight="1">
      <c r="A4942" t="s">
        <v>801</v>
      </c>
      <c r="B4942" t="s">
        <v>13</v>
      </c>
      <c r="C4942" t="s">
        <v>726</v>
      </c>
      <c r="D4942" t="s">
        <v>1429</v>
      </c>
      <c r="E4942" s="17">
        <v>46127</v>
      </c>
      <c r="F4942" s="17">
        <v>46127</v>
      </c>
      <c r="G4942" s="13">
        <v>6.57</v>
      </c>
      <c r="H4942" s="14">
        <v>0</v>
      </c>
      <c r="I4942" s="14">
        <v>0</v>
      </c>
      <c r="J4942" s="14">
        <v>0</v>
      </c>
      <c r="K4942" s="14">
        <v>6.57</v>
      </c>
      <c r="L4942" t="s">
        <v>794</v>
      </c>
      <c r="M4942" s="23">
        <f t="shared" si="77"/>
        <v>2026</v>
      </c>
    </row>
    <row r="4943" spans="1:13" ht="12.75" hidden="1" customHeight="1">
      <c r="A4943" t="s">
        <v>826</v>
      </c>
      <c r="B4943" t="s">
        <v>21</v>
      </c>
      <c r="C4943" t="s">
        <v>491</v>
      </c>
      <c r="D4943" t="s">
        <v>1429</v>
      </c>
      <c r="E4943" s="17">
        <v>46127</v>
      </c>
      <c r="F4943" s="17">
        <v>46127</v>
      </c>
      <c r="G4943" s="13">
        <v>40</v>
      </c>
      <c r="H4943" s="14">
        <v>0</v>
      </c>
      <c r="I4943" s="14">
        <v>0</v>
      </c>
      <c r="J4943" s="14">
        <v>0</v>
      </c>
      <c r="K4943" s="14">
        <v>40</v>
      </c>
      <c r="L4943" t="s">
        <v>794</v>
      </c>
      <c r="M4943" s="23">
        <f t="shared" si="77"/>
        <v>2026</v>
      </c>
    </row>
    <row r="4944" spans="1:13" ht="12.75" hidden="1" customHeight="1">
      <c r="A4944" t="s">
        <v>888</v>
      </c>
      <c r="B4944" t="s">
        <v>16</v>
      </c>
      <c r="C4944" t="s">
        <v>716</v>
      </c>
      <c r="D4944" t="s">
        <v>1429</v>
      </c>
      <c r="E4944" s="17">
        <v>46127</v>
      </c>
      <c r="F4944" s="17">
        <v>46127</v>
      </c>
      <c r="G4944" s="13">
        <v>22331.41</v>
      </c>
      <c r="H4944" s="14">
        <v>0</v>
      </c>
      <c r="I4944" s="14">
        <v>0</v>
      </c>
      <c r="J4944" s="14">
        <v>0</v>
      </c>
      <c r="K4944" s="14">
        <v>22331.41</v>
      </c>
      <c r="L4944" t="s">
        <v>794</v>
      </c>
      <c r="M4944" s="23">
        <f t="shared" si="77"/>
        <v>2026</v>
      </c>
    </row>
    <row r="4945" spans="1:13" ht="12.75" hidden="1" customHeight="1">
      <c r="A4945" t="s">
        <v>886</v>
      </c>
      <c r="B4945" t="s">
        <v>194</v>
      </c>
      <c r="C4945" t="s">
        <v>743</v>
      </c>
      <c r="D4945" t="s">
        <v>1429</v>
      </c>
      <c r="E4945" s="17">
        <v>46127</v>
      </c>
      <c r="F4945" s="17">
        <v>46127</v>
      </c>
      <c r="G4945" s="13">
        <v>217.76</v>
      </c>
      <c r="H4945" s="14">
        <v>0</v>
      </c>
      <c r="I4945" s="14">
        <v>0</v>
      </c>
      <c r="J4945" s="14">
        <v>0</v>
      </c>
      <c r="K4945" s="14">
        <v>217.76</v>
      </c>
      <c r="L4945" t="s">
        <v>794</v>
      </c>
      <c r="M4945" s="23">
        <f t="shared" si="77"/>
        <v>2026</v>
      </c>
    </row>
    <row r="4946" spans="1:13" ht="12.75" hidden="1" customHeight="1">
      <c r="A4946" t="s">
        <v>1489</v>
      </c>
      <c r="B4946" t="s">
        <v>383</v>
      </c>
      <c r="C4946" t="s">
        <v>384</v>
      </c>
      <c r="D4946" t="s">
        <v>1429</v>
      </c>
      <c r="E4946" s="17">
        <v>46126</v>
      </c>
      <c r="F4946" s="17">
        <v>46127</v>
      </c>
      <c r="G4946" s="13">
        <v>233.3</v>
      </c>
      <c r="H4946" s="14">
        <v>0</v>
      </c>
      <c r="I4946" s="14">
        <v>0</v>
      </c>
      <c r="J4946" s="14">
        <v>0</v>
      </c>
      <c r="K4946" s="14">
        <v>233.3</v>
      </c>
      <c r="L4946" t="s">
        <v>794</v>
      </c>
      <c r="M4946" s="23">
        <f t="shared" si="77"/>
        <v>2026</v>
      </c>
    </row>
    <row r="4947" spans="1:13" ht="12.75" hidden="1" customHeight="1">
      <c r="A4947" t="s">
        <v>893</v>
      </c>
      <c r="B4947" t="s">
        <v>212</v>
      </c>
      <c r="C4947" t="s">
        <v>746</v>
      </c>
      <c r="D4947" t="s">
        <v>1429</v>
      </c>
      <c r="E4947" s="17">
        <v>46127</v>
      </c>
      <c r="F4947" s="17">
        <v>46127</v>
      </c>
      <c r="G4947" s="13">
        <v>139</v>
      </c>
      <c r="H4947" s="14">
        <v>0</v>
      </c>
      <c r="I4947" s="14">
        <v>0</v>
      </c>
      <c r="J4947" s="14">
        <v>0</v>
      </c>
      <c r="K4947" s="14">
        <v>139</v>
      </c>
      <c r="L4947" t="s">
        <v>794</v>
      </c>
      <c r="M4947" s="23">
        <f t="shared" si="77"/>
        <v>2026</v>
      </c>
    </row>
    <row r="4948" spans="1:13" ht="12.75" hidden="1" customHeight="1">
      <c r="A4948" t="s">
        <v>800</v>
      </c>
      <c r="B4948" t="s">
        <v>85</v>
      </c>
      <c r="C4948" t="s">
        <v>734</v>
      </c>
      <c r="D4948" t="s">
        <v>1429</v>
      </c>
      <c r="E4948" s="17">
        <v>46127</v>
      </c>
      <c r="F4948" s="17">
        <v>46127</v>
      </c>
      <c r="G4948" s="13">
        <v>900</v>
      </c>
      <c r="H4948" s="14">
        <v>0</v>
      </c>
      <c r="I4948" s="14">
        <v>0</v>
      </c>
      <c r="J4948" s="14">
        <v>0</v>
      </c>
      <c r="K4948" s="14">
        <v>900</v>
      </c>
      <c r="L4948" t="s">
        <v>794</v>
      </c>
      <c r="M4948" s="23">
        <f t="shared" si="77"/>
        <v>2026</v>
      </c>
    </row>
    <row r="4949" spans="1:13" ht="12.75" hidden="1" customHeight="1">
      <c r="A4949" t="s">
        <v>891</v>
      </c>
      <c r="B4949" t="s">
        <v>102</v>
      </c>
      <c r="C4949" t="s">
        <v>722</v>
      </c>
      <c r="D4949" t="s">
        <v>1429</v>
      </c>
      <c r="E4949" s="17">
        <v>46127</v>
      </c>
      <c r="F4949" s="17">
        <v>46127</v>
      </c>
      <c r="G4949" s="13">
        <v>828</v>
      </c>
      <c r="H4949" s="14">
        <v>0</v>
      </c>
      <c r="I4949" s="14">
        <v>0</v>
      </c>
      <c r="J4949" s="14">
        <v>0</v>
      </c>
      <c r="K4949" s="14">
        <v>828</v>
      </c>
      <c r="L4949" t="s">
        <v>794</v>
      </c>
      <c r="M4949" s="23">
        <f t="shared" si="77"/>
        <v>2026</v>
      </c>
    </row>
    <row r="4950" spans="1:13" ht="12.75" hidden="1" customHeight="1">
      <c r="A4950" t="s">
        <v>879</v>
      </c>
      <c r="B4950" t="s">
        <v>23</v>
      </c>
      <c r="C4950" t="s">
        <v>716</v>
      </c>
      <c r="D4950" t="s">
        <v>1429</v>
      </c>
      <c r="E4950" s="17">
        <v>46127</v>
      </c>
      <c r="F4950" s="17">
        <v>46127</v>
      </c>
      <c r="G4950" s="13">
        <v>4101.37</v>
      </c>
      <c r="H4950" s="14">
        <v>0</v>
      </c>
      <c r="I4950" s="14">
        <v>0</v>
      </c>
      <c r="J4950" s="14">
        <v>0</v>
      </c>
      <c r="K4950" s="14">
        <v>4101.37</v>
      </c>
      <c r="L4950" t="s">
        <v>794</v>
      </c>
      <c r="M4950" s="23">
        <f t="shared" si="77"/>
        <v>2026</v>
      </c>
    </row>
    <row r="4951" spans="1:13" ht="12.75" hidden="1" customHeight="1">
      <c r="A4951" t="s">
        <v>894</v>
      </c>
      <c r="B4951" t="s">
        <v>50</v>
      </c>
      <c r="C4951" t="s">
        <v>152</v>
      </c>
      <c r="D4951" t="s">
        <v>1429</v>
      </c>
      <c r="E4951" s="17">
        <v>46127</v>
      </c>
      <c r="F4951" s="17">
        <v>46127</v>
      </c>
      <c r="G4951" s="13">
        <v>1621</v>
      </c>
      <c r="H4951" s="14">
        <v>0</v>
      </c>
      <c r="I4951" s="14">
        <v>0</v>
      </c>
      <c r="J4951" s="14">
        <v>0</v>
      </c>
      <c r="K4951" s="14">
        <v>1621</v>
      </c>
      <c r="L4951" t="s">
        <v>794</v>
      </c>
      <c r="M4951" s="23">
        <f t="shared" si="77"/>
        <v>2026</v>
      </c>
    </row>
    <row r="4952" spans="1:13" ht="12.75" hidden="1" customHeight="1">
      <c r="A4952" t="s">
        <v>879</v>
      </c>
      <c r="B4952" t="s">
        <v>23</v>
      </c>
      <c r="C4952" t="s">
        <v>722</v>
      </c>
      <c r="D4952" t="s">
        <v>1429</v>
      </c>
      <c r="E4952" s="17">
        <v>46127</v>
      </c>
      <c r="F4952" s="17">
        <v>46127</v>
      </c>
      <c r="G4952" s="13">
        <v>700</v>
      </c>
      <c r="H4952" s="14">
        <v>0</v>
      </c>
      <c r="I4952" s="14">
        <v>0</v>
      </c>
      <c r="J4952" s="14">
        <v>0</v>
      </c>
      <c r="K4952" s="14">
        <v>700</v>
      </c>
      <c r="L4952" t="s">
        <v>794</v>
      </c>
      <c r="M4952" s="23">
        <f t="shared" si="77"/>
        <v>2026</v>
      </c>
    </row>
    <row r="4953" spans="1:13" ht="12.75" hidden="1" customHeight="1">
      <c r="A4953" t="s">
        <v>941</v>
      </c>
      <c r="B4953" t="s">
        <v>52</v>
      </c>
      <c r="C4953" t="s">
        <v>672</v>
      </c>
      <c r="D4953" t="s">
        <v>1429</v>
      </c>
      <c r="E4953" s="17">
        <v>46127</v>
      </c>
      <c r="F4953" s="17">
        <v>46127</v>
      </c>
      <c r="G4953" s="13">
        <v>1621</v>
      </c>
      <c r="H4953" s="14">
        <v>0</v>
      </c>
      <c r="I4953" s="14">
        <v>0</v>
      </c>
      <c r="J4953" s="14">
        <v>0</v>
      </c>
      <c r="K4953" s="14">
        <v>1621</v>
      </c>
      <c r="L4953" t="s">
        <v>794</v>
      </c>
      <c r="M4953" s="23">
        <f t="shared" si="77"/>
        <v>2026</v>
      </c>
    </row>
    <row r="4954" spans="1:13" ht="12.75" hidden="1" customHeight="1">
      <c r="A4954" t="s">
        <v>896</v>
      </c>
      <c r="B4954" t="s">
        <v>293</v>
      </c>
      <c r="C4954" t="s">
        <v>733</v>
      </c>
      <c r="D4954" t="s">
        <v>1429</v>
      </c>
      <c r="E4954" s="17">
        <v>46127</v>
      </c>
      <c r="F4954" s="17">
        <v>46127</v>
      </c>
      <c r="G4954" s="13">
        <v>74.97</v>
      </c>
      <c r="H4954" s="14">
        <v>0</v>
      </c>
      <c r="I4954" s="14">
        <v>0</v>
      </c>
      <c r="J4954" s="14">
        <v>0</v>
      </c>
      <c r="K4954" s="14">
        <v>74.97</v>
      </c>
      <c r="L4954" t="s">
        <v>794</v>
      </c>
      <c r="M4954" s="23">
        <f t="shared" si="77"/>
        <v>2026</v>
      </c>
    </row>
    <row r="4955" spans="1:13" ht="12.75" hidden="1" customHeight="1">
      <c r="A4955" t="s">
        <v>896</v>
      </c>
      <c r="B4955" t="s">
        <v>293</v>
      </c>
      <c r="C4955" t="s">
        <v>733</v>
      </c>
      <c r="D4955" t="s">
        <v>1429</v>
      </c>
      <c r="E4955" s="17">
        <v>46127</v>
      </c>
      <c r="F4955" s="17">
        <v>46127</v>
      </c>
      <c r="G4955" s="13">
        <v>43.97</v>
      </c>
      <c r="H4955" s="14">
        <v>0</v>
      </c>
      <c r="I4955" s="14">
        <v>0</v>
      </c>
      <c r="J4955" s="14">
        <v>0</v>
      </c>
      <c r="K4955" s="14">
        <v>43.97</v>
      </c>
      <c r="L4955" t="s">
        <v>794</v>
      </c>
      <c r="M4955" s="23">
        <f t="shared" ref="M4955:M5018" si="78">YEAR(F4955)</f>
        <v>2026</v>
      </c>
    </row>
    <row r="4956" spans="1:13" ht="12.75" hidden="1" customHeight="1">
      <c r="A4956" t="s">
        <v>1166</v>
      </c>
      <c r="B4956" t="s">
        <v>274</v>
      </c>
      <c r="C4956" t="s">
        <v>470</v>
      </c>
      <c r="D4956" t="s">
        <v>1429</v>
      </c>
      <c r="E4956" s="17">
        <v>46127</v>
      </c>
      <c r="F4956" s="17">
        <v>46127</v>
      </c>
      <c r="G4956" s="13">
        <v>49.94</v>
      </c>
      <c r="H4956" s="14">
        <v>0</v>
      </c>
      <c r="I4956" s="14">
        <v>0</v>
      </c>
      <c r="J4956" s="14">
        <v>0</v>
      </c>
      <c r="K4956" s="14">
        <v>49.94</v>
      </c>
      <c r="L4956" t="s">
        <v>794</v>
      </c>
      <c r="M4956" s="23">
        <f t="shared" si="78"/>
        <v>2026</v>
      </c>
    </row>
    <row r="4957" spans="1:13" ht="12.75" hidden="1" customHeight="1">
      <c r="A4957" t="s">
        <v>1490</v>
      </c>
      <c r="B4957" t="s">
        <v>671</v>
      </c>
      <c r="C4957" t="s">
        <v>672</v>
      </c>
      <c r="D4957" t="s">
        <v>1429</v>
      </c>
      <c r="E4957" s="17">
        <v>46127</v>
      </c>
      <c r="F4957" s="17">
        <v>46127</v>
      </c>
      <c r="G4957" s="13">
        <v>25</v>
      </c>
      <c r="H4957" s="14">
        <v>0</v>
      </c>
      <c r="I4957" s="14">
        <v>0</v>
      </c>
      <c r="J4957" s="14">
        <v>0</v>
      </c>
      <c r="K4957" s="14">
        <v>25</v>
      </c>
      <c r="L4957" t="s">
        <v>794</v>
      </c>
      <c r="M4957" s="23">
        <f t="shared" si="78"/>
        <v>2026</v>
      </c>
    </row>
    <row r="4958" spans="1:13" ht="12.75" hidden="1" customHeight="1">
      <c r="A4958" t="s">
        <v>1211</v>
      </c>
      <c r="B4958" t="s">
        <v>73</v>
      </c>
      <c r="C4958" t="s">
        <v>721</v>
      </c>
      <c r="D4958" t="s">
        <v>1429</v>
      </c>
      <c r="E4958" s="17">
        <v>46127</v>
      </c>
      <c r="F4958" s="17">
        <v>46127</v>
      </c>
      <c r="G4958" s="13">
        <v>1500</v>
      </c>
      <c r="H4958" s="14">
        <v>0</v>
      </c>
      <c r="I4958" s="14">
        <v>0</v>
      </c>
      <c r="J4958" s="14">
        <v>0</v>
      </c>
      <c r="K4958" s="14">
        <v>1500</v>
      </c>
      <c r="L4958" t="s">
        <v>794</v>
      </c>
      <c r="M4958" s="23">
        <f t="shared" si="78"/>
        <v>2026</v>
      </c>
    </row>
    <row r="4959" spans="1:13" ht="12.75" hidden="1" customHeight="1">
      <c r="A4959" t="s">
        <v>801</v>
      </c>
      <c r="B4959" t="s">
        <v>13</v>
      </c>
      <c r="C4959" t="s">
        <v>717</v>
      </c>
      <c r="D4959" t="s">
        <v>1429</v>
      </c>
      <c r="E4959" s="17">
        <v>46127</v>
      </c>
      <c r="F4959" s="17">
        <v>46127</v>
      </c>
      <c r="G4959" s="13">
        <v>210.38</v>
      </c>
      <c r="H4959" s="14">
        <v>0</v>
      </c>
      <c r="I4959" s="14">
        <v>0</v>
      </c>
      <c r="J4959" s="14">
        <v>0</v>
      </c>
      <c r="K4959" s="14">
        <v>210.38</v>
      </c>
      <c r="L4959" t="s">
        <v>794</v>
      </c>
      <c r="M4959" s="23">
        <f t="shared" si="78"/>
        <v>2026</v>
      </c>
    </row>
    <row r="4960" spans="1:13" ht="12.75" hidden="1" customHeight="1">
      <c r="A4960" t="s">
        <v>1491</v>
      </c>
      <c r="B4960" t="s">
        <v>408</v>
      </c>
      <c r="C4960" t="s">
        <v>270</v>
      </c>
      <c r="D4960" t="s">
        <v>1429</v>
      </c>
      <c r="E4960" s="17">
        <v>46128</v>
      </c>
      <c r="F4960" s="17">
        <v>46128</v>
      </c>
      <c r="G4960" s="13">
        <v>70</v>
      </c>
      <c r="H4960" s="14">
        <v>0</v>
      </c>
      <c r="I4960" s="14">
        <v>0</v>
      </c>
      <c r="J4960" s="14">
        <v>0</v>
      </c>
      <c r="K4960" s="14">
        <v>70</v>
      </c>
      <c r="L4960" t="s">
        <v>794</v>
      </c>
      <c r="M4960" s="23">
        <f t="shared" si="78"/>
        <v>2026</v>
      </c>
    </row>
    <row r="4961" spans="1:13" ht="12.75" hidden="1" customHeight="1">
      <c r="A4961" t="s">
        <v>1166</v>
      </c>
      <c r="B4961" t="s">
        <v>274</v>
      </c>
      <c r="C4961" t="s">
        <v>760</v>
      </c>
      <c r="D4961" t="s">
        <v>1429</v>
      </c>
      <c r="E4961" s="17">
        <v>46128</v>
      </c>
      <c r="F4961" s="17">
        <v>46128</v>
      </c>
      <c r="G4961" s="13">
        <v>90.89</v>
      </c>
      <c r="H4961" s="14">
        <v>0</v>
      </c>
      <c r="I4961" s="14">
        <v>0</v>
      </c>
      <c r="J4961" s="14">
        <v>0</v>
      </c>
      <c r="K4961" s="14">
        <v>90.89</v>
      </c>
      <c r="L4961" t="s">
        <v>794</v>
      </c>
      <c r="M4961" s="23">
        <f t="shared" si="78"/>
        <v>2026</v>
      </c>
    </row>
    <row r="4962" spans="1:13" ht="12.75" hidden="1" customHeight="1">
      <c r="A4962" t="s">
        <v>1419</v>
      </c>
      <c r="B4962" t="s">
        <v>341</v>
      </c>
      <c r="C4962" t="s">
        <v>387</v>
      </c>
      <c r="D4962" t="s">
        <v>1445</v>
      </c>
      <c r="E4962" s="17">
        <v>46106</v>
      </c>
      <c r="F4962" s="17">
        <v>46128</v>
      </c>
      <c r="G4962" s="13">
        <v>431</v>
      </c>
      <c r="H4962" s="14">
        <v>0</v>
      </c>
      <c r="I4962" s="14">
        <v>0</v>
      </c>
      <c r="J4962" s="14">
        <v>0</v>
      </c>
      <c r="K4962" s="14">
        <v>431</v>
      </c>
      <c r="L4962" t="s">
        <v>794</v>
      </c>
      <c r="M4962" s="23">
        <f t="shared" si="78"/>
        <v>2026</v>
      </c>
    </row>
    <row r="4963" spans="1:13" ht="12.75" hidden="1" customHeight="1">
      <c r="A4963" t="s">
        <v>1069</v>
      </c>
      <c r="B4963" t="s">
        <v>147</v>
      </c>
      <c r="C4963" t="s">
        <v>738</v>
      </c>
      <c r="D4963" t="s">
        <v>1445</v>
      </c>
      <c r="E4963" s="17">
        <v>46129</v>
      </c>
      <c r="F4963" s="17">
        <v>46128</v>
      </c>
      <c r="G4963" s="13">
        <v>350</v>
      </c>
      <c r="H4963" s="14">
        <v>0</v>
      </c>
      <c r="I4963" s="14">
        <v>0</v>
      </c>
      <c r="J4963" s="14">
        <v>0</v>
      </c>
      <c r="K4963" s="14">
        <v>350</v>
      </c>
      <c r="L4963" t="s">
        <v>794</v>
      </c>
      <c r="M4963" s="23">
        <f t="shared" si="78"/>
        <v>2026</v>
      </c>
    </row>
    <row r="4964" spans="1:13" ht="12.75" hidden="1" customHeight="1">
      <c r="A4964" t="s">
        <v>806</v>
      </c>
      <c r="B4964" t="s">
        <v>19</v>
      </c>
      <c r="C4964" t="s">
        <v>720</v>
      </c>
      <c r="D4964" t="s">
        <v>1429</v>
      </c>
      <c r="E4964" s="17">
        <v>46128</v>
      </c>
      <c r="F4964" s="17">
        <v>46128</v>
      </c>
      <c r="G4964" s="13">
        <v>12000</v>
      </c>
      <c r="H4964" s="14">
        <v>0</v>
      </c>
      <c r="I4964" s="14">
        <v>0</v>
      </c>
      <c r="J4964" s="14">
        <v>0</v>
      </c>
      <c r="K4964" s="14">
        <v>12000</v>
      </c>
      <c r="L4964" t="s">
        <v>794</v>
      </c>
      <c r="M4964" s="23">
        <f t="shared" si="78"/>
        <v>2026</v>
      </c>
    </row>
    <row r="4965" spans="1:13" ht="12.75" hidden="1" customHeight="1">
      <c r="A4965" t="s">
        <v>878</v>
      </c>
      <c r="B4965" t="s">
        <v>32</v>
      </c>
      <c r="C4965" t="s">
        <v>470</v>
      </c>
      <c r="D4965" t="s">
        <v>1429</v>
      </c>
      <c r="E4965" s="17">
        <v>46128</v>
      </c>
      <c r="F4965" s="17">
        <v>46128</v>
      </c>
      <c r="G4965" s="13">
        <v>500</v>
      </c>
      <c r="H4965" s="14">
        <v>0</v>
      </c>
      <c r="I4965" s="14">
        <v>0</v>
      </c>
      <c r="J4965" s="14">
        <v>0</v>
      </c>
      <c r="K4965" s="14">
        <v>500</v>
      </c>
      <c r="L4965" t="s">
        <v>794</v>
      </c>
      <c r="M4965" s="23">
        <f t="shared" si="78"/>
        <v>2026</v>
      </c>
    </row>
    <row r="4966" spans="1:13" ht="12.75" hidden="1" customHeight="1">
      <c r="A4966" t="s">
        <v>1409</v>
      </c>
      <c r="B4966" t="s">
        <v>86</v>
      </c>
      <c r="C4966" t="s">
        <v>270</v>
      </c>
      <c r="D4966" t="s">
        <v>1429</v>
      </c>
      <c r="E4966" s="17">
        <v>46128</v>
      </c>
      <c r="F4966" s="17">
        <v>46128</v>
      </c>
      <c r="G4966" s="13">
        <v>2000</v>
      </c>
      <c r="H4966" s="14">
        <v>0</v>
      </c>
      <c r="I4966" s="14">
        <v>0</v>
      </c>
      <c r="J4966" s="14">
        <v>0</v>
      </c>
      <c r="K4966" s="14">
        <v>2000</v>
      </c>
      <c r="L4966" t="s">
        <v>843</v>
      </c>
      <c r="M4966" s="23">
        <f t="shared" si="78"/>
        <v>2026</v>
      </c>
    </row>
    <row r="4967" spans="1:13" ht="12.75" hidden="1" customHeight="1">
      <c r="A4967" t="s">
        <v>855</v>
      </c>
      <c r="B4967" t="s">
        <v>20</v>
      </c>
      <c r="C4967" t="s">
        <v>723</v>
      </c>
      <c r="D4967" t="s">
        <v>1429</v>
      </c>
      <c r="E4967" s="17">
        <v>46128</v>
      </c>
      <c r="F4967" s="17">
        <v>46128</v>
      </c>
      <c r="G4967" s="13">
        <v>329.29</v>
      </c>
      <c r="H4967" s="14">
        <v>0</v>
      </c>
      <c r="I4967" s="14">
        <v>0</v>
      </c>
      <c r="J4967" s="14">
        <v>0</v>
      </c>
      <c r="K4967" s="14">
        <v>329.29</v>
      </c>
      <c r="L4967" t="s">
        <v>794</v>
      </c>
      <c r="M4967" s="23">
        <f t="shared" si="78"/>
        <v>2026</v>
      </c>
    </row>
    <row r="4968" spans="1:13" ht="12.75" hidden="1" customHeight="1">
      <c r="A4968" t="s">
        <v>1131</v>
      </c>
      <c r="B4968" t="s">
        <v>81</v>
      </c>
      <c r="C4968" t="s">
        <v>183</v>
      </c>
      <c r="D4968" t="s">
        <v>1429</v>
      </c>
      <c r="E4968" s="17">
        <v>46128</v>
      </c>
      <c r="F4968" s="17">
        <v>46128</v>
      </c>
      <c r="G4968" s="13">
        <v>1120</v>
      </c>
      <c r="H4968" s="14">
        <v>0</v>
      </c>
      <c r="I4968" s="14">
        <v>0</v>
      </c>
      <c r="J4968" s="14">
        <v>0</v>
      </c>
      <c r="K4968" s="14">
        <v>1120</v>
      </c>
      <c r="L4968" t="s">
        <v>794</v>
      </c>
      <c r="M4968" s="23">
        <f t="shared" si="78"/>
        <v>2026</v>
      </c>
    </row>
    <row r="4969" spans="1:13" ht="12.75" hidden="1" customHeight="1">
      <c r="A4969" t="s">
        <v>1380</v>
      </c>
      <c r="B4969" t="s">
        <v>364</v>
      </c>
      <c r="C4969" t="s">
        <v>470</v>
      </c>
      <c r="D4969" t="s">
        <v>1429</v>
      </c>
      <c r="E4969" s="17">
        <v>46129</v>
      </c>
      <c r="F4969" s="17">
        <v>46129</v>
      </c>
      <c r="G4969" s="13">
        <v>103.02</v>
      </c>
      <c r="H4969" s="14">
        <v>0</v>
      </c>
      <c r="I4969" s="14">
        <v>0</v>
      </c>
      <c r="J4969" s="14">
        <v>0</v>
      </c>
      <c r="K4969" s="14">
        <v>103.02</v>
      </c>
      <c r="L4969" t="s">
        <v>794</v>
      </c>
      <c r="M4969" s="23">
        <f t="shared" si="78"/>
        <v>2026</v>
      </c>
    </row>
    <row r="4970" spans="1:13" ht="12.75" hidden="1" customHeight="1">
      <c r="A4970" t="s">
        <v>801</v>
      </c>
      <c r="B4970" t="s">
        <v>13</v>
      </c>
      <c r="C4970" t="s">
        <v>717</v>
      </c>
      <c r="D4970" t="s">
        <v>1429</v>
      </c>
      <c r="E4970" s="17">
        <v>46129</v>
      </c>
      <c r="F4970" s="17">
        <v>46129</v>
      </c>
      <c r="G4970" s="13">
        <v>5381.79</v>
      </c>
      <c r="H4970" s="14">
        <v>0</v>
      </c>
      <c r="I4970" s="14">
        <v>0</v>
      </c>
      <c r="J4970" s="14">
        <v>0</v>
      </c>
      <c r="K4970" s="14">
        <v>5381.79</v>
      </c>
      <c r="L4970" t="s">
        <v>794</v>
      </c>
      <c r="M4970" s="23">
        <f t="shared" si="78"/>
        <v>2026</v>
      </c>
    </row>
    <row r="4971" spans="1:13" ht="12.75" hidden="1" customHeight="1">
      <c r="A4971" t="s">
        <v>1459</v>
      </c>
      <c r="B4971" t="s">
        <v>269</v>
      </c>
      <c r="C4971" t="s">
        <v>270</v>
      </c>
      <c r="D4971" t="s">
        <v>1429</v>
      </c>
      <c r="E4971" s="17">
        <v>46129</v>
      </c>
      <c r="F4971" s="17">
        <v>46129</v>
      </c>
      <c r="G4971" s="13">
        <v>30</v>
      </c>
      <c r="H4971" s="14">
        <v>0</v>
      </c>
      <c r="I4971" s="14">
        <v>0</v>
      </c>
      <c r="J4971" s="14">
        <v>0</v>
      </c>
      <c r="K4971" s="14">
        <v>30</v>
      </c>
      <c r="L4971" t="s">
        <v>794</v>
      </c>
      <c r="M4971" s="23">
        <f t="shared" si="78"/>
        <v>2026</v>
      </c>
    </row>
    <row r="4972" spans="1:13" ht="12.75" hidden="1" customHeight="1">
      <c r="A4972" t="s">
        <v>801</v>
      </c>
      <c r="B4972" t="s">
        <v>13</v>
      </c>
      <c r="C4972" t="s">
        <v>726</v>
      </c>
      <c r="D4972" t="s">
        <v>1429</v>
      </c>
      <c r="E4972" s="17">
        <v>46132</v>
      </c>
      <c r="F4972" s="17">
        <v>46132</v>
      </c>
      <c r="G4972" s="13">
        <v>6.57</v>
      </c>
      <c r="H4972" s="14">
        <v>0</v>
      </c>
      <c r="I4972" s="14">
        <v>0</v>
      </c>
      <c r="J4972" s="14">
        <v>0</v>
      </c>
      <c r="K4972" s="14">
        <v>6.57</v>
      </c>
      <c r="L4972" t="s">
        <v>794</v>
      </c>
      <c r="M4972" s="23">
        <f t="shared" si="78"/>
        <v>2026</v>
      </c>
    </row>
    <row r="4973" spans="1:13" ht="12.75" hidden="1" customHeight="1">
      <c r="A4973" t="s">
        <v>1491</v>
      </c>
      <c r="B4973" t="s">
        <v>408</v>
      </c>
      <c r="C4973" t="s">
        <v>270</v>
      </c>
      <c r="D4973" t="s">
        <v>1429</v>
      </c>
      <c r="E4973" s="17">
        <v>46132</v>
      </c>
      <c r="F4973" s="17">
        <v>46132</v>
      </c>
      <c r="G4973" s="13">
        <v>140</v>
      </c>
      <c r="H4973" s="14">
        <v>0</v>
      </c>
      <c r="I4973" s="14">
        <v>0</v>
      </c>
      <c r="J4973" s="14">
        <v>0</v>
      </c>
      <c r="K4973" s="14">
        <v>140</v>
      </c>
      <c r="L4973" t="s">
        <v>794</v>
      </c>
      <c r="M4973" s="23">
        <f t="shared" si="78"/>
        <v>2026</v>
      </c>
    </row>
    <row r="4974" spans="1:13" ht="12.75" hidden="1" customHeight="1">
      <c r="A4974" t="s">
        <v>1436</v>
      </c>
      <c r="B4974" t="s">
        <v>98</v>
      </c>
      <c r="C4974" t="s">
        <v>99</v>
      </c>
      <c r="D4974" t="s">
        <v>1429</v>
      </c>
      <c r="E4974" s="17">
        <v>46132</v>
      </c>
      <c r="F4974" s="17">
        <v>46132</v>
      </c>
      <c r="G4974" s="13">
        <v>2964.29</v>
      </c>
      <c r="H4974" s="14">
        <v>0</v>
      </c>
      <c r="I4974" s="14">
        <v>0</v>
      </c>
      <c r="J4974" s="14">
        <v>0</v>
      </c>
      <c r="K4974" s="14">
        <v>2964.29</v>
      </c>
      <c r="L4974" t="s">
        <v>843</v>
      </c>
      <c r="M4974" s="23">
        <f t="shared" si="78"/>
        <v>2026</v>
      </c>
    </row>
    <row r="4975" spans="1:13" ht="12.75" hidden="1" customHeight="1">
      <c r="A4975" t="s">
        <v>839</v>
      </c>
      <c r="B4975" t="s">
        <v>44</v>
      </c>
      <c r="C4975" t="s">
        <v>722</v>
      </c>
      <c r="D4975" t="s">
        <v>1429</v>
      </c>
      <c r="E4975" s="17">
        <v>46132</v>
      </c>
      <c r="F4975" s="17">
        <v>46132</v>
      </c>
      <c r="G4975" s="13">
        <v>791.23</v>
      </c>
      <c r="H4975" s="14">
        <v>0</v>
      </c>
      <c r="I4975" s="14">
        <v>0</v>
      </c>
      <c r="J4975" s="14">
        <v>0</v>
      </c>
      <c r="K4975" s="14">
        <v>791.23</v>
      </c>
      <c r="L4975" t="s">
        <v>794</v>
      </c>
      <c r="M4975" s="23">
        <f t="shared" si="78"/>
        <v>2026</v>
      </c>
    </row>
    <row r="4976" spans="1:13" ht="12.75" hidden="1" customHeight="1">
      <c r="A4976" t="s">
        <v>1072</v>
      </c>
      <c r="B4976" t="s">
        <v>65</v>
      </c>
      <c r="C4976" t="s">
        <v>727</v>
      </c>
      <c r="D4976" t="s">
        <v>1429</v>
      </c>
      <c r="E4976" s="17">
        <v>46132</v>
      </c>
      <c r="F4976" s="17">
        <v>46132</v>
      </c>
      <c r="G4976" s="13">
        <v>2783.83</v>
      </c>
      <c r="H4976" s="14">
        <v>0</v>
      </c>
      <c r="I4976" s="14">
        <v>0</v>
      </c>
      <c r="J4976" s="14">
        <v>0</v>
      </c>
      <c r="K4976" s="14">
        <v>2783.83</v>
      </c>
      <c r="L4976" t="s">
        <v>794</v>
      </c>
      <c r="M4976" s="23">
        <f t="shared" si="78"/>
        <v>2026</v>
      </c>
    </row>
    <row r="4977" spans="1:13" ht="12.75" hidden="1" customHeight="1">
      <c r="A4977" t="s">
        <v>914</v>
      </c>
      <c r="B4977" t="s">
        <v>28</v>
      </c>
      <c r="C4977" t="s">
        <v>724</v>
      </c>
      <c r="D4977" t="s">
        <v>1429</v>
      </c>
      <c r="E4977" s="17">
        <v>46132</v>
      </c>
      <c r="F4977" s="17">
        <v>46132</v>
      </c>
      <c r="G4977" s="13">
        <v>1443.3700000000001</v>
      </c>
      <c r="H4977" s="14">
        <v>0</v>
      </c>
      <c r="I4977" s="14">
        <v>0</v>
      </c>
      <c r="J4977" s="14">
        <v>0</v>
      </c>
      <c r="K4977" s="14">
        <v>1443.3700000000001</v>
      </c>
      <c r="L4977" t="s">
        <v>794</v>
      </c>
      <c r="M4977" s="23">
        <f t="shared" si="78"/>
        <v>2026</v>
      </c>
    </row>
    <row r="4978" spans="1:13" ht="12.75" hidden="1" customHeight="1">
      <c r="A4978" t="s">
        <v>1072</v>
      </c>
      <c r="B4978" t="s">
        <v>65</v>
      </c>
      <c r="C4978" t="s">
        <v>756</v>
      </c>
      <c r="D4978" t="s">
        <v>1429</v>
      </c>
      <c r="E4978" s="17">
        <v>46132</v>
      </c>
      <c r="F4978" s="17">
        <v>46132</v>
      </c>
      <c r="G4978" s="13">
        <v>81.489999999999995</v>
      </c>
      <c r="H4978" s="14">
        <v>0</v>
      </c>
      <c r="I4978" s="14">
        <v>0</v>
      </c>
      <c r="J4978" s="14">
        <v>0</v>
      </c>
      <c r="K4978" s="14">
        <v>81.489999999999995</v>
      </c>
      <c r="L4978" t="s">
        <v>794</v>
      </c>
      <c r="M4978" s="23">
        <f t="shared" si="78"/>
        <v>2026</v>
      </c>
    </row>
    <row r="4979" spans="1:13" ht="12.75" hidden="1" customHeight="1">
      <c r="A4979" t="s">
        <v>905</v>
      </c>
      <c r="B4979" t="s">
        <v>15</v>
      </c>
      <c r="C4979" t="s">
        <v>715</v>
      </c>
      <c r="D4979" t="s">
        <v>1429</v>
      </c>
      <c r="E4979" s="17">
        <v>46132</v>
      </c>
      <c r="F4979" s="17">
        <v>46132</v>
      </c>
      <c r="G4979" s="13">
        <v>17328.490000000002</v>
      </c>
      <c r="H4979" s="14">
        <v>0</v>
      </c>
      <c r="I4979" s="14">
        <v>0</v>
      </c>
      <c r="J4979" s="14">
        <v>0</v>
      </c>
      <c r="K4979" s="14">
        <v>17328.490000000002</v>
      </c>
      <c r="L4979" t="s">
        <v>794</v>
      </c>
      <c r="M4979" s="23">
        <f t="shared" si="78"/>
        <v>2026</v>
      </c>
    </row>
    <row r="4980" spans="1:13" ht="12.75" hidden="1" customHeight="1">
      <c r="A4980" t="s">
        <v>801</v>
      </c>
      <c r="B4980" t="s">
        <v>13</v>
      </c>
      <c r="C4980" t="s">
        <v>726</v>
      </c>
      <c r="D4980" t="s">
        <v>1429</v>
      </c>
      <c r="E4980" s="17">
        <v>46132</v>
      </c>
      <c r="F4980" s="17">
        <v>46132</v>
      </c>
      <c r="G4980" s="13">
        <v>18.28</v>
      </c>
      <c r="H4980" s="14">
        <v>0</v>
      </c>
      <c r="I4980" s="14">
        <v>0</v>
      </c>
      <c r="J4980" s="14">
        <v>0</v>
      </c>
      <c r="K4980" s="14">
        <v>18.28</v>
      </c>
      <c r="L4980" t="s">
        <v>794</v>
      </c>
      <c r="M4980" s="23">
        <f t="shared" si="78"/>
        <v>2026</v>
      </c>
    </row>
    <row r="4981" spans="1:13" ht="12.75" hidden="1" customHeight="1">
      <c r="A4981" t="s">
        <v>839</v>
      </c>
      <c r="B4981" t="s">
        <v>44</v>
      </c>
      <c r="C4981" t="s">
        <v>722</v>
      </c>
      <c r="D4981" t="s">
        <v>1429</v>
      </c>
      <c r="E4981" s="17">
        <v>46132</v>
      </c>
      <c r="F4981" s="17">
        <v>46132</v>
      </c>
      <c r="G4981" s="13">
        <v>1055.17</v>
      </c>
      <c r="H4981" s="14">
        <v>0</v>
      </c>
      <c r="I4981" s="14">
        <v>0</v>
      </c>
      <c r="J4981" s="14">
        <v>0</v>
      </c>
      <c r="K4981" s="14">
        <v>1055.17</v>
      </c>
      <c r="L4981" t="s">
        <v>794</v>
      </c>
      <c r="M4981" s="23">
        <f t="shared" si="78"/>
        <v>2026</v>
      </c>
    </row>
    <row r="4982" spans="1:13" ht="12.75" hidden="1" customHeight="1">
      <c r="A4982" t="s">
        <v>1488</v>
      </c>
      <c r="B4982" t="s">
        <v>205</v>
      </c>
      <c r="C4982" t="s">
        <v>206</v>
      </c>
      <c r="D4982" t="s">
        <v>1429</v>
      </c>
      <c r="E4982" s="17">
        <v>46130</v>
      </c>
      <c r="F4982" s="17">
        <v>46132</v>
      </c>
      <c r="G4982" s="13">
        <v>569.64</v>
      </c>
      <c r="H4982" s="14">
        <v>0</v>
      </c>
      <c r="I4982" s="14">
        <v>0</v>
      </c>
      <c r="J4982" s="14">
        <v>0</v>
      </c>
      <c r="K4982" s="14">
        <v>569.64</v>
      </c>
      <c r="L4982" t="s">
        <v>794</v>
      </c>
      <c r="M4982" s="23">
        <f t="shared" si="78"/>
        <v>2026</v>
      </c>
    </row>
    <row r="4983" spans="1:13" ht="12.75" hidden="1" customHeight="1">
      <c r="A4983" t="s">
        <v>1210</v>
      </c>
      <c r="B4983" t="s">
        <v>22</v>
      </c>
      <c r="C4983" t="s">
        <v>717</v>
      </c>
      <c r="D4983" t="s">
        <v>1429</v>
      </c>
      <c r="E4983" s="17">
        <v>46134</v>
      </c>
      <c r="F4983" s="17">
        <v>46134</v>
      </c>
      <c r="G4983" s="13">
        <v>10346.719999999999</v>
      </c>
      <c r="H4983" s="14">
        <v>0</v>
      </c>
      <c r="I4983" s="14">
        <v>0</v>
      </c>
      <c r="J4983" s="14">
        <v>0</v>
      </c>
      <c r="K4983" s="14">
        <v>10346.719999999999</v>
      </c>
      <c r="L4983" t="s">
        <v>794</v>
      </c>
      <c r="M4983" s="23">
        <f t="shared" si="78"/>
        <v>2026</v>
      </c>
    </row>
    <row r="4984" spans="1:13" ht="12.75" hidden="1" customHeight="1">
      <c r="A4984" t="s">
        <v>878</v>
      </c>
      <c r="B4984" t="s">
        <v>32</v>
      </c>
      <c r="C4984" t="s">
        <v>141</v>
      </c>
      <c r="D4984" t="s">
        <v>1429</v>
      </c>
      <c r="E4984" s="17">
        <v>46135</v>
      </c>
      <c r="F4984" s="17">
        <v>46135</v>
      </c>
      <c r="G4984" s="13">
        <v>200</v>
      </c>
      <c r="H4984" s="14">
        <v>0</v>
      </c>
      <c r="I4984" s="14">
        <v>0</v>
      </c>
      <c r="J4984" s="14">
        <v>0</v>
      </c>
      <c r="K4984" s="14">
        <v>200</v>
      </c>
      <c r="L4984" t="s">
        <v>794</v>
      </c>
      <c r="M4984" s="23">
        <f t="shared" si="78"/>
        <v>2026</v>
      </c>
    </row>
    <row r="4985" spans="1:13" ht="12.75" hidden="1" customHeight="1">
      <c r="A4985" t="s">
        <v>948</v>
      </c>
      <c r="B4985" t="s">
        <v>89</v>
      </c>
      <c r="C4985" t="s">
        <v>725</v>
      </c>
      <c r="D4985" t="s">
        <v>1429</v>
      </c>
      <c r="E4985" s="17">
        <v>46134</v>
      </c>
      <c r="F4985" s="17">
        <v>46135</v>
      </c>
      <c r="G4985" s="13">
        <v>630</v>
      </c>
      <c r="H4985" s="14">
        <v>0</v>
      </c>
      <c r="I4985" s="14">
        <v>0</v>
      </c>
      <c r="J4985" s="14">
        <v>0</v>
      </c>
      <c r="K4985" s="14">
        <v>630</v>
      </c>
      <c r="L4985" t="s">
        <v>794</v>
      </c>
      <c r="M4985" s="23">
        <f t="shared" si="78"/>
        <v>2026</v>
      </c>
    </row>
    <row r="4986" spans="1:13" ht="12.75" hidden="1" customHeight="1">
      <c r="A4986" t="s">
        <v>888</v>
      </c>
      <c r="B4986" t="s">
        <v>16</v>
      </c>
      <c r="C4986" t="s">
        <v>713</v>
      </c>
      <c r="D4986" t="s">
        <v>1429</v>
      </c>
      <c r="E4986" s="17">
        <v>46135</v>
      </c>
      <c r="F4986" s="17">
        <v>46135</v>
      </c>
      <c r="G4986" s="13">
        <v>2407.48</v>
      </c>
      <c r="H4986" s="14">
        <v>0</v>
      </c>
      <c r="I4986" s="14">
        <v>0</v>
      </c>
      <c r="J4986" s="14">
        <v>0</v>
      </c>
      <c r="K4986" s="14">
        <v>2407.48</v>
      </c>
      <c r="L4986" t="s">
        <v>794</v>
      </c>
      <c r="M4986" s="23">
        <f t="shared" si="78"/>
        <v>2026</v>
      </c>
    </row>
    <row r="4987" spans="1:13" ht="12.75" hidden="1" customHeight="1">
      <c r="A4987" t="s">
        <v>879</v>
      </c>
      <c r="B4987" t="s">
        <v>23</v>
      </c>
      <c r="C4987" t="s">
        <v>713</v>
      </c>
      <c r="D4987" t="s">
        <v>1429</v>
      </c>
      <c r="E4987" s="17">
        <v>46132</v>
      </c>
      <c r="F4987" s="17">
        <v>46135</v>
      </c>
      <c r="G4987" s="13">
        <v>291.09000000000003</v>
      </c>
      <c r="H4987" s="14">
        <v>0</v>
      </c>
      <c r="I4987" s="14">
        <v>0</v>
      </c>
      <c r="J4987" s="14">
        <v>0</v>
      </c>
      <c r="K4987" s="14">
        <v>291.09000000000003</v>
      </c>
      <c r="L4987" t="s">
        <v>794</v>
      </c>
      <c r="M4987" s="23">
        <f t="shared" si="78"/>
        <v>2026</v>
      </c>
    </row>
    <row r="4988" spans="1:13" ht="12.75" hidden="1" customHeight="1">
      <c r="A4988" t="s">
        <v>1223</v>
      </c>
      <c r="B4988" t="s">
        <v>1224</v>
      </c>
      <c r="C4988" t="s">
        <v>725</v>
      </c>
      <c r="D4988" t="s">
        <v>1429</v>
      </c>
      <c r="E4988" s="17">
        <v>46132</v>
      </c>
      <c r="F4988" s="17">
        <v>46135</v>
      </c>
      <c r="G4988" s="13">
        <v>3192.21</v>
      </c>
      <c r="H4988" s="14">
        <v>0</v>
      </c>
      <c r="I4988" s="14">
        <v>0</v>
      </c>
      <c r="J4988" s="14">
        <v>0</v>
      </c>
      <c r="K4988" s="14">
        <v>3192.21</v>
      </c>
      <c r="L4988" t="s">
        <v>794</v>
      </c>
      <c r="M4988" s="23">
        <f t="shared" si="78"/>
        <v>2026</v>
      </c>
    </row>
    <row r="4989" spans="1:13" ht="12.75" hidden="1" customHeight="1">
      <c r="A4989" t="s">
        <v>805</v>
      </c>
      <c r="B4989" t="s">
        <v>17</v>
      </c>
      <c r="C4989" t="s">
        <v>713</v>
      </c>
      <c r="D4989" t="s">
        <v>1429</v>
      </c>
      <c r="E4989" s="17">
        <v>46134</v>
      </c>
      <c r="F4989" s="17">
        <v>46135</v>
      </c>
      <c r="G4989" s="13">
        <v>4279.5</v>
      </c>
      <c r="H4989" s="14">
        <v>0</v>
      </c>
      <c r="I4989" s="14">
        <v>0</v>
      </c>
      <c r="J4989" s="14">
        <v>0</v>
      </c>
      <c r="K4989" s="14">
        <v>4279.95</v>
      </c>
      <c r="L4989" t="s">
        <v>794</v>
      </c>
      <c r="M4989" s="23">
        <f t="shared" si="78"/>
        <v>2026</v>
      </c>
    </row>
    <row r="4990" spans="1:13" ht="12.75" hidden="1" customHeight="1">
      <c r="A4990" t="s">
        <v>1480</v>
      </c>
      <c r="B4990" t="s">
        <v>506</v>
      </c>
      <c r="C4990" t="s">
        <v>438</v>
      </c>
      <c r="D4990" t="s">
        <v>1429</v>
      </c>
      <c r="E4990" s="17">
        <v>46135</v>
      </c>
      <c r="F4990" s="17">
        <v>46135</v>
      </c>
      <c r="G4990" s="13">
        <v>75</v>
      </c>
      <c r="H4990" s="14">
        <v>0</v>
      </c>
      <c r="I4990" s="14">
        <v>0</v>
      </c>
      <c r="J4990" s="14">
        <v>0</v>
      </c>
      <c r="K4990" s="14">
        <v>75</v>
      </c>
      <c r="L4990" t="s">
        <v>794</v>
      </c>
      <c r="M4990" s="23">
        <f t="shared" si="78"/>
        <v>2026</v>
      </c>
    </row>
    <row r="4991" spans="1:13" ht="12.75" hidden="1" customHeight="1">
      <c r="A4991" t="s">
        <v>1491</v>
      </c>
      <c r="B4991" t="s">
        <v>408</v>
      </c>
      <c r="C4991" t="s">
        <v>270</v>
      </c>
      <c r="D4991" t="s">
        <v>1025</v>
      </c>
      <c r="E4991" s="17">
        <v>45771</v>
      </c>
      <c r="F4991" s="17">
        <v>46136</v>
      </c>
      <c r="G4991" s="13">
        <v>210</v>
      </c>
      <c r="H4991" s="14">
        <v>0</v>
      </c>
      <c r="I4991" s="14">
        <v>0</v>
      </c>
      <c r="J4991" s="14">
        <v>0</v>
      </c>
      <c r="K4991" s="14">
        <v>210</v>
      </c>
      <c r="L4991" t="s">
        <v>794</v>
      </c>
      <c r="M4991" s="23">
        <f t="shared" si="78"/>
        <v>2026</v>
      </c>
    </row>
    <row r="4992" spans="1:13" ht="12.75" hidden="1" customHeight="1">
      <c r="A4992" t="s">
        <v>914</v>
      </c>
      <c r="B4992" t="s">
        <v>28</v>
      </c>
      <c r="C4992" t="s">
        <v>724</v>
      </c>
      <c r="D4992" t="s">
        <v>1429</v>
      </c>
      <c r="E4992" s="17">
        <v>46132</v>
      </c>
      <c r="F4992" s="17">
        <v>46136</v>
      </c>
      <c r="G4992" s="13">
        <v>3197.5</v>
      </c>
      <c r="H4992" s="14">
        <v>0</v>
      </c>
      <c r="I4992" s="14">
        <v>0</v>
      </c>
      <c r="J4992" s="14">
        <v>0</v>
      </c>
      <c r="K4992" s="14">
        <v>3197.5</v>
      </c>
      <c r="L4992" t="s">
        <v>794</v>
      </c>
      <c r="M4992" s="23">
        <f t="shared" si="78"/>
        <v>2026</v>
      </c>
    </row>
    <row r="4993" spans="1:13" ht="12.75" hidden="1" customHeight="1">
      <c r="A4993" t="s">
        <v>892</v>
      </c>
      <c r="B4993" t="s">
        <v>110</v>
      </c>
      <c r="C4993" t="s">
        <v>733</v>
      </c>
      <c r="D4993" t="s">
        <v>1429</v>
      </c>
      <c r="E4993" s="17">
        <v>46139</v>
      </c>
      <c r="F4993" s="17">
        <v>46139</v>
      </c>
      <c r="G4993" s="13">
        <v>280</v>
      </c>
      <c r="H4993" s="14">
        <v>0</v>
      </c>
      <c r="I4993" s="14">
        <v>0</v>
      </c>
      <c r="J4993" s="14">
        <v>0</v>
      </c>
      <c r="K4993" s="14">
        <v>280</v>
      </c>
      <c r="L4993" t="s">
        <v>794</v>
      </c>
      <c r="M4993" s="23">
        <f t="shared" si="78"/>
        <v>2026</v>
      </c>
    </row>
    <row r="4994" spans="1:13" ht="12.75" hidden="1" customHeight="1">
      <c r="A4994" t="s">
        <v>855</v>
      </c>
      <c r="B4994" t="s">
        <v>20</v>
      </c>
      <c r="C4994" t="s">
        <v>723</v>
      </c>
      <c r="D4994" t="s">
        <v>1429</v>
      </c>
      <c r="E4994" s="17">
        <v>46139</v>
      </c>
      <c r="F4994" s="17">
        <v>46139</v>
      </c>
      <c r="G4994" s="13">
        <v>195</v>
      </c>
      <c r="H4994" s="14">
        <v>0</v>
      </c>
      <c r="I4994" s="14">
        <v>0</v>
      </c>
      <c r="J4994" s="14">
        <v>0</v>
      </c>
      <c r="K4994" s="14">
        <v>195</v>
      </c>
      <c r="L4994" t="s">
        <v>794</v>
      </c>
      <c r="M4994" s="23">
        <f t="shared" si="78"/>
        <v>2026</v>
      </c>
    </row>
    <row r="4995" spans="1:13" ht="12.75" hidden="1" customHeight="1">
      <c r="A4995" t="s">
        <v>1298</v>
      </c>
      <c r="B4995" t="s">
        <v>209</v>
      </c>
      <c r="C4995" t="s">
        <v>152</v>
      </c>
      <c r="D4995" t="s">
        <v>1432</v>
      </c>
      <c r="E4995" s="17">
        <v>46160</v>
      </c>
      <c r="F4995" s="17">
        <v>46139</v>
      </c>
      <c r="G4995" s="13">
        <v>2546.14</v>
      </c>
      <c r="H4995" s="14">
        <v>0</v>
      </c>
      <c r="I4995" s="14">
        <v>0</v>
      </c>
      <c r="J4995" s="14">
        <v>0</v>
      </c>
      <c r="K4995" s="14">
        <v>2546.14</v>
      </c>
      <c r="L4995" t="s">
        <v>794</v>
      </c>
      <c r="M4995" s="23">
        <f t="shared" si="78"/>
        <v>2026</v>
      </c>
    </row>
    <row r="4996" spans="1:13" ht="12.75" hidden="1" customHeight="1">
      <c r="A4996" t="s">
        <v>1492</v>
      </c>
      <c r="B4996" t="s">
        <v>315</v>
      </c>
      <c r="C4996" t="s">
        <v>152</v>
      </c>
      <c r="D4996" t="s">
        <v>1429</v>
      </c>
      <c r="E4996" s="17">
        <v>46139</v>
      </c>
      <c r="F4996" s="17">
        <v>46139</v>
      </c>
      <c r="G4996" s="13">
        <v>101.92</v>
      </c>
      <c r="H4996" s="14">
        <v>0</v>
      </c>
      <c r="I4996" s="14">
        <v>0</v>
      </c>
      <c r="J4996" s="14">
        <v>0</v>
      </c>
      <c r="K4996" s="14">
        <v>101.92</v>
      </c>
      <c r="L4996" t="s">
        <v>794</v>
      </c>
      <c r="M4996" s="23">
        <f t="shared" si="78"/>
        <v>2026</v>
      </c>
    </row>
    <row r="4997" spans="1:13" ht="12.75" hidden="1" customHeight="1">
      <c r="A4997" t="s">
        <v>797</v>
      </c>
      <c r="B4997" t="s">
        <v>25</v>
      </c>
      <c r="C4997" t="s">
        <v>206</v>
      </c>
      <c r="D4997" t="s">
        <v>1429</v>
      </c>
      <c r="E4997" s="17">
        <v>46139</v>
      </c>
      <c r="F4997" s="17">
        <v>46139</v>
      </c>
      <c r="G4997" s="13">
        <v>455.32</v>
      </c>
      <c r="H4997" s="14">
        <v>0</v>
      </c>
      <c r="I4997" s="14">
        <v>0</v>
      </c>
      <c r="J4997" s="14">
        <v>0</v>
      </c>
      <c r="K4997" s="14">
        <v>455.32</v>
      </c>
      <c r="L4997" t="s">
        <v>794</v>
      </c>
      <c r="M4997" s="23">
        <f t="shared" si="78"/>
        <v>2026</v>
      </c>
    </row>
    <row r="4998" spans="1:13" ht="12.75" hidden="1" customHeight="1">
      <c r="A4998" t="s">
        <v>792</v>
      </c>
      <c r="B4998" t="s">
        <v>35</v>
      </c>
      <c r="C4998" t="s">
        <v>206</v>
      </c>
      <c r="D4998" t="s">
        <v>1429</v>
      </c>
      <c r="E4998" s="17">
        <v>46139</v>
      </c>
      <c r="F4998" s="17">
        <v>46139</v>
      </c>
      <c r="G4998" s="13">
        <v>100</v>
      </c>
      <c r="H4998" s="14">
        <v>0</v>
      </c>
      <c r="I4998" s="14">
        <v>0</v>
      </c>
      <c r="J4998" s="14">
        <v>0</v>
      </c>
      <c r="K4998" s="14">
        <v>100</v>
      </c>
      <c r="L4998" t="s">
        <v>794</v>
      </c>
      <c r="M4998" s="23">
        <f t="shared" si="78"/>
        <v>2026</v>
      </c>
    </row>
    <row r="4999" spans="1:13" ht="12.75" hidden="1" customHeight="1">
      <c r="A4999" t="s">
        <v>801</v>
      </c>
      <c r="B4999" t="s">
        <v>13</v>
      </c>
      <c r="C4999" t="s">
        <v>718</v>
      </c>
      <c r="D4999" t="s">
        <v>1429</v>
      </c>
      <c r="E4999" s="17">
        <v>46138</v>
      </c>
      <c r="F4999" s="17">
        <v>46139</v>
      </c>
      <c r="G4999" s="13">
        <v>10213.050000000001</v>
      </c>
      <c r="H4999" s="14">
        <v>0</v>
      </c>
      <c r="I4999" s="14">
        <v>0</v>
      </c>
      <c r="J4999" s="14">
        <v>0</v>
      </c>
      <c r="K4999" s="14">
        <v>10213.050000000001</v>
      </c>
      <c r="L4999" t="s">
        <v>794</v>
      </c>
      <c r="M4999" s="23">
        <f t="shared" si="78"/>
        <v>2026</v>
      </c>
    </row>
    <row r="5000" spans="1:13" ht="12.75" hidden="1" customHeight="1">
      <c r="A5000" t="s">
        <v>801</v>
      </c>
      <c r="B5000" t="s">
        <v>13</v>
      </c>
      <c r="C5000" t="s">
        <v>717</v>
      </c>
      <c r="D5000" t="s">
        <v>1429</v>
      </c>
      <c r="E5000" s="17">
        <v>46139</v>
      </c>
      <c r="F5000" s="17">
        <v>46139</v>
      </c>
      <c r="G5000" s="13">
        <v>326.22000000000003</v>
      </c>
      <c r="H5000" s="14">
        <v>0</v>
      </c>
      <c r="I5000" s="14">
        <v>0</v>
      </c>
      <c r="J5000" s="14">
        <v>0</v>
      </c>
      <c r="K5000" s="14">
        <v>326.22000000000003</v>
      </c>
      <c r="L5000" t="s">
        <v>794</v>
      </c>
      <c r="M5000" s="23">
        <f t="shared" si="78"/>
        <v>2026</v>
      </c>
    </row>
    <row r="5001" spans="1:13" ht="12.75" hidden="1" customHeight="1">
      <c r="A5001" t="s">
        <v>801</v>
      </c>
      <c r="B5001" t="s">
        <v>13</v>
      </c>
      <c r="C5001" t="s">
        <v>726</v>
      </c>
      <c r="D5001" t="s">
        <v>1429</v>
      </c>
      <c r="E5001" s="17">
        <v>46139</v>
      </c>
      <c r="F5001" s="17">
        <v>46139</v>
      </c>
      <c r="G5001" s="13">
        <v>6.57</v>
      </c>
      <c r="H5001" s="14">
        <v>0</v>
      </c>
      <c r="I5001" s="14">
        <v>0</v>
      </c>
      <c r="J5001" s="14">
        <v>0</v>
      </c>
      <c r="K5001" s="14">
        <v>6.57</v>
      </c>
      <c r="L5001" t="s">
        <v>794</v>
      </c>
      <c r="M5001" s="23">
        <f t="shared" si="78"/>
        <v>2026</v>
      </c>
    </row>
    <row r="5002" spans="1:13" ht="12.75" hidden="1" customHeight="1">
      <c r="A5002" t="s">
        <v>935</v>
      </c>
      <c r="B5002" t="s">
        <v>158</v>
      </c>
      <c r="C5002" t="s">
        <v>741</v>
      </c>
      <c r="D5002" t="s">
        <v>1429</v>
      </c>
      <c r="E5002" s="17">
        <v>46139</v>
      </c>
      <c r="F5002" s="17">
        <v>46140</v>
      </c>
      <c r="G5002" s="13">
        <v>377.43</v>
      </c>
      <c r="H5002" s="14">
        <v>0</v>
      </c>
      <c r="I5002" s="14">
        <v>0</v>
      </c>
      <c r="J5002" s="14">
        <v>0</v>
      </c>
      <c r="K5002" s="14">
        <v>377.43</v>
      </c>
      <c r="L5002" t="s">
        <v>794</v>
      </c>
      <c r="M5002" s="23">
        <f t="shared" si="78"/>
        <v>2026</v>
      </c>
    </row>
    <row r="5003" spans="1:13" ht="12.75" hidden="1" customHeight="1">
      <c r="A5003" t="s">
        <v>1305</v>
      </c>
      <c r="B5003" t="s">
        <v>96</v>
      </c>
      <c r="C5003" t="s">
        <v>737</v>
      </c>
      <c r="D5003" t="s">
        <v>1429</v>
      </c>
      <c r="E5003" s="17">
        <v>46137</v>
      </c>
      <c r="F5003" s="17">
        <v>46140</v>
      </c>
      <c r="G5003" s="13">
        <v>1536.68</v>
      </c>
      <c r="H5003" s="14">
        <v>0</v>
      </c>
      <c r="I5003" s="14">
        <v>0</v>
      </c>
      <c r="J5003" s="14">
        <v>0</v>
      </c>
      <c r="K5003" s="14">
        <v>1536.68</v>
      </c>
      <c r="L5003" t="s">
        <v>794</v>
      </c>
      <c r="M5003" s="23">
        <f t="shared" si="78"/>
        <v>2026</v>
      </c>
    </row>
    <row r="5004" spans="1:13" ht="12.75" hidden="1" customHeight="1">
      <c r="A5004" t="s">
        <v>801</v>
      </c>
      <c r="B5004" t="s">
        <v>13</v>
      </c>
      <c r="C5004" t="s">
        <v>726</v>
      </c>
      <c r="D5004" t="s">
        <v>1429</v>
      </c>
      <c r="E5004" s="17">
        <v>46140</v>
      </c>
      <c r="F5004" s="17">
        <v>46140</v>
      </c>
      <c r="G5004" s="13">
        <v>4.38</v>
      </c>
      <c r="H5004" s="14">
        <v>0</v>
      </c>
      <c r="I5004" s="14">
        <v>0</v>
      </c>
      <c r="J5004" s="14">
        <v>0</v>
      </c>
      <c r="K5004" s="14">
        <v>4.38</v>
      </c>
      <c r="L5004" t="s">
        <v>794</v>
      </c>
      <c r="M5004" s="23">
        <f t="shared" si="78"/>
        <v>2026</v>
      </c>
    </row>
    <row r="5005" spans="1:13" ht="12.75" hidden="1" customHeight="1">
      <c r="A5005" t="s">
        <v>801</v>
      </c>
      <c r="B5005" t="s">
        <v>13</v>
      </c>
      <c r="C5005" t="s">
        <v>726</v>
      </c>
      <c r="D5005" t="s">
        <v>1429</v>
      </c>
      <c r="E5005" s="17">
        <v>46141</v>
      </c>
      <c r="F5005" s="17">
        <v>46141</v>
      </c>
      <c r="G5005" s="13">
        <v>4.38</v>
      </c>
      <c r="H5005" s="14">
        <v>0</v>
      </c>
      <c r="I5005" s="14">
        <v>0</v>
      </c>
      <c r="J5005" s="14">
        <v>0</v>
      </c>
      <c r="K5005" s="14">
        <v>4.38</v>
      </c>
      <c r="L5005" t="s">
        <v>794</v>
      </c>
      <c r="M5005" s="23">
        <f t="shared" si="78"/>
        <v>2026</v>
      </c>
    </row>
    <row r="5006" spans="1:13" ht="12.75" hidden="1" customHeight="1">
      <c r="A5006" t="s">
        <v>801</v>
      </c>
      <c r="B5006" t="s">
        <v>13</v>
      </c>
      <c r="C5006" t="s">
        <v>726</v>
      </c>
      <c r="D5006" t="s">
        <v>1432</v>
      </c>
      <c r="E5006" s="17">
        <v>46142</v>
      </c>
      <c r="F5006" s="17">
        <v>46142</v>
      </c>
      <c r="G5006" s="13">
        <v>15.33</v>
      </c>
      <c r="H5006" s="14">
        <v>0</v>
      </c>
      <c r="I5006" s="14">
        <v>0</v>
      </c>
      <c r="J5006" s="14">
        <v>0</v>
      </c>
      <c r="K5006" s="14">
        <v>15.33</v>
      </c>
      <c r="L5006" t="s">
        <v>794</v>
      </c>
      <c r="M5006" s="23">
        <f t="shared" si="78"/>
        <v>2026</v>
      </c>
    </row>
    <row r="5007" spans="1:13" ht="12.75" hidden="1" customHeight="1">
      <c r="A5007" t="s">
        <v>905</v>
      </c>
      <c r="B5007" t="s">
        <v>15</v>
      </c>
      <c r="C5007" t="s">
        <v>715</v>
      </c>
      <c r="D5007" t="s">
        <v>1429</v>
      </c>
      <c r="E5007" s="17">
        <v>46142</v>
      </c>
      <c r="F5007" s="17">
        <v>46142</v>
      </c>
      <c r="G5007" s="13">
        <v>752.65</v>
      </c>
      <c r="H5007" s="14">
        <v>0</v>
      </c>
      <c r="I5007" s="14">
        <v>0</v>
      </c>
      <c r="J5007" s="14">
        <v>0</v>
      </c>
      <c r="K5007" s="14">
        <v>752.65</v>
      </c>
      <c r="L5007" t="s">
        <v>794</v>
      </c>
      <c r="M5007" s="23">
        <f t="shared" si="78"/>
        <v>2026</v>
      </c>
    </row>
    <row r="5008" spans="1:13" ht="12.75" hidden="1" customHeight="1">
      <c r="A5008" t="s">
        <v>952</v>
      </c>
      <c r="B5008" t="s">
        <v>27</v>
      </c>
      <c r="C5008" t="s">
        <v>483</v>
      </c>
      <c r="D5008" t="s">
        <v>1429</v>
      </c>
      <c r="E5008" s="17">
        <v>46114</v>
      </c>
      <c r="F5008" s="17">
        <v>46114</v>
      </c>
      <c r="G5008" s="13">
        <v>39</v>
      </c>
      <c r="H5008" s="14">
        <v>0</v>
      </c>
      <c r="I5008" s="14">
        <v>0</v>
      </c>
      <c r="J5008" s="14">
        <v>0</v>
      </c>
      <c r="K5008" s="14">
        <v>39</v>
      </c>
      <c r="L5008" t="s">
        <v>794</v>
      </c>
      <c r="M5008" s="23">
        <f t="shared" si="78"/>
        <v>2026</v>
      </c>
    </row>
    <row r="5009" spans="1:13" ht="12.75" hidden="1" customHeight="1">
      <c r="A5009" t="s">
        <v>1268</v>
      </c>
      <c r="B5009" t="s">
        <v>511</v>
      </c>
      <c r="C5009" t="s">
        <v>483</v>
      </c>
      <c r="D5009" t="s">
        <v>1429</v>
      </c>
      <c r="E5009" s="17">
        <v>46114</v>
      </c>
      <c r="F5009" s="17">
        <v>46114</v>
      </c>
      <c r="G5009" s="13">
        <v>28.400000000000002</v>
      </c>
      <c r="H5009" s="14">
        <v>0</v>
      </c>
      <c r="I5009" s="14">
        <v>0</v>
      </c>
      <c r="J5009" s="14">
        <v>0</v>
      </c>
      <c r="K5009" s="14">
        <v>28.400000000000002</v>
      </c>
      <c r="L5009" t="s">
        <v>794</v>
      </c>
      <c r="M5009" s="23">
        <f t="shared" si="78"/>
        <v>2026</v>
      </c>
    </row>
    <row r="5010" spans="1:13" ht="12.75" hidden="1" customHeight="1">
      <c r="A5010" t="s">
        <v>1493</v>
      </c>
      <c r="B5010" t="s">
        <v>712</v>
      </c>
      <c r="C5010" t="s">
        <v>713</v>
      </c>
      <c r="D5010" t="s">
        <v>1429</v>
      </c>
      <c r="E5010" s="17">
        <v>46116</v>
      </c>
      <c r="F5010" s="17">
        <v>46116</v>
      </c>
      <c r="G5010" s="13">
        <v>0</v>
      </c>
      <c r="H5010" s="14">
        <v>0</v>
      </c>
      <c r="I5010" s="14">
        <v>0</v>
      </c>
      <c r="J5010" s="14">
        <v>0</v>
      </c>
      <c r="K5010" s="14">
        <v>0</v>
      </c>
      <c r="L5010" t="s">
        <v>794</v>
      </c>
      <c r="M5010" s="23">
        <f t="shared" si="78"/>
        <v>2026</v>
      </c>
    </row>
    <row r="5011" spans="1:13" ht="12.75" hidden="1" customHeight="1">
      <c r="A5011" t="s">
        <v>1494</v>
      </c>
      <c r="B5011" t="s">
        <v>600</v>
      </c>
      <c r="C5011" t="s">
        <v>774</v>
      </c>
      <c r="D5011" t="s">
        <v>1429</v>
      </c>
      <c r="E5011" s="17">
        <v>46120</v>
      </c>
      <c r="F5011" s="17">
        <v>46120</v>
      </c>
      <c r="G5011" s="13">
        <v>50</v>
      </c>
      <c r="H5011" s="14">
        <v>0</v>
      </c>
      <c r="I5011" s="14">
        <v>0</v>
      </c>
      <c r="J5011" s="14">
        <v>0</v>
      </c>
      <c r="K5011" s="14">
        <v>50</v>
      </c>
      <c r="L5011" t="s">
        <v>794</v>
      </c>
      <c r="M5011" s="23">
        <f t="shared" si="78"/>
        <v>2026</v>
      </c>
    </row>
    <row r="5012" spans="1:13" ht="12.75" hidden="1" customHeight="1">
      <c r="A5012" t="s">
        <v>864</v>
      </c>
      <c r="B5012" t="s">
        <v>918</v>
      </c>
      <c r="C5012" t="s">
        <v>141</v>
      </c>
      <c r="D5012" t="s">
        <v>1429</v>
      </c>
      <c r="E5012" s="17">
        <v>46125</v>
      </c>
      <c r="F5012" s="17">
        <v>46125</v>
      </c>
      <c r="G5012" s="13">
        <v>2450</v>
      </c>
      <c r="H5012" s="14">
        <v>0</v>
      </c>
      <c r="I5012" s="14">
        <v>0</v>
      </c>
      <c r="J5012" s="14">
        <v>0</v>
      </c>
      <c r="K5012" s="14">
        <v>2450</v>
      </c>
      <c r="L5012" t="s">
        <v>794</v>
      </c>
      <c r="M5012" s="23">
        <f t="shared" si="78"/>
        <v>2026</v>
      </c>
    </row>
    <row r="5013" spans="1:13" ht="12.75" hidden="1" customHeight="1">
      <c r="A5013" t="s">
        <v>1337</v>
      </c>
      <c r="B5013" t="s">
        <v>393</v>
      </c>
      <c r="C5013" t="s">
        <v>141</v>
      </c>
      <c r="D5013" t="s">
        <v>1429</v>
      </c>
      <c r="E5013" s="17">
        <v>46125</v>
      </c>
      <c r="F5013" s="17">
        <v>46125</v>
      </c>
      <c r="G5013" s="13">
        <v>100</v>
      </c>
      <c r="H5013" s="14">
        <v>0</v>
      </c>
      <c r="I5013" s="14">
        <v>0</v>
      </c>
      <c r="J5013" s="14">
        <v>0</v>
      </c>
      <c r="K5013" s="14">
        <v>100</v>
      </c>
      <c r="L5013" t="s">
        <v>794</v>
      </c>
      <c r="M5013" s="23">
        <f t="shared" si="78"/>
        <v>2026</v>
      </c>
    </row>
    <row r="5014" spans="1:13" ht="12.75" hidden="1" customHeight="1">
      <c r="A5014" t="s">
        <v>1495</v>
      </c>
      <c r="B5014" t="s">
        <v>622</v>
      </c>
      <c r="C5014" t="s">
        <v>141</v>
      </c>
      <c r="D5014" t="s">
        <v>1429</v>
      </c>
      <c r="E5014" s="6">
        <v>46129</v>
      </c>
      <c r="F5014" s="6">
        <v>46129</v>
      </c>
      <c r="G5014" s="39">
        <v>50</v>
      </c>
      <c r="H5014" s="40">
        <v>0</v>
      </c>
      <c r="I5014" s="40">
        <v>0</v>
      </c>
      <c r="J5014" s="40">
        <v>0</v>
      </c>
      <c r="K5014" s="40">
        <v>50</v>
      </c>
      <c r="L5014" t="s">
        <v>794</v>
      </c>
      <c r="M5014" s="23">
        <f t="shared" si="78"/>
        <v>2026</v>
      </c>
    </row>
    <row r="5015" spans="1:13" ht="12.75" hidden="1" customHeight="1">
      <c r="A5015" t="s">
        <v>1013</v>
      </c>
      <c r="B5015" t="s">
        <v>526</v>
      </c>
      <c r="C5015" t="s">
        <v>140</v>
      </c>
      <c r="D5015" t="s">
        <v>1429</v>
      </c>
      <c r="E5015" s="6">
        <v>46134</v>
      </c>
      <c r="F5015" s="6">
        <v>46134</v>
      </c>
      <c r="G5015" s="39">
        <v>100</v>
      </c>
      <c r="H5015" s="40">
        <v>0</v>
      </c>
      <c r="I5015" s="40">
        <v>0</v>
      </c>
      <c r="J5015" s="40">
        <v>0</v>
      </c>
      <c r="K5015" s="40">
        <v>100</v>
      </c>
      <c r="L5015" t="s">
        <v>794</v>
      </c>
      <c r="M5015" s="23">
        <f t="shared" si="78"/>
        <v>2026</v>
      </c>
    </row>
    <row r="5016" spans="1:13" ht="12.75" customHeight="1">
      <c r="A5016" t="s">
        <v>864</v>
      </c>
      <c r="B5016" t="s">
        <v>918</v>
      </c>
      <c r="C5016" t="s">
        <v>141</v>
      </c>
      <c r="D5016" t="s">
        <v>1432</v>
      </c>
      <c r="E5016" s="17">
        <v>46153</v>
      </c>
      <c r="F5016" s="17">
        <v>46153</v>
      </c>
      <c r="G5016" s="13">
        <v>1700</v>
      </c>
      <c r="H5016" s="14">
        <v>0</v>
      </c>
      <c r="I5016" s="14">
        <v>0</v>
      </c>
      <c r="J5016" s="14">
        <v>0</v>
      </c>
      <c r="K5016" s="14">
        <v>1700</v>
      </c>
      <c r="L5016" t="s">
        <v>794</v>
      </c>
      <c r="M5016" s="23">
        <f t="shared" si="78"/>
        <v>2026</v>
      </c>
    </row>
    <row r="5017" spans="1:13" ht="12.75" customHeight="1">
      <c r="A5017" t="s">
        <v>858</v>
      </c>
      <c r="B5017" t="s">
        <v>47</v>
      </c>
      <c r="C5017" t="s">
        <v>141</v>
      </c>
      <c r="D5017" t="s">
        <v>1432</v>
      </c>
      <c r="E5017" s="17">
        <v>46154</v>
      </c>
      <c r="F5017" s="17">
        <v>46154</v>
      </c>
      <c r="G5017" s="13">
        <v>150</v>
      </c>
      <c r="H5017" s="14">
        <v>0</v>
      </c>
      <c r="I5017" s="14">
        <v>0</v>
      </c>
      <c r="J5017" s="14">
        <v>0</v>
      </c>
      <c r="K5017" s="14">
        <v>150</v>
      </c>
      <c r="L5017" t="s">
        <v>794</v>
      </c>
      <c r="M5017" s="23">
        <f t="shared" si="78"/>
        <v>2026</v>
      </c>
    </row>
    <row r="5018" spans="1:13" ht="12.75" customHeight="1">
      <c r="A5018" t="s">
        <v>1030</v>
      </c>
      <c r="B5018" t="s">
        <v>1031</v>
      </c>
      <c r="C5018" t="s">
        <v>141</v>
      </c>
      <c r="D5018" t="s">
        <v>1432</v>
      </c>
      <c r="E5018" s="17">
        <v>46154</v>
      </c>
      <c r="F5018" s="17">
        <v>46154</v>
      </c>
      <c r="G5018" s="13">
        <v>150</v>
      </c>
      <c r="H5018" s="14">
        <v>0</v>
      </c>
      <c r="I5018" s="14">
        <v>0</v>
      </c>
      <c r="J5018" s="14">
        <v>0</v>
      </c>
      <c r="K5018" s="14">
        <v>150</v>
      </c>
      <c r="L5018" t="s">
        <v>794</v>
      </c>
      <c r="M5018" s="23">
        <f t="shared" si="78"/>
        <v>2026</v>
      </c>
    </row>
    <row r="5019" spans="1:13" ht="12.75" customHeight="1">
      <c r="A5019" t="s">
        <v>801</v>
      </c>
      <c r="B5019" t="s">
        <v>68</v>
      </c>
      <c r="C5019" t="s">
        <v>141</v>
      </c>
      <c r="D5019" t="s">
        <v>1432</v>
      </c>
      <c r="E5019" s="17">
        <v>46154</v>
      </c>
      <c r="F5019" s="17">
        <v>46154</v>
      </c>
      <c r="G5019" s="13">
        <v>350</v>
      </c>
      <c r="H5019" s="14">
        <v>0</v>
      </c>
      <c r="I5019" s="14">
        <v>0</v>
      </c>
      <c r="J5019" s="14">
        <v>0</v>
      </c>
      <c r="K5019" s="14">
        <v>350</v>
      </c>
      <c r="L5019" t="s">
        <v>794</v>
      </c>
      <c r="M5019" s="23">
        <f t="shared" ref="M5019:M5082" si="79">YEAR(F5019)</f>
        <v>2026</v>
      </c>
    </row>
    <row r="5020" spans="1:13" ht="12.75" customHeight="1">
      <c r="A5020" t="s">
        <v>801</v>
      </c>
      <c r="B5020" t="s">
        <v>68</v>
      </c>
      <c r="C5020" t="s">
        <v>137</v>
      </c>
      <c r="D5020" t="s">
        <v>1432</v>
      </c>
      <c r="E5020" s="17">
        <v>46154</v>
      </c>
      <c r="F5020" s="17">
        <v>46154</v>
      </c>
      <c r="G5020" s="13">
        <v>242.88</v>
      </c>
      <c r="H5020" s="14">
        <v>0</v>
      </c>
      <c r="I5020" s="14">
        <v>0</v>
      </c>
      <c r="J5020" s="14">
        <v>0</v>
      </c>
      <c r="K5020" s="14">
        <v>242.88</v>
      </c>
      <c r="L5020" t="s">
        <v>794</v>
      </c>
      <c r="M5020" s="23">
        <f t="shared" si="79"/>
        <v>2026</v>
      </c>
    </row>
    <row r="5021" spans="1:13" ht="12.75" customHeight="1">
      <c r="A5021" t="s">
        <v>827</v>
      </c>
      <c r="B5021" t="s">
        <v>53</v>
      </c>
      <c r="C5021" t="s">
        <v>141</v>
      </c>
      <c r="D5021" t="s">
        <v>1432</v>
      </c>
      <c r="E5021" s="17">
        <v>46157</v>
      </c>
      <c r="F5021" s="17">
        <v>46157</v>
      </c>
      <c r="G5021" s="13">
        <v>0</v>
      </c>
      <c r="H5021" s="14">
        <v>0</v>
      </c>
      <c r="I5021" s="14">
        <v>0</v>
      </c>
      <c r="J5021" s="14">
        <v>0</v>
      </c>
      <c r="K5021" s="14">
        <v>50</v>
      </c>
      <c r="L5021" t="s">
        <v>794</v>
      </c>
      <c r="M5021" s="23">
        <f t="shared" si="79"/>
        <v>2026</v>
      </c>
    </row>
    <row r="5022" spans="1:13" ht="12.75" customHeight="1">
      <c r="A5022" t="s">
        <v>950</v>
      </c>
      <c r="B5022" t="s">
        <v>951</v>
      </c>
      <c r="C5022" t="s">
        <v>141</v>
      </c>
      <c r="D5022" t="s">
        <v>1432</v>
      </c>
      <c r="E5022" s="17">
        <v>46157</v>
      </c>
      <c r="F5022" s="17">
        <v>46157</v>
      </c>
      <c r="G5022" s="13">
        <v>50</v>
      </c>
      <c r="H5022" s="14">
        <v>0</v>
      </c>
      <c r="I5022" s="14">
        <v>0</v>
      </c>
      <c r="J5022" s="14">
        <v>0</v>
      </c>
      <c r="K5022" s="14">
        <v>50</v>
      </c>
      <c r="L5022" t="s">
        <v>794</v>
      </c>
      <c r="M5022" s="23">
        <f t="shared" si="79"/>
        <v>2026</v>
      </c>
    </row>
    <row r="5023" spans="1:13" ht="12.75" customHeight="1">
      <c r="A5023" t="s">
        <v>950</v>
      </c>
      <c r="B5023" t="s">
        <v>951</v>
      </c>
      <c r="C5023" t="s">
        <v>141</v>
      </c>
      <c r="D5023" t="s">
        <v>1432</v>
      </c>
      <c r="E5023" s="17">
        <v>46157</v>
      </c>
      <c r="F5023" s="17">
        <v>46157</v>
      </c>
      <c r="G5023" s="13">
        <v>120</v>
      </c>
      <c r="H5023" s="14">
        <v>0</v>
      </c>
      <c r="I5023" s="14">
        <v>0</v>
      </c>
      <c r="J5023" s="14">
        <v>0</v>
      </c>
      <c r="K5023" s="14">
        <v>120</v>
      </c>
      <c r="L5023" t="s">
        <v>794</v>
      </c>
      <c r="M5023" s="23">
        <f t="shared" si="79"/>
        <v>2026</v>
      </c>
    </row>
    <row r="5024" spans="1:13" ht="12.75" customHeight="1">
      <c r="A5024" t="s">
        <v>1337</v>
      </c>
      <c r="B5024" t="s">
        <v>393</v>
      </c>
      <c r="C5024" t="s">
        <v>141</v>
      </c>
      <c r="D5024" t="s">
        <v>1432</v>
      </c>
      <c r="E5024" s="17">
        <v>46157</v>
      </c>
      <c r="F5024" s="17">
        <v>46157</v>
      </c>
      <c r="G5024" s="13">
        <v>50</v>
      </c>
      <c r="H5024" s="14">
        <v>0</v>
      </c>
      <c r="I5024" s="14">
        <v>0</v>
      </c>
      <c r="J5024" s="14">
        <v>0</v>
      </c>
      <c r="K5024" s="14">
        <v>50</v>
      </c>
      <c r="L5024" t="s">
        <v>794</v>
      </c>
      <c r="M5024" s="23">
        <f t="shared" si="79"/>
        <v>2026</v>
      </c>
    </row>
    <row r="5025" spans="1:13" ht="12.75" customHeight="1">
      <c r="A5025" t="s">
        <v>894</v>
      </c>
      <c r="B5025" t="s">
        <v>443</v>
      </c>
      <c r="C5025" t="s">
        <v>558</v>
      </c>
      <c r="D5025" t="s">
        <v>1432</v>
      </c>
      <c r="E5025" s="17">
        <v>46157</v>
      </c>
      <c r="F5025" s="17">
        <v>46157</v>
      </c>
      <c r="G5025" s="13">
        <v>61.47</v>
      </c>
      <c r="H5025" s="14">
        <v>0</v>
      </c>
      <c r="I5025" s="14">
        <v>0</v>
      </c>
      <c r="J5025" s="14">
        <v>0</v>
      </c>
      <c r="K5025" s="14">
        <v>61.47</v>
      </c>
      <c r="L5025" t="s">
        <v>794</v>
      </c>
      <c r="M5025" s="23">
        <f t="shared" si="79"/>
        <v>2026</v>
      </c>
    </row>
    <row r="5026" spans="1:13" ht="12.75" customHeight="1">
      <c r="A5026" t="s">
        <v>1035</v>
      </c>
      <c r="B5026" t="s">
        <v>184</v>
      </c>
      <c r="C5026" t="s">
        <v>646</v>
      </c>
      <c r="D5026" t="s">
        <v>1432</v>
      </c>
      <c r="E5026" s="17">
        <v>46158</v>
      </c>
      <c r="F5026" s="17">
        <v>46158</v>
      </c>
      <c r="G5026" s="13">
        <v>415.19</v>
      </c>
      <c r="H5026" s="14">
        <v>0</v>
      </c>
      <c r="I5026" s="14">
        <v>0</v>
      </c>
      <c r="J5026" s="14">
        <v>0</v>
      </c>
      <c r="K5026" s="14">
        <v>415.19</v>
      </c>
      <c r="L5026" t="s">
        <v>794</v>
      </c>
      <c r="M5026" s="23">
        <f t="shared" si="79"/>
        <v>2026</v>
      </c>
    </row>
    <row r="5027" spans="1:13" ht="12.75" customHeight="1">
      <c r="A5027" t="s">
        <v>1012</v>
      </c>
      <c r="B5027" t="s">
        <v>59</v>
      </c>
      <c r="C5027" t="s">
        <v>141</v>
      </c>
      <c r="D5027" t="s">
        <v>1432</v>
      </c>
      <c r="E5027" s="17">
        <v>46160</v>
      </c>
      <c r="F5027" s="17">
        <v>46160</v>
      </c>
      <c r="G5027" s="13">
        <v>60</v>
      </c>
      <c r="H5027" s="14">
        <v>0</v>
      </c>
      <c r="I5027" s="14">
        <v>0</v>
      </c>
      <c r="J5027" s="14">
        <v>0</v>
      </c>
      <c r="K5027" s="14">
        <v>60</v>
      </c>
      <c r="L5027" t="s">
        <v>794</v>
      </c>
      <c r="M5027" s="23">
        <f t="shared" si="79"/>
        <v>2026</v>
      </c>
    </row>
    <row r="5028" spans="1:13" ht="12.75" customHeight="1">
      <c r="A5028" t="s">
        <v>1072</v>
      </c>
      <c r="B5028" t="s">
        <v>177</v>
      </c>
      <c r="C5028" t="s">
        <v>141</v>
      </c>
      <c r="D5028" t="s">
        <v>1432</v>
      </c>
      <c r="E5028" s="17">
        <v>46160</v>
      </c>
      <c r="F5028" s="17">
        <v>46160</v>
      </c>
      <c r="G5028" s="13">
        <v>40</v>
      </c>
      <c r="H5028" s="14">
        <v>0</v>
      </c>
      <c r="I5028" s="14">
        <v>0</v>
      </c>
      <c r="J5028" s="14">
        <v>0</v>
      </c>
      <c r="K5028" s="14">
        <v>40</v>
      </c>
      <c r="L5028" t="s">
        <v>794</v>
      </c>
      <c r="M5028" s="23">
        <f t="shared" si="79"/>
        <v>2026</v>
      </c>
    </row>
    <row r="5029" spans="1:13" ht="12.75" customHeight="1">
      <c r="A5029" t="s">
        <v>1496</v>
      </c>
      <c r="B5029" t="s">
        <v>597</v>
      </c>
      <c r="C5029" t="s">
        <v>141</v>
      </c>
      <c r="D5029" t="s">
        <v>1432</v>
      </c>
      <c r="E5029" s="17">
        <v>46161</v>
      </c>
      <c r="F5029" s="17">
        <v>46161</v>
      </c>
      <c r="G5029" s="13">
        <v>50</v>
      </c>
      <c r="H5029" s="14">
        <v>0</v>
      </c>
      <c r="I5029" s="14">
        <v>0</v>
      </c>
      <c r="J5029" s="14">
        <v>0</v>
      </c>
      <c r="K5029" s="14">
        <v>50</v>
      </c>
      <c r="L5029" t="s">
        <v>794</v>
      </c>
      <c r="M5029" s="23">
        <f t="shared" si="79"/>
        <v>2026</v>
      </c>
    </row>
    <row r="5030" spans="1:13" ht="12.75" customHeight="1">
      <c r="A5030" t="s">
        <v>1072</v>
      </c>
      <c r="B5030" t="s">
        <v>177</v>
      </c>
      <c r="C5030" t="s">
        <v>141</v>
      </c>
      <c r="D5030" t="s">
        <v>1432</v>
      </c>
      <c r="E5030" s="17">
        <v>46164</v>
      </c>
      <c r="F5030" s="17">
        <v>46164</v>
      </c>
      <c r="G5030" s="13">
        <v>180</v>
      </c>
      <c r="H5030" s="14">
        <v>0</v>
      </c>
      <c r="I5030" s="14">
        <v>0</v>
      </c>
      <c r="J5030" s="14">
        <v>0</v>
      </c>
      <c r="K5030" s="14">
        <v>180</v>
      </c>
      <c r="L5030" t="s">
        <v>794</v>
      </c>
      <c r="M5030" s="23">
        <f t="shared" si="79"/>
        <v>2026</v>
      </c>
    </row>
    <row r="5031" spans="1:13" ht="12.75" customHeight="1">
      <c r="A5031" t="s">
        <v>1007</v>
      </c>
      <c r="B5031" t="s">
        <v>232</v>
      </c>
      <c r="C5031" t="s">
        <v>141</v>
      </c>
      <c r="D5031" t="s">
        <v>1432</v>
      </c>
      <c r="E5031" s="17">
        <v>46167</v>
      </c>
      <c r="F5031" s="17">
        <v>46167</v>
      </c>
      <c r="G5031" s="13">
        <v>60</v>
      </c>
      <c r="H5031" s="14">
        <v>0</v>
      </c>
      <c r="I5031" s="14">
        <v>0</v>
      </c>
      <c r="J5031" s="14">
        <v>0</v>
      </c>
      <c r="K5031" s="14">
        <v>60</v>
      </c>
      <c r="L5031" t="s">
        <v>794</v>
      </c>
      <c r="M5031" s="23">
        <f t="shared" si="79"/>
        <v>2026</v>
      </c>
    </row>
    <row r="5032" spans="1:13" ht="12.75" customHeight="1">
      <c r="A5032" t="s">
        <v>1012</v>
      </c>
      <c r="B5032" t="s">
        <v>59</v>
      </c>
      <c r="C5032" t="s">
        <v>141</v>
      </c>
      <c r="D5032" t="s">
        <v>1432</v>
      </c>
      <c r="E5032" s="17">
        <v>46167</v>
      </c>
      <c r="F5032" s="17">
        <v>46167</v>
      </c>
      <c r="G5032" s="13">
        <v>140</v>
      </c>
      <c r="H5032" s="14">
        <v>0</v>
      </c>
      <c r="I5032" s="14">
        <v>0</v>
      </c>
      <c r="J5032" s="14">
        <v>0</v>
      </c>
      <c r="K5032" s="14">
        <v>140</v>
      </c>
      <c r="L5032" t="s">
        <v>794</v>
      </c>
      <c r="M5032" s="23">
        <f t="shared" si="79"/>
        <v>2026</v>
      </c>
    </row>
    <row r="5033" spans="1:13" ht="12.75" customHeight="1">
      <c r="A5033" t="s">
        <v>1018</v>
      </c>
      <c r="B5033" t="s">
        <v>426</v>
      </c>
      <c r="C5033" t="s">
        <v>681</v>
      </c>
      <c r="D5033" t="s">
        <v>1432</v>
      </c>
      <c r="E5033" s="17">
        <v>46167</v>
      </c>
      <c r="F5033" s="17">
        <v>46167</v>
      </c>
      <c r="G5033" s="13">
        <v>168</v>
      </c>
      <c r="H5033" s="14">
        <v>0</v>
      </c>
      <c r="I5033" s="14">
        <v>0</v>
      </c>
      <c r="J5033" s="14">
        <v>0</v>
      </c>
      <c r="K5033" s="14">
        <v>168</v>
      </c>
      <c r="L5033" t="s">
        <v>794</v>
      </c>
      <c r="M5033" s="23">
        <f t="shared" si="79"/>
        <v>2026</v>
      </c>
    </row>
    <row r="5034" spans="1:13" ht="12.75" customHeight="1">
      <c r="A5034" t="s">
        <v>1268</v>
      </c>
      <c r="B5034" t="s">
        <v>511</v>
      </c>
      <c r="C5034" t="s">
        <v>483</v>
      </c>
      <c r="D5034" t="s">
        <v>1432</v>
      </c>
      <c r="E5034" s="17">
        <v>46168</v>
      </c>
      <c r="F5034" s="17">
        <v>46168</v>
      </c>
      <c r="G5034" s="13">
        <v>42.45</v>
      </c>
      <c r="H5034" s="14">
        <v>0</v>
      </c>
      <c r="I5034" s="14">
        <v>0</v>
      </c>
      <c r="J5034" s="14">
        <v>0</v>
      </c>
      <c r="K5034" s="14">
        <v>42.45</v>
      </c>
      <c r="L5034" t="s">
        <v>794</v>
      </c>
      <c r="M5034" s="23">
        <f t="shared" si="79"/>
        <v>2026</v>
      </c>
    </row>
    <row r="5035" spans="1:13" ht="12.75" customHeight="1">
      <c r="A5035" t="s">
        <v>1032</v>
      </c>
      <c r="B5035" t="s">
        <v>328</v>
      </c>
      <c r="C5035" t="s">
        <v>483</v>
      </c>
      <c r="D5035" t="s">
        <v>1432</v>
      </c>
      <c r="E5035" s="17">
        <v>46168</v>
      </c>
      <c r="F5035" s="17">
        <v>46168</v>
      </c>
      <c r="G5035" s="13">
        <v>31.470000000000002</v>
      </c>
      <c r="H5035" s="14">
        <v>0</v>
      </c>
      <c r="I5035" s="14">
        <v>0</v>
      </c>
      <c r="J5035" s="14">
        <v>0</v>
      </c>
      <c r="K5035" s="14">
        <v>31.470000000000002</v>
      </c>
      <c r="L5035" t="s">
        <v>794</v>
      </c>
      <c r="M5035" s="23">
        <f t="shared" si="79"/>
        <v>2026</v>
      </c>
    </row>
    <row r="5036" spans="1:13" ht="12.75" customHeight="1">
      <c r="A5036" t="s">
        <v>992</v>
      </c>
      <c r="B5036" t="s">
        <v>277</v>
      </c>
      <c r="C5036" t="s">
        <v>99</v>
      </c>
      <c r="D5036" t="s">
        <v>1432</v>
      </c>
      <c r="E5036" s="17">
        <v>46146</v>
      </c>
      <c r="F5036" s="17">
        <v>46146</v>
      </c>
      <c r="G5036" s="13">
        <v>36.300000000000004</v>
      </c>
      <c r="H5036" s="14">
        <v>0</v>
      </c>
      <c r="I5036" s="14">
        <v>0</v>
      </c>
      <c r="J5036" s="14">
        <v>0</v>
      </c>
      <c r="K5036" s="14">
        <v>36.300000000000004</v>
      </c>
      <c r="L5036" t="s">
        <v>794</v>
      </c>
      <c r="M5036" s="23">
        <f t="shared" si="79"/>
        <v>2026</v>
      </c>
    </row>
    <row r="5037" spans="1:13" ht="12.75" customHeight="1">
      <c r="A5037" t="s">
        <v>883</v>
      </c>
      <c r="B5037" t="s">
        <v>325</v>
      </c>
      <c r="C5037" t="s">
        <v>99</v>
      </c>
      <c r="D5037" t="s">
        <v>1432</v>
      </c>
      <c r="E5037" s="17">
        <v>46146</v>
      </c>
      <c r="F5037" s="17">
        <v>46146</v>
      </c>
      <c r="G5037" s="13">
        <v>45.99</v>
      </c>
      <c r="H5037" s="14">
        <v>0</v>
      </c>
      <c r="I5037" s="14">
        <v>0</v>
      </c>
      <c r="J5037" s="14">
        <v>0</v>
      </c>
      <c r="K5037" s="14">
        <v>45.99</v>
      </c>
      <c r="L5037" t="s">
        <v>794</v>
      </c>
      <c r="M5037" s="23">
        <f t="shared" si="79"/>
        <v>2026</v>
      </c>
    </row>
    <row r="5038" spans="1:13" ht="12.75" customHeight="1">
      <c r="A5038" t="s">
        <v>921</v>
      </c>
      <c r="B5038" t="s">
        <v>184</v>
      </c>
      <c r="C5038" t="s">
        <v>470</v>
      </c>
      <c r="D5038" t="s">
        <v>1432</v>
      </c>
      <c r="E5038" s="17">
        <v>46146</v>
      </c>
      <c r="F5038" s="17">
        <v>46146</v>
      </c>
      <c r="G5038" s="13">
        <v>100.39</v>
      </c>
      <c r="H5038" s="14">
        <v>0</v>
      </c>
      <c r="I5038" s="14">
        <v>0</v>
      </c>
      <c r="J5038" s="14">
        <v>0</v>
      </c>
      <c r="K5038" s="14">
        <v>100.39</v>
      </c>
      <c r="L5038" t="s">
        <v>794</v>
      </c>
      <c r="M5038" s="23">
        <f t="shared" si="79"/>
        <v>2026</v>
      </c>
    </row>
    <row r="5039" spans="1:13" ht="12.75" customHeight="1">
      <c r="A5039" t="s">
        <v>818</v>
      </c>
      <c r="B5039" t="s">
        <v>30</v>
      </c>
      <c r="C5039" t="s">
        <v>141</v>
      </c>
      <c r="D5039" t="s">
        <v>1432</v>
      </c>
      <c r="E5039" s="17">
        <v>46146</v>
      </c>
      <c r="F5039" s="17">
        <v>46146</v>
      </c>
      <c r="G5039" s="13">
        <v>100</v>
      </c>
      <c r="H5039" s="14">
        <v>0</v>
      </c>
      <c r="I5039" s="14">
        <v>0</v>
      </c>
      <c r="J5039" s="14">
        <v>0</v>
      </c>
      <c r="K5039" s="14">
        <v>100</v>
      </c>
      <c r="L5039" t="s">
        <v>794</v>
      </c>
      <c r="M5039" s="23">
        <f t="shared" si="79"/>
        <v>2026</v>
      </c>
    </row>
    <row r="5040" spans="1:13" ht="12.75" customHeight="1">
      <c r="A5040" t="s">
        <v>1316</v>
      </c>
      <c r="B5040" t="s">
        <v>59</v>
      </c>
      <c r="C5040" t="s">
        <v>141</v>
      </c>
      <c r="D5040" t="s">
        <v>1432</v>
      </c>
      <c r="E5040" s="17">
        <v>46146</v>
      </c>
      <c r="F5040" s="17">
        <v>46146</v>
      </c>
      <c r="G5040" s="13">
        <v>40</v>
      </c>
      <c r="H5040" s="14">
        <v>0</v>
      </c>
      <c r="I5040" s="14">
        <v>0</v>
      </c>
      <c r="J5040" s="14">
        <v>0</v>
      </c>
      <c r="K5040" s="14">
        <v>40</v>
      </c>
      <c r="L5040" t="s">
        <v>794</v>
      </c>
      <c r="M5040" s="23">
        <f t="shared" si="79"/>
        <v>2026</v>
      </c>
    </row>
    <row r="5041" spans="1:13" ht="12.75" customHeight="1">
      <c r="A5041" t="s">
        <v>1317</v>
      </c>
      <c r="B5041" t="s">
        <v>64</v>
      </c>
      <c r="C5041" t="s">
        <v>141</v>
      </c>
      <c r="D5041" t="s">
        <v>1432</v>
      </c>
      <c r="E5041" s="17">
        <v>46146</v>
      </c>
      <c r="F5041" s="17">
        <v>46146</v>
      </c>
      <c r="G5041" s="13">
        <v>60</v>
      </c>
      <c r="H5041" s="14">
        <v>0</v>
      </c>
      <c r="I5041" s="14">
        <v>0</v>
      </c>
      <c r="J5041" s="14">
        <v>0</v>
      </c>
      <c r="K5041" s="14">
        <v>60</v>
      </c>
      <c r="L5041" t="s">
        <v>794</v>
      </c>
      <c r="M5041" s="23">
        <f t="shared" si="79"/>
        <v>2026</v>
      </c>
    </row>
    <row r="5042" spans="1:13" ht="12.75" customHeight="1">
      <c r="A5042" t="s">
        <v>1105</v>
      </c>
      <c r="B5042" t="s">
        <v>1395</v>
      </c>
      <c r="C5042" t="s">
        <v>681</v>
      </c>
      <c r="D5042" t="s">
        <v>1432</v>
      </c>
      <c r="E5042" s="17">
        <v>46146</v>
      </c>
      <c r="F5042" s="17">
        <v>46146</v>
      </c>
      <c r="G5042" s="13">
        <v>40</v>
      </c>
      <c r="H5042" s="14">
        <v>0</v>
      </c>
      <c r="I5042" s="14">
        <v>0</v>
      </c>
      <c r="J5042" s="14">
        <v>0</v>
      </c>
      <c r="K5042" s="14">
        <v>40</v>
      </c>
      <c r="L5042" t="s">
        <v>794</v>
      </c>
      <c r="M5042" s="23">
        <f t="shared" si="79"/>
        <v>2026</v>
      </c>
    </row>
    <row r="5043" spans="1:13" ht="12.75" customHeight="1">
      <c r="A5043" t="s">
        <v>981</v>
      </c>
      <c r="B5043" t="s">
        <v>55</v>
      </c>
      <c r="C5043" t="s">
        <v>99</v>
      </c>
      <c r="D5043" t="s">
        <v>1432</v>
      </c>
      <c r="E5043" s="17">
        <v>46147</v>
      </c>
      <c r="F5043" s="17">
        <v>46147</v>
      </c>
      <c r="G5043" s="13">
        <v>270</v>
      </c>
      <c r="H5043" s="14">
        <v>0</v>
      </c>
      <c r="I5043" s="14">
        <v>0</v>
      </c>
      <c r="J5043" s="14">
        <v>0</v>
      </c>
      <c r="K5043" s="14">
        <v>270</v>
      </c>
      <c r="L5043" t="s">
        <v>794</v>
      </c>
      <c r="M5043" s="23">
        <f t="shared" si="79"/>
        <v>2026</v>
      </c>
    </row>
    <row r="5044" spans="1:13" ht="12.75" customHeight="1">
      <c r="A5044" t="s">
        <v>1274</v>
      </c>
      <c r="B5044" t="s">
        <v>380</v>
      </c>
      <c r="C5044" t="s">
        <v>470</v>
      </c>
      <c r="D5044" t="s">
        <v>1432</v>
      </c>
      <c r="E5044" s="17">
        <v>46147</v>
      </c>
      <c r="F5044" s="17">
        <v>46147</v>
      </c>
      <c r="G5044" s="13">
        <v>277.55</v>
      </c>
      <c r="H5044" s="14">
        <v>0</v>
      </c>
      <c r="I5044" s="14">
        <v>0</v>
      </c>
      <c r="J5044" s="14">
        <v>0</v>
      </c>
      <c r="K5044" s="14">
        <v>277.55</v>
      </c>
      <c r="L5044" t="s">
        <v>794</v>
      </c>
      <c r="M5044" s="23">
        <f t="shared" si="79"/>
        <v>2026</v>
      </c>
    </row>
    <row r="5045" spans="1:13" ht="12.75" customHeight="1">
      <c r="A5045" t="s">
        <v>907</v>
      </c>
      <c r="B5045" t="s">
        <v>291</v>
      </c>
      <c r="C5045" t="s">
        <v>470</v>
      </c>
      <c r="D5045" t="s">
        <v>1432</v>
      </c>
      <c r="E5045" s="17">
        <v>46147</v>
      </c>
      <c r="F5045" s="17">
        <v>46147</v>
      </c>
      <c r="G5045" s="13">
        <v>20.25</v>
      </c>
      <c r="H5045" s="14">
        <v>0</v>
      </c>
      <c r="I5045" s="14">
        <v>0</v>
      </c>
      <c r="J5045" s="14">
        <v>0</v>
      </c>
      <c r="K5045" s="14">
        <v>20.25</v>
      </c>
      <c r="L5045" t="s">
        <v>794</v>
      </c>
      <c r="M5045" s="23">
        <f t="shared" si="79"/>
        <v>2026</v>
      </c>
    </row>
    <row r="5046" spans="1:13" ht="12.75" customHeight="1">
      <c r="A5046" t="s">
        <v>1196</v>
      </c>
      <c r="B5046" t="s">
        <v>1197</v>
      </c>
      <c r="C5046" t="s">
        <v>491</v>
      </c>
      <c r="D5046" t="s">
        <v>1432</v>
      </c>
      <c r="E5046" s="17">
        <v>46147</v>
      </c>
      <c r="F5046" s="17">
        <v>46147</v>
      </c>
      <c r="G5046" s="13">
        <v>30</v>
      </c>
      <c r="H5046" s="14">
        <v>0</v>
      </c>
      <c r="I5046" s="14">
        <v>0</v>
      </c>
      <c r="J5046" s="14">
        <v>0</v>
      </c>
      <c r="K5046" s="14">
        <v>30</v>
      </c>
      <c r="L5046" t="s">
        <v>794</v>
      </c>
      <c r="M5046" s="23">
        <f t="shared" si="79"/>
        <v>2026</v>
      </c>
    </row>
    <row r="5047" spans="1:13" ht="12.75" customHeight="1">
      <c r="A5047" t="s">
        <v>1274</v>
      </c>
      <c r="B5047" t="s">
        <v>380</v>
      </c>
      <c r="C5047" t="s">
        <v>470</v>
      </c>
      <c r="D5047" t="s">
        <v>1432</v>
      </c>
      <c r="E5047" s="17">
        <v>46148</v>
      </c>
      <c r="F5047" s="17">
        <v>46148</v>
      </c>
      <c r="G5047" s="13">
        <v>98.570000000000007</v>
      </c>
      <c r="H5047" s="14">
        <v>0</v>
      </c>
      <c r="I5047" s="14">
        <v>0</v>
      </c>
      <c r="J5047" s="14">
        <v>0</v>
      </c>
      <c r="K5047" s="14">
        <v>98.570000000000007</v>
      </c>
      <c r="L5047" t="s">
        <v>794</v>
      </c>
      <c r="M5047" s="23">
        <f t="shared" si="79"/>
        <v>2026</v>
      </c>
    </row>
    <row r="5048" spans="1:13" ht="12.75" customHeight="1">
      <c r="A5048" t="s">
        <v>981</v>
      </c>
      <c r="B5048" t="s">
        <v>55</v>
      </c>
      <c r="C5048" t="s">
        <v>99</v>
      </c>
      <c r="D5048" t="s">
        <v>1432</v>
      </c>
      <c r="E5048" s="17">
        <v>46149</v>
      </c>
      <c r="F5048" s="17">
        <v>46149</v>
      </c>
      <c r="G5048" s="13">
        <v>750</v>
      </c>
      <c r="H5048" s="14">
        <v>0</v>
      </c>
      <c r="I5048" s="14">
        <v>0</v>
      </c>
      <c r="J5048" s="14">
        <v>0</v>
      </c>
      <c r="K5048" s="14">
        <v>750</v>
      </c>
      <c r="L5048" t="s">
        <v>794</v>
      </c>
      <c r="M5048" s="23">
        <f t="shared" si="79"/>
        <v>2026</v>
      </c>
    </row>
    <row r="5049" spans="1:13" ht="12.75" customHeight="1">
      <c r="A5049" t="s">
        <v>1108</v>
      </c>
      <c r="B5049" t="s">
        <v>328</v>
      </c>
      <c r="C5049" t="s">
        <v>483</v>
      </c>
      <c r="D5049" t="s">
        <v>1432</v>
      </c>
      <c r="E5049" s="17">
        <v>46150</v>
      </c>
      <c r="F5049" s="17">
        <v>46150</v>
      </c>
      <c r="G5049" s="13">
        <v>33.99</v>
      </c>
      <c r="H5049" s="14">
        <v>0</v>
      </c>
      <c r="I5049" s="14">
        <v>0</v>
      </c>
      <c r="J5049" s="14">
        <v>0</v>
      </c>
      <c r="K5049" s="14">
        <v>33.99</v>
      </c>
      <c r="L5049" t="s">
        <v>794</v>
      </c>
      <c r="M5049" s="23">
        <f t="shared" si="79"/>
        <v>2026</v>
      </c>
    </row>
    <row r="5050" spans="1:13" ht="12.75" customHeight="1">
      <c r="A5050" t="s">
        <v>1497</v>
      </c>
      <c r="B5050" t="s">
        <v>469</v>
      </c>
      <c r="C5050" t="s">
        <v>470</v>
      </c>
      <c r="D5050" t="s">
        <v>1432</v>
      </c>
      <c r="E5050" s="17">
        <v>46150</v>
      </c>
      <c r="F5050" s="17">
        <v>46150</v>
      </c>
      <c r="G5050" s="13">
        <v>180.62</v>
      </c>
      <c r="H5050" s="14">
        <v>0</v>
      </c>
      <c r="I5050" s="14">
        <v>0</v>
      </c>
      <c r="J5050" s="14">
        <v>0</v>
      </c>
      <c r="K5050" s="14">
        <v>180.62</v>
      </c>
      <c r="L5050" t="s">
        <v>794</v>
      </c>
      <c r="M5050" s="23">
        <f t="shared" si="79"/>
        <v>2026</v>
      </c>
    </row>
    <row r="5051" spans="1:13" ht="12.75" customHeight="1">
      <c r="A5051" t="s">
        <v>907</v>
      </c>
      <c r="B5051" t="s">
        <v>291</v>
      </c>
      <c r="C5051" t="s">
        <v>470</v>
      </c>
      <c r="D5051" t="s">
        <v>1432</v>
      </c>
      <c r="E5051" s="17">
        <v>46151</v>
      </c>
      <c r="F5051" s="17">
        <v>46151</v>
      </c>
      <c r="G5051" s="13">
        <v>60</v>
      </c>
      <c r="H5051" s="14">
        <v>0</v>
      </c>
      <c r="I5051" s="14">
        <v>0</v>
      </c>
      <c r="J5051" s="14">
        <v>0</v>
      </c>
      <c r="K5051" s="14">
        <v>60</v>
      </c>
      <c r="L5051" t="s">
        <v>794</v>
      </c>
      <c r="M5051" s="23">
        <f t="shared" si="79"/>
        <v>2026</v>
      </c>
    </row>
    <row r="5052" spans="1:13" ht="12.75" customHeight="1">
      <c r="A5052" t="s">
        <v>1112</v>
      </c>
      <c r="B5052" t="s">
        <v>68</v>
      </c>
      <c r="C5052" t="s">
        <v>470</v>
      </c>
      <c r="D5052" t="s">
        <v>1432</v>
      </c>
      <c r="E5052" s="17">
        <v>46151</v>
      </c>
      <c r="F5052" s="17">
        <v>46151</v>
      </c>
      <c r="G5052" s="13">
        <v>13.5</v>
      </c>
      <c r="H5052" s="14">
        <v>0</v>
      </c>
      <c r="I5052" s="14">
        <v>0</v>
      </c>
      <c r="J5052" s="14">
        <v>0</v>
      </c>
      <c r="K5052" s="14">
        <v>13.5</v>
      </c>
      <c r="L5052" t="s">
        <v>794</v>
      </c>
      <c r="M5052" s="23">
        <f t="shared" si="79"/>
        <v>2026</v>
      </c>
    </row>
    <row r="5053" spans="1:13" ht="12.75" customHeight="1">
      <c r="A5053" t="s">
        <v>1446</v>
      </c>
      <c r="B5053" t="s">
        <v>167</v>
      </c>
      <c r="C5053" t="s">
        <v>141</v>
      </c>
      <c r="D5053" t="s">
        <v>1432</v>
      </c>
      <c r="E5053" s="17">
        <v>46153</v>
      </c>
      <c r="F5053" s="17">
        <v>46153</v>
      </c>
      <c r="G5053" s="13">
        <v>250</v>
      </c>
      <c r="H5053" s="14">
        <v>0</v>
      </c>
      <c r="I5053" s="14">
        <v>0</v>
      </c>
      <c r="J5053" s="14">
        <v>0</v>
      </c>
      <c r="K5053" s="14">
        <v>250</v>
      </c>
      <c r="L5053" t="s">
        <v>794</v>
      </c>
      <c r="M5053" s="23">
        <f t="shared" si="79"/>
        <v>2026</v>
      </c>
    </row>
    <row r="5054" spans="1:13" ht="12.75" customHeight="1">
      <c r="A5054" t="s">
        <v>1317</v>
      </c>
      <c r="B5054" t="s">
        <v>64</v>
      </c>
      <c r="C5054" t="s">
        <v>141</v>
      </c>
      <c r="D5054" t="s">
        <v>1432</v>
      </c>
      <c r="E5054" s="17">
        <v>46153</v>
      </c>
      <c r="F5054" s="17">
        <v>46153</v>
      </c>
      <c r="G5054" s="13">
        <v>550</v>
      </c>
      <c r="H5054" s="14">
        <v>0</v>
      </c>
      <c r="I5054" s="14">
        <v>0</v>
      </c>
      <c r="J5054" s="14">
        <v>0</v>
      </c>
      <c r="K5054" s="14">
        <v>550</v>
      </c>
      <c r="L5054" t="s">
        <v>794</v>
      </c>
      <c r="M5054" s="23">
        <f t="shared" si="79"/>
        <v>2026</v>
      </c>
    </row>
    <row r="5055" spans="1:13" ht="12.75" customHeight="1">
      <c r="A5055" t="s">
        <v>1295</v>
      </c>
      <c r="B5055" t="s">
        <v>418</v>
      </c>
      <c r="C5055" t="s">
        <v>470</v>
      </c>
      <c r="D5055" t="s">
        <v>1432</v>
      </c>
      <c r="E5055" s="17">
        <v>46153</v>
      </c>
      <c r="F5055" s="17">
        <v>46153</v>
      </c>
      <c r="G5055" s="13">
        <v>46.6</v>
      </c>
      <c r="H5055" s="14">
        <v>0</v>
      </c>
      <c r="I5055" s="14">
        <v>0</v>
      </c>
      <c r="J5055" s="14">
        <v>0</v>
      </c>
      <c r="K5055" s="14">
        <v>46.6</v>
      </c>
      <c r="L5055" t="s">
        <v>794</v>
      </c>
      <c r="M5055" s="23">
        <f t="shared" si="79"/>
        <v>2026</v>
      </c>
    </row>
    <row r="5056" spans="1:13" ht="12.75" customHeight="1">
      <c r="A5056" t="s">
        <v>974</v>
      </c>
      <c r="B5056" t="s">
        <v>220</v>
      </c>
      <c r="C5056" t="s">
        <v>201</v>
      </c>
      <c r="D5056" t="s">
        <v>1432</v>
      </c>
      <c r="E5056" s="17">
        <v>46153</v>
      </c>
      <c r="F5056" s="17">
        <v>46153</v>
      </c>
      <c r="G5056" s="13">
        <v>1520</v>
      </c>
      <c r="H5056" s="14">
        <v>0</v>
      </c>
      <c r="I5056" s="14">
        <v>0</v>
      </c>
      <c r="J5056" s="14">
        <v>0</v>
      </c>
      <c r="K5056" s="14">
        <v>1520</v>
      </c>
      <c r="L5056" t="s">
        <v>794</v>
      </c>
      <c r="M5056" s="23">
        <f t="shared" si="79"/>
        <v>2026</v>
      </c>
    </row>
    <row r="5057" spans="1:13" ht="12.75" customHeight="1">
      <c r="A5057" t="s">
        <v>1062</v>
      </c>
      <c r="B5057" t="s">
        <v>335</v>
      </c>
      <c r="C5057" t="s">
        <v>141</v>
      </c>
      <c r="D5057" t="s">
        <v>1432</v>
      </c>
      <c r="E5057" s="17">
        <v>46153</v>
      </c>
      <c r="F5057" s="17">
        <v>46153</v>
      </c>
      <c r="G5057" s="13">
        <v>170</v>
      </c>
      <c r="H5057" s="14">
        <v>0</v>
      </c>
      <c r="I5057" s="14">
        <v>0</v>
      </c>
      <c r="J5057" s="14">
        <v>0</v>
      </c>
      <c r="K5057" s="14">
        <v>170</v>
      </c>
      <c r="L5057" t="s">
        <v>794</v>
      </c>
      <c r="M5057" s="23">
        <f t="shared" si="79"/>
        <v>2026</v>
      </c>
    </row>
    <row r="5058" spans="1:13" ht="12.75" customHeight="1">
      <c r="A5058" t="s">
        <v>818</v>
      </c>
      <c r="B5058" t="s">
        <v>30</v>
      </c>
      <c r="C5058" t="s">
        <v>141</v>
      </c>
      <c r="D5058" t="s">
        <v>1432</v>
      </c>
      <c r="E5058" s="17">
        <v>46153</v>
      </c>
      <c r="F5058" s="17">
        <v>46153</v>
      </c>
      <c r="G5058" s="13">
        <v>1620</v>
      </c>
      <c r="H5058" s="14">
        <v>0</v>
      </c>
      <c r="I5058" s="14">
        <v>0</v>
      </c>
      <c r="J5058" s="14">
        <v>0</v>
      </c>
      <c r="K5058" s="14">
        <v>1620</v>
      </c>
      <c r="L5058" t="s">
        <v>794</v>
      </c>
      <c r="M5058" s="23">
        <f t="shared" si="79"/>
        <v>2026</v>
      </c>
    </row>
    <row r="5059" spans="1:13" ht="12.75" customHeight="1">
      <c r="A5059" t="s">
        <v>1077</v>
      </c>
      <c r="B5059" t="s">
        <v>391</v>
      </c>
      <c r="C5059" t="s">
        <v>141</v>
      </c>
      <c r="D5059" t="s">
        <v>1432</v>
      </c>
      <c r="E5059" s="17">
        <v>46153</v>
      </c>
      <c r="F5059" s="17">
        <v>46153</v>
      </c>
      <c r="G5059" s="13">
        <v>530</v>
      </c>
      <c r="H5059" s="14">
        <v>0</v>
      </c>
      <c r="I5059" s="14">
        <v>0</v>
      </c>
      <c r="J5059" s="14">
        <v>0</v>
      </c>
      <c r="K5059" s="14">
        <v>530</v>
      </c>
      <c r="L5059" t="s">
        <v>794</v>
      </c>
      <c r="M5059" s="23">
        <f t="shared" si="79"/>
        <v>2026</v>
      </c>
    </row>
    <row r="5060" spans="1:13" ht="12.75" customHeight="1">
      <c r="A5060" t="s">
        <v>1196</v>
      </c>
      <c r="B5060" t="s">
        <v>1197</v>
      </c>
      <c r="C5060" t="s">
        <v>141</v>
      </c>
      <c r="D5060" t="s">
        <v>1432</v>
      </c>
      <c r="E5060" s="17">
        <v>46153</v>
      </c>
      <c r="F5060" s="17">
        <v>46153</v>
      </c>
      <c r="G5060" s="13">
        <v>500</v>
      </c>
      <c r="H5060" s="14">
        <v>0</v>
      </c>
      <c r="I5060" s="14">
        <v>0</v>
      </c>
      <c r="J5060" s="14">
        <v>0</v>
      </c>
      <c r="K5060" s="14">
        <v>500</v>
      </c>
      <c r="L5060" t="s">
        <v>794</v>
      </c>
      <c r="M5060" s="23">
        <f t="shared" si="79"/>
        <v>2026</v>
      </c>
    </row>
    <row r="5061" spans="1:13" ht="12.75" customHeight="1">
      <c r="A5061" t="s">
        <v>836</v>
      </c>
      <c r="B5061" t="s">
        <v>37</v>
      </c>
      <c r="C5061" t="s">
        <v>141</v>
      </c>
      <c r="D5061" t="s">
        <v>1432</v>
      </c>
      <c r="E5061" s="17">
        <v>46153</v>
      </c>
      <c r="F5061" s="17">
        <v>46153</v>
      </c>
      <c r="G5061" s="13">
        <v>150</v>
      </c>
      <c r="H5061" s="14">
        <v>0</v>
      </c>
      <c r="I5061" s="14">
        <v>0</v>
      </c>
      <c r="J5061" s="14">
        <v>0</v>
      </c>
      <c r="K5061" s="14">
        <v>150</v>
      </c>
      <c r="L5061" t="s">
        <v>794</v>
      </c>
      <c r="M5061" s="23">
        <f t="shared" si="79"/>
        <v>2026</v>
      </c>
    </row>
    <row r="5062" spans="1:13" ht="12.75" customHeight="1">
      <c r="A5062" t="s">
        <v>836</v>
      </c>
      <c r="B5062" t="s">
        <v>37</v>
      </c>
      <c r="C5062" t="s">
        <v>141</v>
      </c>
      <c r="D5062" t="s">
        <v>1432</v>
      </c>
      <c r="E5062" s="17">
        <v>46153</v>
      </c>
      <c r="F5062" s="17">
        <v>46153</v>
      </c>
      <c r="G5062" s="13">
        <v>300</v>
      </c>
      <c r="H5062" s="14">
        <v>0</v>
      </c>
      <c r="I5062" s="14">
        <v>0</v>
      </c>
      <c r="J5062" s="14">
        <v>0</v>
      </c>
      <c r="K5062" s="14">
        <v>300</v>
      </c>
      <c r="L5062" t="s">
        <v>794</v>
      </c>
      <c r="M5062" s="23">
        <f t="shared" si="79"/>
        <v>2026</v>
      </c>
    </row>
    <row r="5063" spans="1:13" ht="12.75" customHeight="1">
      <c r="A5063" t="s">
        <v>1105</v>
      </c>
      <c r="B5063" t="s">
        <v>1395</v>
      </c>
      <c r="C5063" t="s">
        <v>141</v>
      </c>
      <c r="D5063" t="s">
        <v>1432</v>
      </c>
      <c r="E5063" s="17">
        <v>46153</v>
      </c>
      <c r="F5063" s="17">
        <v>46153</v>
      </c>
      <c r="G5063" s="13">
        <v>150</v>
      </c>
      <c r="H5063" s="14">
        <v>0</v>
      </c>
      <c r="I5063" s="14">
        <v>0</v>
      </c>
      <c r="J5063" s="14">
        <v>0</v>
      </c>
      <c r="K5063" s="14">
        <v>150</v>
      </c>
      <c r="L5063" t="s">
        <v>794</v>
      </c>
      <c r="M5063" s="23">
        <f t="shared" si="79"/>
        <v>2026</v>
      </c>
    </row>
    <row r="5064" spans="1:13" ht="12.75" customHeight="1">
      <c r="A5064" t="s">
        <v>1401</v>
      </c>
      <c r="B5064" t="s">
        <v>254</v>
      </c>
      <c r="C5064" t="s">
        <v>141</v>
      </c>
      <c r="D5064" t="s">
        <v>1432</v>
      </c>
      <c r="E5064" s="17">
        <v>46153</v>
      </c>
      <c r="F5064" s="17">
        <v>46153</v>
      </c>
      <c r="G5064" s="13">
        <v>100</v>
      </c>
      <c r="H5064" s="14">
        <v>0</v>
      </c>
      <c r="I5064" s="14">
        <v>0</v>
      </c>
      <c r="J5064" s="14">
        <v>0</v>
      </c>
      <c r="K5064" s="14">
        <v>100</v>
      </c>
      <c r="L5064" t="s">
        <v>794</v>
      </c>
      <c r="M5064" s="23">
        <f t="shared" si="79"/>
        <v>2026</v>
      </c>
    </row>
    <row r="5065" spans="1:13" ht="12.75" customHeight="1">
      <c r="A5065" t="s">
        <v>833</v>
      </c>
      <c r="B5065" t="s">
        <v>27</v>
      </c>
      <c r="C5065" t="s">
        <v>141</v>
      </c>
      <c r="D5065" t="s">
        <v>1432</v>
      </c>
      <c r="E5065" s="17">
        <v>46153</v>
      </c>
      <c r="F5065" s="17">
        <v>46153</v>
      </c>
      <c r="G5065" s="13">
        <v>200</v>
      </c>
      <c r="H5065" s="14">
        <v>0</v>
      </c>
      <c r="I5065" s="14">
        <v>0</v>
      </c>
      <c r="J5065" s="14">
        <v>0</v>
      </c>
      <c r="K5065" s="14">
        <v>200</v>
      </c>
      <c r="L5065" t="s">
        <v>794</v>
      </c>
      <c r="M5065" s="23">
        <f t="shared" si="79"/>
        <v>2026</v>
      </c>
    </row>
    <row r="5066" spans="1:13" ht="12.75" customHeight="1">
      <c r="A5066" t="s">
        <v>855</v>
      </c>
      <c r="B5066" t="s">
        <v>20</v>
      </c>
      <c r="C5066" t="s">
        <v>141</v>
      </c>
      <c r="D5066" t="s">
        <v>1432</v>
      </c>
      <c r="E5066" s="17">
        <v>46153</v>
      </c>
      <c r="F5066" s="17">
        <v>46153</v>
      </c>
      <c r="G5066" s="13">
        <v>650</v>
      </c>
      <c r="H5066" s="14">
        <v>0</v>
      </c>
      <c r="I5066" s="14">
        <v>0</v>
      </c>
      <c r="J5066" s="14">
        <v>0</v>
      </c>
      <c r="K5066" s="14">
        <v>650</v>
      </c>
      <c r="L5066" t="s">
        <v>794</v>
      </c>
      <c r="M5066" s="23">
        <f t="shared" si="79"/>
        <v>2026</v>
      </c>
    </row>
    <row r="5067" spans="1:13" ht="12.75" customHeight="1">
      <c r="A5067" t="s">
        <v>961</v>
      </c>
      <c r="B5067" t="s">
        <v>41</v>
      </c>
      <c r="C5067" t="s">
        <v>141</v>
      </c>
      <c r="D5067" t="s">
        <v>1432</v>
      </c>
      <c r="E5067" s="17">
        <v>46153</v>
      </c>
      <c r="F5067" s="17">
        <v>46153</v>
      </c>
      <c r="G5067" s="13">
        <v>150</v>
      </c>
      <c r="H5067" s="14">
        <v>0</v>
      </c>
      <c r="I5067" s="14">
        <v>0</v>
      </c>
      <c r="J5067" s="14">
        <v>0</v>
      </c>
      <c r="K5067" s="14">
        <v>150</v>
      </c>
      <c r="L5067" t="s">
        <v>794</v>
      </c>
      <c r="M5067" s="23">
        <f t="shared" si="79"/>
        <v>2026</v>
      </c>
    </row>
    <row r="5068" spans="1:13" ht="12.75" customHeight="1">
      <c r="A5068" t="s">
        <v>961</v>
      </c>
      <c r="B5068" t="s">
        <v>41</v>
      </c>
      <c r="C5068" t="s">
        <v>141</v>
      </c>
      <c r="D5068" t="s">
        <v>1432</v>
      </c>
      <c r="E5068" s="17">
        <v>46153</v>
      </c>
      <c r="F5068" s="17">
        <v>46153</v>
      </c>
      <c r="G5068" s="13">
        <v>150</v>
      </c>
      <c r="H5068" s="14">
        <v>0</v>
      </c>
      <c r="I5068" s="14">
        <v>0</v>
      </c>
      <c r="J5068" s="14">
        <v>0</v>
      </c>
      <c r="K5068" s="14">
        <v>150</v>
      </c>
      <c r="L5068" t="s">
        <v>794</v>
      </c>
      <c r="M5068" s="23">
        <f t="shared" si="79"/>
        <v>2026</v>
      </c>
    </row>
    <row r="5069" spans="1:13" ht="12.75" customHeight="1">
      <c r="A5069" t="s">
        <v>896</v>
      </c>
      <c r="B5069" t="s">
        <v>293</v>
      </c>
      <c r="C5069" t="s">
        <v>733</v>
      </c>
      <c r="D5069" t="s">
        <v>1432</v>
      </c>
      <c r="E5069" s="17">
        <v>46153</v>
      </c>
      <c r="F5069" s="17">
        <v>46153</v>
      </c>
      <c r="G5069" s="13">
        <v>119.81</v>
      </c>
      <c r="H5069" s="14">
        <v>0</v>
      </c>
      <c r="I5069" s="14">
        <v>0</v>
      </c>
      <c r="J5069" s="14">
        <v>0</v>
      </c>
      <c r="K5069" s="14">
        <v>119.81</v>
      </c>
      <c r="L5069" t="s">
        <v>794</v>
      </c>
      <c r="M5069" s="23">
        <f t="shared" si="79"/>
        <v>2026</v>
      </c>
    </row>
    <row r="5070" spans="1:13" ht="12.75" customHeight="1">
      <c r="A5070" t="s">
        <v>1104</v>
      </c>
      <c r="B5070" t="s">
        <v>53</v>
      </c>
      <c r="C5070" t="s">
        <v>141</v>
      </c>
      <c r="D5070" t="s">
        <v>1432</v>
      </c>
      <c r="E5070" s="17">
        <v>46154</v>
      </c>
      <c r="F5070" s="17">
        <v>46154</v>
      </c>
      <c r="G5070" s="13">
        <v>150</v>
      </c>
      <c r="H5070" s="14">
        <v>0</v>
      </c>
      <c r="I5070" s="14">
        <v>0</v>
      </c>
      <c r="J5070" s="14">
        <v>0</v>
      </c>
      <c r="K5070" s="14">
        <v>150</v>
      </c>
      <c r="L5070" t="s">
        <v>794</v>
      </c>
      <c r="M5070" s="23">
        <f t="shared" si="79"/>
        <v>2026</v>
      </c>
    </row>
    <row r="5071" spans="1:13" ht="12.75" customHeight="1">
      <c r="A5071" t="s">
        <v>1104</v>
      </c>
      <c r="B5071" t="s">
        <v>53</v>
      </c>
      <c r="C5071" t="s">
        <v>141</v>
      </c>
      <c r="D5071" t="s">
        <v>1432</v>
      </c>
      <c r="E5071" s="17">
        <v>46154</v>
      </c>
      <c r="F5071" s="17">
        <v>46154</v>
      </c>
      <c r="G5071" s="13">
        <v>200</v>
      </c>
      <c r="H5071" s="14">
        <v>0</v>
      </c>
      <c r="I5071" s="14">
        <v>0</v>
      </c>
      <c r="J5071" s="14">
        <v>0</v>
      </c>
      <c r="K5071" s="14">
        <v>200</v>
      </c>
      <c r="L5071" t="s">
        <v>794</v>
      </c>
      <c r="M5071" s="23">
        <f t="shared" si="79"/>
        <v>2026</v>
      </c>
    </row>
    <row r="5072" spans="1:13" ht="12.75" customHeight="1">
      <c r="A5072" t="s">
        <v>906</v>
      </c>
      <c r="B5072" t="s">
        <v>289</v>
      </c>
      <c r="C5072" t="s">
        <v>483</v>
      </c>
      <c r="D5072" t="s">
        <v>1432</v>
      </c>
      <c r="E5072" s="17">
        <v>46154</v>
      </c>
      <c r="F5072" s="17">
        <v>46154</v>
      </c>
      <c r="G5072" s="13">
        <v>40</v>
      </c>
      <c r="H5072" s="14">
        <v>0</v>
      </c>
      <c r="I5072" s="14">
        <v>0</v>
      </c>
      <c r="J5072" s="14">
        <v>0</v>
      </c>
      <c r="K5072" s="14">
        <v>40</v>
      </c>
      <c r="L5072" t="s">
        <v>794</v>
      </c>
      <c r="M5072" s="23">
        <f t="shared" si="79"/>
        <v>2026</v>
      </c>
    </row>
    <row r="5073" spans="1:13" ht="12.75" customHeight="1">
      <c r="A5073" t="s">
        <v>907</v>
      </c>
      <c r="B5073" t="s">
        <v>291</v>
      </c>
      <c r="C5073" t="s">
        <v>470</v>
      </c>
      <c r="D5073" t="s">
        <v>1432</v>
      </c>
      <c r="E5073" s="17">
        <v>46154</v>
      </c>
      <c r="F5073" s="17">
        <v>46154</v>
      </c>
      <c r="G5073" s="13">
        <v>4.9000000000000004</v>
      </c>
      <c r="H5073" s="14">
        <v>0</v>
      </c>
      <c r="I5073" s="14">
        <v>0</v>
      </c>
      <c r="J5073" s="14">
        <v>0</v>
      </c>
      <c r="K5073" s="14">
        <v>4.9000000000000004</v>
      </c>
      <c r="L5073" t="s">
        <v>794</v>
      </c>
      <c r="M5073" s="23">
        <f t="shared" si="79"/>
        <v>2026</v>
      </c>
    </row>
    <row r="5074" spans="1:13" ht="12.75" customHeight="1">
      <c r="A5074" t="s">
        <v>907</v>
      </c>
      <c r="B5074" t="s">
        <v>291</v>
      </c>
      <c r="C5074" t="s">
        <v>470</v>
      </c>
      <c r="D5074" t="s">
        <v>1432</v>
      </c>
      <c r="E5074" s="17">
        <v>46155</v>
      </c>
      <c r="F5074" s="17">
        <v>46155</v>
      </c>
      <c r="G5074" s="13">
        <v>13.58</v>
      </c>
      <c r="H5074" s="14">
        <v>0</v>
      </c>
      <c r="I5074" s="14">
        <v>0</v>
      </c>
      <c r="J5074" s="14">
        <v>0</v>
      </c>
      <c r="K5074" s="14">
        <v>13.58</v>
      </c>
      <c r="L5074" t="s">
        <v>794</v>
      </c>
      <c r="M5074" s="23">
        <f t="shared" si="79"/>
        <v>2026</v>
      </c>
    </row>
    <row r="5075" spans="1:13" ht="12.75" customHeight="1">
      <c r="A5075" t="s">
        <v>1274</v>
      </c>
      <c r="B5075" t="s">
        <v>380</v>
      </c>
      <c r="C5075" t="s">
        <v>470</v>
      </c>
      <c r="D5075" t="s">
        <v>1432</v>
      </c>
      <c r="E5075" s="17">
        <v>46155</v>
      </c>
      <c r="F5075" s="17">
        <v>46155</v>
      </c>
      <c r="G5075" s="13">
        <v>133.68</v>
      </c>
      <c r="H5075" s="14">
        <v>0</v>
      </c>
      <c r="I5075" s="14">
        <v>0</v>
      </c>
      <c r="J5075" s="14">
        <v>0</v>
      </c>
      <c r="K5075" s="14">
        <v>133.68</v>
      </c>
      <c r="L5075" t="s">
        <v>794</v>
      </c>
      <c r="M5075" s="23">
        <f t="shared" si="79"/>
        <v>2026</v>
      </c>
    </row>
    <row r="5076" spans="1:13" ht="12.75" customHeight="1">
      <c r="A5076" t="s">
        <v>1413</v>
      </c>
      <c r="B5076" t="s">
        <v>592</v>
      </c>
      <c r="C5076" t="s">
        <v>733</v>
      </c>
      <c r="D5076" t="s">
        <v>1432</v>
      </c>
      <c r="E5076" s="17">
        <v>46155</v>
      </c>
      <c r="F5076" s="17">
        <v>46155</v>
      </c>
      <c r="G5076" s="13">
        <v>11.6</v>
      </c>
      <c r="H5076" s="14">
        <v>0</v>
      </c>
      <c r="I5076" s="14">
        <v>0</v>
      </c>
      <c r="J5076" s="14">
        <v>0</v>
      </c>
      <c r="K5076" s="14">
        <v>11.6</v>
      </c>
      <c r="L5076" t="s">
        <v>794</v>
      </c>
      <c r="M5076" s="23">
        <f t="shared" si="79"/>
        <v>2026</v>
      </c>
    </row>
    <row r="5077" spans="1:13" ht="12.75" customHeight="1">
      <c r="A5077" t="s">
        <v>896</v>
      </c>
      <c r="B5077" t="s">
        <v>293</v>
      </c>
      <c r="C5077" t="s">
        <v>733</v>
      </c>
      <c r="D5077" t="s">
        <v>1432</v>
      </c>
      <c r="E5077" s="17">
        <v>46155</v>
      </c>
      <c r="F5077" s="17">
        <v>46155</v>
      </c>
      <c r="G5077" s="13">
        <v>9.9600000000000009</v>
      </c>
      <c r="H5077" s="14">
        <v>0</v>
      </c>
      <c r="I5077" s="14">
        <v>0</v>
      </c>
      <c r="J5077" s="14">
        <v>0</v>
      </c>
      <c r="K5077" s="14">
        <v>9.9600000000000009</v>
      </c>
      <c r="L5077" t="s">
        <v>794</v>
      </c>
      <c r="M5077" s="23">
        <f t="shared" si="79"/>
        <v>2026</v>
      </c>
    </row>
    <row r="5078" spans="1:13" ht="12.75" customHeight="1">
      <c r="A5078" t="s">
        <v>907</v>
      </c>
      <c r="B5078" t="s">
        <v>291</v>
      </c>
      <c r="C5078" t="s">
        <v>558</v>
      </c>
      <c r="D5078" t="s">
        <v>1432</v>
      </c>
      <c r="E5078" s="17">
        <v>46156</v>
      </c>
      <c r="F5078" s="17">
        <v>46156</v>
      </c>
      <c r="G5078" s="13">
        <v>10.57</v>
      </c>
      <c r="H5078" s="14">
        <v>0</v>
      </c>
      <c r="I5078" s="14">
        <v>0</v>
      </c>
      <c r="J5078" s="14">
        <v>0</v>
      </c>
      <c r="K5078" s="14">
        <v>10.57</v>
      </c>
      <c r="L5078" t="s">
        <v>794</v>
      </c>
      <c r="M5078" s="23">
        <f t="shared" si="79"/>
        <v>2026</v>
      </c>
    </row>
    <row r="5079" spans="1:13" ht="12.75" customHeight="1">
      <c r="A5079" t="s">
        <v>906</v>
      </c>
      <c r="B5079" t="s">
        <v>289</v>
      </c>
      <c r="C5079" t="s">
        <v>483</v>
      </c>
      <c r="D5079" t="s">
        <v>1432</v>
      </c>
      <c r="E5079" s="17">
        <v>46156</v>
      </c>
      <c r="F5079" s="17">
        <v>46156</v>
      </c>
      <c r="G5079" s="13">
        <v>28</v>
      </c>
      <c r="H5079" s="14">
        <v>0</v>
      </c>
      <c r="I5079" s="14">
        <v>0</v>
      </c>
      <c r="J5079" s="14">
        <v>0</v>
      </c>
      <c r="K5079" s="14">
        <v>28</v>
      </c>
      <c r="L5079" t="s">
        <v>794</v>
      </c>
      <c r="M5079" s="23">
        <f t="shared" si="79"/>
        <v>2026</v>
      </c>
    </row>
    <row r="5080" spans="1:13" ht="12.75" customHeight="1">
      <c r="A5080" t="s">
        <v>907</v>
      </c>
      <c r="B5080" t="s">
        <v>291</v>
      </c>
      <c r="C5080" t="s">
        <v>470</v>
      </c>
      <c r="D5080" t="s">
        <v>1432</v>
      </c>
      <c r="E5080" s="17">
        <v>46157</v>
      </c>
      <c r="F5080" s="17">
        <v>46157</v>
      </c>
      <c r="G5080" s="13">
        <v>21.900000000000002</v>
      </c>
      <c r="H5080" s="14">
        <v>0</v>
      </c>
      <c r="I5080" s="14">
        <v>0</v>
      </c>
      <c r="J5080" s="14">
        <v>0</v>
      </c>
      <c r="K5080" s="14">
        <v>21.900000000000002</v>
      </c>
      <c r="L5080" t="s">
        <v>794</v>
      </c>
      <c r="M5080" s="23">
        <f t="shared" si="79"/>
        <v>2026</v>
      </c>
    </row>
    <row r="5081" spans="1:13" ht="12.75" customHeight="1">
      <c r="A5081" t="s">
        <v>896</v>
      </c>
      <c r="B5081" t="s">
        <v>293</v>
      </c>
      <c r="C5081" t="s">
        <v>733</v>
      </c>
      <c r="D5081" t="s">
        <v>1432</v>
      </c>
      <c r="E5081" s="17">
        <v>46157</v>
      </c>
      <c r="F5081" s="17">
        <v>46157</v>
      </c>
      <c r="G5081" s="13">
        <v>53</v>
      </c>
      <c r="H5081" s="14">
        <v>0</v>
      </c>
      <c r="I5081" s="14">
        <v>0</v>
      </c>
      <c r="J5081" s="14">
        <v>0</v>
      </c>
      <c r="K5081" s="14">
        <v>53</v>
      </c>
      <c r="L5081" t="s">
        <v>794</v>
      </c>
      <c r="M5081" s="23">
        <f t="shared" si="79"/>
        <v>2026</v>
      </c>
    </row>
    <row r="5082" spans="1:13" ht="12.75" customHeight="1">
      <c r="A5082" t="s">
        <v>961</v>
      </c>
      <c r="B5082" t="s">
        <v>41</v>
      </c>
      <c r="C5082" t="s">
        <v>141</v>
      </c>
      <c r="D5082" t="s">
        <v>1432</v>
      </c>
      <c r="E5082" s="17">
        <v>46157</v>
      </c>
      <c r="F5082" s="17">
        <v>46157</v>
      </c>
      <c r="G5082" s="13">
        <v>50</v>
      </c>
      <c r="H5082" s="14">
        <v>0</v>
      </c>
      <c r="I5082" s="14">
        <v>0</v>
      </c>
      <c r="J5082" s="14">
        <v>0</v>
      </c>
      <c r="K5082" s="14">
        <v>50</v>
      </c>
      <c r="L5082" t="s">
        <v>794</v>
      </c>
      <c r="M5082" s="23">
        <f t="shared" si="79"/>
        <v>2026</v>
      </c>
    </row>
    <row r="5083" spans="1:13" ht="12.75" customHeight="1">
      <c r="A5083" t="s">
        <v>961</v>
      </c>
      <c r="B5083" t="s">
        <v>41</v>
      </c>
      <c r="C5083" t="s">
        <v>141</v>
      </c>
      <c r="D5083" t="s">
        <v>1432</v>
      </c>
      <c r="E5083" s="17">
        <v>46157</v>
      </c>
      <c r="F5083" s="17">
        <v>46157</v>
      </c>
      <c r="G5083" s="13">
        <v>70</v>
      </c>
      <c r="H5083" s="14">
        <v>0</v>
      </c>
      <c r="I5083" s="14">
        <v>0</v>
      </c>
      <c r="J5083" s="14">
        <v>0</v>
      </c>
      <c r="K5083" s="14">
        <v>70</v>
      </c>
      <c r="L5083" t="s">
        <v>794</v>
      </c>
      <c r="M5083" s="23">
        <f t="shared" ref="M5083:M5145" si="80">YEAR(F5083)</f>
        <v>2026</v>
      </c>
    </row>
    <row r="5084" spans="1:13" ht="12.75" customHeight="1">
      <c r="A5084" t="s">
        <v>1173</v>
      </c>
      <c r="B5084" t="s">
        <v>45</v>
      </c>
      <c r="C5084" t="s">
        <v>141</v>
      </c>
      <c r="D5084" t="s">
        <v>1432</v>
      </c>
      <c r="E5084" s="17">
        <v>46157</v>
      </c>
      <c r="F5084" s="17">
        <v>46157</v>
      </c>
      <c r="G5084" s="13">
        <v>50</v>
      </c>
      <c r="H5084" s="14">
        <v>0</v>
      </c>
      <c r="I5084" s="14">
        <v>0</v>
      </c>
      <c r="J5084" s="14">
        <v>0</v>
      </c>
      <c r="K5084" s="14">
        <v>50</v>
      </c>
      <c r="L5084" t="s">
        <v>794</v>
      </c>
      <c r="M5084" s="23">
        <f t="shared" si="80"/>
        <v>2026</v>
      </c>
    </row>
    <row r="5085" spans="1:13" ht="12.75" customHeight="1">
      <c r="A5085" t="s">
        <v>906</v>
      </c>
      <c r="B5085" t="s">
        <v>289</v>
      </c>
      <c r="C5085" t="s">
        <v>483</v>
      </c>
      <c r="D5085" t="s">
        <v>1432</v>
      </c>
      <c r="E5085" s="17">
        <v>46160</v>
      </c>
      <c r="F5085" s="17">
        <v>46160</v>
      </c>
      <c r="G5085" s="13">
        <v>28</v>
      </c>
      <c r="H5085" s="14">
        <v>0</v>
      </c>
      <c r="I5085" s="14">
        <v>0</v>
      </c>
      <c r="J5085" s="14">
        <v>0</v>
      </c>
      <c r="K5085" s="14">
        <v>28</v>
      </c>
      <c r="L5085" t="s">
        <v>794</v>
      </c>
      <c r="M5085" s="23">
        <f t="shared" si="80"/>
        <v>2026</v>
      </c>
    </row>
    <row r="5086" spans="1:13" ht="12.75" customHeight="1">
      <c r="A5086" t="s">
        <v>806</v>
      </c>
      <c r="B5086" t="s">
        <v>19</v>
      </c>
      <c r="C5086" t="s">
        <v>733</v>
      </c>
      <c r="D5086" t="s">
        <v>1432</v>
      </c>
      <c r="E5086" s="17">
        <v>46160</v>
      </c>
      <c r="F5086" s="17">
        <v>46160</v>
      </c>
      <c r="G5086" s="13">
        <v>18.350000000000001</v>
      </c>
      <c r="H5086" s="14">
        <v>0</v>
      </c>
      <c r="I5086" s="14">
        <v>0</v>
      </c>
      <c r="J5086" s="14">
        <v>0</v>
      </c>
      <c r="K5086" s="14">
        <v>18.350000000000001</v>
      </c>
      <c r="L5086" t="s">
        <v>794</v>
      </c>
      <c r="M5086" s="23">
        <f t="shared" si="80"/>
        <v>2026</v>
      </c>
    </row>
    <row r="5087" spans="1:13" ht="12.75" customHeight="1">
      <c r="A5087" t="s">
        <v>1062</v>
      </c>
      <c r="B5087" t="s">
        <v>335</v>
      </c>
      <c r="C5087" t="s">
        <v>141</v>
      </c>
      <c r="D5087" t="s">
        <v>1432</v>
      </c>
      <c r="E5087" s="17">
        <v>46160</v>
      </c>
      <c r="F5087" s="17">
        <v>46160</v>
      </c>
      <c r="G5087" s="13">
        <v>60</v>
      </c>
      <c r="H5087" s="14">
        <v>0</v>
      </c>
      <c r="I5087" s="14">
        <v>0</v>
      </c>
      <c r="J5087" s="14">
        <v>0</v>
      </c>
      <c r="K5087" s="14">
        <v>60</v>
      </c>
      <c r="L5087" t="s">
        <v>794</v>
      </c>
      <c r="M5087" s="23">
        <f t="shared" si="80"/>
        <v>2026</v>
      </c>
    </row>
    <row r="5088" spans="1:13" ht="12.75" customHeight="1">
      <c r="A5088" t="s">
        <v>1033</v>
      </c>
      <c r="B5088" t="s">
        <v>555</v>
      </c>
      <c r="C5088" t="s">
        <v>646</v>
      </c>
      <c r="D5088" t="s">
        <v>1432</v>
      </c>
      <c r="E5088" s="17">
        <v>46161</v>
      </c>
      <c r="F5088" s="17">
        <v>46161</v>
      </c>
      <c r="G5088" s="13">
        <v>9</v>
      </c>
      <c r="H5088" s="14">
        <v>0</v>
      </c>
      <c r="I5088" s="14">
        <v>0</v>
      </c>
      <c r="J5088" s="14">
        <v>0</v>
      </c>
      <c r="K5088" s="14">
        <v>9</v>
      </c>
      <c r="L5088" t="s">
        <v>794</v>
      </c>
      <c r="M5088" s="23">
        <f t="shared" si="80"/>
        <v>2026</v>
      </c>
    </row>
    <row r="5089" spans="1:13" ht="12.75" customHeight="1">
      <c r="A5089" t="s">
        <v>1144</v>
      </c>
      <c r="B5089" t="s">
        <v>389</v>
      </c>
      <c r="C5089" t="s">
        <v>646</v>
      </c>
      <c r="D5089" t="s">
        <v>1432</v>
      </c>
      <c r="E5089" s="17">
        <v>46161</v>
      </c>
      <c r="F5089" s="17">
        <v>46161</v>
      </c>
      <c r="G5089" s="13">
        <v>30</v>
      </c>
      <c r="H5089" s="14">
        <v>0</v>
      </c>
      <c r="I5089" s="14">
        <v>0</v>
      </c>
      <c r="J5089" s="14">
        <v>0</v>
      </c>
      <c r="K5089" s="14">
        <v>30</v>
      </c>
      <c r="L5089" t="s">
        <v>794</v>
      </c>
      <c r="M5089" s="23">
        <f t="shared" si="80"/>
        <v>2026</v>
      </c>
    </row>
    <row r="5090" spans="1:13" ht="12.75" customHeight="1">
      <c r="A5090" t="s">
        <v>1144</v>
      </c>
      <c r="B5090" t="s">
        <v>389</v>
      </c>
      <c r="C5090" t="s">
        <v>646</v>
      </c>
      <c r="D5090" t="s">
        <v>1432</v>
      </c>
      <c r="E5090" s="17">
        <v>46161</v>
      </c>
      <c r="F5090" s="17">
        <v>46161</v>
      </c>
      <c r="G5090" s="13">
        <v>30</v>
      </c>
      <c r="H5090" s="14">
        <v>0</v>
      </c>
      <c r="I5090" s="14">
        <v>0</v>
      </c>
      <c r="J5090" s="14">
        <v>0</v>
      </c>
      <c r="K5090" s="14">
        <v>30</v>
      </c>
      <c r="L5090" t="s">
        <v>794</v>
      </c>
      <c r="M5090" s="23">
        <f t="shared" si="80"/>
        <v>2026</v>
      </c>
    </row>
    <row r="5091" spans="1:13" ht="12.75" customHeight="1">
      <c r="A5091" t="s">
        <v>1102</v>
      </c>
      <c r="B5091" t="s">
        <v>507</v>
      </c>
      <c r="C5091" t="s">
        <v>646</v>
      </c>
      <c r="D5091" t="s">
        <v>1432</v>
      </c>
      <c r="E5091" s="17">
        <v>46161</v>
      </c>
      <c r="F5091" s="17">
        <v>46161</v>
      </c>
      <c r="G5091" s="13">
        <v>25</v>
      </c>
      <c r="H5091" s="14">
        <v>0</v>
      </c>
      <c r="I5091" s="14">
        <v>0</v>
      </c>
      <c r="J5091" s="14">
        <v>0</v>
      </c>
      <c r="K5091" s="14">
        <v>25</v>
      </c>
      <c r="L5091" t="s">
        <v>794</v>
      </c>
      <c r="M5091" s="23">
        <f t="shared" si="80"/>
        <v>2026</v>
      </c>
    </row>
    <row r="5092" spans="1:13" ht="12.75" customHeight="1">
      <c r="A5092" t="s">
        <v>1313</v>
      </c>
      <c r="B5092" t="s">
        <v>362</v>
      </c>
      <c r="C5092" t="s">
        <v>647</v>
      </c>
      <c r="D5092" t="s">
        <v>1432</v>
      </c>
      <c r="E5092" s="17">
        <v>46161</v>
      </c>
      <c r="F5092" s="17">
        <v>46161</v>
      </c>
      <c r="G5092" s="13">
        <v>14.07</v>
      </c>
      <c r="H5092" s="14">
        <v>0</v>
      </c>
      <c r="I5092" s="14">
        <v>0</v>
      </c>
      <c r="J5092" s="14">
        <v>0</v>
      </c>
      <c r="K5092" s="14">
        <v>14.07</v>
      </c>
      <c r="L5092" t="s">
        <v>794</v>
      </c>
      <c r="M5092" s="23">
        <f t="shared" si="80"/>
        <v>2026</v>
      </c>
    </row>
    <row r="5093" spans="1:13" ht="12.75" customHeight="1">
      <c r="A5093" t="s">
        <v>1108</v>
      </c>
      <c r="B5093" t="s">
        <v>328</v>
      </c>
      <c r="C5093" t="s">
        <v>483</v>
      </c>
      <c r="D5093" t="s">
        <v>1432</v>
      </c>
      <c r="E5093" s="17">
        <v>46162</v>
      </c>
      <c r="F5093" s="17">
        <v>46162</v>
      </c>
      <c r="G5093" s="13">
        <v>58.76</v>
      </c>
      <c r="H5093" s="14">
        <v>0</v>
      </c>
      <c r="I5093" s="14">
        <v>0</v>
      </c>
      <c r="J5093" s="14">
        <v>0</v>
      </c>
      <c r="K5093" s="14">
        <v>58.76</v>
      </c>
      <c r="L5093" t="s">
        <v>794</v>
      </c>
      <c r="M5093" s="23">
        <f t="shared" si="80"/>
        <v>2026</v>
      </c>
    </row>
    <row r="5094" spans="1:13" ht="12.75" customHeight="1">
      <c r="A5094" t="s">
        <v>1498</v>
      </c>
      <c r="B5094" t="s">
        <v>606</v>
      </c>
      <c r="C5094" t="s">
        <v>141</v>
      </c>
      <c r="D5094" t="s">
        <v>1432</v>
      </c>
      <c r="E5094" s="17">
        <v>46162</v>
      </c>
      <c r="F5094" s="17">
        <v>46162</v>
      </c>
      <c r="G5094" s="13">
        <v>50</v>
      </c>
      <c r="H5094" s="14">
        <v>0</v>
      </c>
      <c r="I5094" s="14">
        <v>0</v>
      </c>
      <c r="J5094" s="14">
        <v>0</v>
      </c>
      <c r="K5094" s="14">
        <v>50</v>
      </c>
      <c r="L5094" t="s">
        <v>794</v>
      </c>
      <c r="M5094" s="23">
        <f t="shared" si="80"/>
        <v>2026</v>
      </c>
    </row>
    <row r="5095" spans="1:13" ht="12.75" customHeight="1">
      <c r="A5095" t="s">
        <v>907</v>
      </c>
      <c r="B5095" t="s">
        <v>291</v>
      </c>
      <c r="C5095" t="s">
        <v>483</v>
      </c>
      <c r="D5095" t="s">
        <v>1432</v>
      </c>
      <c r="E5095" s="17">
        <v>46163</v>
      </c>
      <c r="F5095" s="17">
        <v>46163</v>
      </c>
      <c r="G5095" s="13">
        <v>18.39</v>
      </c>
      <c r="H5095" s="14">
        <v>0</v>
      </c>
      <c r="I5095" s="14">
        <v>0</v>
      </c>
      <c r="J5095" s="14">
        <v>0</v>
      </c>
      <c r="K5095" s="14">
        <v>18.39</v>
      </c>
      <c r="L5095" t="s">
        <v>794</v>
      </c>
      <c r="M5095" s="23">
        <f t="shared" si="80"/>
        <v>2026</v>
      </c>
    </row>
    <row r="5096" spans="1:13" ht="12.75" customHeight="1">
      <c r="A5096" t="s">
        <v>906</v>
      </c>
      <c r="B5096" t="s">
        <v>289</v>
      </c>
      <c r="C5096" t="s">
        <v>483</v>
      </c>
      <c r="D5096" t="s">
        <v>1432</v>
      </c>
      <c r="E5096" s="17">
        <v>46163</v>
      </c>
      <c r="F5096" s="17">
        <v>46163</v>
      </c>
      <c r="G5096" s="13">
        <v>30</v>
      </c>
      <c r="H5096" s="14">
        <v>0</v>
      </c>
      <c r="I5096" s="14">
        <v>0</v>
      </c>
      <c r="J5096" s="14">
        <v>0</v>
      </c>
      <c r="K5096" s="14">
        <v>30</v>
      </c>
      <c r="L5096" t="s">
        <v>794</v>
      </c>
      <c r="M5096" s="23">
        <f t="shared" si="80"/>
        <v>2026</v>
      </c>
    </row>
    <row r="5097" spans="1:13" ht="12.75" customHeight="1">
      <c r="A5097" t="s">
        <v>921</v>
      </c>
      <c r="B5097" t="s">
        <v>184</v>
      </c>
      <c r="C5097" t="s">
        <v>646</v>
      </c>
      <c r="D5097" t="s">
        <v>1432</v>
      </c>
      <c r="E5097" s="17">
        <v>46163</v>
      </c>
      <c r="F5097" s="17">
        <v>46163</v>
      </c>
      <c r="G5097" s="13">
        <v>87.2</v>
      </c>
      <c r="H5097" s="14">
        <v>0</v>
      </c>
      <c r="I5097" s="14">
        <v>0</v>
      </c>
      <c r="J5097" s="14">
        <v>0</v>
      </c>
      <c r="K5097" s="14">
        <v>87.2</v>
      </c>
      <c r="L5097" t="s">
        <v>794</v>
      </c>
      <c r="M5097" s="23">
        <f t="shared" si="80"/>
        <v>2026</v>
      </c>
    </row>
    <row r="5098" spans="1:13" ht="12.75" customHeight="1">
      <c r="A5098" t="s">
        <v>907</v>
      </c>
      <c r="B5098" t="s">
        <v>291</v>
      </c>
      <c r="C5098" t="s">
        <v>483</v>
      </c>
      <c r="D5098" t="s">
        <v>1432</v>
      </c>
      <c r="E5098" s="17">
        <v>46163</v>
      </c>
      <c r="F5098" s="17">
        <v>46163</v>
      </c>
      <c r="G5098" s="13">
        <v>10.6</v>
      </c>
      <c r="H5098" s="14">
        <v>0</v>
      </c>
      <c r="I5098" s="14">
        <v>0</v>
      </c>
      <c r="J5098" s="14">
        <v>0</v>
      </c>
      <c r="K5098" s="14">
        <v>10.6</v>
      </c>
      <c r="L5098" t="s">
        <v>794</v>
      </c>
      <c r="M5098" s="23">
        <f t="shared" si="80"/>
        <v>2026</v>
      </c>
    </row>
    <row r="5099" spans="1:13" ht="12.75" customHeight="1">
      <c r="A5099" t="s">
        <v>906</v>
      </c>
      <c r="B5099" t="s">
        <v>289</v>
      </c>
      <c r="C5099" t="s">
        <v>483</v>
      </c>
      <c r="D5099" t="s">
        <v>1432</v>
      </c>
      <c r="E5099" s="17">
        <v>46163</v>
      </c>
      <c r="F5099" s="17">
        <v>46163</v>
      </c>
      <c r="G5099" s="13">
        <v>28</v>
      </c>
      <c r="H5099" s="14">
        <v>0</v>
      </c>
      <c r="I5099" s="14">
        <v>0</v>
      </c>
      <c r="J5099" s="14">
        <v>0</v>
      </c>
      <c r="K5099" s="14">
        <v>28</v>
      </c>
      <c r="L5099" t="s">
        <v>794</v>
      </c>
      <c r="M5099" s="23">
        <f t="shared" si="80"/>
        <v>2026</v>
      </c>
    </row>
    <row r="5100" spans="1:13" ht="12.75" customHeight="1">
      <c r="A5100" t="s">
        <v>907</v>
      </c>
      <c r="B5100" t="s">
        <v>291</v>
      </c>
      <c r="C5100" t="s">
        <v>483</v>
      </c>
      <c r="D5100" t="s">
        <v>1432</v>
      </c>
      <c r="E5100" s="17">
        <v>46164</v>
      </c>
      <c r="F5100" s="17">
        <v>46164</v>
      </c>
      <c r="G5100" s="13">
        <v>23.1</v>
      </c>
      <c r="H5100" s="14">
        <v>0</v>
      </c>
      <c r="I5100" s="14">
        <v>0</v>
      </c>
      <c r="J5100" s="14">
        <v>0</v>
      </c>
      <c r="K5100" s="14">
        <v>23.1</v>
      </c>
      <c r="L5100" t="s">
        <v>794</v>
      </c>
      <c r="M5100" s="23">
        <f t="shared" si="80"/>
        <v>2026</v>
      </c>
    </row>
    <row r="5101" spans="1:13" ht="12.75" customHeight="1">
      <c r="A5101" t="s">
        <v>808</v>
      </c>
      <c r="B5101" t="s">
        <v>154</v>
      </c>
      <c r="C5101" t="s">
        <v>693</v>
      </c>
      <c r="D5101" t="s">
        <v>1432</v>
      </c>
      <c r="E5101" s="17">
        <v>46164</v>
      </c>
      <c r="F5101" s="17">
        <v>46164</v>
      </c>
      <c r="G5101" s="13">
        <v>60</v>
      </c>
      <c r="H5101" s="14">
        <v>0</v>
      </c>
      <c r="I5101" s="14">
        <v>0</v>
      </c>
      <c r="J5101" s="14">
        <v>0</v>
      </c>
      <c r="K5101" s="14">
        <v>60</v>
      </c>
      <c r="L5101" t="s">
        <v>794</v>
      </c>
      <c r="M5101" s="23">
        <f t="shared" si="80"/>
        <v>2026</v>
      </c>
    </row>
    <row r="5102" spans="1:13" ht="12.75" customHeight="1">
      <c r="A5102" t="s">
        <v>1467</v>
      </c>
      <c r="B5102" t="s">
        <v>185</v>
      </c>
      <c r="C5102" t="s">
        <v>141</v>
      </c>
      <c r="D5102" t="s">
        <v>1432</v>
      </c>
      <c r="E5102" s="17">
        <v>46164</v>
      </c>
      <c r="F5102" s="17">
        <v>46164</v>
      </c>
      <c r="G5102" s="13">
        <v>50</v>
      </c>
      <c r="H5102" s="14">
        <v>0</v>
      </c>
      <c r="I5102" s="14">
        <v>0</v>
      </c>
      <c r="J5102" s="14">
        <v>0</v>
      </c>
      <c r="K5102" s="14">
        <v>50</v>
      </c>
      <c r="L5102" t="s">
        <v>794</v>
      </c>
      <c r="M5102" s="23">
        <f t="shared" si="80"/>
        <v>2026</v>
      </c>
    </row>
    <row r="5103" spans="1:13" ht="12.75" customHeight="1">
      <c r="A5103" t="s">
        <v>992</v>
      </c>
      <c r="B5103" t="s">
        <v>277</v>
      </c>
      <c r="C5103" t="s">
        <v>483</v>
      </c>
      <c r="D5103" t="s">
        <v>1432</v>
      </c>
      <c r="E5103" s="17">
        <v>46167</v>
      </c>
      <c r="F5103" s="17">
        <v>46167</v>
      </c>
      <c r="G5103" s="13">
        <v>19.900000000000002</v>
      </c>
      <c r="H5103" s="14">
        <v>0</v>
      </c>
      <c r="I5103" s="14">
        <v>0</v>
      </c>
      <c r="J5103" s="14">
        <v>0</v>
      </c>
      <c r="K5103" s="14">
        <v>19.900000000000002</v>
      </c>
      <c r="L5103" t="s">
        <v>794</v>
      </c>
      <c r="M5103" s="23">
        <f t="shared" si="80"/>
        <v>2026</v>
      </c>
    </row>
    <row r="5104" spans="1:13" ht="12.75" customHeight="1">
      <c r="A5104" t="s">
        <v>1117</v>
      </c>
      <c r="B5104" t="s">
        <v>428</v>
      </c>
      <c r="C5104" t="s">
        <v>646</v>
      </c>
      <c r="D5104" t="s">
        <v>1432</v>
      </c>
      <c r="E5104" s="17">
        <v>46167</v>
      </c>
      <c r="F5104" s="17">
        <v>46167</v>
      </c>
      <c r="G5104" s="13">
        <v>30</v>
      </c>
      <c r="H5104" s="14">
        <v>0</v>
      </c>
      <c r="I5104" s="14">
        <v>0</v>
      </c>
      <c r="J5104" s="14">
        <v>0</v>
      </c>
      <c r="K5104" s="14">
        <v>30</v>
      </c>
      <c r="L5104" t="s">
        <v>794</v>
      </c>
      <c r="M5104" s="23">
        <f t="shared" si="80"/>
        <v>2026</v>
      </c>
    </row>
    <row r="5105" spans="1:13" ht="12.75" customHeight="1">
      <c r="A5105" t="s">
        <v>906</v>
      </c>
      <c r="B5105" t="s">
        <v>289</v>
      </c>
      <c r="C5105" t="s">
        <v>483</v>
      </c>
      <c r="D5105" t="s">
        <v>1432</v>
      </c>
      <c r="E5105" s="17">
        <v>46167</v>
      </c>
      <c r="F5105" s="17">
        <v>46167</v>
      </c>
      <c r="G5105" s="13">
        <v>44</v>
      </c>
      <c r="H5105" s="14">
        <v>0</v>
      </c>
      <c r="I5105" s="14">
        <v>0</v>
      </c>
      <c r="J5105" s="14">
        <v>0</v>
      </c>
      <c r="K5105" s="14">
        <v>44</v>
      </c>
      <c r="L5105" t="s">
        <v>794</v>
      </c>
      <c r="M5105" s="23">
        <f t="shared" si="80"/>
        <v>2026</v>
      </c>
    </row>
    <row r="5106" spans="1:13" ht="12.75" customHeight="1">
      <c r="A5106" t="s">
        <v>1108</v>
      </c>
      <c r="B5106" t="s">
        <v>328</v>
      </c>
      <c r="C5106" t="s">
        <v>483</v>
      </c>
      <c r="D5106" t="s">
        <v>1432</v>
      </c>
      <c r="E5106" s="17">
        <v>46167</v>
      </c>
      <c r="F5106" s="17">
        <v>46167</v>
      </c>
      <c r="G5106" s="13">
        <v>67.69</v>
      </c>
      <c r="H5106" s="14">
        <v>0</v>
      </c>
      <c r="I5106" s="14">
        <v>0</v>
      </c>
      <c r="J5106" s="14">
        <v>0</v>
      </c>
      <c r="K5106" s="14">
        <v>67.69</v>
      </c>
      <c r="L5106" t="s">
        <v>794</v>
      </c>
      <c r="M5106" s="23">
        <f t="shared" si="80"/>
        <v>2026</v>
      </c>
    </row>
    <row r="5107" spans="1:13" ht="12.75" customHeight="1">
      <c r="A5107" t="s">
        <v>836</v>
      </c>
      <c r="B5107" t="s">
        <v>37</v>
      </c>
      <c r="C5107" t="s">
        <v>138</v>
      </c>
      <c r="D5107" t="s">
        <v>1432</v>
      </c>
      <c r="E5107" s="17">
        <v>46143</v>
      </c>
      <c r="F5107" s="17">
        <v>46143</v>
      </c>
      <c r="G5107" s="13">
        <v>255.42000000000002</v>
      </c>
      <c r="H5107" s="14">
        <v>0</v>
      </c>
      <c r="I5107" s="14">
        <v>0</v>
      </c>
      <c r="J5107" s="14">
        <v>0</v>
      </c>
      <c r="K5107" s="14">
        <v>255.42000000000002</v>
      </c>
      <c r="L5107" t="s">
        <v>794</v>
      </c>
      <c r="M5107" s="23">
        <f t="shared" si="80"/>
        <v>2026</v>
      </c>
    </row>
    <row r="5108" spans="1:13" ht="12.75" customHeight="1">
      <c r="A5108" t="s">
        <v>811</v>
      </c>
      <c r="B5108" t="s">
        <v>39</v>
      </c>
      <c r="C5108" t="s">
        <v>138</v>
      </c>
      <c r="D5108" t="s">
        <v>1432</v>
      </c>
      <c r="E5108" s="17">
        <v>46143</v>
      </c>
      <c r="F5108" s="17">
        <v>46143</v>
      </c>
      <c r="G5108" s="13">
        <v>255.42000000000002</v>
      </c>
      <c r="H5108" s="14">
        <v>0</v>
      </c>
      <c r="I5108" s="14">
        <v>0</v>
      </c>
      <c r="J5108" s="14">
        <v>0</v>
      </c>
      <c r="K5108" s="14">
        <v>255.42000000000002</v>
      </c>
      <c r="L5108" t="s">
        <v>794</v>
      </c>
      <c r="M5108" s="23">
        <f t="shared" si="80"/>
        <v>2026</v>
      </c>
    </row>
    <row r="5109" spans="1:13" ht="12.75" customHeight="1">
      <c r="A5109" t="s">
        <v>1420</v>
      </c>
      <c r="B5109" t="s">
        <v>136</v>
      </c>
      <c r="C5109" t="s">
        <v>138</v>
      </c>
      <c r="D5109" t="s">
        <v>1432</v>
      </c>
      <c r="E5109" s="17">
        <v>46143</v>
      </c>
      <c r="F5109" s="17">
        <v>46143</v>
      </c>
      <c r="G5109" s="13">
        <v>255.42000000000002</v>
      </c>
      <c r="H5109" s="14">
        <v>0</v>
      </c>
      <c r="I5109" s="14">
        <v>0</v>
      </c>
      <c r="J5109" s="14">
        <v>0</v>
      </c>
      <c r="K5109" s="14">
        <v>255.42000000000002</v>
      </c>
      <c r="L5109" t="s">
        <v>794</v>
      </c>
      <c r="M5109" s="23">
        <f t="shared" si="80"/>
        <v>2026</v>
      </c>
    </row>
    <row r="5110" spans="1:13" ht="12.75" customHeight="1">
      <c r="A5110" t="s">
        <v>826</v>
      </c>
      <c r="B5110" t="s">
        <v>21</v>
      </c>
      <c r="C5110" t="s">
        <v>138</v>
      </c>
      <c r="D5110" t="s">
        <v>1432</v>
      </c>
      <c r="E5110" s="17">
        <v>46143</v>
      </c>
      <c r="F5110" s="17">
        <v>46143</v>
      </c>
      <c r="G5110" s="13">
        <v>255.42000000000002</v>
      </c>
      <c r="H5110" s="14">
        <v>0</v>
      </c>
      <c r="I5110" s="14">
        <v>0</v>
      </c>
      <c r="J5110" s="14">
        <v>0</v>
      </c>
      <c r="K5110" s="14">
        <v>255.42000000000002</v>
      </c>
      <c r="L5110" t="s">
        <v>794</v>
      </c>
      <c r="M5110" s="23">
        <f t="shared" si="80"/>
        <v>2026</v>
      </c>
    </row>
    <row r="5111" spans="1:13" ht="12.75" customHeight="1">
      <c r="A5111" t="s">
        <v>825</v>
      </c>
      <c r="B5111" t="s">
        <v>46</v>
      </c>
      <c r="C5111" t="s">
        <v>138</v>
      </c>
      <c r="D5111" t="s">
        <v>1432</v>
      </c>
      <c r="E5111" s="17">
        <v>46143</v>
      </c>
      <c r="F5111" s="17">
        <v>46143</v>
      </c>
      <c r="G5111" s="13">
        <v>131.82</v>
      </c>
      <c r="H5111" s="14">
        <v>0</v>
      </c>
      <c r="I5111" s="14">
        <v>0</v>
      </c>
      <c r="J5111" s="14">
        <v>0</v>
      </c>
      <c r="K5111" s="14">
        <v>131.82</v>
      </c>
      <c r="L5111" t="s">
        <v>794</v>
      </c>
      <c r="M5111" s="23">
        <f t="shared" si="80"/>
        <v>2026</v>
      </c>
    </row>
    <row r="5112" spans="1:13" ht="12.75" customHeight="1">
      <c r="A5112" t="s">
        <v>1134</v>
      </c>
      <c r="B5112" t="s">
        <v>33</v>
      </c>
      <c r="C5112" t="s">
        <v>138</v>
      </c>
      <c r="D5112" t="s">
        <v>1432</v>
      </c>
      <c r="E5112" s="17">
        <v>46143</v>
      </c>
      <c r="F5112" s="17">
        <v>46143</v>
      </c>
      <c r="G5112" s="13">
        <v>255.42000000000002</v>
      </c>
      <c r="H5112" s="14">
        <v>0</v>
      </c>
      <c r="I5112" s="14">
        <v>0</v>
      </c>
      <c r="J5112" s="14">
        <v>0</v>
      </c>
      <c r="K5112" s="14">
        <v>255.42000000000002</v>
      </c>
      <c r="L5112" t="s">
        <v>794</v>
      </c>
      <c r="M5112" s="23">
        <f t="shared" si="80"/>
        <v>2026</v>
      </c>
    </row>
    <row r="5113" spans="1:13" ht="12.75" customHeight="1">
      <c r="A5113" t="s">
        <v>1104</v>
      </c>
      <c r="B5113" t="s">
        <v>53</v>
      </c>
      <c r="C5113" t="s">
        <v>138</v>
      </c>
      <c r="D5113" t="s">
        <v>1432</v>
      </c>
      <c r="E5113" s="17">
        <v>46143</v>
      </c>
      <c r="F5113" s="17">
        <v>46143</v>
      </c>
      <c r="G5113" s="13">
        <v>255.42000000000002</v>
      </c>
      <c r="H5113" s="14">
        <v>0</v>
      </c>
      <c r="I5113" s="14">
        <v>0</v>
      </c>
      <c r="J5113" s="14">
        <v>0</v>
      </c>
      <c r="K5113" s="14">
        <v>255.42000000000002</v>
      </c>
      <c r="L5113" t="s">
        <v>794</v>
      </c>
      <c r="M5113" s="23">
        <f t="shared" si="80"/>
        <v>2026</v>
      </c>
    </row>
    <row r="5114" spans="1:13" ht="12.75" customHeight="1">
      <c r="A5114" t="s">
        <v>1105</v>
      </c>
      <c r="B5114" t="s">
        <v>1395</v>
      </c>
      <c r="C5114" t="s">
        <v>138</v>
      </c>
      <c r="D5114" t="s">
        <v>1432</v>
      </c>
      <c r="E5114" s="17">
        <v>46143</v>
      </c>
      <c r="F5114" s="17">
        <v>46143</v>
      </c>
      <c r="G5114" s="13">
        <v>255.42000000000002</v>
      </c>
      <c r="H5114" s="14">
        <v>0</v>
      </c>
      <c r="I5114" s="14">
        <v>0</v>
      </c>
      <c r="J5114" s="14">
        <v>0</v>
      </c>
      <c r="K5114" s="14">
        <v>255.42000000000002</v>
      </c>
      <c r="L5114" t="s">
        <v>794</v>
      </c>
      <c r="M5114" s="23">
        <f t="shared" si="80"/>
        <v>2026</v>
      </c>
    </row>
    <row r="5115" spans="1:13" ht="12.75" customHeight="1">
      <c r="A5115" t="s">
        <v>1467</v>
      </c>
      <c r="B5115" t="s">
        <v>185</v>
      </c>
      <c r="C5115" t="s">
        <v>138</v>
      </c>
      <c r="D5115" t="s">
        <v>1432</v>
      </c>
      <c r="E5115" s="17">
        <v>46143</v>
      </c>
      <c r="F5115" s="17">
        <v>46143</v>
      </c>
      <c r="G5115" s="13">
        <v>255.42000000000002</v>
      </c>
      <c r="H5115" s="14">
        <v>0</v>
      </c>
      <c r="I5115" s="14">
        <v>0</v>
      </c>
      <c r="J5115" s="14">
        <v>0</v>
      </c>
      <c r="K5115" s="14">
        <v>255.42000000000002</v>
      </c>
      <c r="L5115" t="s">
        <v>794</v>
      </c>
      <c r="M5115" s="23">
        <f t="shared" si="80"/>
        <v>2026</v>
      </c>
    </row>
    <row r="5116" spans="1:13" ht="12.75" customHeight="1">
      <c r="A5116" t="s">
        <v>1173</v>
      </c>
      <c r="B5116" t="s">
        <v>45</v>
      </c>
      <c r="C5116" t="s">
        <v>138</v>
      </c>
      <c r="D5116" t="s">
        <v>1432</v>
      </c>
      <c r="E5116" s="17">
        <v>46143</v>
      </c>
      <c r="F5116" s="17">
        <v>46143</v>
      </c>
      <c r="G5116" s="13">
        <v>255.42000000000002</v>
      </c>
      <c r="H5116" s="14">
        <v>0</v>
      </c>
      <c r="I5116" s="14">
        <v>0</v>
      </c>
      <c r="J5116" s="14">
        <v>0</v>
      </c>
      <c r="K5116" s="14">
        <v>255.42000000000002</v>
      </c>
      <c r="L5116" t="s">
        <v>794</v>
      </c>
      <c r="M5116" s="23">
        <f t="shared" si="80"/>
        <v>2026</v>
      </c>
    </row>
    <row r="5117" spans="1:13" ht="12.75" customHeight="1">
      <c r="A5117" t="s">
        <v>1316</v>
      </c>
      <c r="B5117" t="s">
        <v>59</v>
      </c>
      <c r="C5117" t="s">
        <v>138</v>
      </c>
      <c r="D5117" t="s">
        <v>1432</v>
      </c>
      <c r="E5117" s="17">
        <v>46143</v>
      </c>
      <c r="F5117" s="17">
        <v>46143</v>
      </c>
      <c r="G5117" s="13">
        <v>255.42000000000002</v>
      </c>
      <c r="H5117" s="14">
        <v>0</v>
      </c>
      <c r="I5117" s="14">
        <v>0</v>
      </c>
      <c r="J5117" s="14">
        <v>0</v>
      </c>
      <c r="K5117" s="14">
        <v>255.42000000000002</v>
      </c>
      <c r="L5117" t="s">
        <v>794</v>
      </c>
      <c r="M5117" s="23">
        <f t="shared" si="80"/>
        <v>2026</v>
      </c>
    </row>
    <row r="5118" spans="1:13" ht="12.75" customHeight="1">
      <c r="A5118" t="s">
        <v>961</v>
      </c>
      <c r="B5118" t="s">
        <v>41</v>
      </c>
      <c r="C5118" t="s">
        <v>138</v>
      </c>
      <c r="D5118" t="s">
        <v>1432</v>
      </c>
      <c r="E5118" s="17">
        <v>46143</v>
      </c>
      <c r="F5118" s="17">
        <v>46143</v>
      </c>
      <c r="G5118" s="13">
        <v>255.42000000000002</v>
      </c>
      <c r="H5118" s="14">
        <v>0</v>
      </c>
      <c r="I5118" s="14">
        <v>0</v>
      </c>
      <c r="J5118" s="14">
        <v>0</v>
      </c>
      <c r="K5118" s="14">
        <v>255.42000000000002</v>
      </c>
      <c r="L5118" t="s">
        <v>794</v>
      </c>
      <c r="M5118" s="23">
        <f t="shared" si="80"/>
        <v>2026</v>
      </c>
    </row>
    <row r="5119" spans="1:13" ht="12.75" customHeight="1">
      <c r="A5119" t="s">
        <v>1167</v>
      </c>
      <c r="B5119" t="s">
        <v>47</v>
      </c>
      <c r="C5119" t="s">
        <v>138</v>
      </c>
      <c r="D5119" t="s">
        <v>1432</v>
      </c>
      <c r="E5119" s="17">
        <v>46143</v>
      </c>
      <c r="F5119" s="17">
        <v>46143</v>
      </c>
      <c r="G5119" s="13">
        <v>255.42000000000002</v>
      </c>
      <c r="H5119" s="14">
        <v>0</v>
      </c>
      <c r="I5119" s="14">
        <v>0</v>
      </c>
      <c r="J5119" s="14">
        <v>0</v>
      </c>
      <c r="K5119" s="14">
        <v>255.42000000000002</v>
      </c>
      <c r="L5119" t="s">
        <v>794</v>
      </c>
      <c r="M5119" s="23">
        <f t="shared" si="80"/>
        <v>2026</v>
      </c>
    </row>
    <row r="5120" spans="1:13" ht="12.75" customHeight="1">
      <c r="A5120" t="s">
        <v>819</v>
      </c>
      <c r="B5120" t="s">
        <v>38</v>
      </c>
      <c r="C5120" t="s">
        <v>138</v>
      </c>
      <c r="D5120" t="s">
        <v>1432</v>
      </c>
      <c r="E5120" s="17">
        <v>46143</v>
      </c>
      <c r="F5120" s="17">
        <v>46143</v>
      </c>
      <c r="G5120" s="13">
        <v>255.42000000000002</v>
      </c>
      <c r="H5120" s="14">
        <v>0</v>
      </c>
      <c r="I5120" s="14">
        <v>0</v>
      </c>
      <c r="J5120" s="14">
        <v>0</v>
      </c>
      <c r="K5120" s="14">
        <v>255.42000000000002</v>
      </c>
      <c r="L5120" t="s">
        <v>794</v>
      </c>
      <c r="M5120" s="23">
        <f t="shared" si="80"/>
        <v>2026</v>
      </c>
    </row>
    <row r="5121" spans="1:13" ht="12.75" customHeight="1">
      <c r="A5121" t="s">
        <v>1446</v>
      </c>
      <c r="B5121" t="s">
        <v>167</v>
      </c>
      <c r="C5121" t="s">
        <v>138</v>
      </c>
      <c r="D5121" t="s">
        <v>1432</v>
      </c>
      <c r="E5121" s="17">
        <v>46143</v>
      </c>
      <c r="F5121" s="17">
        <v>46143</v>
      </c>
      <c r="G5121" s="13">
        <v>255.42000000000002</v>
      </c>
      <c r="H5121" s="14">
        <v>0</v>
      </c>
      <c r="I5121" s="14">
        <v>0</v>
      </c>
      <c r="J5121" s="14">
        <v>0</v>
      </c>
      <c r="K5121" s="14">
        <v>255.42000000000002</v>
      </c>
      <c r="L5121" t="s">
        <v>794</v>
      </c>
      <c r="M5121" s="23">
        <f t="shared" si="80"/>
        <v>2026</v>
      </c>
    </row>
    <row r="5122" spans="1:13" ht="12.75" customHeight="1">
      <c r="A5122" t="s">
        <v>1196</v>
      </c>
      <c r="B5122" t="s">
        <v>1197</v>
      </c>
      <c r="C5122" t="s">
        <v>138</v>
      </c>
      <c r="D5122" t="s">
        <v>1432</v>
      </c>
      <c r="E5122" s="17">
        <v>46143</v>
      </c>
      <c r="F5122" s="17">
        <v>46143</v>
      </c>
      <c r="G5122" s="13">
        <v>255.42000000000002</v>
      </c>
      <c r="H5122" s="14">
        <v>0</v>
      </c>
      <c r="I5122" s="14">
        <v>0</v>
      </c>
      <c r="J5122" s="14">
        <v>0</v>
      </c>
      <c r="K5122" s="14">
        <v>255.42000000000002</v>
      </c>
      <c r="L5122" t="s">
        <v>794</v>
      </c>
      <c r="M5122" s="23">
        <f t="shared" si="80"/>
        <v>2026</v>
      </c>
    </row>
    <row r="5123" spans="1:13" ht="12.75" customHeight="1">
      <c r="A5123" t="s">
        <v>1482</v>
      </c>
      <c r="B5123" t="s">
        <v>394</v>
      </c>
      <c r="C5123" t="s">
        <v>138</v>
      </c>
      <c r="D5123" t="s">
        <v>1432</v>
      </c>
      <c r="E5123" s="17">
        <v>46143</v>
      </c>
      <c r="F5123" s="17">
        <v>46143</v>
      </c>
      <c r="G5123" s="13">
        <v>255.42000000000002</v>
      </c>
      <c r="H5123" s="14">
        <v>0</v>
      </c>
      <c r="I5123" s="14">
        <v>0</v>
      </c>
      <c r="J5123" s="14">
        <v>0</v>
      </c>
      <c r="K5123" s="14">
        <v>255.42000000000002</v>
      </c>
      <c r="L5123" t="s">
        <v>794</v>
      </c>
      <c r="M5123" s="23">
        <f t="shared" si="80"/>
        <v>2026</v>
      </c>
    </row>
    <row r="5124" spans="1:13" ht="12.75" customHeight="1">
      <c r="A5124" t="s">
        <v>1317</v>
      </c>
      <c r="B5124" t="s">
        <v>64</v>
      </c>
      <c r="C5124" t="s">
        <v>138</v>
      </c>
      <c r="D5124" t="s">
        <v>1432</v>
      </c>
      <c r="E5124" s="17">
        <v>46143</v>
      </c>
      <c r="F5124" s="17">
        <v>46143</v>
      </c>
      <c r="G5124" s="13">
        <v>255.42000000000002</v>
      </c>
      <c r="H5124" s="14">
        <v>0</v>
      </c>
      <c r="I5124" s="14">
        <v>0</v>
      </c>
      <c r="J5124" s="14">
        <v>0</v>
      </c>
      <c r="K5124" s="14">
        <v>255.42000000000002</v>
      </c>
      <c r="L5124" t="s">
        <v>794</v>
      </c>
      <c r="M5124" s="23">
        <f t="shared" si="80"/>
        <v>2026</v>
      </c>
    </row>
    <row r="5125" spans="1:13" ht="12.75" customHeight="1">
      <c r="A5125" t="s">
        <v>1499</v>
      </c>
      <c r="B5125" t="s">
        <v>327</v>
      </c>
      <c r="C5125" t="s">
        <v>138</v>
      </c>
      <c r="D5125" t="s">
        <v>1432</v>
      </c>
      <c r="E5125" s="17">
        <v>46143</v>
      </c>
      <c r="F5125" s="17">
        <v>46143</v>
      </c>
      <c r="G5125" s="13">
        <v>255.42000000000002</v>
      </c>
      <c r="H5125" s="14">
        <v>0</v>
      </c>
      <c r="I5125" s="14">
        <v>0</v>
      </c>
      <c r="J5125" s="14">
        <v>0</v>
      </c>
      <c r="K5125" s="14">
        <v>255.42000000000002</v>
      </c>
      <c r="L5125" t="s">
        <v>794</v>
      </c>
      <c r="M5125" s="23">
        <f t="shared" si="80"/>
        <v>2026</v>
      </c>
    </row>
    <row r="5126" spans="1:13" ht="12.75" customHeight="1">
      <c r="A5126" t="s">
        <v>833</v>
      </c>
      <c r="B5126" t="s">
        <v>27</v>
      </c>
      <c r="C5126" t="s">
        <v>138</v>
      </c>
      <c r="D5126" t="s">
        <v>1432</v>
      </c>
      <c r="E5126" s="17">
        <v>46143</v>
      </c>
      <c r="F5126" s="17">
        <v>46143</v>
      </c>
      <c r="G5126" s="13">
        <v>255.42000000000002</v>
      </c>
      <c r="H5126" s="14">
        <v>0</v>
      </c>
      <c r="I5126" s="14">
        <v>0</v>
      </c>
      <c r="J5126" s="14">
        <v>0</v>
      </c>
      <c r="K5126" s="14">
        <v>255.42000000000002</v>
      </c>
      <c r="L5126" t="s">
        <v>794</v>
      </c>
      <c r="M5126" s="23">
        <f t="shared" si="80"/>
        <v>2026</v>
      </c>
    </row>
    <row r="5127" spans="1:13" ht="12.75" customHeight="1">
      <c r="A5127" t="s">
        <v>1112</v>
      </c>
      <c r="B5127" t="s">
        <v>68</v>
      </c>
      <c r="C5127" t="s">
        <v>138</v>
      </c>
      <c r="D5127" t="s">
        <v>1432</v>
      </c>
      <c r="E5127" s="17">
        <v>46143</v>
      </c>
      <c r="F5127" s="17">
        <v>46143</v>
      </c>
      <c r="G5127" s="13">
        <v>255.42000000000002</v>
      </c>
      <c r="H5127" s="14">
        <v>0</v>
      </c>
      <c r="I5127" s="14">
        <v>0</v>
      </c>
      <c r="J5127" s="14">
        <v>0</v>
      </c>
      <c r="K5127" s="14">
        <v>255.42000000000002</v>
      </c>
      <c r="L5127" t="s">
        <v>794</v>
      </c>
      <c r="M5127" s="23">
        <f t="shared" si="80"/>
        <v>2026</v>
      </c>
    </row>
    <row r="5128" spans="1:13" ht="12.75" customHeight="1">
      <c r="A5128" t="s">
        <v>818</v>
      </c>
      <c r="B5128" t="s">
        <v>30</v>
      </c>
      <c r="C5128" t="s">
        <v>138</v>
      </c>
      <c r="D5128" t="s">
        <v>1432</v>
      </c>
      <c r="E5128" s="17">
        <v>46143</v>
      </c>
      <c r="F5128" s="17">
        <v>46143</v>
      </c>
      <c r="G5128" s="13">
        <v>255.42000000000002</v>
      </c>
      <c r="H5128" s="14">
        <v>0</v>
      </c>
      <c r="I5128" s="14">
        <v>0</v>
      </c>
      <c r="J5128" s="14">
        <v>0</v>
      </c>
      <c r="K5128" s="14">
        <v>255.42000000000002</v>
      </c>
      <c r="L5128" t="s">
        <v>794</v>
      </c>
      <c r="M5128" s="23">
        <f t="shared" si="80"/>
        <v>2026</v>
      </c>
    </row>
    <row r="5129" spans="1:13" ht="12.75" customHeight="1">
      <c r="A5129" t="s">
        <v>1134</v>
      </c>
      <c r="B5129" t="s">
        <v>33</v>
      </c>
      <c r="C5129" t="s">
        <v>139</v>
      </c>
      <c r="D5129" t="s">
        <v>1432</v>
      </c>
      <c r="E5129" s="17">
        <v>46143</v>
      </c>
      <c r="F5129" s="17">
        <v>46143</v>
      </c>
      <c r="G5129" s="13">
        <v>168.84</v>
      </c>
      <c r="H5129" s="14">
        <v>0</v>
      </c>
      <c r="I5129" s="14">
        <v>0</v>
      </c>
      <c r="J5129" s="14">
        <v>0</v>
      </c>
      <c r="K5129" s="14">
        <v>168.84</v>
      </c>
      <c r="L5129" t="s">
        <v>794</v>
      </c>
      <c r="M5129" s="23">
        <f t="shared" si="80"/>
        <v>2026</v>
      </c>
    </row>
    <row r="5130" spans="1:13" ht="12.75" customHeight="1">
      <c r="A5130" t="s">
        <v>1317</v>
      </c>
      <c r="B5130" t="s">
        <v>64</v>
      </c>
      <c r="C5130" t="s">
        <v>139</v>
      </c>
      <c r="D5130" t="s">
        <v>1432</v>
      </c>
      <c r="E5130" s="17">
        <v>46143</v>
      </c>
      <c r="F5130" s="17">
        <v>46143</v>
      </c>
      <c r="G5130" s="13">
        <v>431.48</v>
      </c>
      <c r="H5130" s="14">
        <v>0</v>
      </c>
      <c r="I5130" s="14">
        <v>0</v>
      </c>
      <c r="J5130" s="14">
        <v>0</v>
      </c>
      <c r="K5130" s="14">
        <v>431.48</v>
      </c>
      <c r="L5130" t="s">
        <v>794</v>
      </c>
      <c r="M5130" s="23">
        <f t="shared" si="80"/>
        <v>2026</v>
      </c>
    </row>
    <row r="5131" spans="1:13" ht="12.75" customHeight="1">
      <c r="A5131" t="s">
        <v>1316</v>
      </c>
      <c r="B5131" t="s">
        <v>59</v>
      </c>
      <c r="C5131" t="s">
        <v>139</v>
      </c>
      <c r="D5131" t="s">
        <v>1432</v>
      </c>
      <c r="E5131" s="17">
        <v>46143</v>
      </c>
      <c r="F5131" s="17">
        <v>46143</v>
      </c>
      <c r="G5131" s="13">
        <v>393.96000000000004</v>
      </c>
      <c r="H5131" s="14">
        <v>0</v>
      </c>
      <c r="I5131" s="14">
        <v>0</v>
      </c>
      <c r="J5131" s="14">
        <v>0</v>
      </c>
      <c r="K5131" s="14">
        <v>393.96000000000004</v>
      </c>
      <c r="L5131" t="s">
        <v>794</v>
      </c>
      <c r="M5131" s="23">
        <f t="shared" si="80"/>
        <v>2026</v>
      </c>
    </row>
    <row r="5132" spans="1:13" ht="12.75" customHeight="1">
      <c r="A5132" t="s">
        <v>961</v>
      </c>
      <c r="B5132" t="s">
        <v>41</v>
      </c>
      <c r="C5132" t="s">
        <v>139</v>
      </c>
      <c r="D5132" t="s">
        <v>1432</v>
      </c>
      <c r="E5132" s="17">
        <v>46143</v>
      </c>
      <c r="F5132" s="17">
        <v>46143</v>
      </c>
      <c r="G5132" s="13">
        <v>375.2</v>
      </c>
      <c r="H5132" s="14">
        <v>0</v>
      </c>
      <c r="I5132" s="14">
        <v>0</v>
      </c>
      <c r="J5132" s="14">
        <v>0</v>
      </c>
      <c r="K5132" s="14">
        <v>375.2</v>
      </c>
      <c r="L5132" t="s">
        <v>794</v>
      </c>
      <c r="M5132" s="23">
        <f t="shared" si="80"/>
        <v>2026</v>
      </c>
    </row>
    <row r="5133" spans="1:13" ht="12.75" customHeight="1">
      <c r="A5133" t="s">
        <v>826</v>
      </c>
      <c r="B5133" t="s">
        <v>21</v>
      </c>
      <c r="C5133" t="s">
        <v>139</v>
      </c>
      <c r="D5133" t="s">
        <v>1432</v>
      </c>
      <c r="E5133" s="17">
        <v>46143</v>
      </c>
      <c r="F5133" s="17">
        <v>46143</v>
      </c>
      <c r="G5133" s="13">
        <v>244.20000000000002</v>
      </c>
      <c r="H5133" s="14">
        <v>0</v>
      </c>
      <c r="I5133" s="14">
        <v>0</v>
      </c>
      <c r="J5133" s="14">
        <v>0</v>
      </c>
      <c r="K5133" s="14">
        <v>244.20000000000002</v>
      </c>
      <c r="L5133" t="s">
        <v>794</v>
      </c>
      <c r="M5133" s="23">
        <f t="shared" si="80"/>
        <v>2026</v>
      </c>
    </row>
    <row r="5134" spans="1:13" ht="12.75" customHeight="1">
      <c r="A5134" t="s">
        <v>1167</v>
      </c>
      <c r="B5134" t="s">
        <v>47</v>
      </c>
      <c r="C5134" t="s">
        <v>139</v>
      </c>
      <c r="D5134" t="s">
        <v>1432</v>
      </c>
      <c r="E5134" s="17">
        <v>46143</v>
      </c>
      <c r="F5134" s="17">
        <v>46143</v>
      </c>
      <c r="G5134" s="13">
        <v>356.44</v>
      </c>
      <c r="H5134" s="14">
        <v>0</v>
      </c>
      <c r="I5134" s="14">
        <v>0</v>
      </c>
      <c r="J5134" s="14">
        <v>0</v>
      </c>
      <c r="K5134" s="14">
        <v>356.44</v>
      </c>
      <c r="L5134" t="s">
        <v>794</v>
      </c>
      <c r="M5134" s="23">
        <f t="shared" si="80"/>
        <v>2026</v>
      </c>
    </row>
    <row r="5135" spans="1:13" ht="12.75" customHeight="1">
      <c r="A5135" t="s">
        <v>1196</v>
      </c>
      <c r="B5135" t="s">
        <v>1197</v>
      </c>
      <c r="C5135" t="s">
        <v>139</v>
      </c>
      <c r="D5135" t="s">
        <v>1432</v>
      </c>
      <c r="E5135" s="17">
        <v>46143</v>
      </c>
      <c r="F5135" s="17">
        <v>46143</v>
      </c>
      <c r="G5135" s="13">
        <v>412.72</v>
      </c>
      <c r="H5135" s="14">
        <v>0</v>
      </c>
      <c r="I5135" s="14">
        <v>0</v>
      </c>
      <c r="J5135" s="14">
        <v>0</v>
      </c>
      <c r="K5135" s="14">
        <v>412.72</v>
      </c>
      <c r="L5135" t="s">
        <v>794</v>
      </c>
      <c r="M5135" s="23">
        <f t="shared" si="80"/>
        <v>2026</v>
      </c>
    </row>
    <row r="5136" spans="1:13" ht="12.75" customHeight="1">
      <c r="A5136" t="s">
        <v>1173</v>
      </c>
      <c r="B5136" t="s">
        <v>45</v>
      </c>
      <c r="C5136" t="s">
        <v>139</v>
      </c>
      <c r="D5136" t="s">
        <v>1432</v>
      </c>
      <c r="E5136" s="17">
        <v>46143</v>
      </c>
      <c r="F5136" s="17">
        <v>46143</v>
      </c>
      <c r="G5136" s="13">
        <v>337.68</v>
      </c>
      <c r="H5136" s="14">
        <v>0</v>
      </c>
      <c r="I5136" s="14">
        <v>0</v>
      </c>
      <c r="J5136" s="14">
        <v>0</v>
      </c>
      <c r="K5136" s="14">
        <v>337.68</v>
      </c>
      <c r="L5136" t="s">
        <v>794</v>
      </c>
      <c r="M5136" s="23">
        <f t="shared" si="80"/>
        <v>2026</v>
      </c>
    </row>
    <row r="5137" spans="1:13" ht="12.75" customHeight="1">
      <c r="A5137" t="s">
        <v>1105</v>
      </c>
      <c r="B5137" t="s">
        <v>1395</v>
      </c>
      <c r="C5137" t="s">
        <v>139</v>
      </c>
      <c r="D5137" t="s">
        <v>1378</v>
      </c>
      <c r="E5137" s="17">
        <v>46143</v>
      </c>
      <c r="F5137" s="17">
        <v>46143</v>
      </c>
      <c r="G5137" s="13">
        <v>393.96000000000004</v>
      </c>
      <c r="H5137" s="14">
        <v>0</v>
      </c>
      <c r="I5137" s="14">
        <v>0</v>
      </c>
      <c r="J5137" s="14">
        <v>0</v>
      </c>
      <c r="K5137" s="14">
        <v>393.96000000000004</v>
      </c>
      <c r="L5137" t="s">
        <v>794</v>
      </c>
      <c r="M5137" s="23">
        <f t="shared" si="80"/>
        <v>2026</v>
      </c>
    </row>
    <row r="5138" spans="1:13" ht="12.75" customHeight="1">
      <c r="A5138" t="s">
        <v>811</v>
      </c>
      <c r="B5138" t="s">
        <v>39</v>
      </c>
      <c r="C5138" t="s">
        <v>139</v>
      </c>
      <c r="D5138" t="s">
        <v>1432</v>
      </c>
      <c r="E5138" s="17">
        <v>46143</v>
      </c>
      <c r="F5138" s="17">
        <v>46143</v>
      </c>
      <c r="G5138" s="13">
        <v>375.2</v>
      </c>
      <c r="H5138" s="14">
        <v>0</v>
      </c>
      <c r="I5138" s="14">
        <v>0</v>
      </c>
      <c r="J5138" s="14">
        <v>0</v>
      </c>
      <c r="K5138" s="14">
        <v>375.2</v>
      </c>
      <c r="L5138" t="s">
        <v>794</v>
      </c>
      <c r="M5138" s="23">
        <f t="shared" si="80"/>
        <v>2026</v>
      </c>
    </row>
    <row r="5139" spans="1:13" ht="12.75" customHeight="1">
      <c r="A5139" t="s">
        <v>1420</v>
      </c>
      <c r="B5139" t="s">
        <v>136</v>
      </c>
      <c r="C5139" t="s">
        <v>139</v>
      </c>
      <c r="D5139" t="s">
        <v>1432</v>
      </c>
      <c r="E5139" s="17">
        <v>46143</v>
      </c>
      <c r="F5139" s="17">
        <v>46143</v>
      </c>
      <c r="G5139" s="13">
        <v>256.2</v>
      </c>
      <c r="H5139" s="14">
        <v>0</v>
      </c>
      <c r="I5139" s="14">
        <v>0</v>
      </c>
      <c r="J5139" s="14">
        <v>0</v>
      </c>
      <c r="K5139" s="14">
        <v>256.2</v>
      </c>
      <c r="L5139" t="s">
        <v>794</v>
      </c>
      <c r="M5139" s="23">
        <f t="shared" si="80"/>
        <v>2026</v>
      </c>
    </row>
    <row r="5140" spans="1:13" ht="12.75" customHeight="1">
      <c r="A5140" t="s">
        <v>818</v>
      </c>
      <c r="B5140" t="s">
        <v>30</v>
      </c>
      <c r="C5140" t="s">
        <v>139</v>
      </c>
      <c r="D5140" t="s">
        <v>1432</v>
      </c>
      <c r="E5140" s="17">
        <v>46143</v>
      </c>
      <c r="F5140" s="17">
        <v>46143</v>
      </c>
      <c r="G5140" s="13">
        <v>297.16000000000003</v>
      </c>
      <c r="H5140" s="14">
        <v>0</v>
      </c>
      <c r="I5140" s="14">
        <v>0</v>
      </c>
      <c r="J5140" s="14">
        <v>0</v>
      </c>
      <c r="K5140" s="14">
        <v>297.16000000000003</v>
      </c>
      <c r="L5140" t="s">
        <v>794</v>
      </c>
      <c r="M5140" s="23">
        <f t="shared" si="80"/>
        <v>2026</v>
      </c>
    </row>
    <row r="5141" spans="1:13" ht="12.75" customHeight="1">
      <c r="A5141" t="s">
        <v>1104</v>
      </c>
      <c r="B5141" t="s">
        <v>53</v>
      </c>
      <c r="C5141" t="s">
        <v>139</v>
      </c>
      <c r="D5141" t="s">
        <v>1432</v>
      </c>
      <c r="E5141" s="17">
        <v>46143</v>
      </c>
      <c r="F5141" s="17">
        <v>46143</v>
      </c>
      <c r="G5141" s="13">
        <v>575.70000000000005</v>
      </c>
      <c r="H5141" s="14">
        <v>0</v>
      </c>
      <c r="I5141" s="14">
        <v>0</v>
      </c>
      <c r="J5141" s="14">
        <v>0</v>
      </c>
      <c r="K5141" s="14">
        <v>575.70000000000005</v>
      </c>
      <c r="L5141" t="s">
        <v>794</v>
      </c>
      <c r="M5141" s="23">
        <f t="shared" si="80"/>
        <v>2026</v>
      </c>
    </row>
    <row r="5142" spans="1:13" ht="12.75" customHeight="1">
      <c r="A5142" t="s">
        <v>1451</v>
      </c>
      <c r="B5142" t="s">
        <v>208</v>
      </c>
      <c r="C5142" t="s">
        <v>138</v>
      </c>
      <c r="D5142" t="s">
        <v>1432</v>
      </c>
      <c r="E5142" s="17">
        <v>46146</v>
      </c>
      <c r="F5142" s="17">
        <v>46143</v>
      </c>
      <c r="G5142" s="13">
        <v>255.42000000000002</v>
      </c>
      <c r="H5142" s="14">
        <v>0</v>
      </c>
      <c r="I5142" s="14">
        <v>0</v>
      </c>
      <c r="J5142" s="14">
        <v>0</v>
      </c>
      <c r="K5142" s="14">
        <v>255.42000000000002</v>
      </c>
      <c r="L5142" t="s">
        <v>794</v>
      </c>
      <c r="M5142" s="23">
        <f t="shared" si="80"/>
        <v>2026</v>
      </c>
    </row>
    <row r="5143" spans="1:13" ht="12.75" customHeight="1">
      <c r="A5143" t="s">
        <v>1477</v>
      </c>
      <c r="B5143" t="s">
        <v>405</v>
      </c>
      <c r="C5143" t="s">
        <v>139</v>
      </c>
      <c r="D5143" t="s">
        <v>1432</v>
      </c>
      <c r="E5143" s="17">
        <v>46143</v>
      </c>
      <c r="F5143" s="17">
        <v>46143</v>
      </c>
      <c r="G5143" s="13">
        <v>244</v>
      </c>
      <c r="H5143" s="14">
        <v>0</v>
      </c>
      <c r="I5143" s="14">
        <v>0</v>
      </c>
      <c r="J5143" s="14">
        <v>0</v>
      </c>
      <c r="K5143" s="14">
        <v>244</v>
      </c>
      <c r="L5143" t="s">
        <v>794</v>
      </c>
      <c r="M5143" s="23">
        <f t="shared" si="80"/>
        <v>2026</v>
      </c>
    </row>
    <row r="5144" spans="1:13" ht="12.75" customHeight="1">
      <c r="A5144" t="s">
        <v>1112</v>
      </c>
      <c r="B5144" t="s">
        <v>68</v>
      </c>
      <c r="C5144" t="s">
        <v>139</v>
      </c>
      <c r="D5144" t="s">
        <v>1432</v>
      </c>
      <c r="E5144" s="17">
        <v>46143</v>
      </c>
      <c r="F5144" s="17">
        <v>46143</v>
      </c>
      <c r="G5144" s="13">
        <v>280.60000000000002</v>
      </c>
      <c r="H5144" s="14">
        <v>0</v>
      </c>
      <c r="I5144" s="14">
        <v>0</v>
      </c>
      <c r="J5144" s="14">
        <v>0</v>
      </c>
      <c r="K5144" s="14">
        <v>280.60000000000002</v>
      </c>
      <c r="L5144" t="s">
        <v>794</v>
      </c>
      <c r="M5144" s="23">
        <f t="shared" si="80"/>
        <v>2026</v>
      </c>
    </row>
    <row r="5145" spans="1:13" ht="12.75" customHeight="1">
      <c r="A5145" t="s">
        <v>1004</v>
      </c>
      <c r="B5145" t="s">
        <v>57</v>
      </c>
      <c r="C5145" t="s">
        <v>139</v>
      </c>
      <c r="D5145" t="s">
        <v>1432</v>
      </c>
      <c r="E5145" s="17">
        <v>46143</v>
      </c>
      <c r="F5145" s="17">
        <v>46143</v>
      </c>
      <c r="G5145" s="13">
        <v>61</v>
      </c>
      <c r="H5145" s="14">
        <v>0</v>
      </c>
      <c r="I5145" s="14">
        <v>0</v>
      </c>
      <c r="J5145" s="14">
        <v>0</v>
      </c>
      <c r="K5145" s="14">
        <v>61</v>
      </c>
      <c r="L5145" t="s">
        <v>794</v>
      </c>
      <c r="M5145" s="23">
        <f t="shared" si="80"/>
        <v>2026</v>
      </c>
    </row>
    <row r="5146" spans="1:13" ht="12.75" customHeight="1">
      <c r="A5146" t="s">
        <v>836</v>
      </c>
      <c r="B5146" t="s">
        <v>37</v>
      </c>
      <c r="C5146" t="s">
        <v>139</v>
      </c>
      <c r="D5146" t="s">
        <v>1432</v>
      </c>
      <c r="E5146" s="17">
        <v>46143</v>
      </c>
      <c r="F5146" s="17">
        <v>46143</v>
      </c>
      <c r="G5146" s="13">
        <v>524</v>
      </c>
      <c r="H5146" s="14">
        <v>0</v>
      </c>
      <c r="I5146" s="14">
        <v>0</v>
      </c>
      <c r="J5146" s="14">
        <v>0</v>
      </c>
      <c r="K5146" s="14">
        <v>524</v>
      </c>
      <c r="L5146" t="s">
        <v>794</v>
      </c>
      <c r="M5146" s="23">
        <f t="shared" ref="M5146:M5209" si="81">YEAR(F5146)</f>
        <v>2026</v>
      </c>
    </row>
    <row r="5147" spans="1:13" ht="12.75" customHeight="1">
      <c r="A5147" t="s">
        <v>1399</v>
      </c>
      <c r="B5147" t="s">
        <v>305</v>
      </c>
      <c r="C5147" t="s">
        <v>139</v>
      </c>
      <c r="D5147" t="s">
        <v>1432</v>
      </c>
      <c r="E5147" s="17">
        <v>46143</v>
      </c>
      <c r="F5147" s="17">
        <v>46143</v>
      </c>
      <c r="G5147" s="13">
        <v>268.39999999999998</v>
      </c>
      <c r="H5147" s="14">
        <v>0</v>
      </c>
      <c r="I5147" s="14">
        <v>0</v>
      </c>
      <c r="J5147" s="14">
        <v>0</v>
      </c>
      <c r="K5147" s="14">
        <v>268.39999999999998</v>
      </c>
      <c r="L5147" t="s">
        <v>794</v>
      </c>
      <c r="M5147" s="23">
        <f t="shared" si="81"/>
        <v>2026</v>
      </c>
    </row>
    <row r="5148" spans="1:13" ht="12.75" customHeight="1">
      <c r="A5148" t="s">
        <v>1451</v>
      </c>
      <c r="B5148" t="s">
        <v>208</v>
      </c>
      <c r="C5148" t="s">
        <v>139</v>
      </c>
      <c r="D5148" t="s">
        <v>1432</v>
      </c>
      <c r="E5148" s="17">
        <v>46143</v>
      </c>
      <c r="F5148" s="17">
        <v>46143</v>
      </c>
      <c r="G5148" s="13">
        <v>280.60000000000002</v>
      </c>
      <c r="H5148" s="14">
        <v>0</v>
      </c>
      <c r="I5148" s="14">
        <v>0</v>
      </c>
      <c r="J5148" s="14">
        <v>0</v>
      </c>
      <c r="K5148" s="14">
        <v>280.60000000000002</v>
      </c>
      <c r="L5148" t="s">
        <v>794</v>
      </c>
      <c r="M5148" s="23">
        <f t="shared" si="81"/>
        <v>2026</v>
      </c>
    </row>
    <row r="5149" spans="1:13" ht="12.75" customHeight="1">
      <c r="A5149" t="s">
        <v>1401</v>
      </c>
      <c r="B5149" t="s">
        <v>254</v>
      </c>
      <c r="C5149" t="s">
        <v>139</v>
      </c>
      <c r="D5149" t="s">
        <v>1432</v>
      </c>
      <c r="E5149" s="17">
        <v>46143</v>
      </c>
      <c r="F5149" s="17">
        <v>46143</v>
      </c>
      <c r="G5149" s="13">
        <v>501.6</v>
      </c>
      <c r="H5149" s="14">
        <v>0</v>
      </c>
      <c r="I5149" s="14">
        <v>0</v>
      </c>
      <c r="J5149" s="14">
        <v>0</v>
      </c>
      <c r="K5149" s="14">
        <v>501.6</v>
      </c>
      <c r="L5149" t="s">
        <v>794</v>
      </c>
      <c r="M5149" s="23">
        <f t="shared" si="81"/>
        <v>2026</v>
      </c>
    </row>
    <row r="5150" spans="1:13" ht="12.75" customHeight="1">
      <c r="A5150" t="s">
        <v>999</v>
      </c>
      <c r="B5150" t="s">
        <v>329</v>
      </c>
      <c r="C5150" t="s">
        <v>139</v>
      </c>
      <c r="D5150" t="s">
        <v>1432</v>
      </c>
      <c r="E5150" s="17">
        <v>46143</v>
      </c>
      <c r="F5150" s="17">
        <v>46143</v>
      </c>
      <c r="G5150" s="13">
        <v>244</v>
      </c>
      <c r="H5150" s="14">
        <v>0</v>
      </c>
      <c r="I5150" s="14">
        <v>0</v>
      </c>
      <c r="J5150" s="14">
        <v>0</v>
      </c>
      <c r="K5150" s="14">
        <v>244</v>
      </c>
      <c r="L5150" t="s">
        <v>794</v>
      </c>
      <c r="M5150" s="23">
        <f t="shared" si="81"/>
        <v>2026</v>
      </c>
    </row>
    <row r="5151" spans="1:13" ht="12.75" customHeight="1">
      <c r="A5151" t="s">
        <v>1482</v>
      </c>
      <c r="B5151" t="s">
        <v>394</v>
      </c>
      <c r="C5151" t="s">
        <v>139</v>
      </c>
      <c r="D5151" t="s">
        <v>1432</v>
      </c>
      <c r="E5151" s="17">
        <v>46143</v>
      </c>
      <c r="F5151" s="17">
        <v>46143</v>
      </c>
      <c r="G5151" s="13">
        <v>244</v>
      </c>
      <c r="H5151" s="14">
        <v>0</v>
      </c>
      <c r="I5151" s="14">
        <v>0</v>
      </c>
      <c r="J5151" s="14">
        <v>0</v>
      </c>
      <c r="K5151" s="14">
        <v>244</v>
      </c>
      <c r="L5151" t="s">
        <v>794</v>
      </c>
      <c r="M5151" s="23">
        <f t="shared" si="81"/>
        <v>2026</v>
      </c>
    </row>
    <row r="5152" spans="1:13" ht="12.75" customHeight="1">
      <c r="A5152" t="s">
        <v>819</v>
      </c>
      <c r="B5152" t="s">
        <v>38</v>
      </c>
      <c r="C5152" t="s">
        <v>139</v>
      </c>
      <c r="D5152" t="s">
        <v>1432</v>
      </c>
      <c r="E5152" s="17">
        <v>46143</v>
      </c>
      <c r="F5152" s="17">
        <v>46143</v>
      </c>
      <c r="G5152" s="13">
        <v>441</v>
      </c>
      <c r="H5152" s="14">
        <v>0</v>
      </c>
      <c r="I5152" s="14">
        <v>0</v>
      </c>
      <c r="J5152" s="14">
        <v>0</v>
      </c>
      <c r="K5152" s="14">
        <v>441</v>
      </c>
      <c r="L5152" t="s">
        <v>794</v>
      </c>
      <c r="M5152" s="23">
        <f t="shared" si="81"/>
        <v>2026</v>
      </c>
    </row>
    <row r="5153" spans="1:13" ht="12.75" customHeight="1">
      <c r="A5153" t="s">
        <v>833</v>
      </c>
      <c r="B5153" t="s">
        <v>27</v>
      </c>
      <c r="C5153" t="s">
        <v>139</v>
      </c>
      <c r="D5153" t="s">
        <v>1432</v>
      </c>
      <c r="E5153" s="17">
        <v>46143</v>
      </c>
      <c r="F5153" s="17">
        <v>46143</v>
      </c>
      <c r="G5153" s="13">
        <v>407.52</v>
      </c>
      <c r="H5153" s="14">
        <v>0</v>
      </c>
      <c r="I5153" s="14">
        <v>0</v>
      </c>
      <c r="J5153" s="14">
        <v>0</v>
      </c>
      <c r="K5153" s="14">
        <v>407.52</v>
      </c>
      <c r="L5153" t="s">
        <v>794</v>
      </c>
      <c r="M5153" s="23">
        <f t="shared" si="81"/>
        <v>2026</v>
      </c>
    </row>
    <row r="5154" spans="1:13" ht="12.75" customHeight="1">
      <c r="A5154" t="s">
        <v>1467</v>
      </c>
      <c r="B5154" t="s">
        <v>185</v>
      </c>
      <c r="C5154" t="s">
        <v>139</v>
      </c>
      <c r="D5154" t="s">
        <v>1432</v>
      </c>
      <c r="E5154" s="17">
        <v>46143</v>
      </c>
      <c r="F5154" s="17">
        <v>46143</v>
      </c>
      <c r="G5154" s="13">
        <v>305</v>
      </c>
      <c r="H5154" s="14">
        <v>0</v>
      </c>
      <c r="I5154" s="14">
        <v>0</v>
      </c>
      <c r="J5154" s="14">
        <v>0</v>
      </c>
      <c r="K5154" s="14">
        <v>305</v>
      </c>
      <c r="L5154" t="s">
        <v>794</v>
      </c>
      <c r="M5154" s="23">
        <f t="shared" si="81"/>
        <v>2026</v>
      </c>
    </row>
    <row r="5155" spans="1:13" ht="12.75" customHeight="1">
      <c r="A5155" t="s">
        <v>1446</v>
      </c>
      <c r="B5155" t="s">
        <v>167</v>
      </c>
      <c r="C5155" t="s">
        <v>139</v>
      </c>
      <c r="D5155" t="s">
        <v>1432</v>
      </c>
      <c r="E5155" s="17">
        <v>46143</v>
      </c>
      <c r="F5155" s="17">
        <v>46143</v>
      </c>
      <c r="G5155" s="13">
        <v>244</v>
      </c>
      <c r="H5155" s="14">
        <v>0</v>
      </c>
      <c r="I5155" s="14">
        <v>0</v>
      </c>
      <c r="J5155" s="14">
        <v>0</v>
      </c>
      <c r="K5155" s="14">
        <v>244</v>
      </c>
      <c r="L5155" t="s">
        <v>794</v>
      </c>
      <c r="M5155" s="23">
        <f t="shared" si="81"/>
        <v>2026</v>
      </c>
    </row>
    <row r="5156" spans="1:13" ht="12.75" customHeight="1">
      <c r="A5156" t="s">
        <v>825</v>
      </c>
      <c r="B5156" t="s">
        <v>46</v>
      </c>
      <c r="C5156" t="s">
        <v>139</v>
      </c>
      <c r="D5156" t="s">
        <v>1432</v>
      </c>
      <c r="E5156" s="17">
        <v>46143</v>
      </c>
      <c r="F5156" s="17">
        <v>46143</v>
      </c>
      <c r="G5156" s="13">
        <v>195.20000000000002</v>
      </c>
      <c r="H5156" s="14">
        <v>0</v>
      </c>
      <c r="I5156" s="14">
        <v>0</v>
      </c>
      <c r="J5156" s="14">
        <v>0</v>
      </c>
      <c r="K5156" s="14">
        <v>195.20000000000002</v>
      </c>
      <c r="L5156" t="s">
        <v>794</v>
      </c>
      <c r="M5156" s="23">
        <f t="shared" si="81"/>
        <v>2026</v>
      </c>
    </row>
    <row r="5157" spans="1:13" ht="12.75" customHeight="1">
      <c r="A5157" t="s">
        <v>1499</v>
      </c>
      <c r="B5157" t="s">
        <v>327</v>
      </c>
      <c r="C5157" t="s">
        <v>139</v>
      </c>
      <c r="D5157" t="s">
        <v>1432</v>
      </c>
      <c r="E5157" s="17">
        <v>46143</v>
      </c>
      <c r="F5157" s="17">
        <v>46143</v>
      </c>
      <c r="G5157" s="13">
        <v>280.60000000000002</v>
      </c>
      <c r="H5157" s="14">
        <v>0</v>
      </c>
      <c r="I5157" s="14">
        <v>0</v>
      </c>
      <c r="J5157" s="14">
        <v>0</v>
      </c>
      <c r="K5157" s="14">
        <v>280.60000000000002</v>
      </c>
      <c r="L5157" t="s">
        <v>794</v>
      </c>
      <c r="M5157" s="23">
        <f t="shared" si="81"/>
        <v>2026</v>
      </c>
    </row>
    <row r="5158" spans="1:13" ht="12.75" customHeight="1">
      <c r="A5158" t="s">
        <v>801</v>
      </c>
      <c r="B5158" t="s">
        <v>13</v>
      </c>
      <c r="C5158" t="s">
        <v>726</v>
      </c>
      <c r="D5158" t="s">
        <v>1432</v>
      </c>
      <c r="E5158" s="17">
        <v>46146</v>
      </c>
      <c r="F5158" s="17">
        <v>46146</v>
      </c>
      <c r="G5158" s="13">
        <v>11.33</v>
      </c>
      <c r="H5158" s="14">
        <v>0</v>
      </c>
      <c r="I5158" s="14">
        <v>0</v>
      </c>
      <c r="J5158" s="14">
        <v>0</v>
      </c>
      <c r="K5158" s="14">
        <v>11.33</v>
      </c>
      <c r="L5158" t="s">
        <v>794</v>
      </c>
      <c r="M5158" s="23">
        <f t="shared" si="81"/>
        <v>2026</v>
      </c>
    </row>
    <row r="5159" spans="1:13" ht="12.75" customHeight="1">
      <c r="A5159" t="s">
        <v>801</v>
      </c>
      <c r="B5159" t="s">
        <v>13</v>
      </c>
      <c r="C5159" t="s">
        <v>726</v>
      </c>
      <c r="D5159" t="s">
        <v>1432</v>
      </c>
      <c r="E5159" s="17">
        <v>46146</v>
      </c>
      <c r="F5159" s="17">
        <v>46146</v>
      </c>
      <c r="G5159" s="13">
        <v>76.650000000000006</v>
      </c>
      <c r="H5159" s="14">
        <v>0</v>
      </c>
      <c r="I5159" s="14">
        <v>0</v>
      </c>
      <c r="J5159" s="14">
        <v>0</v>
      </c>
      <c r="K5159" s="14">
        <v>76.650000000000006</v>
      </c>
      <c r="L5159" t="s">
        <v>794</v>
      </c>
      <c r="M5159" s="23">
        <f t="shared" si="81"/>
        <v>2026</v>
      </c>
    </row>
    <row r="5160" spans="1:13" ht="12.75" customHeight="1">
      <c r="A5160" t="s">
        <v>892</v>
      </c>
      <c r="B5160" t="s">
        <v>110</v>
      </c>
      <c r="C5160" t="s">
        <v>733</v>
      </c>
      <c r="D5160" t="s">
        <v>1432</v>
      </c>
      <c r="E5160" s="17">
        <v>46146</v>
      </c>
      <c r="F5160" s="17">
        <v>46146</v>
      </c>
      <c r="G5160" s="13">
        <v>536</v>
      </c>
      <c r="H5160" s="14">
        <v>0</v>
      </c>
      <c r="I5160" s="14">
        <v>0</v>
      </c>
      <c r="J5160" s="14">
        <v>0</v>
      </c>
      <c r="K5160" s="14">
        <v>536</v>
      </c>
      <c r="L5160" t="s">
        <v>794</v>
      </c>
      <c r="M5160" s="23">
        <f t="shared" si="81"/>
        <v>2026</v>
      </c>
    </row>
    <row r="5161" spans="1:13" ht="12.75" customHeight="1">
      <c r="A5161" t="s">
        <v>1422</v>
      </c>
      <c r="B5161" t="s">
        <v>645</v>
      </c>
      <c r="C5161" t="s">
        <v>646</v>
      </c>
      <c r="D5161" t="s">
        <v>1432</v>
      </c>
      <c r="E5161" s="17">
        <v>46146</v>
      </c>
      <c r="F5161" s="17">
        <v>46146</v>
      </c>
      <c r="G5161" s="13">
        <v>29.900000000000002</v>
      </c>
      <c r="H5161" s="14">
        <v>0</v>
      </c>
      <c r="I5161" s="14">
        <v>0</v>
      </c>
      <c r="J5161" s="14">
        <v>0</v>
      </c>
      <c r="K5161" s="14">
        <v>29.900000000000002</v>
      </c>
      <c r="L5161" t="s">
        <v>794</v>
      </c>
      <c r="M5161" s="23">
        <f t="shared" si="81"/>
        <v>2026</v>
      </c>
    </row>
    <row r="5162" spans="1:13" ht="12.75" customHeight="1">
      <c r="A5162" t="s">
        <v>797</v>
      </c>
      <c r="B5162" t="s">
        <v>25</v>
      </c>
      <c r="C5162" t="s">
        <v>206</v>
      </c>
      <c r="D5162" t="s">
        <v>1432</v>
      </c>
      <c r="E5162" s="17">
        <v>46146</v>
      </c>
      <c r="F5162" s="17">
        <v>46146</v>
      </c>
      <c r="G5162" s="13">
        <v>1800</v>
      </c>
      <c r="H5162" s="14">
        <v>0</v>
      </c>
      <c r="I5162" s="14">
        <v>0</v>
      </c>
      <c r="J5162" s="14">
        <v>0</v>
      </c>
      <c r="K5162" s="14">
        <v>1800</v>
      </c>
      <c r="L5162" t="s">
        <v>794</v>
      </c>
      <c r="M5162" s="23">
        <f t="shared" si="81"/>
        <v>2026</v>
      </c>
    </row>
    <row r="5163" spans="1:13" ht="12.75" customHeight="1">
      <c r="A5163" t="s">
        <v>797</v>
      </c>
      <c r="B5163" t="s">
        <v>25</v>
      </c>
      <c r="C5163" t="s">
        <v>206</v>
      </c>
      <c r="D5163" t="s">
        <v>1432</v>
      </c>
      <c r="E5163" s="17">
        <v>46146</v>
      </c>
      <c r="F5163" s="17">
        <v>46146</v>
      </c>
      <c r="G5163" s="13">
        <v>2800</v>
      </c>
      <c r="H5163" s="14">
        <v>0</v>
      </c>
      <c r="I5163" s="14">
        <v>0</v>
      </c>
      <c r="J5163" s="14">
        <v>0</v>
      </c>
      <c r="K5163" s="14">
        <v>2800</v>
      </c>
      <c r="L5163" t="s">
        <v>794</v>
      </c>
      <c r="M5163" s="23">
        <f t="shared" si="81"/>
        <v>2026</v>
      </c>
    </row>
    <row r="5164" spans="1:13" ht="12.75" customHeight="1">
      <c r="A5164" t="s">
        <v>801</v>
      </c>
      <c r="B5164" t="s">
        <v>13</v>
      </c>
      <c r="C5164" t="s">
        <v>717</v>
      </c>
      <c r="D5164" t="s">
        <v>1432</v>
      </c>
      <c r="E5164" s="17">
        <v>46146</v>
      </c>
      <c r="F5164" s="17">
        <v>46146</v>
      </c>
      <c r="G5164" s="13">
        <v>4713.8599999999997</v>
      </c>
      <c r="H5164" s="14">
        <v>0</v>
      </c>
      <c r="I5164" s="14">
        <v>0</v>
      </c>
      <c r="J5164" s="14">
        <v>0</v>
      </c>
      <c r="K5164" s="14">
        <v>4713.8599999999997</v>
      </c>
      <c r="L5164" t="s">
        <v>794</v>
      </c>
      <c r="M5164" s="23">
        <f t="shared" si="81"/>
        <v>2026</v>
      </c>
    </row>
    <row r="5165" spans="1:13" ht="12.75" customHeight="1">
      <c r="A5165" t="s">
        <v>801</v>
      </c>
      <c r="B5165" t="s">
        <v>13</v>
      </c>
      <c r="C5165" t="s">
        <v>726</v>
      </c>
      <c r="D5165" t="s">
        <v>1432</v>
      </c>
      <c r="E5165" s="17">
        <v>46147</v>
      </c>
      <c r="F5165" s="17">
        <v>46147</v>
      </c>
      <c r="G5165" s="13">
        <v>160.47999999999999</v>
      </c>
      <c r="H5165" s="14">
        <v>0</v>
      </c>
      <c r="I5165" s="14">
        <v>0</v>
      </c>
      <c r="J5165" s="14">
        <v>0</v>
      </c>
      <c r="K5165" s="14">
        <v>160.47999999999999</v>
      </c>
      <c r="L5165" t="s">
        <v>794</v>
      </c>
      <c r="M5165" s="23">
        <f t="shared" si="81"/>
        <v>2026</v>
      </c>
    </row>
    <row r="5166" spans="1:13" ht="12.75" customHeight="1">
      <c r="A5166" t="s">
        <v>801</v>
      </c>
      <c r="B5166" t="s">
        <v>13</v>
      </c>
      <c r="C5166" t="s">
        <v>717</v>
      </c>
      <c r="D5166" t="s">
        <v>1432</v>
      </c>
      <c r="E5166" s="17">
        <v>46147</v>
      </c>
      <c r="F5166" s="17">
        <v>46147</v>
      </c>
      <c r="G5166" s="13">
        <v>135.52000000000001</v>
      </c>
      <c r="H5166" s="14">
        <v>0</v>
      </c>
      <c r="I5166" s="14">
        <v>0</v>
      </c>
      <c r="J5166" s="14">
        <v>0</v>
      </c>
      <c r="K5166" s="14">
        <v>135.52000000000001</v>
      </c>
      <c r="L5166" t="s">
        <v>794</v>
      </c>
      <c r="M5166" s="23">
        <f t="shared" si="81"/>
        <v>2026</v>
      </c>
    </row>
    <row r="5167" spans="1:13" ht="12.75" customHeight="1">
      <c r="A5167" t="s">
        <v>801</v>
      </c>
      <c r="B5167" t="s">
        <v>13</v>
      </c>
      <c r="C5167" t="s">
        <v>726</v>
      </c>
      <c r="D5167" t="s">
        <v>1432</v>
      </c>
      <c r="E5167" s="17">
        <v>46147</v>
      </c>
      <c r="F5167" s="17">
        <v>46147</v>
      </c>
      <c r="G5167" s="13">
        <v>26.28</v>
      </c>
      <c r="H5167" s="14">
        <v>0</v>
      </c>
      <c r="I5167" s="14">
        <v>0</v>
      </c>
      <c r="J5167" s="14">
        <v>0</v>
      </c>
      <c r="K5167" s="14">
        <v>26.28</v>
      </c>
      <c r="L5167" t="s">
        <v>794</v>
      </c>
      <c r="M5167" s="23">
        <f t="shared" si="81"/>
        <v>2026</v>
      </c>
    </row>
    <row r="5168" spans="1:13" ht="12.75" customHeight="1">
      <c r="A5168" t="s">
        <v>801</v>
      </c>
      <c r="B5168" t="s">
        <v>13</v>
      </c>
      <c r="C5168" t="s">
        <v>726</v>
      </c>
      <c r="D5168" t="s">
        <v>1432</v>
      </c>
      <c r="E5168" s="17">
        <v>46147</v>
      </c>
      <c r="F5168" s="17">
        <v>46147</v>
      </c>
      <c r="G5168" s="13">
        <v>557.11</v>
      </c>
      <c r="H5168" s="14">
        <v>0</v>
      </c>
      <c r="I5168" s="14">
        <v>0</v>
      </c>
      <c r="J5168" s="14">
        <v>0</v>
      </c>
      <c r="K5168" s="14">
        <v>557.11</v>
      </c>
      <c r="L5168" t="s">
        <v>794</v>
      </c>
      <c r="M5168" s="23">
        <f t="shared" si="81"/>
        <v>2026</v>
      </c>
    </row>
    <row r="5169" spans="1:13" ht="12.75" customHeight="1">
      <c r="A5169" t="s">
        <v>801</v>
      </c>
      <c r="B5169" t="s">
        <v>13</v>
      </c>
      <c r="C5169" t="s">
        <v>726</v>
      </c>
      <c r="D5169" t="s">
        <v>1432</v>
      </c>
      <c r="E5169" s="17">
        <v>46147</v>
      </c>
      <c r="F5169" s="17">
        <v>46147</v>
      </c>
      <c r="G5169" s="13">
        <v>3.2600000000000002</v>
      </c>
      <c r="H5169" s="14">
        <v>0</v>
      </c>
      <c r="I5169" s="14">
        <v>0</v>
      </c>
      <c r="J5169" s="14">
        <v>0</v>
      </c>
      <c r="K5169" s="14">
        <v>3.2600000000000002</v>
      </c>
      <c r="L5169" t="s">
        <v>794</v>
      </c>
      <c r="M5169" s="23">
        <f t="shared" si="81"/>
        <v>2026</v>
      </c>
    </row>
    <row r="5170" spans="1:13" ht="12.75" customHeight="1">
      <c r="A5170" t="s">
        <v>801</v>
      </c>
      <c r="B5170" t="s">
        <v>13</v>
      </c>
      <c r="C5170" t="s">
        <v>726</v>
      </c>
      <c r="D5170" t="s">
        <v>1432</v>
      </c>
      <c r="E5170" s="17">
        <v>46147</v>
      </c>
      <c r="F5170" s="17">
        <v>46147</v>
      </c>
      <c r="G5170" s="13">
        <v>385.56</v>
      </c>
      <c r="H5170" s="14">
        <v>0</v>
      </c>
      <c r="I5170" s="14">
        <v>0</v>
      </c>
      <c r="J5170" s="14">
        <v>0</v>
      </c>
      <c r="K5170" s="14">
        <v>385.56</v>
      </c>
      <c r="L5170" t="s">
        <v>794</v>
      </c>
      <c r="M5170" s="23">
        <f t="shared" si="81"/>
        <v>2026</v>
      </c>
    </row>
    <row r="5171" spans="1:13" ht="12.75" customHeight="1">
      <c r="A5171" t="s">
        <v>801</v>
      </c>
      <c r="B5171" t="s">
        <v>13</v>
      </c>
      <c r="C5171" t="s">
        <v>726</v>
      </c>
      <c r="D5171" t="s">
        <v>1432</v>
      </c>
      <c r="E5171" s="17">
        <v>46147</v>
      </c>
      <c r="F5171" s="17">
        <v>46147</v>
      </c>
      <c r="G5171" s="13">
        <v>41.06</v>
      </c>
      <c r="H5171" s="14">
        <v>0</v>
      </c>
      <c r="I5171" s="14">
        <v>0</v>
      </c>
      <c r="J5171" s="14">
        <v>0</v>
      </c>
      <c r="K5171" s="14">
        <v>41.06</v>
      </c>
      <c r="L5171" t="s">
        <v>794</v>
      </c>
      <c r="M5171" s="23">
        <f t="shared" si="81"/>
        <v>2026</v>
      </c>
    </row>
    <row r="5172" spans="1:13" ht="12.75" customHeight="1">
      <c r="A5172" t="s">
        <v>801</v>
      </c>
      <c r="B5172" t="s">
        <v>13</v>
      </c>
      <c r="C5172" t="s">
        <v>726</v>
      </c>
      <c r="D5172" t="s">
        <v>1432</v>
      </c>
      <c r="E5172" s="17">
        <v>46147</v>
      </c>
      <c r="F5172" s="17">
        <v>46147</v>
      </c>
      <c r="G5172" s="13">
        <v>72.27</v>
      </c>
      <c r="H5172" s="14">
        <v>0</v>
      </c>
      <c r="I5172" s="14">
        <v>0</v>
      </c>
      <c r="J5172" s="14">
        <v>0</v>
      </c>
      <c r="K5172" s="14">
        <v>72.27</v>
      </c>
      <c r="L5172" t="s">
        <v>794</v>
      </c>
      <c r="M5172" s="23">
        <f t="shared" si="81"/>
        <v>2026</v>
      </c>
    </row>
    <row r="5173" spans="1:13" ht="12.75" customHeight="1">
      <c r="A5173" t="s">
        <v>819</v>
      </c>
      <c r="B5173" t="s">
        <v>38</v>
      </c>
      <c r="C5173" t="s">
        <v>733</v>
      </c>
      <c r="D5173" t="s">
        <v>1432</v>
      </c>
      <c r="E5173" s="17">
        <v>46147</v>
      </c>
      <c r="F5173" s="17">
        <v>46147</v>
      </c>
      <c r="G5173" s="13">
        <v>50</v>
      </c>
      <c r="H5173" s="14">
        <v>0</v>
      </c>
      <c r="I5173" s="14">
        <v>0</v>
      </c>
      <c r="J5173" s="14">
        <v>0</v>
      </c>
      <c r="K5173" s="14">
        <v>50</v>
      </c>
      <c r="L5173" t="s">
        <v>794</v>
      </c>
      <c r="M5173" s="23">
        <f t="shared" si="81"/>
        <v>2026</v>
      </c>
    </row>
    <row r="5174" spans="1:13" ht="12.75" customHeight="1">
      <c r="A5174" t="s">
        <v>841</v>
      </c>
      <c r="B5174" t="s">
        <v>164</v>
      </c>
      <c r="C5174" t="s">
        <v>722</v>
      </c>
      <c r="D5174" t="s">
        <v>1432</v>
      </c>
      <c r="E5174" s="17">
        <v>46147</v>
      </c>
      <c r="F5174" s="17">
        <v>46147</v>
      </c>
      <c r="G5174" s="13">
        <v>391.33</v>
      </c>
      <c r="H5174" s="14">
        <v>0</v>
      </c>
      <c r="I5174" s="14">
        <v>0</v>
      </c>
      <c r="J5174" s="14">
        <v>0</v>
      </c>
      <c r="K5174" s="14">
        <v>391.33</v>
      </c>
      <c r="L5174" t="s">
        <v>794</v>
      </c>
      <c r="M5174" s="23">
        <f t="shared" si="81"/>
        <v>2026</v>
      </c>
    </row>
    <row r="5175" spans="1:13" ht="12.75" customHeight="1">
      <c r="A5175" t="s">
        <v>823</v>
      </c>
      <c r="B5175" t="s">
        <v>245</v>
      </c>
      <c r="C5175" t="s">
        <v>736</v>
      </c>
      <c r="D5175" t="s">
        <v>1432</v>
      </c>
      <c r="E5175" s="17">
        <v>46143</v>
      </c>
      <c r="F5175" s="17">
        <v>46147</v>
      </c>
      <c r="G5175" s="13">
        <v>129.97</v>
      </c>
      <c r="H5175" s="14">
        <v>0</v>
      </c>
      <c r="I5175" s="14">
        <v>0</v>
      </c>
      <c r="J5175" s="14">
        <v>0</v>
      </c>
      <c r="K5175" s="14">
        <v>129.97</v>
      </c>
      <c r="L5175" t="s">
        <v>794</v>
      </c>
      <c r="M5175" s="23">
        <f t="shared" si="81"/>
        <v>2026</v>
      </c>
    </row>
    <row r="5176" spans="1:13" ht="12.75" customHeight="1">
      <c r="A5176" t="s">
        <v>792</v>
      </c>
      <c r="B5176" t="s">
        <v>35</v>
      </c>
      <c r="C5176" t="s">
        <v>206</v>
      </c>
      <c r="D5176" t="s">
        <v>1432</v>
      </c>
      <c r="E5176" s="17">
        <v>46147</v>
      </c>
      <c r="F5176" s="17">
        <v>46147</v>
      </c>
      <c r="G5176" s="13">
        <v>200</v>
      </c>
      <c r="H5176" s="14">
        <v>0</v>
      </c>
      <c r="I5176" s="14">
        <v>0</v>
      </c>
      <c r="J5176" s="14">
        <v>0</v>
      </c>
      <c r="K5176" s="14">
        <v>200</v>
      </c>
      <c r="L5176" t="s">
        <v>794</v>
      </c>
      <c r="M5176" s="23">
        <f t="shared" si="81"/>
        <v>2026</v>
      </c>
    </row>
    <row r="5177" spans="1:13" ht="12.75" customHeight="1">
      <c r="A5177" t="s">
        <v>792</v>
      </c>
      <c r="B5177" t="s">
        <v>35</v>
      </c>
      <c r="C5177" t="s">
        <v>206</v>
      </c>
      <c r="D5177" t="s">
        <v>1432</v>
      </c>
      <c r="E5177" s="17">
        <v>46147</v>
      </c>
      <c r="F5177" s="17">
        <v>46147</v>
      </c>
      <c r="G5177" s="13">
        <v>700</v>
      </c>
      <c r="H5177" s="14">
        <v>0</v>
      </c>
      <c r="I5177" s="14">
        <v>0</v>
      </c>
      <c r="J5177" s="14">
        <v>0</v>
      </c>
      <c r="K5177" s="14">
        <v>700</v>
      </c>
      <c r="L5177" t="s">
        <v>794</v>
      </c>
      <c r="M5177" s="23">
        <f t="shared" si="81"/>
        <v>2026</v>
      </c>
    </row>
    <row r="5178" spans="1:13" ht="12.75" customHeight="1">
      <c r="A5178" t="s">
        <v>1409</v>
      </c>
      <c r="B5178" t="s">
        <v>86</v>
      </c>
      <c r="C5178" t="s">
        <v>270</v>
      </c>
      <c r="D5178" t="s">
        <v>1432</v>
      </c>
      <c r="E5178" s="17">
        <v>46147</v>
      </c>
      <c r="F5178" s="17">
        <v>46147</v>
      </c>
      <c r="G5178" s="13">
        <v>1000</v>
      </c>
      <c r="H5178" s="14">
        <v>0</v>
      </c>
      <c r="I5178" s="14">
        <v>0</v>
      </c>
      <c r="J5178" s="14">
        <v>0</v>
      </c>
      <c r="K5178" s="14">
        <v>1000</v>
      </c>
      <c r="L5178" t="s">
        <v>794</v>
      </c>
      <c r="M5178" s="23">
        <f t="shared" si="81"/>
        <v>2026</v>
      </c>
    </row>
    <row r="5179" spans="1:13" ht="12.75" customHeight="1">
      <c r="A5179" t="s">
        <v>801</v>
      </c>
      <c r="B5179" t="s">
        <v>13</v>
      </c>
      <c r="C5179" t="s">
        <v>726</v>
      </c>
      <c r="D5179" t="s">
        <v>1432</v>
      </c>
      <c r="E5179" s="17">
        <v>46148</v>
      </c>
      <c r="F5179" s="17">
        <v>46148</v>
      </c>
      <c r="G5179" s="13">
        <v>816.87</v>
      </c>
      <c r="H5179" s="14">
        <v>0</v>
      </c>
      <c r="I5179" s="14">
        <v>0</v>
      </c>
      <c r="J5179" s="14">
        <v>0</v>
      </c>
      <c r="K5179" s="14">
        <v>816.87</v>
      </c>
      <c r="L5179" t="s">
        <v>794</v>
      </c>
      <c r="M5179" s="23">
        <f t="shared" si="81"/>
        <v>2026</v>
      </c>
    </row>
    <row r="5180" spans="1:13" ht="12.75" customHeight="1">
      <c r="A5180" t="s">
        <v>801</v>
      </c>
      <c r="B5180" t="s">
        <v>13</v>
      </c>
      <c r="C5180" t="s">
        <v>726</v>
      </c>
      <c r="D5180" t="s">
        <v>1432</v>
      </c>
      <c r="E5180" s="17">
        <v>46148</v>
      </c>
      <c r="F5180" s="17">
        <v>46148</v>
      </c>
      <c r="G5180" s="13">
        <v>28.47</v>
      </c>
      <c r="H5180" s="14">
        <v>0</v>
      </c>
      <c r="I5180" s="14">
        <v>0</v>
      </c>
      <c r="J5180" s="14">
        <v>0</v>
      </c>
      <c r="K5180" s="14">
        <v>28.47</v>
      </c>
      <c r="L5180" t="s">
        <v>794</v>
      </c>
      <c r="M5180" s="23">
        <f t="shared" si="81"/>
        <v>2026</v>
      </c>
    </row>
    <row r="5181" spans="1:13" ht="12.75" customHeight="1">
      <c r="A5181" t="s">
        <v>892</v>
      </c>
      <c r="B5181" t="s">
        <v>110</v>
      </c>
      <c r="C5181" t="s">
        <v>733</v>
      </c>
      <c r="D5181" t="s">
        <v>1432</v>
      </c>
      <c r="E5181" s="17">
        <v>46148</v>
      </c>
      <c r="F5181" s="17">
        <v>46148</v>
      </c>
      <c r="G5181" s="13">
        <v>290</v>
      </c>
      <c r="H5181" s="14">
        <v>0</v>
      </c>
      <c r="I5181" s="14">
        <v>0</v>
      </c>
      <c r="J5181" s="14">
        <v>0</v>
      </c>
      <c r="K5181" s="14">
        <v>290</v>
      </c>
      <c r="L5181" t="s">
        <v>794</v>
      </c>
      <c r="M5181" s="23">
        <f t="shared" si="81"/>
        <v>2026</v>
      </c>
    </row>
    <row r="5182" spans="1:13" ht="12.75" customHeight="1">
      <c r="A5182" t="s">
        <v>879</v>
      </c>
      <c r="B5182" t="s">
        <v>23</v>
      </c>
      <c r="C5182" t="s">
        <v>713</v>
      </c>
      <c r="D5182" t="s">
        <v>1432</v>
      </c>
      <c r="E5182" s="17">
        <v>46146</v>
      </c>
      <c r="F5182" s="17">
        <v>46148</v>
      </c>
      <c r="G5182" s="13">
        <v>1585.26</v>
      </c>
      <c r="H5182" s="14">
        <v>0</v>
      </c>
      <c r="I5182" s="14">
        <v>0</v>
      </c>
      <c r="J5182" s="14">
        <v>0</v>
      </c>
      <c r="K5182" s="14">
        <v>1585.26</v>
      </c>
      <c r="L5182" t="s">
        <v>794</v>
      </c>
      <c r="M5182" s="23">
        <f t="shared" si="81"/>
        <v>2026</v>
      </c>
    </row>
    <row r="5183" spans="1:13" ht="12.75" customHeight="1">
      <c r="A5183" t="s">
        <v>849</v>
      </c>
      <c r="B5183" t="s">
        <v>283</v>
      </c>
      <c r="C5183" t="s">
        <v>722</v>
      </c>
      <c r="D5183" t="s">
        <v>1432</v>
      </c>
      <c r="E5183" s="17">
        <v>46148</v>
      </c>
      <c r="F5183" s="17">
        <v>46148</v>
      </c>
      <c r="G5183" s="13">
        <v>99</v>
      </c>
      <c r="H5183" s="14">
        <v>0</v>
      </c>
      <c r="I5183" s="14">
        <v>0</v>
      </c>
      <c r="J5183" s="14">
        <v>0</v>
      </c>
      <c r="K5183" s="14">
        <v>99</v>
      </c>
      <c r="L5183" t="s">
        <v>794</v>
      </c>
      <c r="M5183" s="23">
        <f t="shared" si="81"/>
        <v>2026</v>
      </c>
    </row>
    <row r="5184" spans="1:13" ht="12.75" customHeight="1">
      <c r="A5184" t="s">
        <v>1296</v>
      </c>
      <c r="B5184" t="s">
        <v>42</v>
      </c>
      <c r="C5184" t="s">
        <v>728</v>
      </c>
      <c r="D5184" t="s">
        <v>1432</v>
      </c>
      <c r="E5184" s="17">
        <v>46148</v>
      </c>
      <c r="F5184" s="17">
        <v>46148</v>
      </c>
      <c r="G5184" s="13">
        <v>5096.29</v>
      </c>
      <c r="H5184" s="14">
        <v>0</v>
      </c>
      <c r="I5184" s="14">
        <v>0</v>
      </c>
      <c r="J5184" s="14">
        <v>0</v>
      </c>
      <c r="K5184" s="14">
        <v>5096.29</v>
      </c>
      <c r="L5184" t="s">
        <v>794</v>
      </c>
      <c r="M5184" s="23">
        <f t="shared" si="81"/>
        <v>2026</v>
      </c>
    </row>
    <row r="5185" spans="1:13" ht="12.75" customHeight="1">
      <c r="A5185" t="s">
        <v>837</v>
      </c>
      <c r="B5185" t="s">
        <v>58</v>
      </c>
      <c r="C5185" t="s">
        <v>206</v>
      </c>
      <c r="D5185" t="s">
        <v>1432</v>
      </c>
      <c r="E5185" s="17">
        <v>46147</v>
      </c>
      <c r="F5185" s="17">
        <v>46148</v>
      </c>
      <c r="G5185" s="13">
        <v>2046.7</v>
      </c>
      <c r="H5185" s="14">
        <v>0</v>
      </c>
      <c r="I5185" s="14">
        <v>0</v>
      </c>
      <c r="J5185" s="14">
        <v>0</v>
      </c>
      <c r="K5185" s="14">
        <v>2046.7</v>
      </c>
      <c r="L5185" t="s">
        <v>794</v>
      </c>
      <c r="M5185" s="23">
        <f t="shared" si="81"/>
        <v>2026</v>
      </c>
    </row>
    <row r="5186" spans="1:13" ht="12.75" customHeight="1">
      <c r="A5186" t="s">
        <v>948</v>
      </c>
      <c r="B5186" t="s">
        <v>89</v>
      </c>
      <c r="C5186" t="s">
        <v>725</v>
      </c>
      <c r="D5186" t="s">
        <v>1429</v>
      </c>
      <c r="E5186" s="17">
        <v>46147</v>
      </c>
      <c r="F5186" s="17">
        <v>46148</v>
      </c>
      <c r="G5186" s="13">
        <v>1440</v>
      </c>
      <c r="H5186" s="14">
        <v>0</v>
      </c>
      <c r="I5186" s="14">
        <v>0</v>
      </c>
      <c r="J5186" s="14">
        <v>0</v>
      </c>
      <c r="K5186" s="14">
        <v>1440</v>
      </c>
      <c r="L5186" t="s">
        <v>794</v>
      </c>
      <c r="M5186" s="23">
        <f t="shared" si="81"/>
        <v>2026</v>
      </c>
    </row>
    <row r="5187" spans="1:13" ht="12.75" customHeight="1">
      <c r="A5187" t="s">
        <v>1336</v>
      </c>
      <c r="B5187" t="s">
        <v>118</v>
      </c>
      <c r="C5187" t="s">
        <v>558</v>
      </c>
      <c r="D5187" t="s">
        <v>1432</v>
      </c>
      <c r="E5187" s="17">
        <v>46147</v>
      </c>
      <c r="F5187" s="17">
        <v>46148</v>
      </c>
      <c r="G5187" s="13">
        <v>2022.21</v>
      </c>
      <c r="H5187" s="14">
        <v>0</v>
      </c>
      <c r="I5187" s="14">
        <v>0</v>
      </c>
      <c r="J5187" s="14">
        <v>0</v>
      </c>
      <c r="K5187" s="14">
        <v>2022.21</v>
      </c>
      <c r="L5187" t="s">
        <v>794</v>
      </c>
      <c r="M5187" s="23">
        <f t="shared" si="81"/>
        <v>2026</v>
      </c>
    </row>
    <row r="5188" spans="1:13" ht="12.75" customHeight="1">
      <c r="A5188" t="s">
        <v>1010</v>
      </c>
      <c r="B5188" t="s">
        <v>466</v>
      </c>
      <c r="C5188" t="s">
        <v>476</v>
      </c>
      <c r="D5188" t="s">
        <v>1432</v>
      </c>
      <c r="E5188" s="17">
        <v>46148</v>
      </c>
      <c r="F5188" s="17">
        <v>46148</v>
      </c>
      <c r="G5188" s="13">
        <v>102.52</v>
      </c>
      <c r="H5188" s="14">
        <v>0</v>
      </c>
      <c r="I5188" s="14">
        <v>0</v>
      </c>
      <c r="J5188" s="14">
        <v>0</v>
      </c>
      <c r="K5188" s="14">
        <v>102.52</v>
      </c>
      <c r="L5188" t="s">
        <v>794</v>
      </c>
      <c r="M5188" s="23">
        <f t="shared" si="81"/>
        <v>2026</v>
      </c>
    </row>
    <row r="5189" spans="1:13" ht="12.75" customHeight="1">
      <c r="A5189" t="s">
        <v>1223</v>
      </c>
      <c r="B5189" t="s">
        <v>1224</v>
      </c>
      <c r="C5189" t="s">
        <v>725</v>
      </c>
      <c r="D5189" t="s">
        <v>1429</v>
      </c>
      <c r="E5189" s="17">
        <v>46139</v>
      </c>
      <c r="F5189" s="17">
        <v>46148</v>
      </c>
      <c r="G5189" s="13">
        <v>2648.94</v>
      </c>
      <c r="H5189" s="14">
        <v>0</v>
      </c>
      <c r="I5189" s="14">
        <v>0</v>
      </c>
      <c r="J5189" s="14">
        <v>0</v>
      </c>
      <c r="K5189" s="14">
        <v>2648.94</v>
      </c>
      <c r="L5189" t="s">
        <v>794</v>
      </c>
      <c r="M5189" s="23">
        <f t="shared" si="81"/>
        <v>2026</v>
      </c>
    </row>
    <row r="5190" spans="1:13" ht="12.75" customHeight="1">
      <c r="A5190" t="s">
        <v>801</v>
      </c>
      <c r="B5190" t="s">
        <v>13</v>
      </c>
      <c r="C5190" t="s">
        <v>726</v>
      </c>
      <c r="D5190" t="s">
        <v>1432</v>
      </c>
      <c r="E5190" s="17">
        <v>46149</v>
      </c>
      <c r="F5190" s="17">
        <v>46149</v>
      </c>
      <c r="G5190" s="13">
        <v>127.02</v>
      </c>
      <c r="H5190" s="14">
        <v>0</v>
      </c>
      <c r="I5190" s="14">
        <v>0</v>
      </c>
      <c r="J5190" s="14">
        <v>0</v>
      </c>
      <c r="K5190" s="14">
        <v>127.02</v>
      </c>
      <c r="L5190" t="s">
        <v>794</v>
      </c>
      <c r="M5190" s="23">
        <f t="shared" si="81"/>
        <v>2026</v>
      </c>
    </row>
    <row r="5191" spans="1:13" ht="12.75" customHeight="1">
      <c r="A5191" t="s">
        <v>801</v>
      </c>
      <c r="B5191" t="s">
        <v>13</v>
      </c>
      <c r="C5191" t="s">
        <v>726</v>
      </c>
      <c r="D5191" t="s">
        <v>1432</v>
      </c>
      <c r="E5191" s="17">
        <v>46149</v>
      </c>
      <c r="F5191" s="17">
        <v>46149</v>
      </c>
      <c r="G5191" s="13">
        <v>54.75</v>
      </c>
      <c r="H5191" s="14">
        <v>0</v>
      </c>
      <c r="I5191" s="14">
        <v>0</v>
      </c>
      <c r="J5191" s="14">
        <v>0</v>
      </c>
      <c r="K5191" s="14">
        <v>54.75</v>
      </c>
      <c r="L5191" t="s">
        <v>794</v>
      </c>
      <c r="M5191" s="23">
        <f t="shared" si="81"/>
        <v>2026</v>
      </c>
    </row>
    <row r="5192" spans="1:13" ht="12.75" customHeight="1">
      <c r="A5192" t="s">
        <v>836</v>
      </c>
      <c r="B5192" t="s">
        <v>37</v>
      </c>
      <c r="C5192" t="s">
        <v>137</v>
      </c>
      <c r="D5192" t="s">
        <v>1432</v>
      </c>
      <c r="E5192" s="17">
        <v>46149</v>
      </c>
      <c r="F5192" s="17">
        <v>46149</v>
      </c>
      <c r="G5192" s="13">
        <v>1724</v>
      </c>
      <c r="H5192" s="14">
        <v>0</v>
      </c>
      <c r="I5192" s="14">
        <v>0</v>
      </c>
      <c r="J5192" s="14">
        <v>0</v>
      </c>
      <c r="K5192" s="14">
        <v>1724</v>
      </c>
      <c r="L5192" t="s">
        <v>794</v>
      </c>
      <c r="M5192" s="23">
        <f t="shared" si="81"/>
        <v>2026</v>
      </c>
    </row>
    <row r="5193" spans="1:13" ht="12.75" customHeight="1">
      <c r="A5193" t="s">
        <v>811</v>
      </c>
      <c r="B5193" t="s">
        <v>39</v>
      </c>
      <c r="C5193" t="s">
        <v>137</v>
      </c>
      <c r="D5193" t="s">
        <v>1432</v>
      </c>
      <c r="E5193" s="17">
        <v>46149</v>
      </c>
      <c r="F5193" s="17">
        <v>46149</v>
      </c>
      <c r="G5193" s="13">
        <v>1572</v>
      </c>
      <c r="H5193" s="14">
        <v>0</v>
      </c>
      <c r="I5193" s="14">
        <v>0</v>
      </c>
      <c r="J5193" s="14">
        <v>0</v>
      </c>
      <c r="K5193" s="14">
        <v>1572</v>
      </c>
      <c r="L5193" t="s">
        <v>794</v>
      </c>
      <c r="M5193" s="23">
        <f t="shared" si="81"/>
        <v>2026</v>
      </c>
    </row>
    <row r="5194" spans="1:13" ht="12.75" customHeight="1">
      <c r="A5194" t="s">
        <v>826</v>
      </c>
      <c r="B5194" t="s">
        <v>21</v>
      </c>
      <c r="C5194" t="s">
        <v>137</v>
      </c>
      <c r="D5194" t="s">
        <v>1432</v>
      </c>
      <c r="E5194" s="17">
        <v>46149</v>
      </c>
      <c r="F5194" s="17">
        <v>46149</v>
      </c>
      <c r="G5194" s="13">
        <v>1346</v>
      </c>
      <c r="H5194" s="14">
        <v>0</v>
      </c>
      <c r="I5194" s="14">
        <v>0</v>
      </c>
      <c r="J5194" s="14">
        <v>0</v>
      </c>
      <c r="K5194" s="14">
        <v>1346</v>
      </c>
      <c r="L5194" t="s">
        <v>794</v>
      </c>
      <c r="M5194" s="23">
        <f t="shared" si="81"/>
        <v>2026</v>
      </c>
    </row>
    <row r="5195" spans="1:13" ht="12.75" customHeight="1">
      <c r="A5195" t="s">
        <v>1420</v>
      </c>
      <c r="B5195" t="s">
        <v>136</v>
      </c>
      <c r="C5195" t="s">
        <v>137</v>
      </c>
      <c r="D5195" t="s">
        <v>1432</v>
      </c>
      <c r="E5195" s="17">
        <v>46149</v>
      </c>
      <c r="F5195" s="17">
        <v>46149</v>
      </c>
      <c r="G5195" s="13">
        <v>1621</v>
      </c>
      <c r="H5195" s="14">
        <v>0</v>
      </c>
      <c r="I5195" s="14">
        <v>0</v>
      </c>
      <c r="J5195" s="14">
        <v>0</v>
      </c>
      <c r="K5195" s="14">
        <v>1621</v>
      </c>
      <c r="L5195" t="s">
        <v>794</v>
      </c>
      <c r="M5195" s="23">
        <f t="shared" si="81"/>
        <v>2026</v>
      </c>
    </row>
    <row r="5196" spans="1:13" ht="12.75" customHeight="1">
      <c r="A5196" t="s">
        <v>825</v>
      </c>
      <c r="B5196" t="s">
        <v>46</v>
      </c>
      <c r="C5196" t="s">
        <v>137</v>
      </c>
      <c r="D5196" t="s">
        <v>1432</v>
      </c>
      <c r="E5196" s="17">
        <v>46149</v>
      </c>
      <c r="F5196" s="17">
        <v>46149</v>
      </c>
      <c r="G5196" s="13">
        <v>172</v>
      </c>
      <c r="H5196" s="14">
        <v>0</v>
      </c>
      <c r="I5196" s="14">
        <v>0</v>
      </c>
      <c r="J5196" s="14">
        <v>0</v>
      </c>
      <c r="K5196" s="14">
        <v>172</v>
      </c>
      <c r="L5196" t="s">
        <v>794</v>
      </c>
      <c r="M5196" s="23">
        <f t="shared" si="81"/>
        <v>2026</v>
      </c>
    </row>
    <row r="5197" spans="1:13" ht="12.75" customHeight="1">
      <c r="A5197" t="s">
        <v>1134</v>
      </c>
      <c r="B5197" t="s">
        <v>33</v>
      </c>
      <c r="C5197" t="s">
        <v>137</v>
      </c>
      <c r="D5197" t="s">
        <v>1432</v>
      </c>
      <c r="E5197" s="17">
        <v>46149</v>
      </c>
      <c r="F5197" s="17">
        <v>46149</v>
      </c>
      <c r="G5197" s="13">
        <v>1573</v>
      </c>
      <c r="H5197" s="14">
        <v>0</v>
      </c>
      <c r="I5197" s="14">
        <v>0</v>
      </c>
      <c r="J5197" s="14">
        <v>0</v>
      </c>
      <c r="K5197" s="14">
        <v>1573</v>
      </c>
      <c r="L5197" t="s">
        <v>794</v>
      </c>
      <c r="M5197" s="23">
        <f t="shared" si="81"/>
        <v>2026</v>
      </c>
    </row>
    <row r="5198" spans="1:13" ht="12.75" customHeight="1">
      <c r="A5198" t="s">
        <v>1104</v>
      </c>
      <c r="B5198" t="s">
        <v>53</v>
      </c>
      <c r="C5198" t="s">
        <v>137</v>
      </c>
      <c r="D5198" t="s">
        <v>1432</v>
      </c>
      <c r="E5198" s="17">
        <v>46149</v>
      </c>
      <c r="F5198" s="17">
        <v>46149</v>
      </c>
      <c r="G5198" s="13">
        <v>1472</v>
      </c>
      <c r="H5198" s="14">
        <v>0</v>
      </c>
      <c r="I5198" s="14">
        <v>0</v>
      </c>
      <c r="J5198" s="14">
        <v>0</v>
      </c>
      <c r="K5198" s="14">
        <v>1472</v>
      </c>
      <c r="L5198" t="s">
        <v>794</v>
      </c>
      <c r="M5198" s="23">
        <f t="shared" si="81"/>
        <v>2026</v>
      </c>
    </row>
    <row r="5199" spans="1:13" ht="12.75" customHeight="1">
      <c r="A5199" t="s">
        <v>1105</v>
      </c>
      <c r="B5199" t="s">
        <v>1395</v>
      </c>
      <c r="C5199" t="s">
        <v>137</v>
      </c>
      <c r="D5199" t="s">
        <v>1432</v>
      </c>
      <c r="E5199" s="17">
        <v>46149</v>
      </c>
      <c r="F5199" s="17">
        <v>46149</v>
      </c>
      <c r="G5199" s="13">
        <v>1573</v>
      </c>
      <c r="H5199" s="14">
        <v>0</v>
      </c>
      <c r="I5199" s="14">
        <v>0</v>
      </c>
      <c r="J5199" s="14">
        <v>0</v>
      </c>
      <c r="K5199" s="14">
        <v>1573</v>
      </c>
      <c r="L5199" t="s">
        <v>794</v>
      </c>
      <c r="M5199" s="23">
        <f t="shared" si="81"/>
        <v>2026</v>
      </c>
    </row>
    <row r="5200" spans="1:13" ht="12.75" customHeight="1">
      <c r="A5200" t="s">
        <v>1467</v>
      </c>
      <c r="B5200" t="s">
        <v>185</v>
      </c>
      <c r="C5200" t="s">
        <v>137</v>
      </c>
      <c r="D5200" t="s">
        <v>1432</v>
      </c>
      <c r="E5200" s="17">
        <v>46149</v>
      </c>
      <c r="F5200" s="17">
        <v>46149</v>
      </c>
      <c r="G5200" s="13">
        <v>1725</v>
      </c>
      <c r="H5200" s="14">
        <v>0</v>
      </c>
      <c r="I5200" s="14">
        <v>0</v>
      </c>
      <c r="J5200" s="14">
        <v>0</v>
      </c>
      <c r="K5200" s="14">
        <v>1725</v>
      </c>
      <c r="L5200" t="s">
        <v>794</v>
      </c>
      <c r="M5200" s="23">
        <f t="shared" si="81"/>
        <v>2026</v>
      </c>
    </row>
    <row r="5201" spans="1:13" ht="12.75" customHeight="1">
      <c r="A5201" t="s">
        <v>1173</v>
      </c>
      <c r="B5201" t="s">
        <v>45</v>
      </c>
      <c r="C5201" t="s">
        <v>137</v>
      </c>
      <c r="D5201" t="s">
        <v>1432</v>
      </c>
      <c r="E5201" s="17">
        <v>46149</v>
      </c>
      <c r="F5201" s="17">
        <v>46149</v>
      </c>
      <c r="G5201" s="13">
        <v>1809</v>
      </c>
      <c r="H5201" s="14">
        <v>0</v>
      </c>
      <c r="I5201" s="14">
        <v>0</v>
      </c>
      <c r="J5201" s="14">
        <v>0</v>
      </c>
      <c r="K5201" s="14">
        <v>1809</v>
      </c>
      <c r="L5201" t="s">
        <v>794</v>
      </c>
      <c r="M5201" s="23">
        <f t="shared" si="81"/>
        <v>2026</v>
      </c>
    </row>
    <row r="5202" spans="1:13" ht="12.75" customHeight="1">
      <c r="A5202" t="s">
        <v>1316</v>
      </c>
      <c r="B5202" t="s">
        <v>59</v>
      </c>
      <c r="C5202" t="s">
        <v>137</v>
      </c>
      <c r="D5202" t="s">
        <v>1432</v>
      </c>
      <c r="E5202" s="17">
        <v>46149</v>
      </c>
      <c r="F5202" s="17">
        <v>46149</v>
      </c>
      <c r="G5202" s="13">
        <v>1573</v>
      </c>
      <c r="H5202" s="14">
        <v>0</v>
      </c>
      <c r="I5202" s="14">
        <v>0</v>
      </c>
      <c r="J5202" s="14">
        <v>0</v>
      </c>
      <c r="K5202" s="14">
        <v>1573</v>
      </c>
      <c r="L5202" t="s">
        <v>794</v>
      </c>
      <c r="M5202" s="23">
        <f t="shared" si="81"/>
        <v>2026</v>
      </c>
    </row>
    <row r="5203" spans="1:13" ht="12.75" customHeight="1">
      <c r="A5203" t="s">
        <v>961</v>
      </c>
      <c r="B5203" t="s">
        <v>41</v>
      </c>
      <c r="C5203" t="s">
        <v>137</v>
      </c>
      <c r="D5203" t="s">
        <v>1432</v>
      </c>
      <c r="E5203" s="17">
        <v>46149</v>
      </c>
      <c r="F5203" s="17">
        <v>46149</v>
      </c>
      <c r="G5203" s="13">
        <v>1573</v>
      </c>
      <c r="H5203" s="14">
        <v>0</v>
      </c>
      <c r="I5203" s="14">
        <v>0</v>
      </c>
      <c r="J5203" s="14">
        <v>0</v>
      </c>
      <c r="K5203" s="14">
        <v>1573</v>
      </c>
      <c r="L5203" t="s">
        <v>794</v>
      </c>
      <c r="M5203" s="23">
        <f t="shared" si="81"/>
        <v>2026</v>
      </c>
    </row>
    <row r="5204" spans="1:13" ht="12.75" customHeight="1">
      <c r="A5204" t="s">
        <v>1167</v>
      </c>
      <c r="B5204" t="s">
        <v>47</v>
      </c>
      <c r="C5204" t="s">
        <v>137</v>
      </c>
      <c r="D5204" t="s">
        <v>1432</v>
      </c>
      <c r="E5204" s="17">
        <v>46149</v>
      </c>
      <c r="F5204" s="17">
        <v>46149</v>
      </c>
      <c r="G5204" s="13">
        <v>1816</v>
      </c>
      <c r="H5204" s="14">
        <v>0</v>
      </c>
      <c r="I5204" s="14">
        <v>0</v>
      </c>
      <c r="J5204" s="14">
        <v>0</v>
      </c>
      <c r="K5204" s="14">
        <v>1816</v>
      </c>
      <c r="L5204" t="s">
        <v>794</v>
      </c>
      <c r="M5204" s="23">
        <f t="shared" si="81"/>
        <v>2026</v>
      </c>
    </row>
    <row r="5205" spans="1:13" ht="12.75" customHeight="1">
      <c r="A5205" t="s">
        <v>819</v>
      </c>
      <c r="B5205" t="s">
        <v>38</v>
      </c>
      <c r="C5205" t="s">
        <v>137</v>
      </c>
      <c r="D5205" t="s">
        <v>1432</v>
      </c>
      <c r="E5205" s="17">
        <v>46149</v>
      </c>
      <c r="F5205" s="17">
        <v>46149</v>
      </c>
      <c r="G5205" s="13">
        <v>1725</v>
      </c>
      <c r="H5205" s="14">
        <v>0</v>
      </c>
      <c r="I5205" s="14">
        <v>0</v>
      </c>
      <c r="J5205" s="14">
        <v>0</v>
      </c>
      <c r="K5205" s="14">
        <v>1725</v>
      </c>
      <c r="L5205" t="s">
        <v>794</v>
      </c>
      <c r="M5205" s="23">
        <f t="shared" si="81"/>
        <v>2026</v>
      </c>
    </row>
    <row r="5206" spans="1:13" ht="12.75" customHeight="1">
      <c r="A5206" t="s">
        <v>1004</v>
      </c>
      <c r="B5206" t="s">
        <v>57</v>
      </c>
      <c r="C5206" t="s">
        <v>137</v>
      </c>
      <c r="D5206" t="s">
        <v>1432</v>
      </c>
      <c r="E5206" s="17">
        <v>46149</v>
      </c>
      <c r="F5206" s="17">
        <v>46149</v>
      </c>
      <c r="G5206" s="13">
        <v>1708</v>
      </c>
      <c r="H5206" s="14">
        <v>0</v>
      </c>
      <c r="I5206" s="14">
        <v>0</v>
      </c>
      <c r="J5206" s="14">
        <v>0</v>
      </c>
      <c r="K5206" s="14">
        <v>1708</v>
      </c>
      <c r="L5206" t="s">
        <v>794</v>
      </c>
      <c r="M5206" s="23">
        <f t="shared" si="81"/>
        <v>2026</v>
      </c>
    </row>
    <row r="5207" spans="1:13" ht="12.75" customHeight="1">
      <c r="A5207" t="s">
        <v>1500</v>
      </c>
      <c r="B5207" t="s">
        <v>703</v>
      </c>
      <c r="C5207" t="s">
        <v>438</v>
      </c>
      <c r="D5207" t="s">
        <v>1432</v>
      </c>
      <c r="E5207" s="17">
        <v>46150</v>
      </c>
      <c r="F5207" s="17">
        <v>46149</v>
      </c>
      <c r="G5207" s="13">
        <v>11</v>
      </c>
      <c r="H5207" s="14">
        <v>0</v>
      </c>
      <c r="I5207" s="14">
        <v>0</v>
      </c>
      <c r="J5207" s="14">
        <v>0</v>
      </c>
      <c r="K5207" s="14">
        <v>11</v>
      </c>
      <c r="L5207" t="s">
        <v>794</v>
      </c>
      <c r="M5207" s="23">
        <f t="shared" si="81"/>
        <v>2026</v>
      </c>
    </row>
    <row r="5208" spans="1:13" ht="12.75" customHeight="1">
      <c r="A5208" t="s">
        <v>1446</v>
      </c>
      <c r="B5208" t="s">
        <v>167</v>
      </c>
      <c r="C5208" t="s">
        <v>137</v>
      </c>
      <c r="D5208" t="s">
        <v>1432</v>
      </c>
      <c r="E5208" s="17">
        <v>46149</v>
      </c>
      <c r="F5208" s="17">
        <v>46149</v>
      </c>
      <c r="G5208" s="13">
        <v>1776</v>
      </c>
      <c r="H5208" s="14">
        <v>0</v>
      </c>
      <c r="I5208" s="14">
        <v>0</v>
      </c>
      <c r="J5208" s="14">
        <v>0</v>
      </c>
      <c r="K5208" s="14">
        <v>1776</v>
      </c>
      <c r="L5208" t="s">
        <v>794</v>
      </c>
      <c r="M5208" s="23">
        <f t="shared" si="81"/>
        <v>2026</v>
      </c>
    </row>
    <row r="5209" spans="1:13" ht="12.75" customHeight="1">
      <c r="A5209" t="s">
        <v>1196</v>
      </c>
      <c r="B5209" t="s">
        <v>1197</v>
      </c>
      <c r="C5209" t="s">
        <v>137</v>
      </c>
      <c r="D5209" t="s">
        <v>1432</v>
      </c>
      <c r="E5209" s="17">
        <v>46149</v>
      </c>
      <c r="F5209" s="17">
        <v>46149</v>
      </c>
      <c r="G5209" s="13">
        <v>1725</v>
      </c>
      <c r="H5209" s="14">
        <v>0</v>
      </c>
      <c r="I5209" s="14">
        <v>0</v>
      </c>
      <c r="J5209" s="14">
        <v>0</v>
      </c>
      <c r="K5209" s="14">
        <v>1725</v>
      </c>
      <c r="L5209" t="s">
        <v>794</v>
      </c>
      <c r="M5209" s="23">
        <f t="shared" si="81"/>
        <v>2026</v>
      </c>
    </row>
    <row r="5210" spans="1:13" ht="12.75" customHeight="1">
      <c r="A5210" t="s">
        <v>1317</v>
      </c>
      <c r="B5210" t="s">
        <v>64</v>
      </c>
      <c r="C5210" t="s">
        <v>137</v>
      </c>
      <c r="D5210" t="s">
        <v>1432</v>
      </c>
      <c r="E5210" s="17">
        <v>46154</v>
      </c>
      <c r="F5210" s="17">
        <v>46149</v>
      </c>
      <c r="G5210" s="13">
        <v>1573</v>
      </c>
      <c r="H5210" s="14">
        <v>0</v>
      </c>
      <c r="I5210" s="14">
        <v>0</v>
      </c>
      <c r="J5210" s="14">
        <v>0</v>
      </c>
      <c r="K5210" s="14">
        <v>1573</v>
      </c>
      <c r="L5210" t="s">
        <v>794</v>
      </c>
      <c r="M5210" s="23">
        <f t="shared" ref="M5210:M5273" si="82">YEAR(F5210)</f>
        <v>2026</v>
      </c>
    </row>
    <row r="5211" spans="1:13" ht="12.75" customHeight="1">
      <c r="A5211" t="s">
        <v>833</v>
      </c>
      <c r="B5211" t="s">
        <v>27</v>
      </c>
      <c r="C5211" t="s">
        <v>137</v>
      </c>
      <c r="D5211" t="s">
        <v>1432</v>
      </c>
      <c r="E5211" s="17">
        <v>46149</v>
      </c>
      <c r="F5211" s="17">
        <v>46149</v>
      </c>
      <c r="G5211" s="13">
        <v>1816</v>
      </c>
      <c r="H5211" s="14">
        <v>0</v>
      </c>
      <c r="I5211" s="14">
        <v>0</v>
      </c>
      <c r="J5211" s="14">
        <v>0</v>
      </c>
      <c r="K5211" s="14">
        <v>1816</v>
      </c>
      <c r="L5211" t="s">
        <v>794</v>
      </c>
      <c r="M5211" s="23">
        <f t="shared" si="82"/>
        <v>2026</v>
      </c>
    </row>
    <row r="5212" spans="1:13" ht="12.75" customHeight="1">
      <c r="A5212" t="s">
        <v>914</v>
      </c>
      <c r="B5212" t="s">
        <v>28</v>
      </c>
      <c r="C5212" t="s">
        <v>732</v>
      </c>
      <c r="D5212" t="s">
        <v>1432</v>
      </c>
      <c r="E5212" s="17">
        <v>46149</v>
      </c>
      <c r="F5212" s="17">
        <v>46149</v>
      </c>
      <c r="G5212" s="13">
        <v>165.15</v>
      </c>
      <c r="H5212" s="14">
        <v>0</v>
      </c>
      <c r="I5212" s="14">
        <v>0</v>
      </c>
      <c r="J5212" s="14">
        <v>0</v>
      </c>
      <c r="K5212" s="14">
        <v>165.15</v>
      </c>
      <c r="L5212" t="s">
        <v>794</v>
      </c>
      <c r="M5212" s="23">
        <f t="shared" si="82"/>
        <v>2026</v>
      </c>
    </row>
    <row r="5213" spans="1:13" ht="12.75" customHeight="1">
      <c r="A5213" t="s">
        <v>1112</v>
      </c>
      <c r="B5213" t="s">
        <v>68</v>
      </c>
      <c r="C5213" t="s">
        <v>137</v>
      </c>
      <c r="D5213" t="s">
        <v>1432</v>
      </c>
      <c r="E5213" s="17">
        <v>46149</v>
      </c>
      <c r="F5213" s="17">
        <v>46149</v>
      </c>
      <c r="G5213" s="13">
        <v>1314</v>
      </c>
      <c r="H5213" s="14">
        <v>0</v>
      </c>
      <c r="I5213" s="14">
        <v>0</v>
      </c>
      <c r="J5213" s="14">
        <v>0</v>
      </c>
      <c r="K5213" s="14">
        <v>1314</v>
      </c>
      <c r="L5213" t="s">
        <v>794</v>
      </c>
      <c r="M5213" s="23">
        <f t="shared" si="82"/>
        <v>2026</v>
      </c>
    </row>
    <row r="5214" spans="1:13" ht="12.75" customHeight="1">
      <c r="A5214" t="s">
        <v>818</v>
      </c>
      <c r="B5214" t="s">
        <v>30</v>
      </c>
      <c r="C5214" t="s">
        <v>137</v>
      </c>
      <c r="D5214" t="s">
        <v>1432</v>
      </c>
      <c r="E5214" s="17">
        <v>46149</v>
      </c>
      <c r="F5214" s="17">
        <v>46149</v>
      </c>
      <c r="G5214" s="13">
        <v>1894</v>
      </c>
      <c r="H5214" s="14">
        <v>0</v>
      </c>
      <c r="I5214" s="14">
        <v>0</v>
      </c>
      <c r="J5214" s="14">
        <v>0</v>
      </c>
      <c r="K5214" s="14">
        <v>1894</v>
      </c>
      <c r="L5214" t="s">
        <v>794</v>
      </c>
      <c r="M5214" s="23">
        <f t="shared" si="82"/>
        <v>2026</v>
      </c>
    </row>
    <row r="5215" spans="1:13" ht="12.75" customHeight="1">
      <c r="A5215" t="s">
        <v>833</v>
      </c>
      <c r="B5215" t="s">
        <v>27</v>
      </c>
      <c r="C5215" t="s">
        <v>140</v>
      </c>
      <c r="D5215" t="s">
        <v>1432</v>
      </c>
      <c r="E5215" s="17">
        <v>46149</v>
      </c>
      <c r="F5215" s="17">
        <v>46149</v>
      </c>
      <c r="G5215" s="13">
        <v>1000</v>
      </c>
      <c r="H5215" s="14">
        <v>0</v>
      </c>
      <c r="I5215" s="14">
        <v>0</v>
      </c>
      <c r="J5215" s="14">
        <v>0</v>
      </c>
      <c r="K5215" s="14">
        <v>1000</v>
      </c>
      <c r="L5215" t="s">
        <v>794</v>
      </c>
      <c r="M5215" s="23">
        <f t="shared" si="82"/>
        <v>2026</v>
      </c>
    </row>
    <row r="5216" spans="1:13" ht="12.75" customHeight="1">
      <c r="A5216" t="s">
        <v>855</v>
      </c>
      <c r="B5216" t="s">
        <v>20</v>
      </c>
      <c r="C5216" t="s">
        <v>721</v>
      </c>
      <c r="D5216" t="s">
        <v>1432</v>
      </c>
      <c r="E5216" s="17">
        <v>46149</v>
      </c>
      <c r="F5216" s="17">
        <v>46149</v>
      </c>
      <c r="G5216" s="13">
        <v>5000</v>
      </c>
      <c r="H5216" s="14">
        <v>0</v>
      </c>
      <c r="I5216" s="14">
        <v>0</v>
      </c>
      <c r="J5216" s="14">
        <v>0</v>
      </c>
      <c r="K5216" s="14">
        <v>5000</v>
      </c>
      <c r="L5216" t="s">
        <v>794</v>
      </c>
      <c r="M5216" s="23">
        <f t="shared" si="82"/>
        <v>2026</v>
      </c>
    </row>
    <row r="5217" spans="1:13" ht="12.75" customHeight="1">
      <c r="A5217" t="s">
        <v>855</v>
      </c>
      <c r="B5217" t="s">
        <v>20</v>
      </c>
      <c r="C5217" t="s">
        <v>721</v>
      </c>
      <c r="D5217" t="s">
        <v>1432</v>
      </c>
      <c r="E5217" s="17">
        <v>46149</v>
      </c>
      <c r="F5217" s="17">
        <v>46149</v>
      </c>
      <c r="G5217" s="13">
        <v>1000</v>
      </c>
      <c r="H5217" s="14">
        <v>0</v>
      </c>
      <c r="I5217" s="14">
        <v>0</v>
      </c>
      <c r="J5217" s="14">
        <v>0</v>
      </c>
      <c r="K5217" s="14">
        <v>1000</v>
      </c>
      <c r="L5217" t="s">
        <v>794</v>
      </c>
      <c r="M5217" s="23">
        <f t="shared" si="82"/>
        <v>2026</v>
      </c>
    </row>
    <row r="5218" spans="1:13" ht="12.75" customHeight="1">
      <c r="A5218" t="s">
        <v>855</v>
      </c>
      <c r="B5218" t="s">
        <v>20</v>
      </c>
      <c r="C5218" t="s">
        <v>140</v>
      </c>
      <c r="D5218" t="s">
        <v>1432</v>
      </c>
      <c r="E5218" s="17">
        <v>46149</v>
      </c>
      <c r="F5218" s="17">
        <v>46149</v>
      </c>
      <c r="G5218" s="13">
        <v>500</v>
      </c>
      <c r="H5218" s="14">
        <v>0</v>
      </c>
      <c r="I5218" s="14">
        <v>0</v>
      </c>
      <c r="J5218" s="14">
        <v>0</v>
      </c>
      <c r="K5218" s="14">
        <v>500</v>
      </c>
      <c r="L5218" t="s">
        <v>794</v>
      </c>
      <c r="M5218" s="23">
        <f t="shared" si="82"/>
        <v>2026</v>
      </c>
    </row>
    <row r="5219" spans="1:13" ht="12.75" customHeight="1">
      <c r="A5219" t="s">
        <v>808</v>
      </c>
      <c r="B5219" t="s">
        <v>154</v>
      </c>
      <c r="C5219" t="s">
        <v>693</v>
      </c>
      <c r="D5219" t="s">
        <v>1432</v>
      </c>
      <c r="E5219" s="17">
        <v>46149</v>
      </c>
      <c r="F5219" s="17">
        <v>46149</v>
      </c>
      <c r="G5219" s="13">
        <v>550</v>
      </c>
      <c r="H5219" s="14">
        <v>0</v>
      </c>
      <c r="I5219" s="14">
        <v>0</v>
      </c>
      <c r="J5219" s="14">
        <v>0</v>
      </c>
      <c r="K5219" s="14">
        <v>550</v>
      </c>
      <c r="L5219" t="s">
        <v>794</v>
      </c>
      <c r="M5219" s="23">
        <f t="shared" si="82"/>
        <v>2026</v>
      </c>
    </row>
    <row r="5220" spans="1:13" ht="12.75" customHeight="1">
      <c r="A5220" t="s">
        <v>1466</v>
      </c>
      <c r="B5220" t="s">
        <v>203</v>
      </c>
      <c r="C5220" t="s">
        <v>204</v>
      </c>
      <c r="D5220" t="s">
        <v>1432</v>
      </c>
      <c r="E5220" s="17">
        <v>46149</v>
      </c>
      <c r="F5220" s="17">
        <v>46149</v>
      </c>
      <c r="G5220" s="13">
        <v>2002.16</v>
      </c>
      <c r="H5220" s="14">
        <v>0</v>
      </c>
      <c r="I5220" s="14">
        <v>0</v>
      </c>
      <c r="J5220" s="14">
        <v>0</v>
      </c>
      <c r="K5220" s="14">
        <v>2002.16</v>
      </c>
      <c r="L5220" t="s">
        <v>794</v>
      </c>
      <c r="M5220" s="23">
        <f t="shared" si="82"/>
        <v>2026</v>
      </c>
    </row>
    <row r="5221" spans="1:13" ht="12.75" customHeight="1">
      <c r="A5221" t="s">
        <v>1466</v>
      </c>
      <c r="B5221" t="s">
        <v>203</v>
      </c>
      <c r="C5221" t="s">
        <v>138</v>
      </c>
      <c r="D5221" t="s">
        <v>1432</v>
      </c>
      <c r="E5221" s="17">
        <v>46150</v>
      </c>
      <c r="F5221" s="17">
        <v>46149</v>
      </c>
      <c r="G5221" s="13">
        <v>107.11</v>
      </c>
      <c r="H5221" s="14">
        <v>0</v>
      </c>
      <c r="I5221" s="14">
        <v>0</v>
      </c>
      <c r="J5221" s="14">
        <v>0</v>
      </c>
      <c r="K5221" s="14">
        <v>107.16</v>
      </c>
      <c r="L5221" t="s">
        <v>794</v>
      </c>
      <c r="M5221" s="23">
        <f t="shared" si="82"/>
        <v>2026</v>
      </c>
    </row>
    <row r="5222" spans="1:13" ht="12.75" customHeight="1">
      <c r="A5222" t="s">
        <v>844</v>
      </c>
      <c r="B5222" t="s">
        <v>43</v>
      </c>
      <c r="C5222" t="s">
        <v>719</v>
      </c>
      <c r="D5222" t="s">
        <v>1432</v>
      </c>
      <c r="E5222" s="17">
        <v>46153</v>
      </c>
      <c r="F5222" s="17">
        <v>46150</v>
      </c>
      <c r="G5222" s="13">
        <v>8626.23</v>
      </c>
      <c r="H5222" s="14">
        <v>0</v>
      </c>
      <c r="I5222" s="14">
        <v>0</v>
      </c>
      <c r="J5222" s="14">
        <v>0</v>
      </c>
      <c r="K5222" s="14">
        <v>8626.23</v>
      </c>
      <c r="L5222" t="s">
        <v>794</v>
      </c>
      <c r="M5222" s="23">
        <f t="shared" si="82"/>
        <v>2026</v>
      </c>
    </row>
    <row r="5223" spans="1:13" ht="12.75" customHeight="1">
      <c r="A5223" t="s">
        <v>801</v>
      </c>
      <c r="B5223" t="s">
        <v>13</v>
      </c>
      <c r="C5223" t="s">
        <v>726</v>
      </c>
      <c r="D5223" t="s">
        <v>1432</v>
      </c>
      <c r="E5223" s="17">
        <v>46150</v>
      </c>
      <c r="F5223" s="17">
        <v>46150</v>
      </c>
      <c r="G5223" s="13">
        <v>105.12</v>
      </c>
      <c r="H5223" s="14">
        <v>0</v>
      </c>
      <c r="I5223" s="14">
        <v>0</v>
      </c>
      <c r="J5223" s="14">
        <v>0</v>
      </c>
      <c r="K5223" s="14">
        <v>105.12</v>
      </c>
      <c r="L5223" t="s">
        <v>794</v>
      </c>
      <c r="M5223" s="23">
        <f t="shared" si="82"/>
        <v>2026</v>
      </c>
    </row>
    <row r="5224" spans="1:13" ht="12.75" customHeight="1">
      <c r="A5224" t="s">
        <v>801</v>
      </c>
      <c r="B5224" t="s">
        <v>13</v>
      </c>
      <c r="C5224" t="s">
        <v>726</v>
      </c>
      <c r="D5224" t="s">
        <v>1432</v>
      </c>
      <c r="E5224" s="17">
        <v>46150</v>
      </c>
      <c r="F5224" s="17">
        <v>46150</v>
      </c>
      <c r="G5224" s="13">
        <v>335.07</v>
      </c>
      <c r="H5224" s="14">
        <v>0</v>
      </c>
      <c r="I5224" s="14">
        <v>0</v>
      </c>
      <c r="J5224" s="14">
        <v>0</v>
      </c>
      <c r="K5224" s="14">
        <v>335.07</v>
      </c>
      <c r="L5224" t="s">
        <v>794</v>
      </c>
      <c r="M5224" s="23">
        <f t="shared" si="82"/>
        <v>2026</v>
      </c>
    </row>
    <row r="5225" spans="1:13" ht="12.75" customHeight="1">
      <c r="A5225" t="s">
        <v>844</v>
      </c>
      <c r="B5225" t="s">
        <v>43</v>
      </c>
      <c r="C5225" t="s">
        <v>719</v>
      </c>
      <c r="D5225" t="s">
        <v>1432</v>
      </c>
      <c r="E5225" s="17">
        <v>46150</v>
      </c>
      <c r="F5225" s="17">
        <v>46150</v>
      </c>
      <c r="G5225" s="13">
        <v>1680.95</v>
      </c>
      <c r="H5225" s="14">
        <v>0</v>
      </c>
      <c r="I5225" s="14">
        <v>0</v>
      </c>
      <c r="J5225" s="14">
        <v>0</v>
      </c>
      <c r="K5225" s="14">
        <v>1680.95</v>
      </c>
      <c r="L5225" t="s">
        <v>794</v>
      </c>
      <c r="M5225" s="23">
        <f t="shared" si="82"/>
        <v>2026</v>
      </c>
    </row>
    <row r="5226" spans="1:13" ht="12.75" customHeight="1">
      <c r="A5226" t="s">
        <v>848</v>
      </c>
      <c r="B5226" t="s">
        <v>14</v>
      </c>
      <c r="C5226" t="s">
        <v>714</v>
      </c>
      <c r="D5226" t="s">
        <v>1432</v>
      </c>
      <c r="E5226" s="17">
        <v>46153</v>
      </c>
      <c r="F5226" s="17">
        <v>46150</v>
      </c>
      <c r="G5226" s="13">
        <v>28087.8</v>
      </c>
      <c r="H5226" s="14">
        <v>0</v>
      </c>
      <c r="I5226" s="14">
        <v>0</v>
      </c>
      <c r="J5226" s="14">
        <v>0</v>
      </c>
      <c r="K5226" s="14">
        <v>28087.8</v>
      </c>
      <c r="L5226" t="s">
        <v>794</v>
      </c>
      <c r="M5226" s="23">
        <f t="shared" si="82"/>
        <v>2026</v>
      </c>
    </row>
    <row r="5227" spans="1:13" ht="12.75" customHeight="1">
      <c r="A5227" t="s">
        <v>1499</v>
      </c>
      <c r="B5227" t="s">
        <v>327</v>
      </c>
      <c r="C5227" t="s">
        <v>140</v>
      </c>
      <c r="D5227" t="s">
        <v>1432</v>
      </c>
      <c r="E5227" s="17">
        <v>46150</v>
      </c>
      <c r="F5227" s="17">
        <v>46150</v>
      </c>
      <c r="G5227" s="13">
        <v>480</v>
      </c>
      <c r="H5227" s="14">
        <v>0</v>
      </c>
      <c r="I5227" s="14">
        <v>0</v>
      </c>
      <c r="J5227" s="14">
        <v>0</v>
      </c>
      <c r="K5227" s="14">
        <v>480</v>
      </c>
      <c r="L5227" t="s">
        <v>794</v>
      </c>
      <c r="M5227" s="23">
        <f t="shared" si="82"/>
        <v>2026</v>
      </c>
    </row>
    <row r="5228" spans="1:13" ht="12.75" customHeight="1">
      <c r="A5228" t="s">
        <v>1004</v>
      </c>
      <c r="B5228" t="s">
        <v>57</v>
      </c>
      <c r="C5228" t="s">
        <v>730</v>
      </c>
      <c r="D5228" t="s">
        <v>1432</v>
      </c>
      <c r="E5228" s="17">
        <v>46150</v>
      </c>
      <c r="F5228" s="17">
        <v>46150</v>
      </c>
      <c r="G5228" s="13">
        <v>2245.5</v>
      </c>
      <c r="H5228" s="14">
        <v>0</v>
      </c>
      <c r="I5228" s="14">
        <v>0</v>
      </c>
      <c r="J5228" s="14">
        <v>0</v>
      </c>
      <c r="K5228" s="14">
        <v>2245.5</v>
      </c>
      <c r="L5228" t="s">
        <v>794</v>
      </c>
      <c r="M5228" s="23">
        <f t="shared" si="82"/>
        <v>2026</v>
      </c>
    </row>
    <row r="5229" spans="1:13" ht="12.75" customHeight="1">
      <c r="A5229" t="s">
        <v>1355</v>
      </c>
      <c r="B5229" t="s">
        <v>161</v>
      </c>
      <c r="C5229" t="s">
        <v>200</v>
      </c>
      <c r="D5229" t="s">
        <v>1432</v>
      </c>
      <c r="E5229" s="17">
        <v>46153</v>
      </c>
      <c r="F5229" s="17">
        <v>46153</v>
      </c>
      <c r="G5229" s="13">
        <v>840</v>
      </c>
      <c r="H5229" s="14">
        <v>0</v>
      </c>
      <c r="I5229" s="14">
        <v>0</v>
      </c>
      <c r="J5229" s="14">
        <v>0</v>
      </c>
      <c r="K5229" s="14">
        <v>840</v>
      </c>
      <c r="L5229" t="s">
        <v>794</v>
      </c>
      <c r="M5229" s="23">
        <f t="shared" si="82"/>
        <v>2026</v>
      </c>
    </row>
    <row r="5230" spans="1:13" ht="12.75" customHeight="1">
      <c r="A5230" t="s">
        <v>1134</v>
      </c>
      <c r="B5230" t="s">
        <v>33</v>
      </c>
      <c r="C5230" t="s">
        <v>200</v>
      </c>
      <c r="D5230" t="s">
        <v>1432</v>
      </c>
      <c r="E5230" s="17">
        <v>46153</v>
      </c>
      <c r="F5230" s="17">
        <v>46153</v>
      </c>
      <c r="G5230" s="13">
        <v>1472</v>
      </c>
      <c r="H5230" s="14">
        <v>0</v>
      </c>
      <c r="I5230" s="14">
        <v>0</v>
      </c>
      <c r="J5230" s="14">
        <v>0</v>
      </c>
      <c r="K5230" s="14">
        <v>1472</v>
      </c>
      <c r="L5230" t="s">
        <v>794</v>
      </c>
      <c r="M5230" s="23">
        <f t="shared" si="82"/>
        <v>2026</v>
      </c>
    </row>
    <row r="5231" spans="1:13" ht="12.75" customHeight="1">
      <c r="A5231" t="s">
        <v>881</v>
      </c>
      <c r="B5231" t="s">
        <v>48</v>
      </c>
      <c r="C5231" t="s">
        <v>200</v>
      </c>
      <c r="D5231" t="s">
        <v>1432</v>
      </c>
      <c r="E5231" s="17">
        <v>46153</v>
      </c>
      <c r="F5231" s="17">
        <v>46153</v>
      </c>
      <c r="G5231" s="13">
        <v>4224</v>
      </c>
      <c r="H5231" s="14">
        <v>0</v>
      </c>
      <c r="I5231" s="14">
        <v>0</v>
      </c>
      <c r="J5231" s="14">
        <v>0</v>
      </c>
      <c r="K5231" s="14">
        <v>4224</v>
      </c>
      <c r="L5231" t="s">
        <v>794</v>
      </c>
      <c r="M5231" s="23">
        <f t="shared" si="82"/>
        <v>2026</v>
      </c>
    </row>
    <row r="5232" spans="1:13" ht="12.75" customHeight="1">
      <c r="A5232" t="s">
        <v>1176</v>
      </c>
      <c r="B5232" t="s">
        <v>106</v>
      </c>
      <c r="C5232" t="s">
        <v>200</v>
      </c>
      <c r="D5232" t="s">
        <v>1432</v>
      </c>
      <c r="E5232" s="17">
        <v>46153</v>
      </c>
      <c r="F5232" s="17">
        <v>46153</v>
      </c>
      <c r="G5232" s="13">
        <v>1848</v>
      </c>
      <c r="H5232" s="14">
        <v>0</v>
      </c>
      <c r="I5232" s="14">
        <v>0</v>
      </c>
      <c r="J5232" s="14">
        <v>0</v>
      </c>
      <c r="K5232" s="14">
        <v>1848</v>
      </c>
      <c r="L5232" t="s">
        <v>794</v>
      </c>
      <c r="M5232" s="23">
        <f t="shared" si="82"/>
        <v>2026</v>
      </c>
    </row>
    <row r="5233" spans="1:13" ht="12.75" customHeight="1">
      <c r="A5233" t="s">
        <v>1411</v>
      </c>
      <c r="B5233" t="s">
        <v>228</v>
      </c>
      <c r="C5233" t="s">
        <v>200</v>
      </c>
      <c r="D5233" t="s">
        <v>1432</v>
      </c>
      <c r="E5233" s="17">
        <v>46153</v>
      </c>
      <c r="F5233" s="17">
        <v>46153</v>
      </c>
      <c r="G5233" s="13">
        <v>1104</v>
      </c>
      <c r="H5233" s="14">
        <v>0</v>
      </c>
      <c r="I5233" s="14">
        <v>0</v>
      </c>
      <c r="J5233" s="14">
        <v>0</v>
      </c>
      <c r="K5233" s="14">
        <v>1104</v>
      </c>
      <c r="L5233" t="s">
        <v>794</v>
      </c>
      <c r="M5233" s="23">
        <f t="shared" si="82"/>
        <v>2026</v>
      </c>
    </row>
    <row r="5234" spans="1:13" ht="12.75" customHeight="1">
      <c r="A5234" t="s">
        <v>878</v>
      </c>
      <c r="B5234" t="s">
        <v>32</v>
      </c>
      <c r="C5234" t="s">
        <v>200</v>
      </c>
      <c r="D5234" t="s">
        <v>1432</v>
      </c>
      <c r="E5234" s="17">
        <v>46153</v>
      </c>
      <c r="F5234" s="17">
        <v>46153</v>
      </c>
      <c r="G5234" s="13">
        <v>2596</v>
      </c>
      <c r="H5234" s="14">
        <v>0</v>
      </c>
      <c r="I5234" s="14">
        <v>0</v>
      </c>
      <c r="J5234" s="14">
        <v>0</v>
      </c>
      <c r="K5234" s="14">
        <v>2596</v>
      </c>
      <c r="L5234" t="s">
        <v>794</v>
      </c>
      <c r="M5234" s="23">
        <f t="shared" si="82"/>
        <v>2026</v>
      </c>
    </row>
    <row r="5235" spans="1:13" ht="12.75" customHeight="1">
      <c r="A5235" t="s">
        <v>1430</v>
      </c>
      <c r="B5235" t="s">
        <v>244</v>
      </c>
      <c r="C5235" t="s">
        <v>200</v>
      </c>
      <c r="D5235" t="s">
        <v>1432</v>
      </c>
      <c r="E5235" s="17">
        <v>46153</v>
      </c>
      <c r="F5235" s="17">
        <v>46153</v>
      </c>
      <c r="G5235" s="13">
        <v>504</v>
      </c>
      <c r="H5235" s="14">
        <v>0</v>
      </c>
      <c r="I5235" s="14">
        <v>0</v>
      </c>
      <c r="J5235" s="14">
        <v>0</v>
      </c>
      <c r="K5235" s="14">
        <v>504</v>
      </c>
      <c r="L5235" t="s">
        <v>794</v>
      </c>
      <c r="M5235" s="23">
        <f t="shared" si="82"/>
        <v>2026</v>
      </c>
    </row>
    <row r="5236" spans="1:13" ht="12.75" customHeight="1">
      <c r="A5236" t="s">
        <v>1158</v>
      </c>
      <c r="B5236" t="s">
        <v>60</v>
      </c>
      <c r="C5236" t="s">
        <v>200</v>
      </c>
      <c r="D5236" t="s">
        <v>1432</v>
      </c>
      <c r="E5236" s="17">
        <v>46153</v>
      </c>
      <c r="F5236" s="17">
        <v>46153</v>
      </c>
      <c r="G5236" s="13">
        <v>504</v>
      </c>
      <c r="H5236" s="14">
        <v>0</v>
      </c>
      <c r="I5236" s="14">
        <v>0</v>
      </c>
      <c r="J5236" s="14">
        <v>0</v>
      </c>
      <c r="K5236" s="14">
        <v>504</v>
      </c>
      <c r="L5236" t="s">
        <v>794</v>
      </c>
      <c r="M5236" s="23">
        <f t="shared" si="82"/>
        <v>2026</v>
      </c>
    </row>
    <row r="5237" spans="1:13" ht="12.75" customHeight="1">
      <c r="A5237" t="s">
        <v>1308</v>
      </c>
      <c r="B5237" t="s">
        <v>133</v>
      </c>
      <c r="C5237" t="s">
        <v>200</v>
      </c>
      <c r="D5237" t="s">
        <v>1432</v>
      </c>
      <c r="E5237" s="17">
        <v>46153</v>
      </c>
      <c r="F5237" s="17">
        <v>46153</v>
      </c>
      <c r="G5237" s="13">
        <v>840</v>
      </c>
      <c r="H5237" s="14">
        <v>0</v>
      </c>
      <c r="I5237" s="14">
        <v>0</v>
      </c>
      <c r="J5237" s="14">
        <v>0</v>
      </c>
      <c r="K5237" s="14">
        <v>840</v>
      </c>
      <c r="L5237" t="s">
        <v>794</v>
      </c>
      <c r="M5237" s="23">
        <f t="shared" si="82"/>
        <v>2026</v>
      </c>
    </row>
    <row r="5238" spans="1:13" ht="12.75" customHeight="1">
      <c r="A5238" t="s">
        <v>855</v>
      </c>
      <c r="B5238" t="s">
        <v>20</v>
      </c>
      <c r="C5238" t="s">
        <v>200</v>
      </c>
      <c r="D5238" t="s">
        <v>1432</v>
      </c>
      <c r="E5238" s="17">
        <v>46153</v>
      </c>
      <c r="F5238" s="17">
        <v>46153</v>
      </c>
      <c r="G5238" s="13">
        <v>1196</v>
      </c>
      <c r="H5238" s="14">
        <v>0</v>
      </c>
      <c r="I5238" s="14">
        <v>0</v>
      </c>
      <c r="J5238" s="14">
        <v>0</v>
      </c>
      <c r="K5238" s="14">
        <v>1196</v>
      </c>
      <c r="L5238" t="s">
        <v>794</v>
      </c>
      <c r="M5238" s="23">
        <f t="shared" si="82"/>
        <v>2026</v>
      </c>
    </row>
    <row r="5239" spans="1:13" ht="12.75" customHeight="1">
      <c r="A5239" t="s">
        <v>1173</v>
      </c>
      <c r="B5239" t="s">
        <v>45</v>
      </c>
      <c r="C5239" t="s">
        <v>200</v>
      </c>
      <c r="D5239" t="s">
        <v>1432</v>
      </c>
      <c r="E5239" s="17">
        <v>46153</v>
      </c>
      <c r="F5239" s="17">
        <v>46153</v>
      </c>
      <c r="G5239" s="13">
        <v>1071</v>
      </c>
      <c r="H5239" s="14">
        <v>0</v>
      </c>
      <c r="I5239" s="14">
        <v>0</v>
      </c>
      <c r="J5239" s="14">
        <v>0</v>
      </c>
      <c r="K5239" s="14">
        <v>1071</v>
      </c>
      <c r="L5239" t="s">
        <v>794</v>
      </c>
      <c r="M5239" s="23">
        <f t="shared" si="82"/>
        <v>2026</v>
      </c>
    </row>
    <row r="5240" spans="1:13" ht="12.75" customHeight="1">
      <c r="A5240" t="s">
        <v>864</v>
      </c>
      <c r="B5240" t="s">
        <v>36</v>
      </c>
      <c r="C5240" t="s">
        <v>200</v>
      </c>
      <c r="D5240" t="s">
        <v>1432</v>
      </c>
      <c r="E5240" s="17">
        <v>46153</v>
      </c>
      <c r="F5240" s="17">
        <v>46153</v>
      </c>
      <c r="G5240" s="13">
        <v>1748</v>
      </c>
      <c r="H5240" s="14">
        <v>0</v>
      </c>
      <c r="I5240" s="14">
        <v>0</v>
      </c>
      <c r="J5240" s="14">
        <v>0</v>
      </c>
      <c r="K5240" s="14">
        <v>1748</v>
      </c>
      <c r="L5240" t="s">
        <v>794</v>
      </c>
      <c r="M5240" s="23">
        <f t="shared" si="82"/>
        <v>2026</v>
      </c>
    </row>
    <row r="5241" spans="1:13" ht="12.75" customHeight="1">
      <c r="A5241" t="s">
        <v>1384</v>
      </c>
      <c r="B5241" t="s">
        <v>159</v>
      </c>
      <c r="C5241" t="s">
        <v>200</v>
      </c>
      <c r="D5241" t="s">
        <v>1432</v>
      </c>
      <c r="E5241" s="17">
        <v>46153</v>
      </c>
      <c r="F5241" s="17">
        <v>46153</v>
      </c>
      <c r="G5241" s="13">
        <v>1764</v>
      </c>
      <c r="H5241" s="14">
        <v>0</v>
      </c>
      <c r="I5241" s="14">
        <v>0</v>
      </c>
      <c r="J5241" s="14">
        <v>0</v>
      </c>
      <c r="K5241" s="14">
        <v>1764</v>
      </c>
      <c r="L5241" t="s">
        <v>794</v>
      </c>
      <c r="M5241" s="23">
        <f t="shared" si="82"/>
        <v>2026</v>
      </c>
    </row>
    <row r="5242" spans="1:13" ht="12.75" customHeight="1">
      <c r="A5242" t="s">
        <v>1339</v>
      </c>
      <c r="B5242" t="s">
        <v>66</v>
      </c>
      <c r="C5242" t="s">
        <v>200</v>
      </c>
      <c r="D5242" t="s">
        <v>1432</v>
      </c>
      <c r="E5242" s="17">
        <v>46153</v>
      </c>
      <c r="F5242" s="17">
        <v>46153</v>
      </c>
      <c r="G5242" s="13">
        <v>2940</v>
      </c>
      <c r="H5242" s="14">
        <v>0</v>
      </c>
      <c r="I5242" s="14">
        <v>0</v>
      </c>
      <c r="J5242" s="14">
        <v>0</v>
      </c>
      <c r="K5242" s="14">
        <v>2940</v>
      </c>
      <c r="L5242" t="s">
        <v>794</v>
      </c>
      <c r="M5242" s="23">
        <f t="shared" si="82"/>
        <v>2026</v>
      </c>
    </row>
    <row r="5243" spans="1:13" ht="12.75" customHeight="1">
      <c r="A5243" t="s">
        <v>1374</v>
      </c>
      <c r="B5243" t="s">
        <v>237</v>
      </c>
      <c r="C5243" t="s">
        <v>200</v>
      </c>
      <c r="D5243" t="s">
        <v>1432</v>
      </c>
      <c r="E5243" s="17">
        <v>46153</v>
      </c>
      <c r="F5243" s="17">
        <v>46153</v>
      </c>
      <c r="G5243" s="13">
        <v>252</v>
      </c>
      <c r="H5243" s="14">
        <v>0</v>
      </c>
      <c r="I5243" s="14">
        <v>0</v>
      </c>
      <c r="J5243" s="14">
        <v>0</v>
      </c>
      <c r="K5243" s="14">
        <v>252</v>
      </c>
      <c r="L5243" t="s">
        <v>794</v>
      </c>
      <c r="M5243" s="23">
        <f t="shared" si="82"/>
        <v>2026</v>
      </c>
    </row>
    <row r="5244" spans="1:13" ht="12.75" customHeight="1">
      <c r="A5244" t="s">
        <v>1458</v>
      </c>
      <c r="B5244" t="s">
        <v>316</v>
      </c>
      <c r="C5244" t="s">
        <v>200</v>
      </c>
      <c r="D5244" t="s">
        <v>1432</v>
      </c>
      <c r="E5244" s="17">
        <v>46153</v>
      </c>
      <c r="F5244" s="17">
        <v>46153</v>
      </c>
      <c r="G5244" s="13">
        <v>1092</v>
      </c>
      <c r="H5244" s="14">
        <v>0</v>
      </c>
      <c r="I5244" s="14">
        <v>0</v>
      </c>
      <c r="J5244" s="14">
        <v>0</v>
      </c>
      <c r="K5244" s="14">
        <v>1092</v>
      </c>
      <c r="L5244" t="s">
        <v>794</v>
      </c>
      <c r="M5244" s="23">
        <f t="shared" si="82"/>
        <v>2026</v>
      </c>
    </row>
    <row r="5245" spans="1:13" ht="12.75" customHeight="1">
      <c r="A5245" t="s">
        <v>1485</v>
      </c>
      <c r="B5245" t="s">
        <v>304</v>
      </c>
      <c r="C5245" t="s">
        <v>200</v>
      </c>
      <c r="D5245" t="s">
        <v>1432</v>
      </c>
      <c r="E5245" s="17">
        <v>46153</v>
      </c>
      <c r="F5245" s="17">
        <v>46153</v>
      </c>
      <c r="G5245" s="13">
        <v>1092</v>
      </c>
      <c r="H5245" s="14">
        <v>0</v>
      </c>
      <c r="I5245" s="14">
        <v>0</v>
      </c>
      <c r="J5245" s="14">
        <v>0</v>
      </c>
      <c r="K5245" s="14">
        <v>1092</v>
      </c>
      <c r="L5245" t="s">
        <v>794</v>
      </c>
      <c r="M5245" s="23">
        <f t="shared" si="82"/>
        <v>2026</v>
      </c>
    </row>
    <row r="5246" spans="1:13" ht="12.75" customHeight="1">
      <c r="A5246" t="s">
        <v>1416</v>
      </c>
      <c r="B5246" t="s">
        <v>248</v>
      </c>
      <c r="C5246" t="s">
        <v>200</v>
      </c>
      <c r="D5246" t="s">
        <v>1432</v>
      </c>
      <c r="E5246" s="17">
        <v>46153</v>
      </c>
      <c r="F5246" s="17">
        <v>46153</v>
      </c>
      <c r="G5246" s="13">
        <v>252</v>
      </c>
      <c r="H5246" s="14">
        <v>0</v>
      </c>
      <c r="I5246" s="14">
        <v>0</v>
      </c>
      <c r="J5246" s="14">
        <v>0</v>
      </c>
      <c r="K5246" s="14">
        <v>252</v>
      </c>
      <c r="L5246" t="s">
        <v>794</v>
      </c>
      <c r="M5246" s="23">
        <f t="shared" si="82"/>
        <v>2026</v>
      </c>
    </row>
    <row r="5247" spans="1:13" ht="12.75" customHeight="1">
      <c r="A5247" t="s">
        <v>1045</v>
      </c>
      <c r="B5247" t="s">
        <v>71</v>
      </c>
      <c r="C5247" t="s">
        <v>201</v>
      </c>
      <c r="D5247" t="s">
        <v>1432</v>
      </c>
      <c r="E5247" s="17">
        <v>46153</v>
      </c>
      <c r="F5247" s="17">
        <v>46153</v>
      </c>
      <c r="G5247" s="13">
        <v>1360</v>
      </c>
      <c r="H5247" s="14">
        <v>0</v>
      </c>
      <c r="I5247" s="14">
        <v>0</v>
      </c>
      <c r="J5247" s="14">
        <v>0</v>
      </c>
      <c r="K5247" s="14">
        <v>1360</v>
      </c>
      <c r="L5247" t="s">
        <v>794</v>
      </c>
      <c r="M5247" s="23">
        <f t="shared" si="82"/>
        <v>2026</v>
      </c>
    </row>
    <row r="5248" spans="1:13" ht="12.75" customHeight="1">
      <c r="A5248" t="s">
        <v>822</v>
      </c>
      <c r="B5248" t="s">
        <v>101</v>
      </c>
      <c r="C5248" t="s">
        <v>201</v>
      </c>
      <c r="D5248" t="s">
        <v>1432</v>
      </c>
      <c r="E5248" s="17">
        <v>46153</v>
      </c>
      <c r="F5248" s="17">
        <v>46153</v>
      </c>
      <c r="G5248" s="13">
        <v>640</v>
      </c>
      <c r="H5248" s="14">
        <v>0</v>
      </c>
      <c r="I5248" s="14">
        <v>0</v>
      </c>
      <c r="J5248" s="14">
        <v>0</v>
      </c>
      <c r="K5248" s="14">
        <v>640</v>
      </c>
      <c r="L5248" t="s">
        <v>794</v>
      </c>
      <c r="M5248" s="23">
        <f t="shared" si="82"/>
        <v>2026</v>
      </c>
    </row>
    <row r="5249" spans="1:13" ht="12.75" customHeight="1">
      <c r="A5249" t="s">
        <v>1155</v>
      </c>
      <c r="B5249" t="s">
        <v>88</v>
      </c>
      <c r="C5249" t="s">
        <v>201</v>
      </c>
      <c r="D5249" t="s">
        <v>1432</v>
      </c>
      <c r="E5249" s="17">
        <v>46153</v>
      </c>
      <c r="F5249" s="17">
        <v>46153</v>
      </c>
      <c r="G5249" s="13">
        <v>720</v>
      </c>
      <c r="H5249" s="14">
        <v>0</v>
      </c>
      <c r="I5249" s="14">
        <v>0</v>
      </c>
      <c r="J5249" s="14">
        <v>0</v>
      </c>
      <c r="K5249" s="14">
        <v>720</v>
      </c>
      <c r="L5249" t="s">
        <v>794</v>
      </c>
      <c r="M5249" s="23">
        <f t="shared" si="82"/>
        <v>2026</v>
      </c>
    </row>
    <row r="5250" spans="1:13" ht="12.75" customHeight="1">
      <c r="A5250" t="s">
        <v>1155</v>
      </c>
      <c r="B5250" t="s">
        <v>88</v>
      </c>
      <c r="C5250" t="s">
        <v>201</v>
      </c>
      <c r="D5250" t="s">
        <v>1432</v>
      </c>
      <c r="E5250" s="17">
        <v>46153</v>
      </c>
      <c r="F5250" s="17">
        <v>46153</v>
      </c>
      <c r="G5250" s="13">
        <v>1280</v>
      </c>
      <c r="H5250" s="14">
        <v>0</v>
      </c>
      <c r="I5250" s="14">
        <v>0</v>
      </c>
      <c r="J5250" s="14">
        <v>0</v>
      </c>
      <c r="K5250" s="14">
        <v>1280</v>
      </c>
      <c r="L5250" t="s">
        <v>794</v>
      </c>
      <c r="M5250" s="23">
        <f t="shared" si="82"/>
        <v>2026</v>
      </c>
    </row>
    <row r="5251" spans="1:13" ht="12.75" customHeight="1">
      <c r="A5251" t="s">
        <v>864</v>
      </c>
      <c r="B5251" t="s">
        <v>36</v>
      </c>
      <c r="C5251" t="s">
        <v>201</v>
      </c>
      <c r="D5251" t="s">
        <v>1432</v>
      </c>
      <c r="E5251" s="17">
        <v>46153</v>
      </c>
      <c r="F5251" s="17">
        <v>46153</v>
      </c>
      <c r="G5251" s="13">
        <v>1920</v>
      </c>
      <c r="H5251" s="14">
        <v>0</v>
      </c>
      <c r="I5251" s="14">
        <v>0</v>
      </c>
      <c r="J5251" s="14">
        <v>0</v>
      </c>
      <c r="K5251" s="14">
        <v>1920</v>
      </c>
      <c r="L5251" t="s">
        <v>794</v>
      </c>
      <c r="M5251" s="23">
        <f t="shared" si="82"/>
        <v>2026</v>
      </c>
    </row>
    <row r="5252" spans="1:13" ht="12.75" customHeight="1">
      <c r="A5252" t="s">
        <v>881</v>
      </c>
      <c r="B5252" t="s">
        <v>48</v>
      </c>
      <c r="C5252" t="s">
        <v>201</v>
      </c>
      <c r="D5252" t="s">
        <v>1432</v>
      </c>
      <c r="E5252" s="17">
        <v>46153</v>
      </c>
      <c r="F5252" s="17">
        <v>46153</v>
      </c>
      <c r="G5252" s="13">
        <v>80</v>
      </c>
      <c r="H5252" s="14">
        <v>0</v>
      </c>
      <c r="I5252" s="14">
        <v>0</v>
      </c>
      <c r="J5252" s="14">
        <v>0</v>
      </c>
      <c r="K5252" s="14">
        <v>80</v>
      </c>
      <c r="L5252" t="s">
        <v>794</v>
      </c>
      <c r="M5252" s="23">
        <f t="shared" si="82"/>
        <v>2026</v>
      </c>
    </row>
    <row r="5253" spans="1:13" ht="12.75" customHeight="1">
      <c r="A5253" t="s">
        <v>881</v>
      </c>
      <c r="B5253" t="s">
        <v>48</v>
      </c>
      <c r="C5253" t="s">
        <v>201</v>
      </c>
      <c r="D5253" t="s">
        <v>1432</v>
      </c>
      <c r="E5253" s="17">
        <v>46153</v>
      </c>
      <c r="F5253" s="17">
        <v>46153</v>
      </c>
      <c r="G5253" s="13">
        <v>640</v>
      </c>
      <c r="H5253" s="14">
        <v>0</v>
      </c>
      <c r="I5253" s="14">
        <v>0</v>
      </c>
      <c r="J5253" s="14">
        <v>0</v>
      </c>
      <c r="K5253" s="14">
        <v>640</v>
      </c>
      <c r="L5253" t="s">
        <v>794</v>
      </c>
      <c r="M5253" s="23">
        <f t="shared" si="82"/>
        <v>2026</v>
      </c>
    </row>
    <row r="5254" spans="1:13" ht="12.75" customHeight="1">
      <c r="A5254" t="s">
        <v>887</v>
      </c>
      <c r="B5254" t="s">
        <v>61</v>
      </c>
      <c r="C5254" t="s">
        <v>201</v>
      </c>
      <c r="D5254" t="s">
        <v>1432</v>
      </c>
      <c r="E5254" s="17">
        <v>46153</v>
      </c>
      <c r="F5254" s="17">
        <v>46153</v>
      </c>
      <c r="G5254" s="13">
        <v>2400</v>
      </c>
      <c r="H5254" s="14">
        <v>0</v>
      </c>
      <c r="I5254" s="14">
        <v>0</v>
      </c>
      <c r="J5254" s="14">
        <v>0</v>
      </c>
      <c r="K5254" s="14">
        <v>2400</v>
      </c>
      <c r="L5254" t="s">
        <v>794</v>
      </c>
      <c r="M5254" s="23">
        <f t="shared" si="82"/>
        <v>2026</v>
      </c>
    </row>
    <row r="5255" spans="1:13" ht="12.75" customHeight="1">
      <c r="A5255" t="s">
        <v>887</v>
      </c>
      <c r="B5255" t="s">
        <v>61</v>
      </c>
      <c r="C5255" t="s">
        <v>201</v>
      </c>
      <c r="D5255" t="s">
        <v>1432</v>
      </c>
      <c r="E5255" s="17">
        <v>46153</v>
      </c>
      <c r="F5255" s="17">
        <v>46153</v>
      </c>
      <c r="G5255" s="13">
        <v>160</v>
      </c>
      <c r="H5255" s="14">
        <v>0</v>
      </c>
      <c r="I5255" s="14">
        <v>0</v>
      </c>
      <c r="J5255" s="14">
        <v>0</v>
      </c>
      <c r="K5255" s="14">
        <v>160</v>
      </c>
      <c r="L5255" t="s">
        <v>794</v>
      </c>
      <c r="M5255" s="23">
        <f t="shared" si="82"/>
        <v>2026</v>
      </c>
    </row>
    <row r="5256" spans="1:13" ht="12.75" customHeight="1">
      <c r="A5256" t="s">
        <v>1343</v>
      </c>
      <c r="B5256" t="s">
        <v>92</v>
      </c>
      <c r="C5256" t="s">
        <v>201</v>
      </c>
      <c r="D5256" t="s">
        <v>1432</v>
      </c>
      <c r="E5256" s="17">
        <v>46153</v>
      </c>
      <c r="F5256" s="17">
        <v>46153</v>
      </c>
      <c r="G5256" s="13">
        <v>1920</v>
      </c>
      <c r="H5256" s="14">
        <v>0</v>
      </c>
      <c r="I5256" s="14">
        <v>0</v>
      </c>
      <c r="J5256" s="14">
        <v>0</v>
      </c>
      <c r="K5256" s="14">
        <v>1920</v>
      </c>
      <c r="L5256" t="s">
        <v>794</v>
      </c>
      <c r="M5256" s="23">
        <f t="shared" si="82"/>
        <v>2026</v>
      </c>
    </row>
    <row r="5257" spans="1:13" ht="12.75" customHeight="1">
      <c r="A5257" t="s">
        <v>1011</v>
      </c>
      <c r="B5257" t="s">
        <v>77</v>
      </c>
      <c r="C5257" t="s">
        <v>201</v>
      </c>
      <c r="D5257" t="s">
        <v>1432</v>
      </c>
      <c r="E5257" s="17">
        <v>46153</v>
      </c>
      <c r="F5257" s="17">
        <v>46153</v>
      </c>
      <c r="G5257" s="13">
        <v>1360</v>
      </c>
      <c r="H5257" s="14">
        <v>0</v>
      </c>
      <c r="I5257" s="14">
        <v>0</v>
      </c>
      <c r="J5257" s="14">
        <v>0</v>
      </c>
      <c r="K5257" s="14">
        <v>1360</v>
      </c>
      <c r="L5257" t="s">
        <v>794</v>
      </c>
      <c r="M5257" s="23">
        <f t="shared" si="82"/>
        <v>2026</v>
      </c>
    </row>
    <row r="5258" spans="1:13" ht="12.75" customHeight="1">
      <c r="A5258" t="s">
        <v>801</v>
      </c>
      <c r="B5258" t="s">
        <v>13</v>
      </c>
      <c r="C5258" t="s">
        <v>726</v>
      </c>
      <c r="D5258" t="s">
        <v>1432</v>
      </c>
      <c r="E5258" s="17">
        <v>46153</v>
      </c>
      <c r="F5258" s="17">
        <v>46153</v>
      </c>
      <c r="G5258" s="13">
        <v>6.57</v>
      </c>
      <c r="H5258" s="14">
        <v>0</v>
      </c>
      <c r="I5258" s="14">
        <v>0</v>
      </c>
      <c r="J5258" s="14">
        <v>0</v>
      </c>
      <c r="K5258" s="14">
        <v>6.57</v>
      </c>
      <c r="L5258" t="s">
        <v>794</v>
      </c>
      <c r="M5258" s="23">
        <f t="shared" si="82"/>
        <v>2026</v>
      </c>
    </row>
    <row r="5259" spans="1:13" ht="12.75" customHeight="1">
      <c r="A5259" t="s">
        <v>882</v>
      </c>
      <c r="B5259" t="s">
        <v>34</v>
      </c>
      <c r="C5259" t="s">
        <v>200</v>
      </c>
      <c r="D5259" t="s">
        <v>1432</v>
      </c>
      <c r="E5259" s="17">
        <v>46153</v>
      </c>
      <c r="F5259" s="17">
        <v>46153</v>
      </c>
      <c r="G5259" s="13">
        <v>3312</v>
      </c>
      <c r="H5259" s="14">
        <v>0</v>
      </c>
      <c r="I5259" s="14">
        <v>0</v>
      </c>
      <c r="J5259" s="14">
        <v>0</v>
      </c>
      <c r="K5259" s="14">
        <v>3312</v>
      </c>
      <c r="L5259" t="s">
        <v>794</v>
      </c>
      <c r="M5259" s="23">
        <f t="shared" si="82"/>
        <v>2026</v>
      </c>
    </row>
    <row r="5260" spans="1:13" ht="12.75" customHeight="1">
      <c r="A5260" t="s">
        <v>1245</v>
      </c>
      <c r="B5260" t="s">
        <v>156</v>
      </c>
      <c r="C5260" t="s">
        <v>200</v>
      </c>
      <c r="D5260" t="s">
        <v>1432</v>
      </c>
      <c r="E5260" s="17">
        <v>46153</v>
      </c>
      <c r="F5260" s="17">
        <v>46153</v>
      </c>
      <c r="G5260" s="13">
        <v>336</v>
      </c>
      <c r="H5260" s="14">
        <v>0</v>
      </c>
      <c r="I5260" s="14">
        <v>0</v>
      </c>
      <c r="J5260" s="14">
        <v>0</v>
      </c>
      <c r="K5260" s="14">
        <v>336</v>
      </c>
      <c r="L5260" t="s">
        <v>794</v>
      </c>
      <c r="M5260" s="23">
        <f t="shared" si="82"/>
        <v>2026</v>
      </c>
    </row>
    <row r="5261" spans="1:13" ht="12.75" customHeight="1">
      <c r="A5261" t="s">
        <v>1331</v>
      </c>
      <c r="B5261" t="s">
        <v>168</v>
      </c>
      <c r="C5261" t="s">
        <v>200</v>
      </c>
      <c r="D5261" t="s">
        <v>1432</v>
      </c>
      <c r="E5261" s="17">
        <v>46153</v>
      </c>
      <c r="F5261" s="17">
        <v>46153</v>
      </c>
      <c r="G5261" s="13">
        <v>420</v>
      </c>
      <c r="H5261" s="14">
        <v>0</v>
      </c>
      <c r="I5261" s="14">
        <v>0</v>
      </c>
      <c r="J5261" s="14">
        <v>0</v>
      </c>
      <c r="K5261" s="14">
        <v>420</v>
      </c>
      <c r="L5261" t="s">
        <v>794</v>
      </c>
      <c r="M5261" s="23">
        <f t="shared" si="82"/>
        <v>2026</v>
      </c>
    </row>
    <row r="5262" spans="1:13" ht="12.75" customHeight="1">
      <c r="A5262" t="s">
        <v>961</v>
      </c>
      <c r="B5262" t="s">
        <v>41</v>
      </c>
      <c r="C5262" t="s">
        <v>200</v>
      </c>
      <c r="D5262" t="s">
        <v>1432</v>
      </c>
      <c r="E5262" s="17">
        <v>46153</v>
      </c>
      <c r="F5262" s="17">
        <v>46153</v>
      </c>
      <c r="G5262" s="13">
        <v>1672</v>
      </c>
      <c r="H5262" s="14">
        <v>0</v>
      </c>
      <c r="I5262" s="14">
        <v>0</v>
      </c>
      <c r="J5262" s="14">
        <v>0</v>
      </c>
      <c r="K5262" s="14">
        <v>1672</v>
      </c>
      <c r="L5262" t="s">
        <v>794</v>
      </c>
      <c r="M5262" s="23">
        <f t="shared" si="82"/>
        <v>2026</v>
      </c>
    </row>
    <row r="5263" spans="1:13" ht="12.75" customHeight="1">
      <c r="A5263" t="s">
        <v>1330</v>
      </c>
      <c r="B5263" t="s">
        <v>175</v>
      </c>
      <c r="C5263" t="s">
        <v>200</v>
      </c>
      <c r="D5263" t="s">
        <v>1432</v>
      </c>
      <c r="E5263" s="17">
        <v>46153</v>
      </c>
      <c r="F5263" s="17">
        <v>46153</v>
      </c>
      <c r="G5263" s="13">
        <v>420</v>
      </c>
      <c r="H5263" s="14">
        <v>0</v>
      </c>
      <c r="I5263" s="14">
        <v>0</v>
      </c>
      <c r="J5263" s="14">
        <v>0</v>
      </c>
      <c r="K5263" s="14">
        <v>420</v>
      </c>
      <c r="L5263" t="s">
        <v>794</v>
      </c>
      <c r="M5263" s="23">
        <f t="shared" si="82"/>
        <v>2026</v>
      </c>
    </row>
    <row r="5264" spans="1:13" ht="12.75" customHeight="1">
      <c r="A5264" t="s">
        <v>882</v>
      </c>
      <c r="B5264" t="s">
        <v>34</v>
      </c>
      <c r="C5264" t="s">
        <v>201</v>
      </c>
      <c r="D5264" t="s">
        <v>1432</v>
      </c>
      <c r="E5264" s="17">
        <v>46153</v>
      </c>
      <c r="F5264" s="17">
        <v>46153</v>
      </c>
      <c r="G5264" s="13">
        <v>280</v>
      </c>
      <c r="H5264" s="14">
        <v>0</v>
      </c>
      <c r="I5264" s="14">
        <v>0</v>
      </c>
      <c r="J5264" s="14">
        <v>0</v>
      </c>
      <c r="K5264" s="14">
        <v>280</v>
      </c>
      <c r="L5264" t="s">
        <v>794</v>
      </c>
      <c r="M5264" s="23">
        <f t="shared" si="82"/>
        <v>2026</v>
      </c>
    </row>
    <row r="5265" spans="1:13" ht="12.75" customHeight="1">
      <c r="A5265" t="s">
        <v>1166</v>
      </c>
      <c r="B5265" t="s">
        <v>274</v>
      </c>
      <c r="C5265" t="s">
        <v>458</v>
      </c>
      <c r="D5265" t="s">
        <v>1432</v>
      </c>
      <c r="E5265" s="17">
        <v>46153</v>
      </c>
      <c r="F5265" s="17">
        <v>46153</v>
      </c>
      <c r="G5265" s="13">
        <v>67.7</v>
      </c>
      <c r="H5265" s="14">
        <v>0</v>
      </c>
      <c r="I5265" s="14">
        <v>0</v>
      </c>
      <c r="J5265" s="14">
        <v>0</v>
      </c>
      <c r="K5265" s="14">
        <v>67.7</v>
      </c>
      <c r="L5265" t="s">
        <v>794</v>
      </c>
      <c r="M5265" s="23">
        <f t="shared" si="82"/>
        <v>2026</v>
      </c>
    </row>
    <row r="5266" spans="1:13" ht="12.75" customHeight="1">
      <c r="A5266" t="s">
        <v>1166</v>
      </c>
      <c r="B5266" t="s">
        <v>274</v>
      </c>
      <c r="C5266" t="s">
        <v>458</v>
      </c>
      <c r="D5266" t="s">
        <v>1432</v>
      </c>
      <c r="E5266" s="17">
        <v>46153</v>
      </c>
      <c r="F5266" s="17">
        <v>46153</v>
      </c>
      <c r="G5266" s="13">
        <v>269.37</v>
      </c>
      <c r="H5266" s="14">
        <v>0</v>
      </c>
      <c r="I5266" s="14">
        <v>0</v>
      </c>
      <c r="J5266" s="14">
        <v>0</v>
      </c>
      <c r="K5266" s="14">
        <v>269.37</v>
      </c>
      <c r="L5266" t="s">
        <v>794</v>
      </c>
      <c r="M5266" s="23">
        <f t="shared" si="82"/>
        <v>2026</v>
      </c>
    </row>
    <row r="5267" spans="1:13" ht="12.75" customHeight="1">
      <c r="A5267" t="s">
        <v>1410</v>
      </c>
      <c r="B5267" t="s">
        <v>93</v>
      </c>
      <c r="C5267" t="s">
        <v>719</v>
      </c>
      <c r="D5267" t="s">
        <v>1432</v>
      </c>
      <c r="E5267" s="17">
        <v>46153</v>
      </c>
      <c r="F5267" s="17">
        <v>46153</v>
      </c>
      <c r="G5267" s="13">
        <v>2875.41</v>
      </c>
      <c r="H5267" s="14">
        <v>0</v>
      </c>
      <c r="I5267" s="14">
        <v>0</v>
      </c>
      <c r="J5267" s="14">
        <v>0</v>
      </c>
      <c r="K5267" s="14">
        <v>2875.41</v>
      </c>
      <c r="L5267" t="s">
        <v>794</v>
      </c>
      <c r="M5267" s="23">
        <f t="shared" si="82"/>
        <v>2026</v>
      </c>
    </row>
    <row r="5268" spans="1:13" ht="12.75" customHeight="1">
      <c r="A5268" t="s">
        <v>1410</v>
      </c>
      <c r="B5268" t="s">
        <v>93</v>
      </c>
      <c r="C5268" t="s">
        <v>719</v>
      </c>
      <c r="D5268" t="s">
        <v>1432</v>
      </c>
      <c r="E5268" s="17">
        <v>46153</v>
      </c>
      <c r="F5268" s="17">
        <v>46153</v>
      </c>
      <c r="G5268" s="13">
        <v>560.32000000000005</v>
      </c>
      <c r="H5268" s="14">
        <v>0</v>
      </c>
      <c r="I5268" s="14">
        <v>0</v>
      </c>
      <c r="J5268" s="14">
        <v>0</v>
      </c>
      <c r="K5268" s="14">
        <v>560.32000000000005</v>
      </c>
      <c r="L5268" t="s">
        <v>794</v>
      </c>
      <c r="M5268" s="23">
        <f t="shared" si="82"/>
        <v>2026</v>
      </c>
    </row>
    <row r="5269" spans="1:13" ht="12.75" customHeight="1">
      <c r="A5269" t="s">
        <v>995</v>
      </c>
      <c r="B5269" t="s">
        <v>122</v>
      </c>
      <c r="C5269" t="s">
        <v>735</v>
      </c>
      <c r="D5269" t="s">
        <v>1432</v>
      </c>
      <c r="E5269" s="17">
        <v>46152</v>
      </c>
      <c r="F5269" s="17">
        <v>46153</v>
      </c>
      <c r="G5269" s="13">
        <v>605</v>
      </c>
      <c r="H5269" s="14">
        <v>0</v>
      </c>
      <c r="I5269" s="14">
        <v>0</v>
      </c>
      <c r="J5269" s="14">
        <v>0</v>
      </c>
      <c r="K5269" s="14">
        <v>605</v>
      </c>
      <c r="L5269" t="s">
        <v>794</v>
      </c>
      <c r="M5269" s="23">
        <f t="shared" si="82"/>
        <v>2026</v>
      </c>
    </row>
    <row r="5270" spans="1:13" ht="12.75" customHeight="1">
      <c r="A5270" t="s">
        <v>878</v>
      </c>
      <c r="B5270" t="s">
        <v>32</v>
      </c>
      <c r="C5270" t="s">
        <v>721</v>
      </c>
      <c r="D5270" t="s">
        <v>1432</v>
      </c>
      <c r="E5270" s="17">
        <v>46153</v>
      </c>
      <c r="F5270" s="17">
        <v>46153</v>
      </c>
      <c r="G5270" s="13">
        <v>1298</v>
      </c>
      <c r="H5270" s="14">
        <v>0</v>
      </c>
      <c r="I5270" s="14">
        <v>0</v>
      </c>
      <c r="J5270" s="14">
        <v>0</v>
      </c>
      <c r="K5270" s="14">
        <v>1298</v>
      </c>
      <c r="L5270" t="s">
        <v>794</v>
      </c>
      <c r="M5270" s="23">
        <f t="shared" si="82"/>
        <v>2026</v>
      </c>
    </row>
    <row r="5271" spans="1:13" ht="12.75" customHeight="1">
      <c r="A5271" t="s">
        <v>1451</v>
      </c>
      <c r="B5271" t="s">
        <v>208</v>
      </c>
      <c r="C5271" t="s">
        <v>137</v>
      </c>
      <c r="D5271" t="s">
        <v>1432</v>
      </c>
      <c r="E5271" s="17">
        <v>46153</v>
      </c>
      <c r="F5271" s="17">
        <v>46153</v>
      </c>
      <c r="G5271" s="13">
        <v>1573</v>
      </c>
      <c r="H5271" s="14">
        <v>0</v>
      </c>
      <c r="I5271" s="14">
        <v>0</v>
      </c>
      <c r="J5271" s="14">
        <v>0</v>
      </c>
      <c r="K5271" s="14">
        <v>1573</v>
      </c>
      <c r="L5271" t="s">
        <v>794</v>
      </c>
      <c r="M5271" s="23">
        <f t="shared" si="82"/>
        <v>2026</v>
      </c>
    </row>
    <row r="5272" spans="1:13" ht="12.75" customHeight="1">
      <c r="A5272" t="s">
        <v>1501</v>
      </c>
      <c r="B5272" t="s">
        <v>692</v>
      </c>
      <c r="C5272" t="s">
        <v>693</v>
      </c>
      <c r="D5272" t="s">
        <v>1432</v>
      </c>
      <c r="E5272" s="17">
        <v>46153</v>
      </c>
      <c r="F5272" s="17">
        <v>46153</v>
      </c>
      <c r="G5272" s="13">
        <v>15</v>
      </c>
      <c r="H5272" s="14">
        <v>0</v>
      </c>
      <c r="I5272" s="14">
        <v>0</v>
      </c>
      <c r="J5272" s="14">
        <v>0</v>
      </c>
      <c r="K5272" s="14">
        <v>15</v>
      </c>
      <c r="L5272" t="s">
        <v>794</v>
      </c>
      <c r="M5272" s="23">
        <f t="shared" si="82"/>
        <v>2026</v>
      </c>
    </row>
    <row r="5273" spans="1:13" ht="12.75" customHeight="1">
      <c r="A5273" t="s">
        <v>1408</v>
      </c>
      <c r="B5273" t="s">
        <v>197</v>
      </c>
      <c r="C5273" t="s">
        <v>200</v>
      </c>
      <c r="D5273" t="s">
        <v>1432</v>
      </c>
      <c r="E5273" s="17">
        <v>46153</v>
      </c>
      <c r="F5273" s="17">
        <v>46153</v>
      </c>
      <c r="G5273" s="13">
        <v>1344</v>
      </c>
      <c r="H5273" s="14">
        <v>0</v>
      </c>
      <c r="I5273" s="14">
        <v>0</v>
      </c>
      <c r="J5273" s="14">
        <v>0</v>
      </c>
      <c r="K5273" s="14">
        <v>1344</v>
      </c>
      <c r="L5273" t="s">
        <v>794</v>
      </c>
      <c r="M5273" s="23">
        <f t="shared" si="82"/>
        <v>2026</v>
      </c>
    </row>
    <row r="5274" spans="1:13" ht="12.75" customHeight="1">
      <c r="A5274" t="s">
        <v>1202</v>
      </c>
      <c r="B5274" t="s">
        <v>70</v>
      </c>
      <c r="C5274" t="s">
        <v>201</v>
      </c>
      <c r="D5274" t="s">
        <v>1432</v>
      </c>
      <c r="E5274" s="17">
        <v>46153</v>
      </c>
      <c r="F5274" s="17">
        <v>46153</v>
      </c>
      <c r="G5274" s="13">
        <v>2100</v>
      </c>
      <c r="H5274" s="14">
        <v>0</v>
      </c>
      <c r="I5274" s="14">
        <v>0</v>
      </c>
      <c r="J5274" s="14">
        <v>0</v>
      </c>
      <c r="K5274" s="14">
        <v>2100</v>
      </c>
      <c r="L5274" t="s">
        <v>794</v>
      </c>
      <c r="M5274" s="23">
        <f t="shared" ref="M5274:M5336" si="83">YEAR(F5274)</f>
        <v>2026</v>
      </c>
    </row>
    <row r="5275" spans="1:13" ht="12.75" customHeight="1">
      <c r="A5275" t="s">
        <v>1502</v>
      </c>
      <c r="B5275" t="s">
        <v>395</v>
      </c>
      <c r="C5275" t="s">
        <v>200</v>
      </c>
      <c r="D5275" t="s">
        <v>1432</v>
      </c>
      <c r="E5275" s="17">
        <v>46154</v>
      </c>
      <c r="F5275" s="17">
        <v>46154</v>
      </c>
      <c r="G5275" s="13">
        <v>504</v>
      </c>
      <c r="H5275" s="14">
        <v>0</v>
      </c>
      <c r="I5275" s="14">
        <v>0</v>
      </c>
      <c r="J5275" s="14">
        <v>0</v>
      </c>
      <c r="K5275" s="14">
        <v>504</v>
      </c>
      <c r="L5275" t="s">
        <v>794</v>
      </c>
      <c r="M5275" s="23">
        <f t="shared" si="83"/>
        <v>2026</v>
      </c>
    </row>
    <row r="5276" spans="1:13" ht="12.75" customHeight="1">
      <c r="A5276" t="s">
        <v>1341</v>
      </c>
      <c r="B5276" t="s">
        <v>160</v>
      </c>
      <c r="C5276" t="s">
        <v>201</v>
      </c>
      <c r="D5276" t="s">
        <v>1432</v>
      </c>
      <c r="E5276" s="17">
        <v>46153</v>
      </c>
      <c r="F5276" s="17">
        <v>46154</v>
      </c>
      <c r="G5276" s="13">
        <v>240</v>
      </c>
      <c r="H5276" s="14">
        <v>0</v>
      </c>
      <c r="I5276" s="14">
        <v>0</v>
      </c>
      <c r="J5276" s="14">
        <v>0</v>
      </c>
      <c r="K5276" s="14">
        <v>240</v>
      </c>
      <c r="L5276" t="s">
        <v>794</v>
      </c>
      <c r="M5276" s="23">
        <f t="shared" si="83"/>
        <v>2026</v>
      </c>
    </row>
    <row r="5277" spans="1:13" ht="12.75" customHeight="1">
      <c r="A5277" t="s">
        <v>1503</v>
      </c>
      <c r="B5277" t="s">
        <v>512</v>
      </c>
      <c r="C5277" t="s">
        <v>470</v>
      </c>
      <c r="D5277" t="s">
        <v>1432</v>
      </c>
      <c r="E5277" s="17">
        <v>46154</v>
      </c>
      <c r="F5277" s="17">
        <v>46154</v>
      </c>
      <c r="G5277" s="13">
        <v>116.36</v>
      </c>
      <c r="H5277" s="14">
        <v>0</v>
      </c>
      <c r="I5277" s="14">
        <v>0</v>
      </c>
      <c r="J5277" s="14">
        <v>0</v>
      </c>
      <c r="K5277" s="14">
        <v>116.36</v>
      </c>
      <c r="L5277" t="s">
        <v>794</v>
      </c>
      <c r="M5277" s="23">
        <f t="shared" si="83"/>
        <v>2026</v>
      </c>
    </row>
    <row r="5278" spans="1:13" ht="12.75" customHeight="1">
      <c r="A5278" t="s">
        <v>1504</v>
      </c>
      <c r="B5278" t="s">
        <v>480</v>
      </c>
      <c r="C5278" t="s">
        <v>200</v>
      </c>
      <c r="D5278" t="s">
        <v>1432</v>
      </c>
      <c r="E5278" s="17">
        <v>46154</v>
      </c>
      <c r="F5278" s="17">
        <v>46154</v>
      </c>
      <c r="G5278" s="13">
        <v>168</v>
      </c>
      <c r="H5278" s="14">
        <v>0</v>
      </c>
      <c r="I5278" s="14">
        <v>0</v>
      </c>
      <c r="J5278" s="14">
        <v>0</v>
      </c>
      <c r="K5278" s="14">
        <v>168</v>
      </c>
      <c r="L5278" t="s">
        <v>794</v>
      </c>
      <c r="M5278" s="23">
        <f t="shared" si="83"/>
        <v>2026</v>
      </c>
    </row>
    <row r="5279" spans="1:13" ht="12.75" customHeight="1">
      <c r="A5279" t="s">
        <v>1214</v>
      </c>
      <c r="B5279" t="s">
        <v>229</v>
      </c>
      <c r="C5279" t="s">
        <v>183</v>
      </c>
      <c r="D5279" t="s">
        <v>1432</v>
      </c>
      <c r="E5279" s="17">
        <v>46154</v>
      </c>
      <c r="F5279" s="17">
        <v>46154</v>
      </c>
      <c r="G5279" s="13">
        <v>200</v>
      </c>
      <c r="H5279" s="14">
        <v>0</v>
      </c>
      <c r="I5279" s="14">
        <v>0</v>
      </c>
      <c r="J5279" s="14">
        <v>0</v>
      </c>
      <c r="K5279" s="14">
        <v>200</v>
      </c>
      <c r="L5279" t="s">
        <v>794</v>
      </c>
      <c r="M5279" s="23">
        <f t="shared" si="83"/>
        <v>2026</v>
      </c>
    </row>
    <row r="5280" spans="1:13" ht="12.75" customHeight="1">
      <c r="A5280" t="s">
        <v>1221</v>
      </c>
      <c r="B5280" t="s">
        <v>100</v>
      </c>
      <c r="C5280" t="s">
        <v>183</v>
      </c>
      <c r="D5280" t="s">
        <v>1432</v>
      </c>
      <c r="E5280" s="17">
        <v>46154</v>
      </c>
      <c r="F5280" s="17">
        <v>46154</v>
      </c>
      <c r="G5280" s="13">
        <v>247.5</v>
      </c>
      <c r="H5280" s="14">
        <v>0</v>
      </c>
      <c r="I5280" s="14">
        <v>0</v>
      </c>
      <c r="J5280" s="14">
        <v>0</v>
      </c>
      <c r="K5280" s="14">
        <v>247.5</v>
      </c>
      <c r="L5280" t="s">
        <v>794</v>
      </c>
      <c r="M5280" s="23">
        <f t="shared" si="83"/>
        <v>2026</v>
      </c>
    </row>
    <row r="5281" spans="1:13" ht="12.75" customHeight="1">
      <c r="A5281" t="s">
        <v>1433</v>
      </c>
      <c r="B5281" t="s">
        <v>182</v>
      </c>
      <c r="C5281" t="s">
        <v>183</v>
      </c>
      <c r="D5281" t="s">
        <v>1432</v>
      </c>
      <c r="E5281" s="17">
        <v>46154</v>
      </c>
      <c r="F5281" s="17">
        <v>46154</v>
      </c>
      <c r="G5281" s="13">
        <v>1560</v>
      </c>
      <c r="H5281" s="14">
        <v>0</v>
      </c>
      <c r="I5281" s="14">
        <v>0</v>
      </c>
      <c r="J5281" s="14">
        <v>0</v>
      </c>
      <c r="K5281" s="14">
        <v>1560</v>
      </c>
      <c r="L5281" t="s">
        <v>794</v>
      </c>
      <c r="M5281" s="23">
        <f t="shared" si="83"/>
        <v>2026</v>
      </c>
    </row>
    <row r="5282" spans="1:13" ht="12.75" customHeight="1">
      <c r="A5282" t="s">
        <v>1505</v>
      </c>
      <c r="B5282" t="s">
        <v>332</v>
      </c>
      <c r="C5282" t="s">
        <v>201</v>
      </c>
      <c r="D5282" t="s">
        <v>1432</v>
      </c>
      <c r="E5282" s="17">
        <v>46154</v>
      </c>
      <c r="F5282" s="17">
        <v>46154</v>
      </c>
      <c r="G5282" s="13">
        <v>960</v>
      </c>
      <c r="H5282" s="14">
        <v>0</v>
      </c>
      <c r="I5282" s="14">
        <v>0</v>
      </c>
      <c r="J5282" s="14">
        <v>0</v>
      </c>
      <c r="K5282" s="14">
        <v>960</v>
      </c>
      <c r="L5282" t="s">
        <v>794</v>
      </c>
      <c r="M5282" s="23">
        <f t="shared" si="83"/>
        <v>2026</v>
      </c>
    </row>
    <row r="5283" spans="1:13" ht="12.75" customHeight="1">
      <c r="A5283" t="s">
        <v>895</v>
      </c>
      <c r="B5283" t="s">
        <v>155</v>
      </c>
      <c r="C5283" t="s">
        <v>384</v>
      </c>
      <c r="D5283" t="s">
        <v>1429</v>
      </c>
      <c r="E5283" s="17">
        <v>46137</v>
      </c>
      <c r="F5283" s="17">
        <v>46154</v>
      </c>
      <c r="G5283" s="13">
        <v>434.19</v>
      </c>
      <c r="H5283" s="14">
        <v>0</v>
      </c>
      <c r="I5283" s="14">
        <v>0</v>
      </c>
      <c r="J5283" s="14">
        <v>0</v>
      </c>
      <c r="K5283" s="14">
        <v>434.19</v>
      </c>
      <c r="L5283" t="s">
        <v>794</v>
      </c>
      <c r="M5283" s="23">
        <f t="shared" si="83"/>
        <v>2026</v>
      </c>
    </row>
    <row r="5284" spans="1:13" ht="12.75" customHeight="1">
      <c r="A5284" t="s">
        <v>805</v>
      </c>
      <c r="B5284" t="s">
        <v>17</v>
      </c>
      <c r="C5284" t="s">
        <v>713</v>
      </c>
      <c r="D5284" t="s">
        <v>1429</v>
      </c>
      <c r="E5284" s="17">
        <v>46139</v>
      </c>
      <c r="F5284" s="17">
        <v>46154</v>
      </c>
      <c r="G5284" s="13">
        <v>5350</v>
      </c>
      <c r="H5284" s="14">
        <v>0</v>
      </c>
      <c r="I5284" s="14">
        <v>0</v>
      </c>
      <c r="J5284" s="14">
        <v>0</v>
      </c>
      <c r="K5284" s="14">
        <v>5350</v>
      </c>
      <c r="L5284" t="s">
        <v>794</v>
      </c>
      <c r="M5284" s="23">
        <f t="shared" si="83"/>
        <v>2026</v>
      </c>
    </row>
    <row r="5285" spans="1:13" ht="12.75" customHeight="1">
      <c r="A5285" t="s">
        <v>1223</v>
      </c>
      <c r="B5285" t="s">
        <v>1224</v>
      </c>
      <c r="C5285" t="s">
        <v>725</v>
      </c>
      <c r="D5285" t="s">
        <v>1429</v>
      </c>
      <c r="E5285" s="17">
        <v>46129</v>
      </c>
      <c r="F5285" s="17">
        <v>46154</v>
      </c>
      <c r="G5285" s="13">
        <v>1719.73</v>
      </c>
      <c r="H5285" s="14">
        <v>0</v>
      </c>
      <c r="I5285" s="14">
        <v>0</v>
      </c>
      <c r="J5285" s="14">
        <v>0</v>
      </c>
      <c r="K5285" s="14">
        <v>1719.73</v>
      </c>
      <c r="L5285" t="s">
        <v>794</v>
      </c>
      <c r="M5285" s="23">
        <f t="shared" si="83"/>
        <v>2026</v>
      </c>
    </row>
    <row r="5286" spans="1:13" ht="12.75" customHeight="1">
      <c r="A5286" t="s">
        <v>847</v>
      </c>
      <c r="B5286" t="s">
        <v>169</v>
      </c>
      <c r="C5286" t="s">
        <v>722</v>
      </c>
      <c r="D5286" t="s">
        <v>1432</v>
      </c>
      <c r="E5286" s="17">
        <v>46154</v>
      </c>
      <c r="F5286" s="17">
        <v>46154</v>
      </c>
      <c r="G5286" s="13">
        <v>290.61</v>
      </c>
      <c r="H5286" s="14">
        <v>0</v>
      </c>
      <c r="I5286" s="14">
        <v>0</v>
      </c>
      <c r="J5286" s="14">
        <v>0</v>
      </c>
      <c r="K5286" s="14">
        <v>290.61</v>
      </c>
      <c r="L5286" t="s">
        <v>794</v>
      </c>
      <c r="M5286" s="23">
        <f t="shared" si="83"/>
        <v>2026</v>
      </c>
    </row>
    <row r="5287" spans="1:13" ht="12.75" customHeight="1">
      <c r="A5287" t="s">
        <v>1248</v>
      </c>
      <c r="B5287" t="s">
        <v>111</v>
      </c>
      <c r="C5287" t="s">
        <v>183</v>
      </c>
      <c r="D5287" t="s">
        <v>1432</v>
      </c>
      <c r="E5287" s="17">
        <v>46152</v>
      </c>
      <c r="F5287" s="17">
        <v>46154</v>
      </c>
      <c r="G5287" s="13">
        <v>997.5</v>
      </c>
      <c r="H5287" s="14">
        <v>0</v>
      </c>
      <c r="I5287" s="14">
        <v>0</v>
      </c>
      <c r="J5287" s="14">
        <v>0</v>
      </c>
      <c r="K5287" s="14">
        <v>997.5</v>
      </c>
      <c r="L5287" t="s">
        <v>794</v>
      </c>
      <c r="M5287" s="23">
        <f t="shared" si="83"/>
        <v>2026</v>
      </c>
    </row>
    <row r="5288" spans="1:13" ht="12.75" customHeight="1">
      <c r="A5288" t="s">
        <v>801</v>
      </c>
      <c r="B5288" t="s">
        <v>13</v>
      </c>
      <c r="C5288" t="s">
        <v>726</v>
      </c>
      <c r="D5288" t="s">
        <v>1432</v>
      </c>
      <c r="E5288" s="17">
        <v>46154</v>
      </c>
      <c r="F5288" s="17">
        <v>46154</v>
      </c>
      <c r="G5288" s="13">
        <v>1837.14</v>
      </c>
      <c r="H5288" s="14">
        <v>0</v>
      </c>
      <c r="I5288" s="14">
        <v>0</v>
      </c>
      <c r="J5288" s="14">
        <v>0</v>
      </c>
      <c r="K5288" s="14">
        <v>1837.14</v>
      </c>
      <c r="L5288" t="s">
        <v>794</v>
      </c>
      <c r="M5288" s="23">
        <f t="shared" si="83"/>
        <v>2026</v>
      </c>
    </row>
    <row r="5289" spans="1:13" ht="12.75" customHeight="1">
      <c r="A5289" t="s">
        <v>1506</v>
      </c>
      <c r="B5289" t="s">
        <v>573</v>
      </c>
      <c r="C5289" t="s">
        <v>452</v>
      </c>
      <c r="D5289" t="s">
        <v>1432</v>
      </c>
      <c r="E5289" s="17">
        <v>46155</v>
      </c>
      <c r="F5289" s="17">
        <v>46155</v>
      </c>
      <c r="G5289" s="13">
        <v>69</v>
      </c>
      <c r="H5289" s="14">
        <v>0</v>
      </c>
      <c r="I5289" s="14">
        <v>0</v>
      </c>
      <c r="J5289" s="14">
        <v>0</v>
      </c>
      <c r="K5289" s="14">
        <v>69</v>
      </c>
      <c r="L5289" t="s">
        <v>794</v>
      </c>
      <c r="M5289" s="23">
        <f t="shared" si="83"/>
        <v>2026</v>
      </c>
    </row>
    <row r="5290" spans="1:13" ht="12.75" customHeight="1">
      <c r="A5290" t="s">
        <v>806</v>
      </c>
      <c r="B5290" t="s">
        <v>19</v>
      </c>
      <c r="C5290" t="s">
        <v>720</v>
      </c>
      <c r="D5290" t="s">
        <v>1432</v>
      </c>
      <c r="E5290" s="17">
        <v>46155</v>
      </c>
      <c r="F5290" s="17">
        <v>46155</v>
      </c>
      <c r="G5290" s="13">
        <v>12000</v>
      </c>
      <c r="H5290" s="14">
        <v>0</v>
      </c>
      <c r="I5290" s="14">
        <v>0</v>
      </c>
      <c r="J5290" s="14">
        <v>0</v>
      </c>
      <c r="K5290" s="14">
        <v>12000</v>
      </c>
      <c r="L5290" t="s">
        <v>794</v>
      </c>
      <c r="M5290" s="23">
        <f t="shared" si="83"/>
        <v>2026</v>
      </c>
    </row>
    <row r="5291" spans="1:13" ht="12.75" customHeight="1">
      <c r="A5291" t="s">
        <v>801</v>
      </c>
      <c r="B5291" t="s">
        <v>13</v>
      </c>
      <c r="C5291" t="s">
        <v>726</v>
      </c>
      <c r="D5291" t="s">
        <v>1432</v>
      </c>
      <c r="E5291" s="17">
        <v>46155</v>
      </c>
      <c r="F5291" s="17">
        <v>46155</v>
      </c>
      <c r="G5291" s="13">
        <v>2.19</v>
      </c>
      <c r="H5291" s="14">
        <v>0</v>
      </c>
      <c r="I5291" s="14">
        <v>0</v>
      </c>
      <c r="J5291" s="14">
        <v>0</v>
      </c>
      <c r="K5291" s="14">
        <v>2.19</v>
      </c>
      <c r="L5291" t="s">
        <v>794</v>
      </c>
      <c r="M5291" s="23">
        <f t="shared" si="83"/>
        <v>2026</v>
      </c>
    </row>
    <row r="5292" spans="1:13" ht="12.75" customHeight="1">
      <c r="A5292" t="s">
        <v>1131</v>
      </c>
      <c r="B5292" t="s">
        <v>81</v>
      </c>
      <c r="C5292" t="s">
        <v>183</v>
      </c>
      <c r="D5292" t="s">
        <v>1432</v>
      </c>
      <c r="E5292" s="17">
        <v>46156</v>
      </c>
      <c r="F5292" s="17">
        <v>46156</v>
      </c>
      <c r="G5292" s="13">
        <v>1050</v>
      </c>
      <c r="H5292" s="14">
        <v>0</v>
      </c>
      <c r="I5292" s="14">
        <v>0</v>
      </c>
      <c r="J5292" s="14">
        <v>0</v>
      </c>
      <c r="K5292" s="14">
        <v>1050</v>
      </c>
      <c r="L5292" t="s">
        <v>794</v>
      </c>
      <c r="M5292" s="23">
        <f t="shared" si="83"/>
        <v>2026</v>
      </c>
    </row>
    <row r="5293" spans="1:13" ht="12.75" customHeight="1">
      <c r="A5293" t="s">
        <v>1211</v>
      </c>
      <c r="B5293" t="s">
        <v>73</v>
      </c>
      <c r="C5293" t="s">
        <v>721</v>
      </c>
      <c r="D5293" t="s">
        <v>1432</v>
      </c>
      <c r="E5293" s="17">
        <v>46156</v>
      </c>
      <c r="F5293" s="17">
        <v>46156</v>
      </c>
      <c r="G5293" s="13">
        <v>1500</v>
      </c>
      <c r="H5293" s="14">
        <v>0</v>
      </c>
      <c r="I5293" s="14">
        <v>0</v>
      </c>
      <c r="J5293" s="14">
        <v>0</v>
      </c>
      <c r="K5293" s="14">
        <v>1500</v>
      </c>
      <c r="L5293" t="s">
        <v>794</v>
      </c>
      <c r="M5293" s="23">
        <f t="shared" si="83"/>
        <v>2026</v>
      </c>
    </row>
    <row r="5294" spans="1:13" ht="12.75" customHeight="1">
      <c r="A5294" t="s">
        <v>1489</v>
      </c>
      <c r="B5294" t="s">
        <v>383</v>
      </c>
      <c r="C5294" t="s">
        <v>384</v>
      </c>
      <c r="D5294" t="s">
        <v>1432</v>
      </c>
      <c r="E5294" s="17">
        <v>46157</v>
      </c>
      <c r="F5294" s="17">
        <v>46157</v>
      </c>
      <c r="G5294" s="13">
        <v>350</v>
      </c>
      <c r="H5294" s="14">
        <v>0</v>
      </c>
      <c r="I5294" s="14">
        <v>0</v>
      </c>
      <c r="J5294" s="14">
        <v>0</v>
      </c>
      <c r="K5294" s="14">
        <v>350</v>
      </c>
      <c r="L5294" t="s">
        <v>794</v>
      </c>
      <c r="M5294" s="23">
        <f t="shared" si="83"/>
        <v>2026</v>
      </c>
    </row>
    <row r="5295" spans="1:13" ht="12.75" customHeight="1">
      <c r="A5295" t="s">
        <v>800</v>
      </c>
      <c r="B5295" t="s">
        <v>85</v>
      </c>
      <c r="C5295" t="s">
        <v>734</v>
      </c>
      <c r="D5295" t="s">
        <v>1432</v>
      </c>
      <c r="E5295" s="17">
        <v>46157</v>
      </c>
      <c r="F5295" s="17">
        <v>46157</v>
      </c>
      <c r="G5295" s="13">
        <v>900</v>
      </c>
      <c r="H5295" s="14">
        <v>0</v>
      </c>
      <c r="I5295" s="14">
        <v>0</v>
      </c>
      <c r="J5295" s="14">
        <v>0</v>
      </c>
      <c r="K5295" s="14">
        <v>900</v>
      </c>
      <c r="L5295" t="s">
        <v>794</v>
      </c>
      <c r="M5295" s="23">
        <f t="shared" si="83"/>
        <v>2026</v>
      </c>
    </row>
    <row r="5296" spans="1:13" ht="12.75" customHeight="1">
      <c r="A5296" t="s">
        <v>894</v>
      </c>
      <c r="B5296" t="s">
        <v>50</v>
      </c>
      <c r="C5296" t="s">
        <v>152</v>
      </c>
      <c r="D5296" t="s">
        <v>1432</v>
      </c>
      <c r="E5296" s="17">
        <v>46157</v>
      </c>
      <c r="F5296" s="17">
        <v>46157</v>
      </c>
      <c r="G5296" s="13">
        <v>1621</v>
      </c>
      <c r="H5296" s="14">
        <v>0</v>
      </c>
      <c r="I5296" s="14">
        <v>0</v>
      </c>
      <c r="J5296" s="14">
        <v>0</v>
      </c>
      <c r="K5296" s="14">
        <v>1621</v>
      </c>
      <c r="L5296" t="s">
        <v>794</v>
      </c>
      <c r="M5296" s="23">
        <f t="shared" si="83"/>
        <v>2026</v>
      </c>
    </row>
    <row r="5297" spans="1:13" ht="12.75" customHeight="1">
      <c r="A5297" t="s">
        <v>941</v>
      </c>
      <c r="B5297" t="s">
        <v>52</v>
      </c>
      <c r="C5297" t="s">
        <v>672</v>
      </c>
      <c r="D5297" t="s">
        <v>1432</v>
      </c>
      <c r="E5297" s="17">
        <v>46157</v>
      </c>
      <c r="F5297" s="17">
        <v>46157</v>
      </c>
      <c r="G5297" s="13">
        <v>1621</v>
      </c>
      <c r="H5297" s="14">
        <v>0</v>
      </c>
      <c r="I5297" s="14">
        <v>0</v>
      </c>
      <c r="J5297" s="14">
        <v>0</v>
      </c>
      <c r="K5297" s="14">
        <v>1621</v>
      </c>
      <c r="L5297" t="s">
        <v>794</v>
      </c>
      <c r="M5297" s="23">
        <f t="shared" si="83"/>
        <v>2026</v>
      </c>
    </row>
    <row r="5298" spans="1:13" ht="12.75" customHeight="1">
      <c r="A5298" t="s">
        <v>891</v>
      </c>
      <c r="B5298" t="s">
        <v>102</v>
      </c>
      <c r="C5298" t="s">
        <v>722</v>
      </c>
      <c r="D5298" t="s">
        <v>1432</v>
      </c>
      <c r="E5298" s="17">
        <v>46157</v>
      </c>
      <c r="F5298" s="17">
        <v>46157</v>
      </c>
      <c r="G5298" s="13">
        <v>650</v>
      </c>
      <c r="H5298" s="14">
        <v>0</v>
      </c>
      <c r="I5298" s="14">
        <v>0</v>
      </c>
      <c r="J5298" s="14">
        <v>0</v>
      </c>
      <c r="K5298" s="14">
        <v>650</v>
      </c>
      <c r="L5298" t="s">
        <v>794</v>
      </c>
      <c r="M5298" s="23">
        <f t="shared" si="83"/>
        <v>2026</v>
      </c>
    </row>
    <row r="5299" spans="1:13" ht="12.75" customHeight="1">
      <c r="A5299" t="s">
        <v>888</v>
      </c>
      <c r="B5299" t="s">
        <v>16</v>
      </c>
      <c r="C5299" t="s">
        <v>716</v>
      </c>
      <c r="D5299" t="s">
        <v>1432</v>
      </c>
      <c r="E5299" s="17">
        <v>46157</v>
      </c>
      <c r="F5299" s="17">
        <v>46157</v>
      </c>
      <c r="G5299" s="13">
        <v>20702.95</v>
      </c>
      <c r="H5299" s="14">
        <v>0</v>
      </c>
      <c r="I5299" s="14">
        <v>0</v>
      </c>
      <c r="J5299" s="14">
        <v>0</v>
      </c>
      <c r="K5299" s="14">
        <v>20702.95</v>
      </c>
      <c r="L5299" t="s">
        <v>794</v>
      </c>
      <c r="M5299" s="23">
        <f t="shared" si="83"/>
        <v>2026</v>
      </c>
    </row>
    <row r="5300" spans="1:13" ht="12.75" customHeight="1">
      <c r="A5300" t="s">
        <v>893</v>
      </c>
      <c r="B5300" t="s">
        <v>212</v>
      </c>
      <c r="C5300" t="s">
        <v>746</v>
      </c>
      <c r="D5300" t="s">
        <v>1432</v>
      </c>
      <c r="E5300" s="17">
        <v>46157</v>
      </c>
      <c r="F5300" s="17">
        <v>46157</v>
      </c>
      <c r="G5300" s="13">
        <v>139</v>
      </c>
      <c r="H5300" s="14">
        <v>0</v>
      </c>
      <c r="I5300" s="14">
        <v>0</v>
      </c>
      <c r="J5300" s="14">
        <v>0</v>
      </c>
      <c r="K5300" s="14">
        <v>139</v>
      </c>
      <c r="L5300" t="s">
        <v>794</v>
      </c>
      <c r="M5300" s="23">
        <f t="shared" si="83"/>
        <v>2026</v>
      </c>
    </row>
    <row r="5301" spans="1:13" ht="12.75" customHeight="1">
      <c r="A5301" t="s">
        <v>1507</v>
      </c>
      <c r="B5301" t="s">
        <v>267</v>
      </c>
      <c r="C5301" t="s">
        <v>141</v>
      </c>
      <c r="D5301" t="s">
        <v>1508</v>
      </c>
      <c r="E5301" s="17">
        <v>46157</v>
      </c>
      <c r="F5301" s="17">
        <v>46157</v>
      </c>
      <c r="G5301" s="13">
        <v>1803.6000000000001</v>
      </c>
      <c r="H5301" s="14">
        <v>0</v>
      </c>
      <c r="I5301" s="14">
        <v>0</v>
      </c>
      <c r="J5301" s="14">
        <v>0</v>
      </c>
      <c r="K5301" s="14">
        <v>1803.6000000000001</v>
      </c>
      <c r="L5301" t="s">
        <v>794</v>
      </c>
      <c r="M5301" s="23">
        <f t="shared" si="83"/>
        <v>2026</v>
      </c>
    </row>
    <row r="5302" spans="1:13" ht="12.75" customHeight="1">
      <c r="A5302" t="s">
        <v>879</v>
      </c>
      <c r="B5302" t="s">
        <v>23</v>
      </c>
      <c r="C5302" t="s">
        <v>722</v>
      </c>
      <c r="D5302" t="s">
        <v>1432</v>
      </c>
      <c r="E5302" s="17">
        <v>46157</v>
      </c>
      <c r="F5302" s="17">
        <v>46157</v>
      </c>
      <c r="G5302" s="13">
        <v>700</v>
      </c>
      <c r="H5302" s="14">
        <v>0</v>
      </c>
      <c r="I5302" s="14">
        <v>0</v>
      </c>
      <c r="J5302" s="14">
        <v>0</v>
      </c>
      <c r="K5302" s="14">
        <v>700</v>
      </c>
      <c r="L5302" t="s">
        <v>794</v>
      </c>
      <c r="M5302" s="23">
        <f t="shared" si="83"/>
        <v>2026</v>
      </c>
    </row>
    <row r="5303" spans="1:13" ht="12.75" customHeight="1">
      <c r="A5303" t="s">
        <v>879</v>
      </c>
      <c r="B5303" t="s">
        <v>23</v>
      </c>
      <c r="C5303" t="s">
        <v>716</v>
      </c>
      <c r="D5303" t="s">
        <v>1432</v>
      </c>
      <c r="E5303" s="17">
        <v>46157</v>
      </c>
      <c r="F5303" s="17">
        <v>46157</v>
      </c>
      <c r="G5303" s="13">
        <v>4034.26</v>
      </c>
      <c r="H5303" s="14">
        <v>0</v>
      </c>
      <c r="I5303" s="14">
        <v>0</v>
      </c>
      <c r="J5303" s="14">
        <v>0</v>
      </c>
      <c r="K5303" s="14">
        <v>4034.26</v>
      </c>
      <c r="L5303" t="s">
        <v>794</v>
      </c>
      <c r="M5303" s="23">
        <f t="shared" si="83"/>
        <v>2026</v>
      </c>
    </row>
    <row r="5304" spans="1:13" ht="12.75" customHeight="1">
      <c r="A5304" t="s">
        <v>1459</v>
      </c>
      <c r="B5304" t="s">
        <v>269</v>
      </c>
      <c r="C5304" t="s">
        <v>270</v>
      </c>
      <c r="D5304" t="s">
        <v>1432</v>
      </c>
      <c r="E5304" s="17">
        <v>46157</v>
      </c>
      <c r="F5304" s="17">
        <v>46157</v>
      </c>
      <c r="G5304" s="13">
        <v>490</v>
      </c>
      <c r="H5304" s="14">
        <v>0</v>
      </c>
      <c r="I5304" s="14">
        <v>0</v>
      </c>
      <c r="J5304" s="14">
        <v>0</v>
      </c>
      <c r="K5304" s="14">
        <v>490</v>
      </c>
      <c r="L5304" t="s">
        <v>794</v>
      </c>
      <c r="M5304" s="23">
        <f t="shared" si="83"/>
        <v>2026</v>
      </c>
    </row>
    <row r="5305" spans="1:13" ht="12.75" customHeight="1">
      <c r="A5305" t="s">
        <v>801</v>
      </c>
      <c r="B5305" t="s">
        <v>13</v>
      </c>
      <c r="C5305" t="s">
        <v>726</v>
      </c>
      <c r="D5305" t="s">
        <v>1432</v>
      </c>
      <c r="E5305" s="17">
        <v>46157</v>
      </c>
      <c r="F5305" s="17">
        <v>46157</v>
      </c>
      <c r="G5305" s="13">
        <v>2.19</v>
      </c>
      <c r="H5305" s="14">
        <v>0</v>
      </c>
      <c r="I5305" s="14">
        <v>0</v>
      </c>
      <c r="J5305" s="14">
        <v>0</v>
      </c>
      <c r="K5305" s="14">
        <v>2.19</v>
      </c>
      <c r="L5305" t="s">
        <v>794</v>
      </c>
      <c r="M5305" s="23">
        <f t="shared" si="83"/>
        <v>2026</v>
      </c>
    </row>
    <row r="5306" spans="1:13" ht="12.75" customHeight="1">
      <c r="A5306" t="s">
        <v>801</v>
      </c>
      <c r="B5306" t="s">
        <v>13</v>
      </c>
      <c r="C5306" t="s">
        <v>717</v>
      </c>
      <c r="D5306" t="s">
        <v>1432</v>
      </c>
      <c r="E5306" s="17">
        <v>46157</v>
      </c>
      <c r="F5306" s="17">
        <v>46157</v>
      </c>
      <c r="G5306" s="13">
        <v>210.38</v>
      </c>
      <c r="H5306" s="14">
        <v>0</v>
      </c>
      <c r="I5306" s="14">
        <v>0</v>
      </c>
      <c r="J5306" s="14">
        <v>0</v>
      </c>
      <c r="K5306" s="14">
        <v>210.38</v>
      </c>
      <c r="L5306" t="s">
        <v>794</v>
      </c>
      <c r="M5306" s="23">
        <f t="shared" si="83"/>
        <v>2026</v>
      </c>
    </row>
    <row r="5307" spans="1:13" ht="12.75" customHeight="1">
      <c r="A5307" t="s">
        <v>801</v>
      </c>
      <c r="B5307" t="s">
        <v>13</v>
      </c>
      <c r="C5307" t="s">
        <v>726</v>
      </c>
      <c r="D5307" t="s">
        <v>1432</v>
      </c>
      <c r="E5307" s="17">
        <v>46157</v>
      </c>
      <c r="F5307" s="17">
        <v>46157</v>
      </c>
      <c r="G5307" s="13">
        <v>2.19</v>
      </c>
      <c r="H5307" s="14">
        <v>0</v>
      </c>
      <c r="I5307" s="14">
        <v>0</v>
      </c>
      <c r="J5307" s="14">
        <v>0</v>
      </c>
      <c r="K5307" s="14">
        <v>2.19</v>
      </c>
      <c r="L5307" t="s">
        <v>794</v>
      </c>
      <c r="M5307" s="23">
        <f t="shared" si="83"/>
        <v>2026</v>
      </c>
    </row>
    <row r="5308" spans="1:13" ht="12.75" customHeight="1">
      <c r="A5308" t="s">
        <v>801</v>
      </c>
      <c r="B5308" t="s">
        <v>13</v>
      </c>
      <c r="C5308" t="s">
        <v>726</v>
      </c>
      <c r="D5308" t="s">
        <v>1432</v>
      </c>
      <c r="E5308" s="17">
        <v>46160</v>
      </c>
      <c r="F5308" s="17">
        <v>46160</v>
      </c>
      <c r="G5308" s="13">
        <v>2.19</v>
      </c>
      <c r="H5308" s="14">
        <v>0</v>
      </c>
      <c r="I5308" s="14">
        <v>0</v>
      </c>
      <c r="J5308" s="14">
        <v>0</v>
      </c>
      <c r="K5308" s="14">
        <v>2.19</v>
      </c>
      <c r="L5308" t="s">
        <v>794</v>
      </c>
      <c r="M5308" s="23">
        <f t="shared" si="83"/>
        <v>2026</v>
      </c>
    </row>
    <row r="5309" spans="1:13" ht="12.75" customHeight="1">
      <c r="A5309" t="s">
        <v>801</v>
      </c>
      <c r="B5309" t="s">
        <v>13</v>
      </c>
      <c r="C5309" t="s">
        <v>717</v>
      </c>
      <c r="D5309" t="s">
        <v>1432</v>
      </c>
      <c r="E5309" s="17">
        <v>46160</v>
      </c>
      <c r="F5309" s="17">
        <v>46160</v>
      </c>
      <c r="G5309" s="13">
        <v>5381.79</v>
      </c>
      <c r="H5309" s="14">
        <v>0</v>
      </c>
      <c r="I5309" s="14">
        <v>0</v>
      </c>
      <c r="J5309" s="14">
        <v>0</v>
      </c>
      <c r="K5309" s="14">
        <v>5381.79</v>
      </c>
      <c r="L5309" t="s">
        <v>794</v>
      </c>
      <c r="M5309" s="23">
        <f t="shared" si="83"/>
        <v>2026</v>
      </c>
    </row>
    <row r="5310" spans="1:13" ht="12.75" customHeight="1">
      <c r="A5310" t="s">
        <v>1409</v>
      </c>
      <c r="B5310" t="s">
        <v>86</v>
      </c>
      <c r="C5310" t="s">
        <v>270</v>
      </c>
      <c r="D5310" t="s">
        <v>1432</v>
      </c>
      <c r="E5310" s="17">
        <v>46160</v>
      </c>
      <c r="F5310" s="17">
        <v>46160</v>
      </c>
      <c r="G5310" s="13">
        <v>2000</v>
      </c>
      <c r="H5310" s="14">
        <v>0</v>
      </c>
      <c r="I5310" s="14">
        <v>0</v>
      </c>
      <c r="J5310" s="14">
        <v>0</v>
      </c>
      <c r="K5310" s="14">
        <v>2000</v>
      </c>
      <c r="L5310" t="s">
        <v>794</v>
      </c>
      <c r="M5310" s="23">
        <f t="shared" si="83"/>
        <v>2026</v>
      </c>
    </row>
    <row r="5311" spans="1:13" ht="12.75" customHeight="1">
      <c r="A5311" t="s">
        <v>892</v>
      </c>
      <c r="B5311" t="s">
        <v>110</v>
      </c>
      <c r="C5311" t="s">
        <v>733</v>
      </c>
      <c r="D5311" t="s">
        <v>1432</v>
      </c>
      <c r="E5311" s="17">
        <v>46161</v>
      </c>
      <c r="F5311" s="17">
        <v>46161</v>
      </c>
      <c r="G5311" s="13">
        <v>250</v>
      </c>
      <c r="H5311" s="14">
        <v>0</v>
      </c>
      <c r="I5311" s="14">
        <v>0</v>
      </c>
      <c r="J5311" s="14">
        <v>0</v>
      </c>
      <c r="K5311" s="14">
        <v>250</v>
      </c>
      <c r="L5311" t="s">
        <v>794</v>
      </c>
      <c r="M5311" s="23">
        <f t="shared" si="83"/>
        <v>2026</v>
      </c>
    </row>
    <row r="5312" spans="1:13" ht="12.75" customHeight="1">
      <c r="A5312" t="s">
        <v>1509</v>
      </c>
      <c r="B5312" t="s">
        <v>192</v>
      </c>
      <c r="C5312" t="s">
        <v>193</v>
      </c>
      <c r="D5312" t="s">
        <v>1432</v>
      </c>
      <c r="E5312" s="17">
        <v>46161</v>
      </c>
      <c r="F5312" s="17">
        <v>46161</v>
      </c>
      <c r="G5312" s="13">
        <v>3995.6800000000003</v>
      </c>
      <c r="H5312" s="14">
        <v>0</v>
      </c>
      <c r="I5312" s="14">
        <v>0</v>
      </c>
      <c r="J5312" s="14">
        <v>0</v>
      </c>
      <c r="K5312" s="14">
        <v>3995.6800000000003</v>
      </c>
      <c r="L5312" t="s">
        <v>794</v>
      </c>
      <c r="M5312" s="23">
        <f t="shared" si="83"/>
        <v>2026</v>
      </c>
    </row>
    <row r="5313" spans="1:13" ht="12.75" customHeight="1">
      <c r="A5313" t="s">
        <v>1459</v>
      </c>
      <c r="B5313" t="s">
        <v>269</v>
      </c>
      <c r="C5313" t="s">
        <v>270</v>
      </c>
      <c r="D5313" t="s">
        <v>1432</v>
      </c>
      <c r="E5313" s="17">
        <v>46161</v>
      </c>
      <c r="F5313" s="17">
        <v>46161</v>
      </c>
      <c r="G5313" s="13">
        <v>280</v>
      </c>
      <c r="H5313" s="14">
        <v>0</v>
      </c>
      <c r="I5313" s="14">
        <v>0</v>
      </c>
      <c r="J5313" s="14">
        <v>0</v>
      </c>
      <c r="K5313" s="14">
        <v>280</v>
      </c>
      <c r="L5313" t="s">
        <v>794</v>
      </c>
      <c r="M5313" s="23">
        <f t="shared" si="83"/>
        <v>2026</v>
      </c>
    </row>
    <row r="5314" spans="1:13" ht="12.75" customHeight="1">
      <c r="A5314" t="s">
        <v>886</v>
      </c>
      <c r="B5314" t="s">
        <v>194</v>
      </c>
      <c r="C5314" t="s">
        <v>743</v>
      </c>
      <c r="D5314" t="s">
        <v>1432</v>
      </c>
      <c r="E5314" s="17">
        <v>46161</v>
      </c>
      <c r="F5314" s="17">
        <v>46161</v>
      </c>
      <c r="G5314" s="13">
        <v>222.38</v>
      </c>
      <c r="H5314" s="14">
        <v>0</v>
      </c>
      <c r="I5314" s="14">
        <v>0</v>
      </c>
      <c r="J5314" s="14">
        <v>0</v>
      </c>
      <c r="K5314" s="14">
        <v>222.38</v>
      </c>
      <c r="L5314" t="s">
        <v>794</v>
      </c>
      <c r="M5314" s="23">
        <f t="shared" si="83"/>
        <v>2026</v>
      </c>
    </row>
    <row r="5315" spans="1:13" ht="12.75" customHeight="1">
      <c r="A5315" t="s">
        <v>801</v>
      </c>
      <c r="B5315" t="s">
        <v>13</v>
      </c>
      <c r="C5315" t="s">
        <v>726</v>
      </c>
      <c r="D5315" t="s">
        <v>1432</v>
      </c>
      <c r="E5315" s="17">
        <v>46161</v>
      </c>
      <c r="F5315" s="17">
        <v>46161</v>
      </c>
      <c r="G5315" s="13">
        <v>18.28</v>
      </c>
      <c r="H5315" s="14">
        <v>0</v>
      </c>
      <c r="I5315" s="14">
        <v>0</v>
      </c>
      <c r="J5315" s="14">
        <v>0</v>
      </c>
      <c r="K5315" s="14">
        <v>18.28</v>
      </c>
      <c r="L5315" t="s">
        <v>794</v>
      </c>
      <c r="M5315" s="23">
        <f t="shared" si="83"/>
        <v>2026</v>
      </c>
    </row>
    <row r="5316" spans="1:13" ht="12.75" customHeight="1">
      <c r="A5316" t="s">
        <v>801</v>
      </c>
      <c r="B5316" t="s">
        <v>13</v>
      </c>
      <c r="C5316" t="s">
        <v>726</v>
      </c>
      <c r="D5316" t="s">
        <v>1432</v>
      </c>
      <c r="E5316" s="17">
        <v>46162</v>
      </c>
      <c r="F5316" s="17">
        <v>46162</v>
      </c>
      <c r="G5316" s="13">
        <v>4.38</v>
      </c>
      <c r="H5316" s="14">
        <v>0</v>
      </c>
      <c r="I5316" s="14">
        <v>0</v>
      </c>
      <c r="J5316" s="14">
        <v>0</v>
      </c>
      <c r="K5316" s="14">
        <v>4.38</v>
      </c>
      <c r="L5316" t="s">
        <v>794</v>
      </c>
      <c r="M5316" s="23">
        <f t="shared" si="83"/>
        <v>2026</v>
      </c>
    </row>
    <row r="5317" spans="1:13" ht="12.75" customHeight="1">
      <c r="A5317" t="s">
        <v>1210</v>
      </c>
      <c r="B5317" t="s">
        <v>22</v>
      </c>
      <c r="C5317" t="s">
        <v>717</v>
      </c>
      <c r="D5317" t="s">
        <v>1432</v>
      </c>
      <c r="E5317" s="17">
        <v>46162</v>
      </c>
      <c r="F5317" s="17">
        <v>46162</v>
      </c>
      <c r="G5317" s="13">
        <v>10346.719999999999</v>
      </c>
      <c r="H5317" s="14">
        <v>0</v>
      </c>
      <c r="I5317" s="14">
        <v>0</v>
      </c>
      <c r="J5317" s="14">
        <v>0</v>
      </c>
      <c r="K5317" s="14">
        <v>10346.719999999999</v>
      </c>
      <c r="L5317" t="s">
        <v>794</v>
      </c>
      <c r="M5317" s="23">
        <f t="shared" si="83"/>
        <v>2026</v>
      </c>
    </row>
    <row r="5318" spans="1:13" ht="12.75" customHeight="1">
      <c r="A5318" t="s">
        <v>1510</v>
      </c>
      <c r="B5318" t="s">
        <v>473</v>
      </c>
      <c r="C5318" t="s">
        <v>491</v>
      </c>
      <c r="D5318" t="s">
        <v>1432</v>
      </c>
      <c r="E5318" s="17">
        <v>46162</v>
      </c>
      <c r="F5318" s="17">
        <v>46162</v>
      </c>
      <c r="G5318" s="13">
        <v>49.25</v>
      </c>
      <c r="H5318" s="14">
        <v>0</v>
      </c>
      <c r="I5318" s="14">
        <v>0</v>
      </c>
      <c r="J5318" s="14">
        <v>0</v>
      </c>
      <c r="K5318" s="14">
        <v>49.25</v>
      </c>
      <c r="L5318" t="s">
        <v>794</v>
      </c>
      <c r="M5318" s="23">
        <f t="shared" si="83"/>
        <v>2026</v>
      </c>
    </row>
    <row r="5319" spans="1:13" ht="12.75" customHeight="1">
      <c r="A5319" t="s">
        <v>905</v>
      </c>
      <c r="B5319" t="s">
        <v>15</v>
      </c>
      <c r="C5319" t="s">
        <v>715</v>
      </c>
      <c r="D5319" t="s">
        <v>1432</v>
      </c>
      <c r="E5319" s="17">
        <v>46162</v>
      </c>
      <c r="F5319" s="17">
        <v>46162</v>
      </c>
      <c r="G5319" s="13">
        <v>18702.189999999999</v>
      </c>
      <c r="H5319" s="14">
        <v>0</v>
      </c>
      <c r="I5319" s="14">
        <v>0</v>
      </c>
      <c r="J5319" s="14">
        <v>0</v>
      </c>
      <c r="K5319" s="14">
        <v>18702.189999999999</v>
      </c>
      <c r="L5319" t="s">
        <v>794</v>
      </c>
      <c r="M5319" s="23">
        <f t="shared" si="83"/>
        <v>2026</v>
      </c>
    </row>
    <row r="5320" spans="1:13" ht="12.75" customHeight="1">
      <c r="A5320" t="s">
        <v>1072</v>
      </c>
      <c r="B5320" t="s">
        <v>65</v>
      </c>
      <c r="C5320" t="s">
        <v>756</v>
      </c>
      <c r="D5320" t="s">
        <v>1432</v>
      </c>
      <c r="E5320" s="17">
        <v>46162</v>
      </c>
      <c r="F5320" s="17">
        <v>46162</v>
      </c>
      <c r="G5320" s="13">
        <v>81.59</v>
      </c>
      <c r="H5320" s="14">
        <v>0</v>
      </c>
      <c r="I5320" s="14">
        <v>0</v>
      </c>
      <c r="J5320" s="14">
        <v>0</v>
      </c>
      <c r="K5320" s="14">
        <v>81.59</v>
      </c>
      <c r="L5320" t="s">
        <v>794</v>
      </c>
      <c r="M5320" s="23">
        <f t="shared" si="83"/>
        <v>2026</v>
      </c>
    </row>
    <row r="5321" spans="1:13" ht="12.75" customHeight="1">
      <c r="A5321" t="s">
        <v>914</v>
      </c>
      <c r="B5321" t="s">
        <v>28</v>
      </c>
      <c r="C5321" t="s">
        <v>724</v>
      </c>
      <c r="D5321" t="s">
        <v>1432</v>
      </c>
      <c r="E5321" s="17">
        <v>46162</v>
      </c>
      <c r="F5321" s="17">
        <v>46162</v>
      </c>
      <c r="G5321" s="13">
        <v>1473.02</v>
      </c>
      <c r="H5321" s="14">
        <v>0</v>
      </c>
      <c r="I5321" s="14">
        <v>0</v>
      </c>
      <c r="J5321" s="14">
        <v>0</v>
      </c>
      <c r="K5321" s="14">
        <v>1473.02</v>
      </c>
      <c r="L5321" t="s">
        <v>794</v>
      </c>
      <c r="M5321" s="23">
        <f t="shared" si="83"/>
        <v>2026</v>
      </c>
    </row>
    <row r="5322" spans="1:13" ht="12.75" customHeight="1">
      <c r="A5322" t="s">
        <v>921</v>
      </c>
      <c r="B5322" t="s">
        <v>184</v>
      </c>
      <c r="C5322" t="s">
        <v>646</v>
      </c>
      <c r="D5322" t="s">
        <v>1432</v>
      </c>
      <c r="E5322" s="17">
        <v>46162</v>
      </c>
      <c r="F5322" s="17">
        <v>46163</v>
      </c>
      <c r="G5322" s="13">
        <v>317.5</v>
      </c>
      <c r="H5322" s="14">
        <v>0</v>
      </c>
      <c r="I5322" s="14">
        <v>0</v>
      </c>
      <c r="J5322" s="14">
        <v>0</v>
      </c>
      <c r="K5322" s="14">
        <v>317.5</v>
      </c>
      <c r="L5322" t="s">
        <v>794</v>
      </c>
      <c r="M5322" s="23">
        <f t="shared" si="83"/>
        <v>2026</v>
      </c>
    </row>
    <row r="5323" spans="1:13" ht="12.75" customHeight="1">
      <c r="A5323" t="s">
        <v>1072</v>
      </c>
      <c r="B5323" t="s">
        <v>65</v>
      </c>
      <c r="C5323" t="s">
        <v>727</v>
      </c>
      <c r="D5323" t="s">
        <v>1432</v>
      </c>
      <c r="E5323" s="17">
        <v>46163</v>
      </c>
      <c r="F5323" s="17">
        <v>46163</v>
      </c>
      <c r="G5323" s="13">
        <v>3101.82</v>
      </c>
      <c r="H5323" s="14">
        <v>0</v>
      </c>
      <c r="I5323" s="14">
        <v>0</v>
      </c>
      <c r="J5323" s="14">
        <v>0</v>
      </c>
      <c r="K5323" s="14">
        <v>3101.82</v>
      </c>
      <c r="L5323" t="s">
        <v>794</v>
      </c>
      <c r="M5323" s="23">
        <f t="shared" si="83"/>
        <v>2026</v>
      </c>
    </row>
    <row r="5324" spans="1:13" ht="12.75" customHeight="1">
      <c r="A5324" t="s">
        <v>1511</v>
      </c>
      <c r="B5324" t="s">
        <v>280</v>
      </c>
      <c r="C5324" t="s">
        <v>281</v>
      </c>
      <c r="D5324" t="s">
        <v>1432</v>
      </c>
      <c r="E5324" s="17">
        <v>46163</v>
      </c>
      <c r="F5324" s="17">
        <v>46163</v>
      </c>
      <c r="G5324" s="13">
        <v>1500</v>
      </c>
      <c r="H5324" s="14">
        <v>0</v>
      </c>
      <c r="I5324" s="14">
        <v>0</v>
      </c>
      <c r="J5324" s="14">
        <v>0</v>
      </c>
      <c r="K5324" s="14">
        <v>1500</v>
      </c>
      <c r="L5324" t="s">
        <v>794</v>
      </c>
      <c r="M5324" s="23">
        <f t="shared" si="83"/>
        <v>2026</v>
      </c>
    </row>
    <row r="5325" spans="1:13" ht="12.75" customHeight="1">
      <c r="A5325" t="s">
        <v>801</v>
      </c>
      <c r="B5325" t="s">
        <v>13</v>
      </c>
      <c r="C5325" t="s">
        <v>726</v>
      </c>
      <c r="D5325" t="s">
        <v>1432</v>
      </c>
      <c r="E5325" s="17">
        <v>46167</v>
      </c>
      <c r="F5325" s="17">
        <v>46167</v>
      </c>
      <c r="G5325" s="13">
        <v>13.14</v>
      </c>
      <c r="H5325" s="14">
        <v>0</v>
      </c>
      <c r="I5325" s="14">
        <v>0</v>
      </c>
      <c r="J5325" s="14">
        <v>0</v>
      </c>
      <c r="K5325" s="14">
        <v>13.14</v>
      </c>
      <c r="L5325" t="s">
        <v>794</v>
      </c>
      <c r="M5325" s="23">
        <f t="shared" si="83"/>
        <v>2026</v>
      </c>
    </row>
    <row r="5326" spans="1:13" ht="12.75" customHeight="1">
      <c r="A5326" t="s">
        <v>1223</v>
      </c>
      <c r="B5326" t="s">
        <v>1224</v>
      </c>
      <c r="C5326" t="s">
        <v>742</v>
      </c>
      <c r="D5326" t="s">
        <v>1432</v>
      </c>
      <c r="E5326" s="17">
        <v>46167</v>
      </c>
      <c r="F5326" s="17">
        <v>46167</v>
      </c>
      <c r="G5326" s="13">
        <v>575.83000000000004</v>
      </c>
      <c r="H5326" s="14">
        <v>0</v>
      </c>
      <c r="I5326" s="14">
        <v>0</v>
      </c>
      <c r="J5326" s="14">
        <v>0</v>
      </c>
      <c r="K5326" s="14">
        <v>575.83000000000004</v>
      </c>
      <c r="L5326" t="s">
        <v>794</v>
      </c>
      <c r="M5326" s="23">
        <f t="shared" si="83"/>
        <v>2026</v>
      </c>
    </row>
    <row r="5327" spans="1:13" ht="12.75" customHeight="1">
      <c r="A5327" t="s">
        <v>1305</v>
      </c>
      <c r="B5327" t="s">
        <v>96</v>
      </c>
      <c r="C5327" t="s">
        <v>737</v>
      </c>
      <c r="D5327" t="s">
        <v>1432</v>
      </c>
      <c r="E5327" s="17">
        <v>46167</v>
      </c>
      <c r="F5327" s="17">
        <v>46167</v>
      </c>
      <c r="G5327" s="13">
        <v>1439.58</v>
      </c>
      <c r="H5327" s="14">
        <v>0</v>
      </c>
      <c r="I5327" s="14">
        <v>0</v>
      </c>
      <c r="J5327" s="14">
        <v>0</v>
      </c>
      <c r="K5327" s="14">
        <v>1439.58</v>
      </c>
      <c r="L5327" t="s">
        <v>794</v>
      </c>
      <c r="M5327" s="23">
        <f t="shared" si="83"/>
        <v>2026</v>
      </c>
    </row>
    <row r="5328" spans="1:13" ht="12.75" customHeight="1">
      <c r="A5328" t="s">
        <v>888</v>
      </c>
      <c r="B5328" t="s">
        <v>16</v>
      </c>
      <c r="C5328" t="s">
        <v>713</v>
      </c>
      <c r="D5328" t="s">
        <v>1432</v>
      </c>
      <c r="E5328" s="17">
        <v>46164</v>
      </c>
      <c r="F5328" s="17">
        <v>46167</v>
      </c>
      <c r="G5328" s="13">
        <v>2407.54</v>
      </c>
      <c r="H5328" s="14">
        <v>0</v>
      </c>
      <c r="I5328" s="14">
        <v>0</v>
      </c>
      <c r="J5328" s="14">
        <v>0</v>
      </c>
      <c r="K5328" s="14">
        <v>2407.54</v>
      </c>
      <c r="L5328" t="s">
        <v>794</v>
      </c>
      <c r="M5328" s="23">
        <f t="shared" si="83"/>
        <v>2026</v>
      </c>
    </row>
    <row r="5329" spans="1:13" ht="12.75" customHeight="1">
      <c r="A5329" t="s">
        <v>839</v>
      </c>
      <c r="B5329" t="s">
        <v>44</v>
      </c>
      <c r="C5329" t="s">
        <v>722</v>
      </c>
      <c r="D5329" t="s">
        <v>1432</v>
      </c>
      <c r="E5329" s="17">
        <v>46167</v>
      </c>
      <c r="F5329" s="17">
        <v>46167</v>
      </c>
      <c r="G5329" s="13">
        <v>1076.32</v>
      </c>
      <c r="H5329" s="14">
        <v>0</v>
      </c>
      <c r="I5329" s="14">
        <v>0</v>
      </c>
      <c r="J5329" s="14">
        <v>0</v>
      </c>
      <c r="K5329" s="14">
        <v>1076.32</v>
      </c>
      <c r="L5329" t="s">
        <v>794</v>
      </c>
      <c r="M5329" s="23">
        <f t="shared" si="83"/>
        <v>2026</v>
      </c>
    </row>
    <row r="5330" spans="1:13" ht="12.75" customHeight="1">
      <c r="A5330" t="s">
        <v>839</v>
      </c>
      <c r="B5330" t="s">
        <v>44</v>
      </c>
      <c r="C5330" t="s">
        <v>722</v>
      </c>
      <c r="D5330" t="s">
        <v>1432</v>
      </c>
      <c r="E5330" s="17">
        <v>46167</v>
      </c>
      <c r="F5330" s="17">
        <v>46167</v>
      </c>
      <c r="G5330" s="13">
        <v>807.1</v>
      </c>
      <c r="H5330" s="14">
        <v>0</v>
      </c>
      <c r="I5330" s="14">
        <v>0</v>
      </c>
      <c r="J5330" s="14">
        <v>0</v>
      </c>
      <c r="K5330" s="14">
        <v>807.1</v>
      </c>
      <c r="L5330" t="s">
        <v>794</v>
      </c>
      <c r="M5330" s="23">
        <f t="shared" si="83"/>
        <v>2026</v>
      </c>
    </row>
    <row r="5331" spans="1:13" ht="12.75" customHeight="1">
      <c r="A5331" t="s">
        <v>895</v>
      </c>
      <c r="B5331" t="s">
        <v>155</v>
      </c>
      <c r="C5331" t="s">
        <v>384</v>
      </c>
      <c r="D5331" t="s">
        <v>1432</v>
      </c>
      <c r="E5331" s="17">
        <v>46167</v>
      </c>
      <c r="F5331" s="17">
        <v>46167</v>
      </c>
      <c r="G5331" s="13">
        <v>390</v>
      </c>
      <c r="H5331" s="14">
        <v>0</v>
      </c>
      <c r="I5331" s="14">
        <v>0</v>
      </c>
      <c r="J5331" s="14">
        <v>0</v>
      </c>
      <c r="K5331" s="14">
        <v>390</v>
      </c>
      <c r="L5331" t="s">
        <v>794</v>
      </c>
      <c r="M5331" s="23">
        <f t="shared" si="83"/>
        <v>2026</v>
      </c>
    </row>
    <row r="5332" spans="1:13" ht="12.75" customHeight="1">
      <c r="A5332" t="s">
        <v>935</v>
      </c>
      <c r="B5332" t="s">
        <v>158</v>
      </c>
      <c r="C5332" t="s">
        <v>741</v>
      </c>
      <c r="D5332" t="s">
        <v>1432</v>
      </c>
      <c r="E5332" s="17">
        <v>46167</v>
      </c>
      <c r="F5332" s="17">
        <v>46167</v>
      </c>
      <c r="G5332" s="13">
        <v>370</v>
      </c>
      <c r="H5332" s="14">
        <v>0</v>
      </c>
      <c r="I5332" s="14">
        <v>0</v>
      </c>
      <c r="J5332" s="14">
        <v>0</v>
      </c>
      <c r="K5332" s="14">
        <v>370</v>
      </c>
      <c r="L5332" t="s">
        <v>794</v>
      </c>
      <c r="M5332" s="23">
        <f t="shared" si="83"/>
        <v>2026</v>
      </c>
    </row>
    <row r="5333" spans="1:13" ht="12.75" customHeight="1">
      <c r="A5333" t="s">
        <v>1436</v>
      </c>
      <c r="B5333" t="s">
        <v>98</v>
      </c>
      <c r="C5333" t="s">
        <v>99</v>
      </c>
      <c r="D5333" t="s">
        <v>1432</v>
      </c>
      <c r="E5333" s="17">
        <v>46162</v>
      </c>
      <c r="F5333" s="17">
        <v>46167</v>
      </c>
      <c r="G5333" s="13">
        <v>2974.14</v>
      </c>
      <c r="H5333" s="14">
        <v>0</v>
      </c>
      <c r="I5333" s="14">
        <v>0</v>
      </c>
      <c r="J5333" s="14">
        <v>0</v>
      </c>
      <c r="K5333" s="14">
        <v>2974.14</v>
      </c>
      <c r="L5333" t="s">
        <v>794</v>
      </c>
      <c r="M5333" s="23">
        <f t="shared" si="83"/>
        <v>2026</v>
      </c>
    </row>
    <row r="5334" spans="1:13" ht="12.75" customHeight="1">
      <c r="A5334" t="s">
        <v>801</v>
      </c>
      <c r="B5334" t="s">
        <v>13</v>
      </c>
      <c r="C5334" t="s">
        <v>726</v>
      </c>
      <c r="D5334" t="s">
        <v>1432</v>
      </c>
      <c r="E5334" s="17">
        <v>46167</v>
      </c>
      <c r="F5334" s="17">
        <v>46167</v>
      </c>
      <c r="G5334" s="13">
        <v>2.19</v>
      </c>
      <c r="H5334" s="14">
        <v>0</v>
      </c>
      <c r="I5334" s="14">
        <v>0</v>
      </c>
      <c r="J5334" s="14">
        <v>0</v>
      </c>
      <c r="K5334" s="14">
        <v>2.19</v>
      </c>
      <c r="L5334" t="s">
        <v>794</v>
      </c>
      <c r="M5334" s="23">
        <f t="shared" si="83"/>
        <v>2026</v>
      </c>
    </row>
    <row r="5335" spans="1:13" ht="12.75" customHeight="1">
      <c r="A5335" t="s">
        <v>801</v>
      </c>
      <c r="B5335" t="s">
        <v>13</v>
      </c>
      <c r="C5335" t="s">
        <v>718</v>
      </c>
      <c r="D5335" t="s">
        <v>1432</v>
      </c>
      <c r="E5335" s="17">
        <v>46168</v>
      </c>
      <c r="F5335" s="17">
        <v>46168</v>
      </c>
      <c r="G5335" s="13">
        <v>8683.25</v>
      </c>
      <c r="H5335" s="14">
        <v>0</v>
      </c>
      <c r="I5335" s="14">
        <v>0</v>
      </c>
      <c r="J5335" s="14">
        <v>0</v>
      </c>
      <c r="K5335" s="14">
        <v>8683.25</v>
      </c>
      <c r="L5335" t="s">
        <v>794</v>
      </c>
      <c r="M5335" s="23">
        <f t="shared" si="83"/>
        <v>2026</v>
      </c>
    </row>
    <row r="5336" spans="1:13" ht="12.75" customHeight="1">
      <c r="A5336" t="s">
        <v>1512</v>
      </c>
      <c r="B5336" t="s">
        <v>482</v>
      </c>
      <c r="C5336" t="s">
        <v>483</v>
      </c>
      <c r="D5336" t="s">
        <v>1432</v>
      </c>
      <c r="E5336" s="17">
        <v>46168</v>
      </c>
      <c r="F5336" s="17">
        <v>46168</v>
      </c>
      <c r="G5336" s="13">
        <v>163.92000000000002</v>
      </c>
      <c r="H5336" s="14">
        <v>0</v>
      </c>
      <c r="I5336" s="14">
        <v>0</v>
      </c>
      <c r="J5336" s="14">
        <v>0</v>
      </c>
      <c r="K5336" s="14">
        <v>163.92000000000002</v>
      </c>
      <c r="L5336" t="s">
        <v>794</v>
      </c>
      <c r="M5336" s="23">
        <f t="shared" si="83"/>
        <v>2026</v>
      </c>
    </row>
    <row r="5337" spans="1:13" ht="12.75" customHeight="1">
      <c r="A5337" t="s">
        <v>845</v>
      </c>
      <c r="B5337" t="s">
        <v>67</v>
      </c>
      <c r="C5337" t="s">
        <v>729</v>
      </c>
      <c r="D5337" t="s">
        <v>1432</v>
      </c>
      <c r="E5337" s="17">
        <v>46168</v>
      </c>
      <c r="F5337" s="17">
        <v>46168</v>
      </c>
      <c r="G5337" s="13">
        <v>2516.2200000000003</v>
      </c>
      <c r="H5337" s="14">
        <v>0</v>
      </c>
      <c r="I5337" s="14">
        <v>0</v>
      </c>
      <c r="J5337" s="14">
        <v>0</v>
      </c>
      <c r="K5337" s="14">
        <v>2516.2200000000003</v>
      </c>
      <c r="L5337" t="s">
        <v>794</v>
      </c>
      <c r="M5337" s="23">
        <f t="shared" ref="M5337:M5339" si="84">YEAR(F5337)</f>
        <v>2026</v>
      </c>
    </row>
    <row r="5338" spans="1:13" ht="12.75" customHeight="1">
      <c r="A5338" t="s">
        <v>1298</v>
      </c>
      <c r="B5338" t="s">
        <v>209</v>
      </c>
      <c r="C5338" t="s">
        <v>152</v>
      </c>
      <c r="D5338" t="s">
        <v>1432</v>
      </c>
      <c r="E5338" s="17">
        <v>46168</v>
      </c>
      <c r="F5338" s="17">
        <v>46168</v>
      </c>
      <c r="G5338" s="13">
        <v>990.17000000000007</v>
      </c>
      <c r="H5338" s="14">
        <v>0</v>
      </c>
      <c r="I5338" s="14">
        <v>0</v>
      </c>
      <c r="J5338" s="14">
        <v>0</v>
      </c>
      <c r="K5338" s="14">
        <v>990.17000000000007</v>
      </c>
      <c r="L5338" t="s">
        <v>794</v>
      </c>
      <c r="M5338" s="23">
        <f t="shared" si="84"/>
        <v>2026</v>
      </c>
    </row>
    <row r="5339" spans="1:13" ht="12.75" customHeight="1">
      <c r="A5339" t="s">
        <v>1492</v>
      </c>
      <c r="B5339" t="s">
        <v>315</v>
      </c>
      <c r="C5339" t="s">
        <v>152</v>
      </c>
      <c r="D5339" t="s">
        <v>1432</v>
      </c>
      <c r="E5339" s="17">
        <v>46167</v>
      </c>
      <c r="F5339" s="17">
        <v>46168</v>
      </c>
      <c r="G5339" s="13">
        <v>990.17000000000007</v>
      </c>
      <c r="H5339" s="14">
        <v>0</v>
      </c>
      <c r="I5339" s="14">
        <v>0</v>
      </c>
      <c r="J5339" s="14">
        <v>0</v>
      </c>
      <c r="K5339" s="14">
        <v>990.17000000000007</v>
      </c>
      <c r="L5339" t="s">
        <v>794</v>
      </c>
      <c r="M5339" s="23">
        <f t="shared" si="84"/>
        <v>2026</v>
      </c>
    </row>
  </sheetData>
  <autoFilter ref="A1:M5339" xr:uid="{3C3DE4BE-0314-4547-BF92-A302642D825D}">
    <filterColumn colId="5">
      <filters>
        <dateGroupItem year="2026" month="5" dateTimeGrouping="month"/>
      </filters>
    </filterColumn>
    <filterColumn colId="12">
      <filters>
        <filter val="2026"/>
      </filters>
    </filterColumn>
  </autoFilter>
  <sortState xmlns:xlrd2="http://schemas.microsoft.com/office/spreadsheetml/2017/richdata2" ref="A2:L1903">
    <sortCondition ref="F2:F1903"/>
  </sortState>
  <pageMargins left="0" right="0" top="0" bottom="0" header="0" footer="0"/>
  <pageSetup paperSize="0" scale="0" fitToWidth="0" fitToHeight="0" orientation="portrait" usePrinterDefaults="0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B99F-FAF3-4C99-9EB7-99388666B507}">
  <dimension ref="A1:L107"/>
  <sheetViews>
    <sheetView topLeftCell="C1" workbookViewId="0">
      <selection activeCell="J12" sqref="J12"/>
    </sheetView>
  </sheetViews>
  <sheetFormatPr defaultRowHeight="12.75"/>
  <cols>
    <col min="1" max="1" width="53.28515625" customWidth="1"/>
    <col min="2" max="2" width="3.85546875" customWidth="1"/>
    <col min="3" max="5" width="19" style="18" customWidth="1"/>
    <col min="6" max="6" width="13.28515625" customWidth="1"/>
    <col min="8" max="8" width="53.28515625" customWidth="1"/>
    <col min="9" max="11" width="16.140625" customWidth="1"/>
    <col min="12" max="12" width="11.42578125" customWidth="1"/>
  </cols>
  <sheetData>
    <row r="1" spans="1:12" ht="18">
      <c r="A1" s="71" t="s">
        <v>1513</v>
      </c>
      <c r="B1" s="71"/>
      <c r="C1" s="71"/>
      <c r="D1" s="71"/>
      <c r="E1" s="71"/>
      <c r="F1" s="71"/>
      <c r="H1" s="84" t="s">
        <v>1514</v>
      </c>
      <c r="I1" s="72"/>
      <c r="J1" s="72"/>
      <c r="K1" s="72"/>
      <c r="L1" s="72"/>
    </row>
    <row r="2" spans="1:12">
      <c r="A2" s="46" t="s">
        <v>1515</v>
      </c>
      <c r="B2" s="46"/>
      <c r="C2" s="83">
        <f>SUM(C4:C107)</f>
        <v>325529.14666666673</v>
      </c>
      <c r="D2" s="63">
        <f>SUM(D4:D107)</f>
        <v>333682.87</v>
      </c>
      <c r="E2" s="63">
        <f>D2-C2</f>
        <v>8153.7233333332697</v>
      </c>
      <c r="F2" s="82">
        <f>IF(C2=0,0,(D2-C2)/C2)</f>
        <v>2.5047598400405196E-2</v>
      </c>
      <c r="H2" s="92">
        <v>46168</v>
      </c>
    </row>
    <row r="3" spans="1:12" ht="15.75">
      <c r="A3" s="60" t="s">
        <v>1516</v>
      </c>
      <c r="B3" s="60"/>
      <c r="C3" s="64" t="s">
        <v>1517</v>
      </c>
      <c r="D3" s="64" t="s">
        <v>1518</v>
      </c>
      <c r="E3" s="64" t="s">
        <v>1519</v>
      </c>
      <c r="F3" s="61" t="s">
        <v>1520</v>
      </c>
      <c r="H3" s="62" t="s">
        <v>1521</v>
      </c>
      <c r="I3" s="47"/>
    </row>
    <row r="4" spans="1:12">
      <c r="A4" s="67" t="s">
        <v>200</v>
      </c>
      <c r="B4" s="67"/>
      <c r="C4" s="76">
        <f>IFERROR(VLOOKUP(A4,PROJECAO_2026!$A$4:$F$120,6,FALSE),0)</f>
        <v>35000</v>
      </c>
      <c r="D4" s="76">
        <f>IFERROR(VLOOKUP(A4,DIN_TAXA!$A$14:$G$121,7,FALSE),0)</f>
        <v>33515</v>
      </c>
      <c r="E4" s="76">
        <f>D4-C4</f>
        <v>-1485</v>
      </c>
      <c r="F4" s="77" t="str">
        <f>IF(C4=0,IF(D4=0,"0%","N/A"),TEXT((D4-C4)/C4,"0%"))</f>
        <v>-4%</v>
      </c>
      <c r="H4" s="47" t="s">
        <v>1522</v>
      </c>
      <c r="I4" s="65">
        <f>C2</f>
        <v>325529.14666666673</v>
      </c>
    </row>
    <row r="5" spans="1:12">
      <c r="A5" s="69" t="s">
        <v>137</v>
      </c>
      <c r="B5" s="69"/>
      <c r="C5" s="78">
        <f>IFERROR(VLOOKUP(A5,PROJECAO_2026!$A$4:$F$120,6,FALSE),0)</f>
        <v>33243.065000000002</v>
      </c>
      <c r="D5" s="78">
        <f>IFERROR(VLOOKUP(A5,DIN_TAXA!$A$14:$G$121,7,FALSE),0)</f>
        <v>34895.880000000005</v>
      </c>
      <c r="E5" s="78">
        <f>D5-C5</f>
        <v>1652.8150000000023</v>
      </c>
      <c r="F5" s="79" t="str">
        <f>IF(C5=0,IF(D5=0,"0%","N/A"),TEXT((D5-C5)/C5,"0%"))</f>
        <v>5%</v>
      </c>
      <c r="H5" s="47" t="s">
        <v>1523</v>
      </c>
      <c r="I5" s="65">
        <f>D2</f>
        <v>333682.87</v>
      </c>
    </row>
    <row r="6" spans="1:12">
      <c r="A6" s="67" t="s">
        <v>714</v>
      </c>
      <c r="B6" s="67"/>
      <c r="C6" s="76">
        <f>IFERROR(VLOOKUP(A6,PROJECAO_2026!$A$4:$F$120,6,FALSE),0)</f>
        <v>28087.8</v>
      </c>
      <c r="D6" s="76">
        <f>IFERROR(VLOOKUP(A6,DIN_TAXA!$A$14:$G$121,7,FALSE),0)</f>
        <v>28087.8</v>
      </c>
      <c r="E6" s="76">
        <f>D6-C6</f>
        <v>0</v>
      </c>
      <c r="F6" s="77" t="str">
        <f>IF(C6=0,IF(D6=0,"0%","N/A"),TEXT((D6-C6)/C6,"0%"))</f>
        <v>0%</v>
      </c>
      <c r="H6" s="47" t="s">
        <v>1524</v>
      </c>
      <c r="I6" s="66">
        <f>IF(C2=0,0,D2/C2)</f>
        <v>1.0250475984004053</v>
      </c>
    </row>
    <row r="7" spans="1:12">
      <c r="A7" s="69" t="s">
        <v>717</v>
      </c>
      <c r="B7" s="69"/>
      <c r="C7" s="78">
        <f>IFERROR(VLOOKUP(A7,PROJECAO_2026!$A$4:$F$120,6,FALSE),0)</f>
        <v>20541.693333333333</v>
      </c>
      <c r="D7" s="78">
        <f>IFERROR(VLOOKUP(A7,DIN_TAXA!$A$14:$G$121,7,FALSE),0)</f>
        <v>20788.269999999997</v>
      </c>
      <c r="E7" s="78">
        <f>D7-C7</f>
        <v>246.5766666666641</v>
      </c>
      <c r="F7" s="79" t="str">
        <f>IF(C7=0,IF(D7=0,"0%","N/A"),TEXT((D7-C7)/C7,"0%"))</f>
        <v>1%</v>
      </c>
      <c r="H7" s="47" t="s">
        <v>1525</v>
      </c>
      <c r="I7" s="65">
        <f>C2-D2</f>
        <v>-8153.7233333332697</v>
      </c>
    </row>
    <row r="8" spans="1:12">
      <c r="A8" s="67" t="s">
        <v>715</v>
      </c>
      <c r="B8" s="67"/>
      <c r="C8" s="76">
        <f>IFERROR(VLOOKUP(A8,PROJECAO_2026!$A$4:$F$120,6,FALSE),0)</f>
        <v>19678.093333333334</v>
      </c>
      <c r="D8" s="76">
        <f>IFERROR(VLOOKUP(A8,DIN_TAXA!$A$14:$G$121,7,FALSE),0)</f>
        <v>18702.189999999999</v>
      </c>
      <c r="E8" s="76">
        <f>D8-C8</f>
        <v>-975.90333333333547</v>
      </c>
      <c r="F8" s="77" t="str">
        <f>IF(C8=0,IF(D8=0,"0%","N/A"),TEXT((D8-C8)/C8,"0%"))</f>
        <v>-5%</v>
      </c>
    </row>
    <row r="9" spans="1:12" ht="18" customHeight="1">
      <c r="A9" s="69" t="s">
        <v>716</v>
      </c>
      <c r="B9" s="69"/>
      <c r="C9" s="78">
        <f>IFERROR(VLOOKUP(A9,PROJECAO_2026!$A$4:$F$120,6,FALSE),0)</f>
        <v>22000</v>
      </c>
      <c r="D9" s="78">
        <f>IFERROR(VLOOKUP(A9,DIN_TAXA!$A$14:$G$121,7,FALSE),0)</f>
        <v>24737.21</v>
      </c>
      <c r="E9" s="78">
        <f>D9-C9</f>
        <v>2737.2099999999991</v>
      </c>
      <c r="F9" s="79" t="str">
        <f>IF(C9=0,IF(D9=0,"0%","N/A"),TEXT((D9-C9)/C9,"0%"))</f>
        <v>12%</v>
      </c>
      <c r="H9" s="90" t="s">
        <v>1526</v>
      </c>
      <c r="I9" s="90"/>
      <c r="J9" s="90"/>
      <c r="K9" s="90"/>
      <c r="L9" s="90"/>
    </row>
    <row r="10" spans="1:12" ht="18" customHeight="1">
      <c r="A10" s="67" t="s">
        <v>141</v>
      </c>
      <c r="B10" s="67"/>
      <c r="C10" s="76">
        <f>IFERROR(VLOOKUP(A10,PROJECAO_2026!$A$4:$F$120,6,FALSE),0)</f>
        <v>12000</v>
      </c>
      <c r="D10" s="76">
        <f>IFERROR(VLOOKUP(A10,DIN_TAXA!$A$14:$G$121,7,FALSE),0)</f>
        <v>11303.6</v>
      </c>
      <c r="E10" s="76">
        <f>D10-C10</f>
        <v>-696.39999999999964</v>
      </c>
      <c r="F10" s="77" t="str">
        <f>IF(C10=0,IF(D10=0,"0%","N/A"),TEXT((D10-C10)/C10,"0%"))</f>
        <v>-6%</v>
      </c>
      <c r="H10" s="87" t="s">
        <v>1516</v>
      </c>
      <c r="I10" s="87" t="s">
        <v>1527</v>
      </c>
      <c r="J10" s="87" t="s">
        <v>1528</v>
      </c>
      <c r="K10" s="87" t="s">
        <v>1519</v>
      </c>
      <c r="L10" s="87" t="s">
        <v>1520</v>
      </c>
    </row>
    <row r="11" spans="1:12" ht="18" customHeight="1">
      <c r="A11" s="69" t="s">
        <v>201</v>
      </c>
      <c r="B11" s="69"/>
      <c r="C11" s="78">
        <f>IFERROR(VLOOKUP(A11,PROJECAO_2026!$A$4:$F$120,6,FALSE),0)</f>
        <v>16000</v>
      </c>
      <c r="D11" s="78">
        <f>IFERROR(VLOOKUP(A11,DIN_TAXA!$A$14:$G$121,7,FALSE),0)</f>
        <v>17580</v>
      </c>
      <c r="E11" s="78">
        <f>D11-C11</f>
        <v>1580</v>
      </c>
      <c r="F11" s="79" t="str">
        <f>IF(C11=0,IF(D11=0,"0%","N/A"),TEXT((D11-C11)/C11,"0%"))</f>
        <v>10%</v>
      </c>
      <c r="H11" s="91" t="str" cm="1">
        <f t="array" ref="H11">IFERROR(INDEX($A$4:$A$107,MATCH(LARGE(IF($E$4:$E$107&gt;=1000,$E$4:$E$107),1),$E$4:$E$107,0)),"")</f>
        <v>60147-CREDENCIAMENTO NOVOS CURSOS</v>
      </c>
      <c r="I11" s="97">
        <f>IFERROR(VLOOKUP(H11,$A$4:$C$107,3,FALSE),0)</f>
        <v>0</v>
      </c>
      <c r="J11" s="97">
        <f>IFERROR(VLOOKUP(H11,$A$4:$D$107,4,FALSE),0)</f>
        <v>3995.6800000000003</v>
      </c>
      <c r="K11" s="97">
        <f>IFERROR(VLOOKUP(H11,$A$4:$E$107,5,FALSE),0)</f>
        <v>3995.6800000000003</v>
      </c>
      <c r="L11" s="91" t="str">
        <f>IFERROR(VLOOKUP(H11,$A$4:$F$107,6,FALSE),"-")</f>
        <v>N/A</v>
      </c>
    </row>
    <row r="12" spans="1:12" ht="18" customHeight="1">
      <c r="A12" s="67" t="s">
        <v>718</v>
      </c>
      <c r="B12" s="67"/>
      <c r="C12" s="76">
        <f>IFERROR(VLOOKUP(A12,PROJECAO_2026!$A$4:$F$120,6,FALSE),0)</f>
        <v>10500</v>
      </c>
      <c r="D12" s="76">
        <f>IFERROR(VLOOKUP(A12,DIN_TAXA!$A$14:$G$121,7,FALSE),0)</f>
        <v>8683.25</v>
      </c>
      <c r="E12" s="76">
        <f>D12-C12</f>
        <v>-1816.75</v>
      </c>
      <c r="F12" s="77" t="str">
        <f>IF(C12=0,IF(D12=0,"0%","N/A"),TEXT((D12-C12)/C12,"0%"))</f>
        <v>-17%</v>
      </c>
      <c r="H12" s="88" t="str" cm="1">
        <f t="array" ref="H12">IFERROR(INDEX($A$4:$A$107,MATCH(LARGE(IF($E$4:$E$107&gt;=1000,$E$4:$E$107),2),$E$4:$E$107,0)),"")</f>
        <v>60003-FARDAMENTO ALUNOS</v>
      </c>
      <c r="I12" s="98">
        <f>IFERROR(VLOOKUP(H12,$A$4:$C$107,3,FALSE),0)</f>
        <v>2522.5266666666666</v>
      </c>
      <c r="J12" s="98">
        <f>IFERROR(VLOOKUP(H12,$A$4:$D$107,4,FALSE),0)</f>
        <v>5808.67</v>
      </c>
      <c r="K12" s="98">
        <f>IFERROR(VLOOKUP(H12,$A$4:$E$107,5,FALSE),0)</f>
        <v>3286.1433333333334</v>
      </c>
      <c r="L12" s="88" t="str">
        <f>IFERROR(VLOOKUP(H12,$A$4:$F$107,6,FALSE),"-")</f>
        <v>130%</v>
      </c>
    </row>
    <row r="13" spans="1:12" ht="18" customHeight="1">
      <c r="A13" s="69" t="s">
        <v>720</v>
      </c>
      <c r="B13" s="69"/>
      <c r="C13" s="78">
        <f>IFERROR(VLOOKUP(A13,PROJECAO_2026!$A$4:$F$120,6,FALSE),0)</f>
        <v>12000</v>
      </c>
      <c r="D13" s="78">
        <f>IFERROR(VLOOKUP(A13,DIN_TAXA!$A$14:$G$121,7,FALSE),0)</f>
        <v>12000</v>
      </c>
      <c r="E13" s="78">
        <f>D13-C13</f>
        <v>0</v>
      </c>
      <c r="F13" s="79" t="str">
        <f>IF(C13=0,IF(D13=0,"0%","N/A"),TEXT((D13-C13)/C13,"0%"))</f>
        <v>0%</v>
      </c>
      <c r="H13" s="91" t="str" cm="1">
        <f t="array" ref="H13">IFERROR(INDEX($A$4:$A$107,MATCH(LARGE(IF($E$4:$E$107&gt;=1000,$E$4:$E$107),3),$E$4:$E$107,0)),"")</f>
        <v>60052-ROYALTIES</v>
      </c>
      <c r="I13" s="97">
        <f>IFERROR(VLOOKUP(H13,$A$4:$C$107,3,FALSE),0)</f>
        <v>22000</v>
      </c>
      <c r="J13" s="97">
        <f>IFERROR(VLOOKUP(H13,$A$4:$D$107,4,FALSE),0)</f>
        <v>24737.21</v>
      </c>
      <c r="K13" s="97">
        <f>IFERROR(VLOOKUP(H13,$A$4:$E$107,5,FALSE),0)</f>
        <v>2737.2099999999991</v>
      </c>
      <c r="L13" s="91" t="str">
        <f>IFERROR(VLOOKUP(H13,$A$4:$F$107,6,FALSE),"-")</f>
        <v>12%</v>
      </c>
    </row>
    <row r="14" spans="1:12" ht="18" customHeight="1">
      <c r="A14" s="67" t="s">
        <v>206</v>
      </c>
      <c r="B14" s="67"/>
      <c r="C14" s="76">
        <f>IFERROR(VLOOKUP(A14,PROJECAO_2026!$A$4:$F$120,6,FALSE),0)</f>
        <v>11984.276666666667</v>
      </c>
      <c r="D14" s="76">
        <f>IFERROR(VLOOKUP(A14,DIN_TAXA!$A$14:$G$121,7,FALSE),0)</f>
        <v>7546.7</v>
      </c>
      <c r="E14" s="76">
        <f>D14-C14</f>
        <v>-4437.5766666666668</v>
      </c>
      <c r="F14" s="77" t="str">
        <f>IF(C14=0,IF(D14=0,"0%","N/A"),TEXT((D14-C14)/C14,"0%"))</f>
        <v>-37%</v>
      </c>
      <c r="H14" s="88" t="str" cm="1">
        <f t="array" ref="H14">IFERROR(INDEX($A$4:$A$107,MATCH(LARGE(IF($E$4:$E$107&gt;=1000,$E$4:$E$107),4),$E$4:$E$107,0)),"")</f>
        <v>60069-JURIDICO</v>
      </c>
      <c r="I14" s="98">
        <f>IFERROR(VLOOKUP(H14,$A$4:$C$107,3,FALSE),0)</f>
        <v>1621</v>
      </c>
      <c r="J14" s="98">
        <f>IFERROR(VLOOKUP(H14,$A$4:$D$107,4,FALSE),0)</f>
        <v>3601.34</v>
      </c>
      <c r="K14" s="98">
        <f>IFERROR(VLOOKUP(H14,$A$4:$E$107,5,FALSE),0)</f>
        <v>1980.3400000000001</v>
      </c>
      <c r="L14" s="88" t="str">
        <f>IFERROR(VLOOKUP(H14,$A$4:$F$107,6,FALSE),"-")</f>
        <v>122%</v>
      </c>
    </row>
    <row r="15" spans="1:12" ht="18" customHeight="1">
      <c r="A15" s="69" t="s">
        <v>719</v>
      </c>
      <c r="B15" s="69"/>
      <c r="C15" s="78">
        <f>IFERROR(VLOOKUP(A15,PROJECAO_2026!$A$4:$F$120,6,FALSE),0)</f>
        <v>11921.15</v>
      </c>
      <c r="D15" s="78">
        <f>IFERROR(VLOOKUP(A15,DIN_TAXA!$A$14:$G$121,7,FALSE),0)</f>
        <v>13742.91</v>
      </c>
      <c r="E15" s="78">
        <f>D15-C15</f>
        <v>1821.7600000000002</v>
      </c>
      <c r="F15" s="79" t="str">
        <f>IF(C15=0,IF(D15=0,"0%","N/A"),TEXT((D15-C15)/C15,"0%"))</f>
        <v>15%</v>
      </c>
      <c r="H15" s="91" t="str" cm="1">
        <f t="array" ref="H15">IFERROR(INDEX($A$4:$A$107,MATCH(LARGE(IF($E$4:$E$107&gt;=1000,$E$4:$E$107),5),$E$4:$E$107,0)),"")</f>
        <v>60053-FUNDO DE PROPAGANDA</v>
      </c>
      <c r="I15" s="97">
        <f>IFERROR(VLOOKUP(H15,$A$4:$C$107,3,FALSE),0)</f>
        <v>11921.15</v>
      </c>
      <c r="J15" s="97">
        <f>IFERROR(VLOOKUP(H15,$A$4:$D$107,4,FALSE),0)</f>
        <v>13742.91</v>
      </c>
      <c r="K15" s="97">
        <f>IFERROR(VLOOKUP(H15,$A$4:$E$107,5,FALSE),0)</f>
        <v>1821.7600000000002</v>
      </c>
      <c r="L15" s="91" t="str">
        <f>IFERROR(VLOOKUP(H15,$A$4:$F$107,6,FALSE),"-")</f>
        <v>15%</v>
      </c>
    </row>
    <row r="16" spans="1:12" ht="18" customHeight="1">
      <c r="A16" s="67" t="s">
        <v>713</v>
      </c>
      <c r="B16" s="67"/>
      <c r="C16" s="76">
        <f>IFERROR(VLOOKUP(A16,PROJECAO_2026!$A$4:$F$120,6,FALSE),0)</f>
        <v>10344.513333333334</v>
      </c>
      <c r="D16" s="76">
        <f>IFERROR(VLOOKUP(A16,DIN_TAXA!$A$14:$G$121,7,FALSE),0)</f>
        <v>9342.7999999999993</v>
      </c>
      <c r="E16" s="76">
        <f>D16-C16</f>
        <v>-1001.713333333335</v>
      </c>
      <c r="F16" s="77" t="str">
        <f>IF(C16=0,IF(D16=0,"0%","N/A"),TEXT((D16-C16)/C16,"0%"))</f>
        <v>-10%</v>
      </c>
      <c r="H16" s="88" t="str" cm="1">
        <f t="array" ref="H16">IFERROR(INDEX($A$4:$A$107,MATCH(LARGE(IF($E$4:$E$107&gt;=1000,$E$4:$E$107),6),$E$4:$E$107,0)),"")</f>
        <v>60013-SALARIOS</v>
      </c>
      <c r="I16" s="98">
        <f>IFERROR(VLOOKUP(H16,$A$4:$C$107,3,FALSE),0)</f>
        <v>33243.065000000002</v>
      </c>
      <c r="J16" s="98">
        <f>IFERROR(VLOOKUP(H16,$A$4:$D$107,4,FALSE),0)</f>
        <v>34895.880000000005</v>
      </c>
      <c r="K16" s="98">
        <f>IFERROR(VLOOKUP(H16,$A$4:$E$107,5,FALSE),0)</f>
        <v>1652.8150000000023</v>
      </c>
      <c r="L16" s="88" t="str">
        <f>IFERROR(VLOOKUP(H16,$A$4:$F$107,6,FALSE),"-")</f>
        <v>5%</v>
      </c>
    </row>
    <row r="17" spans="1:12" ht="18" customHeight="1">
      <c r="A17" s="69" t="s">
        <v>139</v>
      </c>
      <c r="B17" s="69"/>
      <c r="C17" s="78">
        <f>IFERROR(VLOOKUP(A17,PROJECAO_2026!$A$4:$F$120,6,FALSE),0)</f>
        <v>9618.0533333333333</v>
      </c>
      <c r="D17" s="78">
        <f>IFERROR(VLOOKUP(A17,DIN_TAXA!$A$14:$G$121,7,FALSE),0)</f>
        <v>9140.260000000002</v>
      </c>
      <c r="E17" s="78">
        <f>D17-C17</f>
        <v>-477.79333333333125</v>
      </c>
      <c r="F17" s="79" t="str">
        <f>IF(C17=0,IF(D17=0,"0%","N/A"),TEXT((D17-C17)/C17,"0%"))</f>
        <v>-5%</v>
      </c>
      <c r="H17" s="91" t="str" cm="1">
        <f t="array" ref="H17">IFERROR(INDEX($A$4:$A$107,MATCH(LARGE(IF($E$4:$E$107&gt;=1000,$E$4:$E$107),7),$E$4:$E$107,0)),"")</f>
        <v>60005-PRECEPTOR</v>
      </c>
      <c r="I17" s="97">
        <f>IFERROR(VLOOKUP(H17,$A$4:$C$107,3,FALSE),0)</f>
        <v>16000</v>
      </c>
      <c r="J17" s="97">
        <f>IFERROR(VLOOKUP(H17,$A$4:$D$107,4,FALSE),0)</f>
        <v>17580</v>
      </c>
      <c r="K17" s="97">
        <f>IFERROR(VLOOKUP(H17,$A$4:$E$107,5,FALSE),0)</f>
        <v>1580</v>
      </c>
      <c r="L17" s="91" t="str">
        <f>IFERROR(VLOOKUP(H17,$A$4:$F$107,6,FALSE),"-")</f>
        <v>10%</v>
      </c>
    </row>
    <row r="18" spans="1:12" ht="18" customHeight="1">
      <c r="A18" s="67" t="s">
        <v>721</v>
      </c>
      <c r="B18" s="67"/>
      <c r="C18" s="76">
        <f>IFERROR(VLOOKUP(A18,PROJECAO_2026!$A$4:$F$120,6,FALSE),0)</f>
        <v>8076</v>
      </c>
      <c r="D18" s="76">
        <f>IFERROR(VLOOKUP(A18,DIN_TAXA!$A$14:$G$121,7,FALSE),0)</f>
        <v>8798</v>
      </c>
      <c r="E18" s="76">
        <f>D18-C18</f>
        <v>722</v>
      </c>
      <c r="F18" s="77" t="str">
        <f>IF(C18=0,IF(D18=0,"0%","N/A"),TEXT((D18-C18)/C18,"0%"))</f>
        <v>9%</v>
      </c>
      <c r="H18" s="88" t="str" cm="1">
        <f t="array" ref="H18">IFERROR(INDEX($A$4:$A$107,MATCH(LARGE(IF($E$4:$E$107&gt;=1000,$E$4:$E$107),8),$E$4:$E$107,0)),"")</f>
        <v>60082-ASSESSORIA OU CONSULTORIA OPERACIONAL</v>
      </c>
      <c r="I18" s="98">
        <f>IFERROR(VLOOKUP(H18,$A$4:$C$107,3,FALSE),0)</f>
        <v>0</v>
      </c>
      <c r="J18" s="98">
        <f>IFERROR(VLOOKUP(H18,$A$4:$D$107,4,FALSE),0)</f>
        <v>1500</v>
      </c>
      <c r="K18" s="98">
        <f>IFERROR(VLOOKUP(H18,$A$4:$E$107,5,FALSE),0)</f>
        <v>1500</v>
      </c>
      <c r="L18" s="88" t="str">
        <f>IFERROR(VLOOKUP(H18,$A$4:$F$107,6,FALSE),"-")</f>
        <v>N/A</v>
      </c>
    </row>
    <row r="19" spans="1:12" ht="18" customHeight="1">
      <c r="A19" s="69" t="s">
        <v>183</v>
      </c>
      <c r="B19" s="69"/>
      <c r="C19" s="78">
        <f>IFERROR(VLOOKUP(A19,PROJECAO_2026!$A$4:$F$120,6,FALSE),0)</f>
        <v>3500</v>
      </c>
      <c r="D19" s="78">
        <f>IFERROR(VLOOKUP(A19,DIN_TAXA!$A$14:$G$121,7,FALSE),0)</f>
        <v>4055</v>
      </c>
      <c r="E19" s="78">
        <f>D19-C19</f>
        <v>555</v>
      </c>
      <c r="F19" s="79" t="str">
        <f>IF(C19=0,IF(D19=0,"0%","N/A"),TEXT((D19-C19)/C19,"0%"))</f>
        <v>16%</v>
      </c>
      <c r="H19" s="91" t="str" cm="1">
        <f t="array" ref="H19">IFERROR(INDEX($A$4:$A$107,MATCH(LARGE(IF($E$4:$E$107&gt;=1000,$E$4:$E$107),9),$E$4:$E$107,0)),"")</f>
        <v>70017-MATERIAIS AÇÃO DE SAÚDE/EVENTOS</v>
      </c>
      <c r="I19" s="97">
        <f>IFERROR(VLOOKUP(H19,$A$4:$C$107,3,FALSE),0)</f>
        <v>76.056666666666658</v>
      </c>
      <c r="J19" s="97">
        <f>IFERROR(VLOOKUP(H19,$A$4:$D$107,4,FALSE),0)</f>
        <v>1087.9000000000001</v>
      </c>
      <c r="K19" s="97">
        <f>IFERROR(VLOOKUP(H19,$A$4:$E$107,5,FALSE),0)</f>
        <v>1011.8433333333335</v>
      </c>
      <c r="L19" s="91" t="str">
        <f>IFERROR(VLOOKUP(H19,$A$4:$F$107,6,FALSE),"-")</f>
        <v>1330%</v>
      </c>
    </row>
    <row r="20" spans="1:12" ht="18" customHeight="1">
      <c r="A20" s="67" t="s">
        <v>138</v>
      </c>
      <c r="B20" s="67"/>
      <c r="C20" s="76">
        <f>IFERROR(VLOOKUP(A20,PROJECAO_2026!$A$4:$F$120,6,FALSE),0)</f>
        <v>5311.5633333333326</v>
      </c>
      <c r="D20" s="76">
        <f>IFERROR(VLOOKUP(A20,DIN_TAXA!$A$14:$G$121,7,FALSE),0)</f>
        <v>5858.2200000000012</v>
      </c>
      <c r="E20" s="76">
        <f>D20-C20</f>
        <v>546.65666666666857</v>
      </c>
      <c r="F20" s="77" t="str">
        <f>IF(C20=0,IF(D20=0,"0%","N/A"),TEXT((D20-C20)/C20,"0%"))</f>
        <v>10%</v>
      </c>
      <c r="H20" s="95" t="s">
        <v>1529</v>
      </c>
      <c r="I20" s="99">
        <f>SUM(I11:I19)</f>
        <v>87383.79833333334</v>
      </c>
      <c r="J20" s="99">
        <f>SUM(J11:J19)</f>
        <v>106949.59</v>
      </c>
      <c r="K20" s="99">
        <f>SUM(K11:K19)</f>
        <v>19565.791666666668</v>
      </c>
      <c r="L20" s="95" t="s">
        <v>1530</v>
      </c>
    </row>
    <row r="21" spans="1:12" ht="18" customHeight="1">
      <c r="A21" s="69" t="s">
        <v>724</v>
      </c>
      <c r="B21" s="69"/>
      <c r="C21" s="78">
        <f>IFERROR(VLOOKUP(A21,PROJECAO_2026!$A$4:$F$120,6,FALSE),0)</f>
        <v>5026.92</v>
      </c>
      <c r="D21" s="78">
        <f>IFERROR(VLOOKUP(A21,DIN_TAXA!$A$14:$G$121,7,FALSE),0)</f>
        <v>1473.02</v>
      </c>
      <c r="E21" s="78">
        <f>D21-C21</f>
        <v>-3553.9</v>
      </c>
      <c r="F21" s="79" t="str">
        <f>IF(C21=0,IF(D21=0,"0%","N/A"),TEXT((D21-C21)/C21,"0%"))</f>
        <v>-71%</v>
      </c>
      <c r="H21" s="93" t="s">
        <v>1531</v>
      </c>
      <c r="I21" s="93"/>
      <c r="J21" s="93"/>
      <c r="K21" s="93"/>
      <c r="L21" s="93"/>
    </row>
    <row r="22" spans="1:12" ht="18" customHeight="1">
      <c r="A22" s="67" t="s">
        <v>99</v>
      </c>
      <c r="B22" s="67"/>
      <c r="C22" s="76">
        <f>IFERROR(VLOOKUP(A22,PROJECAO_2026!$A$4:$F$120,6,FALSE),0)</f>
        <v>3809.4849999999997</v>
      </c>
      <c r="D22" s="76">
        <f>IFERROR(VLOOKUP(A22,DIN_TAXA!$A$14:$G$121,7,FALSE),0)</f>
        <v>4076.43</v>
      </c>
      <c r="E22" s="76">
        <f>D22-C22</f>
        <v>266.94500000000016</v>
      </c>
      <c r="F22" s="77" t="str">
        <f>IF(C22=0,IF(D22=0,"0%","N/A"),TEXT((D22-C22)/C22,"0%"))</f>
        <v>7%</v>
      </c>
      <c r="H22" s="94" t="s">
        <v>1516</v>
      </c>
      <c r="I22" s="94" t="s">
        <v>1527</v>
      </c>
      <c r="J22" s="94" t="s">
        <v>1528</v>
      </c>
      <c r="K22" s="94" t="s">
        <v>1532</v>
      </c>
      <c r="L22" s="94" t="s">
        <v>1520</v>
      </c>
    </row>
    <row r="23" spans="1:12" ht="18" customHeight="1">
      <c r="A23" s="69" t="s">
        <v>728</v>
      </c>
      <c r="B23" s="69"/>
      <c r="C23" s="78">
        <f>IFERROR(VLOOKUP(A23,PROJECAO_2026!$A$4:$F$120,6,FALSE),0)</f>
        <v>4578.6933333333327</v>
      </c>
      <c r="D23" s="78">
        <f>IFERROR(VLOOKUP(A23,DIN_TAXA!$A$14:$G$121,7,FALSE),0)</f>
        <v>5096.29</v>
      </c>
      <c r="E23" s="78">
        <f>D23-C23</f>
        <v>517.59666666666726</v>
      </c>
      <c r="F23" s="79" t="str">
        <f>IF(C23=0,IF(D23=0,"0%","N/A"),TEXT((D23-C23)/C23,"0%"))</f>
        <v>11%</v>
      </c>
      <c r="H23" s="91" t="str" cm="1">
        <f t="array" ref="H23">IFERROR(INDEX($A$4:$A$107,MATCH(SMALL(IF($E$4:$E$107&lt;=-1000,$E$4:$E$107),1),$E$4:$E$107,0)),"")</f>
        <v>60109-MIDIA DE INTERNET</v>
      </c>
      <c r="I23" s="97">
        <f>IFERROR(VLOOKUP(H23,$A$4:$C$107,3,FALSE),0)</f>
        <v>11984.276666666667</v>
      </c>
      <c r="J23" s="97">
        <f>IFERROR(VLOOKUP(H23,$A$4:$D$107,4,FALSE),0)</f>
        <v>7546.7</v>
      </c>
      <c r="K23" s="97">
        <f>IFERROR(VLOOKUP(H23,$A$4:$E$107,5,FALSE),0)</f>
        <v>-4437.5766666666668</v>
      </c>
      <c r="L23" s="91" t="str">
        <f>IFERROR(VLOOKUP(H23,$A$4:$F$107,6,FALSE),"-")</f>
        <v>-37%</v>
      </c>
    </row>
    <row r="24" spans="1:12" ht="18" customHeight="1">
      <c r="A24" s="67" t="s">
        <v>726</v>
      </c>
      <c r="B24" s="67"/>
      <c r="C24" s="76">
        <f>IFERROR(VLOOKUP(A24,PROJECAO_2026!$A$4:$F$120,6,FALSE),0)</f>
        <v>4439.0966666666673</v>
      </c>
      <c r="D24" s="76">
        <f>IFERROR(VLOOKUP(A24,DIN_TAXA!$A$14:$G$121,7,FALSE),0)</f>
        <v>4691.7599999999984</v>
      </c>
      <c r="E24" s="76">
        <f>D24-C24</f>
        <v>252.66333333333114</v>
      </c>
      <c r="F24" s="77" t="str">
        <f>IF(C24=0,IF(D24=0,"0%","N/A"),TEXT((D24-C24)/C24,"0%"))</f>
        <v>6%</v>
      </c>
      <c r="H24" s="89" t="str" cm="1">
        <f t="array" ref="H24">IFERROR(INDEX($A$4:$A$107,MATCH(SMALL(IF($E$4:$E$107&lt;=-1000,$E$4:$E$107),2),$E$4:$E$107,0)),"")</f>
        <v>60018-FGTS SALARIO</v>
      </c>
      <c r="I24" s="100">
        <f>IFERROR(VLOOKUP(H24,$A$4:$C$107,3,FALSE),0)</f>
        <v>5026.92</v>
      </c>
      <c r="J24" s="100">
        <f>IFERROR(VLOOKUP(H24,$A$4:$D$107,4,FALSE),0)</f>
        <v>1473.02</v>
      </c>
      <c r="K24" s="100">
        <f>IFERROR(VLOOKUP(H24,$A$4:$E$107,5,FALSE),0)</f>
        <v>-3553.9</v>
      </c>
      <c r="L24" s="89" t="str">
        <f>IFERROR(VLOOKUP(H24,$A$4:$F$107,6,FALSE),"-")</f>
        <v>-71%</v>
      </c>
    </row>
    <row r="25" spans="1:12" ht="18" customHeight="1">
      <c r="A25" s="69" t="s">
        <v>722</v>
      </c>
      <c r="B25" s="69"/>
      <c r="C25" s="78">
        <f>IFERROR(VLOOKUP(A25,PROJECAO_2026!$A$4:$F$120,6,FALSE),0)</f>
        <v>4058.85</v>
      </c>
      <c r="D25" s="78">
        <f>IFERROR(VLOOKUP(A25,DIN_TAXA!$A$14:$G$121,7,FALSE),0)</f>
        <v>4014.36</v>
      </c>
      <c r="E25" s="78">
        <f>D25-C25</f>
        <v>-44.489999999999782</v>
      </c>
      <c r="F25" s="79" t="str">
        <f>IF(C25=0,IF(D25=0,"0%","N/A"),TEXT((D25-C25)/C25,"0%"))</f>
        <v>-1%</v>
      </c>
      <c r="H25" s="91" t="str" cm="1">
        <f t="array" ref="H25">IFERROR(INDEX($A$4:$A$107,MATCH(SMALL(IF($E$4:$E$107&lt;=-1000,$E$4:$E$107),3),$E$4:$E$107,0)),"")</f>
        <v>60158-CARTAO DE CREDITO</v>
      </c>
      <c r="I25" s="97">
        <f>IFERROR(VLOOKUP(H25,$A$4:$C$107,3,FALSE),0)</f>
        <v>10500</v>
      </c>
      <c r="J25" s="97">
        <f>IFERROR(VLOOKUP(H25,$A$4:$D$107,4,FALSE),0)</f>
        <v>8683.25</v>
      </c>
      <c r="K25" s="97">
        <f>IFERROR(VLOOKUP(H25,$A$4:$E$107,5,FALSE),0)</f>
        <v>-1816.75</v>
      </c>
      <c r="L25" s="91" t="str">
        <f>IFERROR(VLOOKUP(H25,$A$4:$F$107,6,FALSE),"-")</f>
        <v>-17%</v>
      </c>
    </row>
    <row r="26" spans="1:12" ht="18" customHeight="1">
      <c r="A26" s="67" t="s">
        <v>270</v>
      </c>
      <c r="B26" s="67"/>
      <c r="C26" s="76">
        <f>IFERROR(VLOOKUP(A26,PROJECAO_2026!$A$4:$F$120,6,FALSE),0)</f>
        <v>3168.4066666666663</v>
      </c>
      <c r="D26" s="76">
        <f>IFERROR(VLOOKUP(A26,DIN_TAXA!$A$14:$G$121,7,FALSE),0)</f>
        <v>3770</v>
      </c>
      <c r="E26" s="76">
        <f>D26-C26</f>
        <v>601.5933333333337</v>
      </c>
      <c r="F26" s="77" t="str">
        <f>IF(C26=0,IF(D26=0,"0%","N/A"),TEXT((D26-C26)/C26,"0%"))</f>
        <v>19%</v>
      </c>
      <c r="H26" s="89" t="str" cm="1">
        <f t="array" ref="H26">IFERROR(INDEX($A$4:$A$107,MATCH(SMALL(IF($E$4:$E$107&lt;=-1000,$E$4:$E$107),4),$E$4:$E$107,0)),"")</f>
        <v>60004-INSTRUTOR</v>
      </c>
      <c r="I26" s="100">
        <f>IFERROR(VLOOKUP(H26,$A$4:$C$107,3,FALSE),0)</f>
        <v>35000</v>
      </c>
      <c r="J26" s="100">
        <f>IFERROR(VLOOKUP(H26,$A$4:$D$107,4,FALSE),0)</f>
        <v>33515</v>
      </c>
      <c r="K26" s="100">
        <f>IFERROR(VLOOKUP(H26,$A$4:$E$107,5,FALSE),0)</f>
        <v>-1485</v>
      </c>
      <c r="L26" s="89" t="str">
        <f>IFERROR(VLOOKUP(H26,$A$4:$F$107,6,FALSE),"-")</f>
        <v>-4%</v>
      </c>
    </row>
    <row r="27" spans="1:12" ht="18" customHeight="1">
      <c r="A27" s="69" t="s">
        <v>727</v>
      </c>
      <c r="B27" s="69"/>
      <c r="C27" s="78">
        <f>IFERROR(VLOOKUP(A27,PROJECAO_2026!$A$4:$F$120,6,FALSE),0)</f>
        <v>2577.7100000000005</v>
      </c>
      <c r="D27" s="78">
        <f>IFERROR(VLOOKUP(A27,DIN_TAXA!$A$14:$G$121,7,FALSE),0)</f>
        <v>3101.82</v>
      </c>
      <c r="E27" s="78">
        <f>D27-C27</f>
        <v>524.10999999999967</v>
      </c>
      <c r="F27" s="79" t="str">
        <f>IF(C27=0,IF(D27=0,"0%","N/A"),TEXT((D27-C27)/C27,"0%"))</f>
        <v>20%</v>
      </c>
      <c r="H27" s="91" t="str" cm="1">
        <f t="array" ref="H27">IFERROR(INDEX($A$4:$A$107,MATCH(SMALL(IF($E$4:$E$107&lt;=-1000,$E$4:$E$107),5),$E$4:$E$107,0)),"")</f>
        <v>60001-APOSTILA</v>
      </c>
      <c r="I27" s="97">
        <f>IFERROR(VLOOKUP(H27,$A$4:$C$107,3,FALSE),0)</f>
        <v>10344.513333333334</v>
      </c>
      <c r="J27" s="97">
        <f>IFERROR(VLOOKUP(H27,$A$4:$D$107,4,FALSE),0)</f>
        <v>9342.7999999999993</v>
      </c>
      <c r="K27" s="97">
        <f>IFERROR(VLOOKUP(H27,$A$4:$E$107,5,FALSE),0)</f>
        <v>-1001.713333333335</v>
      </c>
      <c r="L27" s="91" t="str">
        <f>IFERROR(VLOOKUP(H27,$A$4:$F$107,6,FALSE),"-")</f>
        <v>-10%</v>
      </c>
    </row>
    <row r="28" spans="1:12" ht="18" customHeight="1">
      <c r="A28" s="67" t="s">
        <v>725</v>
      </c>
      <c r="B28" s="67"/>
      <c r="C28" s="76">
        <f>IFERROR(VLOOKUP(A28,PROJECAO_2026!$A$4:$F$120,6,FALSE),0)</f>
        <v>2522.5266666666666</v>
      </c>
      <c r="D28" s="76">
        <f>IFERROR(VLOOKUP(A28,DIN_TAXA!$A$14:$G$121,7,FALSE),0)</f>
        <v>5808.67</v>
      </c>
      <c r="E28" s="76">
        <f>D28-C28</f>
        <v>3286.1433333333334</v>
      </c>
      <c r="F28" s="77" t="str">
        <f>IF(C28=0,IF(D28=0,"0%","N/A"),TEXT((D28-C28)/C28,"0%"))</f>
        <v>130%</v>
      </c>
      <c r="H28" s="96" t="s">
        <v>1533</v>
      </c>
      <c r="I28" s="101">
        <f>SUM(I23:I27)</f>
        <v>72855.710000000006</v>
      </c>
      <c r="J28" s="101">
        <f>SUM(J23:J27)</f>
        <v>60560.770000000004</v>
      </c>
      <c r="K28" s="101">
        <f>SUM(K23:K27)</f>
        <v>-12294.940000000002</v>
      </c>
      <c r="L28" s="96" t="s">
        <v>1530</v>
      </c>
    </row>
    <row r="29" spans="1:12" ht="18" customHeight="1">
      <c r="A29" s="69" t="s">
        <v>204</v>
      </c>
      <c r="B29" s="69"/>
      <c r="C29" s="78">
        <f>IFERROR(VLOOKUP(A29,PROJECAO_2026!$A$4:$F$120,6,FALSE),0)</f>
        <v>1600</v>
      </c>
      <c r="D29" s="78">
        <f>IFERROR(VLOOKUP(A29,DIN_TAXA!$A$14:$G$121,7,FALSE),0)</f>
        <v>2002.16</v>
      </c>
      <c r="E29" s="78">
        <f>D29-C29</f>
        <v>402.16000000000008</v>
      </c>
      <c r="F29" s="79" t="str">
        <f>IF(C29=0,IF(D29=0,"0%","N/A"),TEXT((D29-C29)/C29,"0%"))</f>
        <v>25%</v>
      </c>
    </row>
    <row r="30" spans="1:12" ht="18" customHeight="1">
      <c r="A30" s="67" t="s">
        <v>730</v>
      </c>
      <c r="B30" s="67"/>
      <c r="C30" s="76">
        <f>IFERROR(VLOOKUP(A30,PROJECAO_2026!$A$4:$F$120,6,FALSE),0)</f>
        <v>2000</v>
      </c>
      <c r="D30" s="76">
        <f>IFERROR(VLOOKUP(A30,DIN_TAXA!$A$14:$G$121,7,FALSE),0)</f>
        <v>2245.5</v>
      </c>
      <c r="E30" s="76">
        <f>D30-C30</f>
        <v>245.5</v>
      </c>
      <c r="F30" s="77" t="str">
        <f>IF(C30=0,IF(D30=0,"0%","N/A"),TEXT((D30-C30)/C30,"0%"))</f>
        <v>12%</v>
      </c>
      <c r="H30" s="126" t="s">
        <v>1534</v>
      </c>
      <c r="I30" s="126"/>
      <c r="J30" s="126"/>
      <c r="K30" s="126"/>
      <c r="L30" s="126"/>
    </row>
    <row r="31" spans="1:12">
      <c r="A31" s="69" t="s">
        <v>672</v>
      </c>
      <c r="B31" s="69"/>
      <c r="C31" s="78">
        <f>IFERROR(VLOOKUP(A31,PROJECAO_2026!$A$4:$F$120,6,FALSE),0)</f>
        <v>1646</v>
      </c>
      <c r="D31" s="78">
        <f>IFERROR(VLOOKUP(A31,DIN_TAXA!$A$14:$G$121,7,FALSE),0)</f>
        <v>1621</v>
      </c>
      <c r="E31" s="78">
        <f>D31-C31</f>
        <v>-25</v>
      </c>
      <c r="F31" s="79" t="str">
        <f>IF(C31=0,IF(D31=0,"0%","N/A"),TEXT((D31-C31)/C31,"0%"))</f>
        <v>-2%</v>
      </c>
    </row>
    <row r="32" spans="1:12">
      <c r="A32" s="67" t="s">
        <v>140</v>
      </c>
      <c r="B32" s="67"/>
      <c r="C32" s="76">
        <f>IFERROR(VLOOKUP(A32,PROJECAO_2026!$A$4:$F$120,6,FALSE),0)</f>
        <v>1942.4733333333334</v>
      </c>
      <c r="D32" s="76">
        <f>IFERROR(VLOOKUP(A32,DIN_TAXA!$A$14:$G$121,7,FALSE),0)</f>
        <v>1980</v>
      </c>
      <c r="E32" s="76">
        <f>D32-C32</f>
        <v>37.526666666666642</v>
      </c>
      <c r="F32" s="77" t="str">
        <f>IF(C32=0,IF(D32=0,"0%","N/A"),TEXT((D32-C32)/C32,"0%"))</f>
        <v>2%</v>
      </c>
    </row>
    <row r="33" spans="1:6">
      <c r="A33" s="69" t="s">
        <v>729</v>
      </c>
      <c r="B33" s="69"/>
      <c r="C33" s="78">
        <f>IFERROR(VLOOKUP(A33,PROJECAO_2026!$A$4:$F$120,6,FALSE),0)</f>
        <v>1911.2533333333333</v>
      </c>
      <c r="D33" s="78">
        <f>IFERROR(VLOOKUP(A33,DIN_TAXA!$A$14:$G$121,7,FALSE),0)</f>
        <v>2516.2200000000003</v>
      </c>
      <c r="E33" s="78">
        <f>D33-C33</f>
        <v>604.96666666666692</v>
      </c>
      <c r="F33" s="79" t="str">
        <f>IF(C33=0,IF(D33=0,"0%","N/A"),TEXT((D33-C33)/C33,"0%"))</f>
        <v>32%</v>
      </c>
    </row>
    <row r="34" spans="1:6">
      <c r="A34" s="67" t="s">
        <v>737</v>
      </c>
      <c r="B34" s="67"/>
      <c r="C34" s="76">
        <f>IFERROR(VLOOKUP(A34,PROJECAO_2026!$A$4:$F$120,6,FALSE),0)</f>
        <v>1861.3666666666668</v>
      </c>
      <c r="D34" s="76">
        <f>IFERROR(VLOOKUP(A34,DIN_TAXA!$A$14:$G$121,7,FALSE),0)</f>
        <v>1439.58</v>
      </c>
      <c r="E34" s="76">
        <f>D34-C34</f>
        <v>-421.78666666666686</v>
      </c>
      <c r="F34" s="77" t="str">
        <f>IF(C34=0,IF(D34=0,"0%","N/A"),TEXT((D34-C34)/C34,"0%"))</f>
        <v>-23%</v>
      </c>
    </row>
    <row r="35" spans="1:6">
      <c r="A35" s="69" t="s">
        <v>152</v>
      </c>
      <c r="B35" s="69"/>
      <c r="C35" s="78">
        <f>IFERROR(VLOOKUP(A35,PROJECAO_2026!$A$4:$F$120,6,FALSE),0)</f>
        <v>1621</v>
      </c>
      <c r="D35" s="78">
        <f>IFERROR(VLOOKUP(A35,DIN_TAXA!$A$14:$G$121,7,FALSE),0)</f>
        <v>3601.34</v>
      </c>
      <c r="E35" s="78">
        <f>D35-C35</f>
        <v>1980.3400000000001</v>
      </c>
      <c r="F35" s="79" t="str">
        <f>IF(C35=0,IF(D35=0,"0%","N/A"),TEXT((D35-C35)/C35,"0%"))</f>
        <v>122%</v>
      </c>
    </row>
    <row r="36" spans="1:6">
      <c r="A36" s="67" t="s">
        <v>732</v>
      </c>
      <c r="B36" s="67"/>
      <c r="C36" s="76">
        <f>IFERROR(VLOOKUP(A36,PROJECAO_2026!$A$4:$F$120,6,FALSE),0)</f>
        <v>1100</v>
      </c>
      <c r="D36" s="76">
        <f>IFERROR(VLOOKUP(A36,DIN_TAXA!$A$14:$G$121,7,FALSE),0)</f>
        <v>165.15</v>
      </c>
      <c r="E36" s="76">
        <f>D36-C36</f>
        <v>-934.85</v>
      </c>
      <c r="F36" s="77" t="str">
        <f>IF(C36=0,IF(D36=0,"0%","N/A"),TEXT((D36-C36)/C36,"0%"))</f>
        <v>-85%</v>
      </c>
    </row>
    <row r="37" spans="1:6">
      <c r="A37" s="69" t="s">
        <v>733</v>
      </c>
      <c r="B37" s="69"/>
      <c r="C37" s="78">
        <f>IFERROR(VLOOKUP(A37,PROJECAO_2026!$A$4:$F$120,6,FALSE),0)</f>
        <v>1212.6133333333335</v>
      </c>
      <c r="D37" s="78">
        <f>IFERROR(VLOOKUP(A37,DIN_TAXA!$A$14:$G$121,7,FALSE),0)</f>
        <v>1338.72</v>
      </c>
      <c r="E37" s="78">
        <f>D37-C37</f>
        <v>126.10666666666657</v>
      </c>
      <c r="F37" s="79" t="str">
        <f>IF(C37=0,IF(D37=0,"0%","N/A"),TEXT((D37-C37)/C37,"0%"))</f>
        <v>10%</v>
      </c>
    </row>
    <row r="38" spans="1:6">
      <c r="A38" s="67" t="s">
        <v>558</v>
      </c>
      <c r="B38" s="67"/>
      <c r="C38" s="76">
        <f>IFERROR(VLOOKUP(A38,PROJECAO_2026!$A$4:$F$120,6,FALSE),0)</f>
        <v>1206.0333333333333</v>
      </c>
      <c r="D38" s="76">
        <f>IFERROR(VLOOKUP(A38,DIN_TAXA!$A$14:$G$121,7,FALSE),0)</f>
        <v>2094.25</v>
      </c>
      <c r="E38" s="76">
        <f>D38-C38</f>
        <v>888.2166666666667</v>
      </c>
      <c r="F38" s="77" t="str">
        <f>IF(C38=0,IF(D38=0,"0%","N/A"),TEXT((D38-C38)/C38,"0%"))</f>
        <v>74%</v>
      </c>
    </row>
    <row r="39" spans="1:6">
      <c r="A39" s="69" t="s">
        <v>736</v>
      </c>
      <c r="B39" s="69"/>
      <c r="C39" s="78">
        <f>IFERROR(VLOOKUP(A39,PROJECAO_2026!$A$4:$F$120,6,FALSE),0)</f>
        <v>974.28666666666675</v>
      </c>
      <c r="D39" s="78">
        <f>IFERROR(VLOOKUP(A39,DIN_TAXA!$A$14:$G$121,7,FALSE),0)</f>
        <v>129.97</v>
      </c>
      <c r="E39" s="78">
        <f>D39-C39</f>
        <v>-844.31666666666672</v>
      </c>
      <c r="F39" s="79" t="str">
        <f>IF(C39=0,IF(D39=0,"0%","N/A"),TEXT((D39-C39)/C39,"0%"))</f>
        <v>-87%</v>
      </c>
    </row>
    <row r="40" spans="1:6">
      <c r="A40" s="67" t="s">
        <v>734</v>
      </c>
      <c r="B40" s="67"/>
      <c r="C40" s="76">
        <f>IFERROR(VLOOKUP(A40,PROJECAO_2026!$A$4:$F$120,6,FALSE),0)</f>
        <v>900</v>
      </c>
      <c r="D40" s="76">
        <f>IFERROR(VLOOKUP(A40,DIN_TAXA!$A$14:$G$121,7,FALSE),0)</f>
        <v>900</v>
      </c>
      <c r="E40" s="76">
        <f>D40-C40</f>
        <v>0</v>
      </c>
      <c r="F40" s="77" t="str">
        <f>IF(C40=0,IF(D40=0,"0%","N/A"),TEXT((D40-C40)/C40,"0%"))</f>
        <v>0%</v>
      </c>
    </row>
    <row r="41" spans="1:6">
      <c r="A41" s="69" t="s">
        <v>387</v>
      </c>
      <c r="B41" s="69"/>
      <c r="C41" s="78">
        <f>IFERROR(VLOOKUP(A41,PROJECAO_2026!$A$4:$F$120,6,FALSE),0)</f>
        <v>807.12</v>
      </c>
      <c r="D41" s="78">
        <f>IFERROR(VLOOKUP(A41,DIN_TAXA!$A$14:$G$121,7,FALSE),0)</f>
        <v>0</v>
      </c>
      <c r="E41" s="78">
        <f>D41-C41</f>
        <v>-807.12</v>
      </c>
      <c r="F41" s="79" t="str">
        <f>IF(C41=0,IF(D41=0,"0%","N/A"),TEXT((D41-C41)/C41,"0%"))</f>
        <v>-100%</v>
      </c>
    </row>
    <row r="42" spans="1:6">
      <c r="A42" s="67" t="s">
        <v>738</v>
      </c>
      <c r="B42" s="67"/>
      <c r="C42" s="76">
        <f>IFERROR(VLOOKUP(A42,PROJECAO_2026!$A$4:$F$120,6,FALSE),0)</f>
        <v>702.7166666666667</v>
      </c>
      <c r="D42" s="76">
        <f>IFERROR(VLOOKUP(A42,DIN_TAXA!$A$14:$G$121,7,FALSE),0)</f>
        <v>0</v>
      </c>
      <c r="E42" s="76">
        <f>D42-C42</f>
        <v>-702.7166666666667</v>
      </c>
      <c r="F42" s="77" t="str">
        <f>IF(C42=0,IF(D42=0,"0%","N/A"),TEXT((D42-C42)/C42,"0%"))</f>
        <v>-100%</v>
      </c>
    </row>
    <row r="43" spans="1:6">
      <c r="A43" s="69" t="s">
        <v>483</v>
      </c>
      <c r="B43" s="69"/>
      <c r="C43" s="78">
        <f>IFERROR(VLOOKUP(A43,PROJECAO_2026!$A$4:$F$120,6,FALSE),0)</f>
        <v>638.62</v>
      </c>
      <c r="D43" s="78">
        <f>IFERROR(VLOOKUP(A43,DIN_TAXA!$A$14:$G$121,7,FALSE),0)</f>
        <v>668.27</v>
      </c>
      <c r="E43" s="78">
        <f>D43-C43</f>
        <v>29.649999999999977</v>
      </c>
      <c r="F43" s="79" t="str">
        <f>IF(C43=0,IF(D43=0,"0%","N/A"),TEXT((D43-C43)/C43,"0%"))</f>
        <v>5%</v>
      </c>
    </row>
    <row r="44" spans="1:6">
      <c r="A44" s="67" t="s">
        <v>723</v>
      </c>
      <c r="B44" s="67"/>
      <c r="C44" s="76">
        <f>IFERROR(VLOOKUP(A44,PROJECAO_2026!$A$4:$F$120,6,FALSE),0)</f>
        <v>606.41</v>
      </c>
      <c r="D44" s="76">
        <f>IFERROR(VLOOKUP(A44,DIN_TAXA!$A$14:$G$121,7,FALSE),0)</f>
        <v>0</v>
      </c>
      <c r="E44" s="76">
        <f>D44-C44</f>
        <v>-606.41</v>
      </c>
      <c r="F44" s="77" t="str">
        <f>IF(C44=0,IF(D44=0,"0%","N/A"),TEXT((D44-C44)/C44,"0%"))</f>
        <v>-100%</v>
      </c>
    </row>
    <row r="45" spans="1:6">
      <c r="A45" s="69" t="s">
        <v>735</v>
      </c>
      <c r="B45" s="69"/>
      <c r="C45" s="78">
        <f>IFERROR(VLOOKUP(A45,PROJECAO_2026!$A$4:$F$120,6,FALSE),0)</f>
        <v>605</v>
      </c>
      <c r="D45" s="78">
        <f>IFERROR(VLOOKUP(A45,DIN_TAXA!$A$14:$G$121,7,FALSE),0)</f>
        <v>605</v>
      </c>
      <c r="E45" s="78">
        <f>D45-C45</f>
        <v>0</v>
      </c>
      <c r="F45" s="79" t="str">
        <f>IF(C45=0,IF(D45=0,"0%","N/A"),TEXT((D45-C45)/C45,"0%"))</f>
        <v>0%</v>
      </c>
    </row>
    <row r="46" spans="1:6">
      <c r="A46" s="67" t="s">
        <v>693</v>
      </c>
      <c r="B46" s="67"/>
      <c r="C46" s="76">
        <f>IFERROR(VLOOKUP(A46,PROJECAO_2026!$A$4:$F$120,6,FALSE),0)</f>
        <v>550</v>
      </c>
      <c r="D46" s="76">
        <f>IFERROR(VLOOKUP(A46,DIN_TAXA!$A$14:$G$121,7,FALSE),0)</f>
        <v>625</v>
      </c>
      <c r="E46" s="76">
        <f>D46-C46</f>
        <v>75</v>
      </c>
      <c r="F46" s="77" t="str">
        <f>IF(C46=0,IF(D46=0,"0%","N/A"),TEXT((D46-C46)/C46,"0%"))</f>
        <v>14%</v>
      </c>
    </row>
    <row r="47" spans="1:6">
      <c r="A47" s="69" t="s">
        <v>384</v>
      </c>
      <c r="B47" s="69"/>
      <c r="C47" s="78">
        <f>IFERROR(VLOOKUP(A47,PROJECAO_2026!$A$4:$F$120,6,FALSE),0)</f>
        <v>403.86333333333329</v>
      </c>
      <c r="D47" s="78">
        <f>IFERROR(VLOOKUP(A47,DIN_TAXA!$A$14:$G$121,7,FALSE),0)</f>
        <v>1174.19</v>
      </c>
      <c r="E47" s="78">
        <f>D47-C47</f>
        <v>770.32666666666682</v>
      </c>
      <c r="F47" s="79" t="str">
        <f>IF(C47=0,IF(D47=0,"0%","N/A"),TEXT((D47-C47)/C47,"0%"))</f>
        <v>191%</v>
      </c>
    </row>
    <row r="48" spans="1:6">
      <c r="A48" s="67" t="s">
        <v>452</v>
      </c>
      <c r="B48" s="67"/>
      <c r="C48" s="76">
        <f>IFERROR(VLOOKUP(A48,PROJECAO_2026!$A$4:$F$120,6,FALSE),0)</f>
        <v>377.49333333333334</v>
      </c>
      <c r="D48" s="76">
        <f>IFERROR(VLOOKUP(A48,DIN_TAXA!$A$14:$G$121,7,FALSE),0)</f>
        <v>69</v>
      </c>
      <c r="E48" s="76">
        <f>D48-C48</f>
        <v>-308.49333333333334</v>
      </c>
      <c r="F48" s="77" t="str">
        <f>IF(C48=0,IF(D48=0,"0%","N/A"),TEXT((D48-C48)/C48,"0%"))</f>
        <v>-82%</v>
      </c>
    </row>
    <row r="49" spans="1:6">
      <c r="A49" s="69" t="s">
        <v>749</v>
      </c>
      <c r="B49" s="69"/>
      <c r="C49" s="78">
        <f>IFERROR(VLOOKUP(A49,PROJECAO_2026!$A$4:$F$120,6,FALSE),0)</f>
        <v>259.99666666666667</v>
      </c>
      <c r="D49" s="78">
        <f>IFERROR(VLOOKUP(A49,DIN_TAXA!$A$14:$G$121,7,FALSE),0)</f>
        <v>0</v>
      </c>
      <c r="E49" s="78">
        <f>D49-C49</f>
        <v>-259.99666666666667</v>
      </c>
      <c r="F49" s="79" t="str">
        <f>IF(C49=0,IF(D49=0,"0%","N/A"),TEXT((D49-C49)/C49,"0%"))</f>
        <v>-100%</v>
      </c>
    </row>
    <row r="50" spans="1:6">
      <c r="A50" s="67" t="s">
        <v>741</v>
      </c>
      <c r="B50" s="67"/>
      <c r="C50" s="76">
        <f>IFERROR(VLOOKUP(A50,PROJECAO_2026!$A$4:$F$120,6,FALSE),0)</f>
        <v>246.66666666666666</v>
      </c>
      <c r="D50" s="76">
        <f>IFERROR(VLOOKUP(A50,DIN_TAXA!$A$14:$G$121,7,FALSE),0)</f>
        <v>370</v>
      </c>
      <c r="E50" s="76">
        <f>D50-C50</f>
        <v>123.33333333333334</v>
      </c>
      <c r="F50" s="77" t="str">
        <f>IF(C50=0,IF(D50=0,"0%","N/A"),TEXT((D50-C50)/C50,"0%"))</f>
        <v>50%</v>
      </c>
    </row>
    <row r="51" spans="1:6">
      <c r="A51" s="69" t="s">
        <v>743</v>
      </c>
      <c r="B51" s="69"/>
      <c r="C51" s="78">
        <f>IFERROR(VLOOKUP(A51,PROJECAO_2026!$A$4:$F$120,6,FALSE),0)</f>
        <v>217.76</v>
      </c>
      <c r="D51" s="78">
        <f>IFERROR(VLOOKUP(A51,DIN_TAXA!$A$14:$G$121,7,FALSE),0)</f>
        <v>222.38</v>
      </c>
      <c r="E51" s="78">
        <f>D51-C51</f>
        <v>4.6200000000000045</v>
      </c>
      <c r="F51" s="79" t="str">
        <f>IF(C51=0,IF(D51=0,"0%","N/A"),TEXT((D51-C51)/C51,"0%"))</f>
        <v>2%</v>
      </c>
    </row>
    <row r="52" spans="1:6">
      <c r="A52" s="67" t="s">
        <v>740</v>
      </c>
      <c r="B52" s="67"/>
      <c r="C52" s="76">
        <f>IFERROR(VLOOKUP(A52,PROJECAO_2026!$A$4:$F$120,6,FALSE),0)</f>
        <v>184.61666666666667</v>
      </c>
      <c r="D52" s="76">
        <f>IFERROR(VLOOKUP(A52,DIN_TAXA!$A$14:$G$121,7,FALSE),0)</f>
        <v>0</v>
      </c>
      <c r="E52" s="76">
        <f>D52-C52</f>
        <v>-184.61666666666667</v>
      </c>
      <c r="F52" s="77" t="str">
        <f>IF(C52=0,IF(D52=0,"0%","N/A"),TEXT((D52-C52)/C52,"0%"))</f>
        <v>-100%</v>
      </c>
    </row>
    <row r="53" spans="1:6">
      <c r="A53" s="69" t="s">
        <v>142</v>
      </c>
      <c r="B53" s="69"/>
      <c r="C53" s="78">
        <f>IFERROR(VLOOKUP(A53,PROJECAO_2026!$A$4:$F$120,6,FALSE),0)</f>
        <v>166.66666666666666</v>
      </c>
      <c r="D53" s="78">
        <f>IFERROR(VLOOKUP(A53,DIN_TAXA!$A$14:$G$121,7,FALSE),0)</f>
        <v>0</v>
      </c>
      <c r="E53" s="78">
        <f>D53-C53</f>
        <v>-166.66666666666666</v>
      </c>
      <c r="F53" s="79" t="str">
        <f>IF(C53=0,IF(D53=0,"0%","N/A"),TEXT((D53-C53)/C53,"0%"))</f>
        <v>-100%</v>
      </c>
    </row>
    <row r="54" spans="1:6">
      <c r="A54" s="67" t="s">
        <v>491</v>
      </c>
      <c r="B54" s="67"/>
      <c r="C54" s="76">
        <f>IFERROR(VLOOKUP(A54,PROJECAO_2026!$A$4:$F$120,6,FALSE),0)</f>
        <v>165</v>
      </c>
      <c r="D54" s="76">
        <f>IFERROR(VLOOKUP(A54,DIN_TAXA!$A$14:$G$121,7,FALSE),0)</f>
        <v>79.25</v>
      </c>
      <c r="E54" s="76">
        <f>D54-C54</f>
        <v>-85.75</v>
      </c>
      <c r="F54" s="77" t="str">
        <f>IF(C54=0,IF(D54=0,"0%","N/A"),TEXT((D54-C54)/C54,"0%"))</f>
        <v>-52%</v>
      </c>
    </row>
    <row r="55" spans="1:6">
      <c r="A55" s="69" t="s">
        <v>404</v>
      </c>
      <c r="B55" s="69"/>
      <c r="C55" s="78">
        <f>IFERROR(VLOOKUP(A55,PROJECAO_2026!$A$4:$F$120,6,FALSE),0)</f>
        <v>155.42666666666665</v>
      </c>
      <c r="D55" s="78">
        <f>IFERROR(VLOOKUP(A55,DIN_TAXA!$A$14:$G$121,7,FALSE),0)</f>
        <v>0</v>
      </c>
      <c r="E55" s="78">
        <f>D55-C55</f>
        <v>-155.42666666666665</v>
      </c>
      <c r="F55" s="79" t="str">
        <f>IF(C55=0,IF(D55=0,"0%","N/A"),TEXT((D55-C55)/C55,"0%"))</f>
        <v>-100%</v>
      </c>
    </row>
    <row r="56" spans="1:6">
      <c r="A56" s="67" t="s">
        <v>646</v>
      </c>
      <c r="B56" s="67"/>
      <c r="C56" s="76">
        <f>IFERROR(VLOOKUP(A56,PROJECAO_2026!$A$4:$F$120,6,FALSE),0)</f>
        <v>146.78</v>
      </c>
      <c r="D56" s="76">
        <f>IFERROR(VLOOKUP(A56,DIN_TAXA!$A$14:$G$121,7,FALSE),0)</f>
        <v>973.79</v>
      </c>
      <c r="E56" s="76">
        <f>D56-C56</f>
        <v>827.01</v>
      </c>
      <c r="F56" s="77" t="str">
        <f>IF(C56=0,IF(D56=0,"0%","N/A"),TEXT((D56-C56)/C56,"0%"))</f>
        <v>563%</v>
      </c>
    </row>
    <row r="57" spans="1:6">
      <c r="A57" s="69" t="s">
        <v>746</v>
      </c>
      <c r="B57" s="69"/>
      <c r="C57" s="78">
        <f>IFERROR(VLOOKUP(A57,PROJECAO_2026!$A$4:$F$120,6,FALSE),0)</f>
        <v>137.89333333333335</v>
      </c>
      <c r="D57" s="78">
        <f>IFERROR(VLOOKUP(A57,DIN_TAXA!$A$14:$G$121,7,FALSE),0)</f>
        <v>139</v>
      </c>
      <c r="E57" s="78">
        <f>D57-C57</f>
        <v>1.1066666666666549</v>
      </c>
      <c r="F57" s="79" t="str">
        <f>IF(C57=0,IF(D57=0,"0%","N/A"),TEXT((D57-C57)/C57,"0%"))</f>
        <v>1%</v>
      </c>
    </row>
    <row r="58" spans="1:6">
      <c r="A58" s="67" t="s">
        <v>763</v>
      </c>
      <c r="B58" s="67"/>
      <c r="C58" s="76">
        <f>IFERROR(VLOOKUP(A58,PROJECAO_2026!$A$4:$F$120,6,FALSE),0)</f>
        <v>125.82</v>
      </c>
      <c r="D58" s="76">
        <f>IFERROR(VLOOKUP(A58,DIN_TAXA!$A$14:$G$121,7,FALSE),0)</f>
        <v>0</v>
      </c>
      <c r="E58" s="76">
        <f>D58-C58</f>
        <v>-125.82</v>
      </c>
      <c r="F58" s="77" t="str">
        <f>IF(C58=0,IF(D58=0,"0%","N/A"),TEXT((D58-C58)/C58,"0%"))</f>
        <v>-100%</v>
      </c>
    </row>
    <row r="59" spans="1:6">
      <c r="A59" s="69" t="s">
        <v>681</v>
      </c>
      <c r="B59" s="69"/>
      <c r="C59" s="78">
        <f>IFERROR(VLOOKUP(A59,PROJECAO_2026!$A$4:$F$120,6,FALSE),0)</f>
        <v>117.32666666666667</v>
      </c>
      <c r="D59" s="78">
        <f>IFERROR(VLOOKUP(A59,DIN_TAXA!$A$14:$G$121,7,FALSE),0)</f>
        <v>208</v>
      </c>
      <c r="E59" s="78">
        <f>D59-C59</f>
        <v>90.673333333333332</v>
      </c>
      <c r="F59" s="79" t="str">
        <f>IF(C59=0,IF(D59=0,"0%","N/A"),TEXT((D59-C59)/C59,"0%"))</f>
        <v>77%</v>
      </c>
    </row>
    <row r="60" spans="1:6">
      <c r="A60" s="67" t="s">
        <v>438</v>
      </c>
      <c r="B60" s="67"/>
      <c r="C60" s="76">
        <f>IFERROR(VLOOKUP(A60,PROJECAO_2026!$A$4:$F$120,6,FALSE),0)</f>
        <v>112.44666666666667</v>
      </c>
      <c r="D60" s="76">
        <f>IFERROR(VLOOKUP(A60,DIN_TAXA!$A$14:$G$121,7,FALSE),0)</f>
        <v>11</v>
      </c>
      <c r="E60" s="76">
        <f>D60-C60</f>
        <v>-101.44666666666667</v>
      </c>
      <c r="F60" s="77" t="str">
        <f>IF(C60=0,IF(D60=0,"0%","N/A"),TEXT((D60-C60)/C60,"0%"))</f>
        <v>-90%</v>
      </c>
    </row>
    <row r="61" spans="1:6">
      <c r="A61" s="69" t="s">
        <v>458</v>
      </c>
      <c r="B61" s="69"/>
      <c r="C61" s="78">
        <f>IFERROR(VLOOKUP(A61,PROJECAO_2026!$A$4:$F$120,6,FALSE),0)</f>
        <v>111.3</v>
      </c>
      <c r="D61" s="78">
        <f>IFERROR(VLOOKUP(A61,DIN_TAXA!$A$14:$G$121,7,FALSE),0)</f>
        <v>337.07</v>
      </c>
      <c r="E61" s="78">
        <f>D61-C61</f>
        <v>225.76999999999998</v>
      </c>
      <c r="F61" s="79" t="str">
        <f>IF(C61=0,IF(D61=0,"0%","N/A"),TEXT((D61-C61)/C61,"0%"))</f>
        <v>203%</v>
      </c>
    </row>
    <row r="62" spans="1:6">
      <c r="A62" s="67" t="s">
        <v>599</v>
      </c>
      <c r="B62" s="67"/>
      <c r="C62" s="76">
        <f>IFERROR(VLOOKUP(A62,PROJECAO_2026!$A$4:$F$120,6,FALSE),0)</f>
        <v>100</v>
      </c>
      <c r="D62" s="76">
        <f>IFERROR(VLOOKUP(A62,DIN_TAXA!$A$14:$G$121,7,FALSE),0)</f>
        <v>0</v>
      </c>
      <c r="E62" s="76">
        <f>D62-C62</f>
        <v>-100</v>
      </c>
      <c r="F62" s="77" t="str">
        <f>IF(C62=0,IF(D62=0,"0%","N/A"),TEXT((D62-C62)/C62,"0%"))</f>
        <v>-100%</v>
      </c>
    </row>
    <row r="63" spans="1:6">
      <c r="A63" s="69" t="s">
        <v>745</v>
      </c>
      <c r="B63" s="69"/>
      <c r="C63" s="78">
        <f>IFERROR(VLOOKUP(A63,PROJECAO_2026!$A$4:$F$120,6,FALSE),0)</f>
        <v>93.333333333333329</v>
      </c>
      <c r="D63" s="78">
        <f>IFERROR(VLOOKUP(A63,DIN_TAXA!$A$14:$G$121,7,FALSE),0)</f>
        <v>0</v>
      </c>
      <c r="E63" s="78">
        <f>D63-C63</f>
        <v>-93.333333333333329</v>
      </c>
      <c r="F63" s="79" t="str">
        <f>IF(C63=0,IF(D63=0,"0%","N/A"),TEXT((D63-C63)/C63,"0%"))</f>
        <v>-100%</v>
      </c>
    </row>
    <row r="64" spans="1:6">
      <c r="A64" s="67" t="s">
        <v>398</v>
      </c>
      <c r="B64" s="67"/>
      <c r="C64" s="76">
        <f>IFERROR(VLOOKUP(A64,PROJECAO_2026!$A$4:$F$120,6,FALSE),0)</f>
        <v>93</v>
      </c>
      <c r="D64" s="76">
        <f>IFERROR(VLOOKUP(A64,DIN_TAXA!$A$14:$G$121,7,FALSE),0)</f>
        <v>0</v>
      </c>
      <c r="E64" s="76">
        <f>D64-C64</f>
        <v>-93</v>
      </c>
      <c r="F64" s="77" t="str">
        <f>IF(C64=0,IF(D64=0,"0%","N/A"),TEXT((D64-C64)/C64,"0%"))</f>
        <v>-100%</v>
      </c>
    </row>
    <row r="65" spans="1:6">
      <c r="A65" s="69" t="s">
        <v>758</v>
      </c>
      <c r="B65" s="69"/>
      <c r="C65" s="78">
        <f>IFERROR(VLOOKUP(A65,PROJECAO_2026!$A$4:$F$120,6,FALSE),0)</f>
        <v>84.813333333333333</v>
      </c>
      <c r="D65" s="78">
        <f>IFERROR(VLOOKUP(A65,DIN_TAXA!$A$14:$G$121,7,FALSE),0)</f>
        <v>0</v>
      </c>
      <c r="E65" s="78">
        <f>D65-C65</f>
        <v>-84.813333333333333</v>
      </c>
      <c r="F65" s="79" t="str">
        <f>IF(C65=0,IF(D65=0,"0%","N/A"),TEXT((D65-C65)/C65,"0%"))</f>
        <v>-100%</v>
      </c>
    </row>
    <row r="66" spans="1:6">
      <c r="A66" s="67" t="s">
        <v>756</v>
      </c>
      <c r="B66" s="67"/>
      <c r="C66" s="76">
        <f>IFERROR(VLOOKUP(A66,PROJECAO_2026!$A$4:$F$120,6,FALSE),0)</f>
        <v>78.123333333333335</v>
      </c>
      <c r="D66" s="76">
        <f>IFERROR(VLOOKUP(A66,DIN_TAXA!$A$14:$G$121,7,FALSE),0)</f>
        <v>81.59</v>
      </c>
      <c r="E66" s="76">
        <f>D66-C66</f>
        <v>3.4666666666666686</v>
      </c>
      <c r="F66" s="77" t="str">
        <f>IF(C66=0,IF(D66=0,"0%","N/A"),TEXT((D66-C66)/C66,"0%"))</f>
        <v>4%</v>
      </c>
    </row>
    <row r="67" spans="1:6">
      <c r="A67" s="69" t="s">
        <v>470</v>
      </c>
      <c r="B67" s="69"/>
      <c r="C67" s="78">
        <f>IFERROR(VLOOKUP(A67,PROJECAO_2026!$A$4:$F$120,6,FALSE),0)</f>
        <v>76.056666666666658</v>
      </c>
      <c r="D67" s="78">
        <f>IFERROR(VLOOKUP(A67,DIN_TAXA!$A$14:$G$121,7,FALSE),0)</f>
        <v>1087.9000000000001</v>
      </c>
      <c r="E67" s="78">
        <f>D67-C67</f>
        <v>1011.8433333333335</v>
      </c>
      <c r="F67" s="79" t="str">
        <f>IF(C67=0,IF(D67=0,"0%","N/A"),TEXT((D67-C67)/C67,"0%"))</f>
        <v>1330%</v>
      </c>
    </row>
    <row r="68" spans="1:6">
      <c r="A68" s="67" t="s">
        <v>476</v>
      </c>
      <c r="B68" s="67"/>
      <c r="C68" s="76">
        <f>IFERROR(VLOOKUP(A68,PROJECAO_2026!$A$4:$F$120,6,FALSE),0)</f>
        <v>63.49</v>
      </c>
      <c r="D68" s="76">
        <f>IFERROR(VLOOKUP(A68,DIN_TAXA!$A$14:$G$121,7,FALSE),0)</f>
        <v>102.52</v>
      </c>
      <c r="E68" s="76">
        <f>D68-C68</f>
        <v>39.029999999999994</v>
      </c>
      <c r="F68" s="77" t="str">
        <f>IF(C68=0,IF(D68=0,"0%","N/A"),TEXT((D68-C68)/C68,"0%"))</f>
        <v>61%</v>
      </c>
    </row>
    <row r="69" spans="1:6">
      <c r="A69" s="69" t="s">
        <v>360</v>
      </c>
      <c r="B69" s="69"/>
      <c r="C69" s="78">
        <f>IFERROR(VLOOKUP(A69,PROJECAO_2026!$A$4:$F$120,6,FALSE),0)</f>
        <v>52.6</v>
      </c>
      <c r="D69" s="78">
        <f>IFERROR(VLOOKUP(A69,DIN_TAXA!$A$14:$G$121,7,FALSE),0)</f>
        <v>0</v>
      </c>
      <c r="E69" s="78">
        <f>D69-C69</f>
        <v>-52.6</v>
      </c>
      <c r="F69" s="79" t="str">
        <f>IF(C69=0,IF(D69=0,"0%","N/A"),TEXT((D69-C69)/C69,"0%"))</f>
        <v>-100%</v>
      </c>
    </row>
    <row r="70" spans="1:6">
      <c r="A70" s="67" t="s">
        <v>760</v>
      </c>
      <c r="B70" s="67"/>
      <c r="C70" s="76">
        <f>IFERROR(VLOOKUP(A70,PROJECAO_2026!$A$4:$F$120,6,FALSE),0)</f>
        <v>38.89</v>
      </c>
      <c r="D70" s="76">
        <f>IFERROR(VLOOKUP(A70,DIN_TAXA!$A$14:$G$121,7,FALSE),0)</f>
        <v>0</v>
      </c>
      <c r="E70" s="76">
        <f>D70-C70</f>
        <v>-38.89</v>
      </c>
      <c r="F70" s="77" t="str">
        <f>IF(C70=0,IF(D70=0,"0%","N/A"),TEXT((D70-C70)/C70,"0%"))</f>
        <v>-100%</v>
      </c>
    </row>
    <row r="71" spans="1:6">
      <c r="A71" s="69" t="s">
        <v>710</v>
      </c>
      <c r="B71" s="69"/>
      <c r="C71" s="78">
        <f>IFERROR(VLOOKUP(A71,PROJECAO_2026!$A$4:$F$120,6,FALSE),0)</f>
        <v>22</v>
      </c>
      <c r="D71" s="78">
        <f>IFERROR(VLOOKUP(A71,DIN_TAXA!$A$14:$G$121,7,FALSE),0)</f>
        <v>0</v>
      </c>
      <c r="E71" s="78">
        <f>D71-C71</f>
        <v>-22</v>
      </c>
      <c r="F71" s="79" t="str">
        <f>IF(C71=0,IF(D71=0,"0%","N/A"),TEXT((D71-C71)/C71,"0%"))</f>
        <v>-100%</v>
      </c>
    </row>
    <row r="72" spans="1:6">
      <c r="A72" s="67" t="s">
        <v>647</v>
      </c>
      <c r="B72" s="67"/>
      <c r="C72" s="76">
        <f>IFERROR(VLOOKUP(A72,PROJECAO_2026!$A$4:$F$120,6,FALSE),0)</f>
        <v>13.299999999999999</v>
      </c>
      <c r="D72" s="76">
        <f>IFERROR(VLOOKUP(A72,DIN_TAXA!$A$14:$G$121,7,FALSE),0)</f>
        <v>14.07</v>
      </c>
      <c r="E72" s="76">
        <f>D72-C72</f>
        <v>0.77000000000000135</v>
      </c>
      <c r="F72" s="77" t="str">
        <f>IF(C72=0,IF(D72=0,"0%","N/A"),TEXT((D72-C72)/C72,"0%"))</f>
        <v>6%</v>
      </c>
    </row>
    <row r="73" spans="1:6">
      <c r="A73" s="69" t="s">
        <v>773</v>
      </c>
      <c r="B73" s="69"/>
      <c r="C73" s="78">
        <f>IFERROR(VLOOKUP(A73,PROJECAO_2026!$A$4:$F$120,6,FALSE),0)</f>
        <v>11.693333333333333</v>
      </c>
      <c r="D73" s="78">
        <f>IFERROR(VLOOKUP(A73,DIN_TAXA!$A$14:$G$121,7,FALSE),0)</f>
        <v>0</v>
      </c>
      <c r="E73" s="78">
        <f>D73-C73</f>
        <v>-11.693333333333333</v>
      </c>
      <c r="F73" s="79" t="str">
        <f>IF(C73=0,IF(D73=0,"0%","N/A"),TEXT((D73-C73)/C73,"0%"))</f>
        <v>-100%</v>
      </c>
    </row>
    <row r="74" spans="1:6">
      <c r="A74" s="67" t="s">
        <v>731</v>
      </c>
      <c r="B74" s="67"/>
      <c r="C74" s="76">
        <v>0</v>
      </c>
      <c r="D74" s="76">
        <f>IFERROR(VLOOKUP(A74,DIN_TAXA!$A$14:$G$121,7,FALSE),0)</f>
        <v>0</v>
      </c>
      <c r="E74" s="76">
        <f>D74-C74</f>
        <v>0</v>
      </c>
      <c r="F74" s="80" t="str">
        <f>IF(C74=0,IF(D74=0,"0%","N/A"),TEXT((D74-C74)/C74,"0%"))</f>
        <v>0%</v>
      </c>
    </row>
    <row r="75" spans="1:6">
      <c r="A75" s="69" t="s">
        <v>744</v>
      </c>
      <c r="B75" s="69"/>
      <c r="C75" s="78">
        <v>0</v>
      </c>
      <c r="D75" s="78">
        <f>IFERROR(VLOOKUP(A75,DIN_TAXA!$A$14:$G$121,7,FALSE),0)</f>
        <v>0</v>
      </c>
      <c r="E75" s="78">
        <f>D75-C75</f>
        <v>0</v>
      </c>
      <c r="F75" s="81" t="str">
        <f>IF(C75=0,IF(D75=0,"0%","N/A"),TEXT((D75-C75)/C75,"0%"))</f>
        <v>0%</v>
      </c>
    </row>
    <row r="76" spans="1:6">
      <c r="A76" s="67" t="s">
        <v>772</v>
      </c>
      <c r="B76" s="67"/>
      <c r="C76" s="76">
        <v>0</v>
      </c>
      <c r="D76" s="76">
        <f>IFERROR(VLOOKUP(A76,DIN_TAXA!$A$14:$G$121,7,FALSE),0)</f>
        <v>0</v>
      </c>
      <c r="E76" s="76">
        <f>D76-C76</f>
        <v>0</v>
      </c>
      <c r="F76" s="80" t="str">
        <f>IF(C76=0,IF(D76=0,"0%","N/A"),TEXT((D76-C76)/C76,"0%"))</f>
        <v>0%</v>
      </c>
    </row>
    <row r="77" spans="1:6">
      <c r="A77" s="69" t="s">
        <v>774</v>
      </c>
      <c r="B77" s="69"/>
      <c r="C77" s="78">
        <v>0</v>
      </c>
      <c r="D77" s="78">
        <f>IFERROR(VLOOKUP(A77,DIN_TAXA!$A$14:$G$121,7,FALSE),0)</f>
        <v>0</v>
      </c>
      <c r="E77" s="78">
        <f>D77-C77</f>
        <v>0</v>
      </c>
      <c r="F77" s="81" t="str">
        <f>IF(C77=0,IF(D77=0,"0%","N/A"),TEXT((D77-C77)/C77,"0%"))</f>
        <v>0%</v>
      </c>
    </row>
    <row r="78" spans="1:6">
      <c r="A78" s="67" t="s">
        <v>762</v>
      </c>
      <c r="B78" s="67"/>
      <c r="C78" s="76">
        <v>0</v>
      </c>
      <c r="D78" s="76">
        <f>IFERROR(VLOOKUP(A78,DIN_TAXA!$A$14:$G$121,7,FALSE),0)</f>
        <v>0</v>
      </c>
      <c r="E78" s="76">
        <f>D78-C78</f>
        <v>0</v>
      </c>
      <c r="F78" s="80" t="str">
        <f>IF(C78=0,IF(D78=0,"0%","N/A"),TEXT((D78-C78)/C78,"0%"))</f>
        <v>0%</v>
      </c>
    </row>
    <row r="79" spans="1:6">
      <c r="A79" s="69" t="s">
        <v>767</v>
      </c>
      <c r="B79" s="69"/>
      <c r="C79" s="78">
        <v>0</v>
      </c>
      <c r="D79" s="78">
        <f>IFERROR(VLOOKUP(A79,DIN_TAXA!$A$14:$G$121,7,FALSE),0)</f>
        <v>0</v>
      </c>
      <c r="E79" s="78">
        <f>D79-C79</f>
        <v>0</v>
      </c>
      <c r="F79" s="81" t="str">
        <f>IF(C79=0,IF(D79=0,"0%","N/A"),TEXT((D79-C79)/C79,"0%"))</f>
        <v>0%</v>
      </c>
    </row>
    <row r="80" spans="1:6">
      <c r="A80" s="67" t="s">
        <v>742</v>
      </c>
      <c r="B80" s="67"/>
      <c r="C80" s="76">
        <v>0</v>
      </c>
      <c r="D80" s="76">
        <f>IFERROR(VLOOKUP(A80,DIN_TAXA!$A$14:$G$121,7,FALSE),0)</f>
        <v>575.83000000000004</v>
      </c>
      <c r="E80" s="78">
        <f>D80-C80</f>
        <v>575.83000000000004</v>
      </c>
      <c r="F80" s="79" t="str">
        <f>IF(C80=0,IF(D80=0,"0%","N/A"),TEXT((D80-C80)/C80,"0%"))</f>
        <v>N/A</v>
      </c>
    </row>
    <row r="81" spans="1:6">
      <c r="A81" s="69" t="s">
        <v>751</v>
      </c>
      <c r="B81" s="69"/>
      <c r="C81" s="78">
        <v>0</v>
      </c>
      <c r="D81" s="78">
        <f>IFERROR(VLOOKUP(A81,DIN_TAXA!$A$14:$G$121,7,FALSE),0)</f>
        <v>0</v>
      </c>
      <c r="E81" s="78">
        <f>D81-C81</f>
        <v>0</v>
      </c>
      <c r="F81" s="81" t="str">
        <f>IF(C81=0,IF(D81=0,"0%","N/A"),TEXT((D81-C81)/C81,"0%"))</f>
        <v>0%</v>
      </c>
    </row>
    <row r="82" spans="1:6">
      <c r="A82" s="67" t="s">
        <v>775</v>
      </c>
      <c r="B82" s="67"/>
      <c r="C82" s="76">
        <v>0</v>
      </c>
      <c r="D82" s="76">
        <f>IFERROR(VLOOKUP(A82,DIN_TAXA!$A$14:$G$121,7,FALSE),0)</f>
        <v>0</v>
      </c>
      <c r="E82" s="76">
        <f>D82-C82</f>
        <v>0</v>
      </c>
      <c r="F82" s="80" t="str">
        <f>IF(C82=0,IF(D82=0,"0%","N/A"),TEXT((D82-C82)/C82,"0%"))</f>
        <v>0%</v>
      </c>
    </row>
    <row r="83" spans="1:6">
      <c r="A83" s="69" t="s">
        <v>776</v>
      </c>
      <c r="B83" s="69"/>
      <c r="C83" s="78">
        <v>0</v>
      </c>
      <c r="D83" s="78">
        <f>IFERROR(VLOOKUP(A83,DIN_TAXA!$A$14:$G$121,7,FALSE),0)</f>
        <v>0</v>
      </c>
      <c r="E83" s="78">
        <f>D83-C83</f>
        <v>0</v>
      </c>
      <c r="F83" s="81" t="str">
        <f>IF(C83=0,IF(D83=0,"0%","N/A"),TEXT((D83-C83)/C83,"0%"))</f>
        <v>0%</v>
      </c>
    </row>
    <row r="84" spans="1:6">
      <c r="A84" s="67" t="s">
        <v>778</v>
      </c>
      <c r="B84" s="67"/>
      <c r="C84" s="76">
        <v>0</v>
      </c>
      <c r="D84" s="76">
        <f>IFERROR(VLOOKUP(A84,DIN_TAXA!$A$14:$G$121,7,FALSE),0)</f>
        <v>0</v>
      </c>
      <c r="E84" s="76">
        <f>D84-C84</f>
        <v>0</v>
      </c>
      <c r="F84" s="80" t="str">
        <f>IF(C84=0,IF(D84=0,"0%","N/A"),TEXT((D84-C84)/C84,"0%"))</f>
        <v>0%</v>
      </c>
    </row>
    <row r="85" spans="1:6">
      <c r="A85" s="69" t="s">
        <v>761</v>
      </c>
      <c r="B85" s="69"/>
      <c r="C85" s="78">
        <v>0</v>
      </c>
      <c r="D85" s="78">
        <f>IFERROR(VLOOKUP(A85,DIN_TAXA!$A$14:$G$121,7,FALSE),0)</f>
        <v>0</v>
      </c>
      <c r="E85" s="78">
        <f>D85-C85</f>
        <v>0</v>
      </c>
      <c r="F85" s="81" t="str">
        <f>IF(C85=0,IF(D85=0,"0%","N/A"),TEXT((D85-C85)/C85,"0%"))</f>
        <v>0%</v>
      </c>
    </row>
    <row r="86" spans="1:6">
      <c r="A86" s="67" t="s">
        <v>702</v>
      </c>
      <c r="B86" s="67"/>
      <c r="C86" s="76">
        <v>0</v>
      </c>
      <c r="D86" s="76">
        <f>IFERROR(VLOOKUP(A86,DIN_TAXA!$A$14:$G$121,7,FALSE),0)</f>
        <v>0</v>
      </c>
      <c r="E86" s="76">
        <f>D86-C86</f>
        <v>0</v>
      </c>
      <c r="F86" s="80" t="str">
        <f>IF(C86=0,IF(D86=0,"0%","N/A"),TEXT((D86-C86)/C86,"0%"))</f>
        <v>0%</v>
      </c>
    </row>
    <row r="87" spans="1:6">
      <c r="A87" s="69" t="s">
        <v>770</v>
      </c>
      <c r="B87" s="69"/>
      <c r="C87" s="78">
        <v>0</v>
      </c>
      <c r="D87" s="78">
        <f>IFERROR(VLOOKUP(A87,DIN_TAXA!$A$14:$G$121,7,FALSE),0)</f>
        <v>0</v>
      </c>
      <c r="E87" s="78">
        <f>D87-C87</f>
        <v>0</v>
      </c>
      <c r="F87" s="81" t="str">
        <f>IF(C87=0,IF(D87=0,"0%","N/A"),TEXT((D87-C87)/C87,"0%"))</f>
        <v>0%</v>
      </c>
    </row>
    <row r="88" spans="1:6">
      <c r="A88" s="67" t="s">
        <v>766</v>
      </c>
      <c r="B88" s="67"/>
      <c r="C88" s="76">
        <v>0</v>
      </c>
      <c r="D88" s="76">
        <f>IFERROR(VLOOKUP(A88,DIN_TAXA!$A$14:$G$121,7,FALSE),0)</f>
        <v>0</v>
      </c>
      <c r="E88" s="76">
        <f>D88-C88</f>
        <v>0</v>
      </c>
      <c r="F88" s="80" t="str">
        <f>IF(C88=0,IF(D88=0,"0%","N/A"),TEXT((D88-C88)/C88,"0%"))</f>
        <v>0%</v>
      </c>
    </row>
    <row r="89" spans="1:6">
      <c r="A89" s="69" t="s">
        <v>759</v>
      </c>
      <c r="B89" s="69"/>
      <c r="C89" s="78">
        <v>0</v>
      </c>
      <c r="D89" s="78">
        <f>IFERROR(VLOOKUP(A89,DIN_TAXA!$A$14:$G$121,7,FALSE),0)</f>
        <v>0</v>
      </c>
      <c r="E89" s="78">
        <f>D89-C89</f>
        <v>0</v>
      </c>
      <c r="F89" s="81" t="str">
        <f>IF(C89=0,IF(D89=0,"0%","N/A"),TEXT((D89-C89)/C89,"0%"))</f>
        <v>0%</v>
      </c>
    </row>
    <row r="90" spans="1:6">
      <c r="A90" s="67" t="s">
        <v>750</v>
      </c>
      <c r="B90" s="67"/>
      <c r="C90" s="76">
        <v>0</v>
      </c>
      <c r="D90" s="76">
        <f>IFERROR(VLOOKUP(A90,DIN_TAXA!$A$14:$G$121,7,FALSE),0)</f>
        <v>0</v>
      </c>
      <c r="E90" s="76">
        <f>D90-C90</f>
        <v>0</v>
      </c>
      <c r="F90" s="80" t="str">
        <f>IF(C90=0,IF(D90=0,"0%","N/A"),TEXT((D90-C90)/C90,"0%"))</f>
        <v>0%</v>
      </c>
    </row>
    <row r="91" spans="1:6">
      <c r="A91" s="69" t="s">
        <v>769</v>
      </c>
      <c r="B91" s="69"/>
      <c r="C91" s="78">
        <v>0</v>
      </c>
      <c r="D91" s="78">
        <f>IFERROR(VLOOKUP(A91,DIN_TAXA!$A$14:$G$121,7,FALSE),0)</f>
        <v>0</v>
      </c>
      <c r="E91" s="78">
        <f>D91-C91</f>
        <v>0</v>
      </c>
      <c r="F91" s="81" t="str">
        <f>IF(C91=0,IF(D91=0,"0%","N/A"),TEXT((D91-C91)/C91,"0%"))</f>
        <v>0%</v>
      </c>
    </row>
    <row r="92" spans="1:6">
      <c r="A92" s="67" t="s">
        <v>739</v>
      </c>
      <c r="B92" s="67"/>
      <c r="C92" s="76">
        <v>0</v>
      </c>
      <c r="D92" s="76">
        <f>IFERROR(VLOOKUP(A92,DIN_TAXA!$A$14:$G$121,7,FALSE),0)</f>
        <v>0</v>
      </c>
      <c r="E92" s="76">
        <f>D92-C92</f>
        <v>0</v>
      </c>
      <c r="F92" s="80" t="str">
        <f>IF(C92=0,IF(D92=0,"0%","N/A"),TEXT((D92-C92)/C92,"0%"))</f>
        <v>0%</v>
      </c>
    </row>
    <row r="93" spans="1:6">
      <c r="A93" s="69" t="s">
        <v>777</v>
      </c>
      <c r="B93" s="69"/>
      <c r="C93" s="78">
        <v>0</v>
      </c>
      <c r="D93" s="78">
        <f>IFERROR(VLOOKUP(A93,DIN_TAXA!$A$14:$G$121,7,FALSE),0)</f>
        <v>0</v>
      </c>
      <c r="E93" s="78">
        <f>D93-C93</f>
        <v>0</v>
      </c>
      <c r="F93" s="81" t="str">
        <f>IF(C93=0,IF(D93=0,"0%","N/A"),TEXT((D93-C93)/C93,"0%"))</f>
        <v>0%</v>
      </c>
    </row>
    <row r="94" spans="1:6">
      <c r="A94" s="67" t="s">
        <v>754</v>
      </c>
      <c r="B94" s="67"/>
      <c r="C94" s="76">
        <v>0</v>
      </c>
      <c r="D94" s="76">
        <f>IFERROR(VLOOKUP(A94,DIN_TAXA!$A$14:$G$121,7,FALSE),0)</f>
        <v>0</v>
      </c>
      <c r="E94" s="76">
        <f>D94-C94</f>
        <v>0</v>
      </c>
      <c r="F94" s="80" t="str">
        <f>IF(C94=0,IF(D94=0,"0%","N/A"),TEXT((D94-C94)/C94,"0%"))</f>
        <v>0%</v>
      </c>
    </row>
    <row r="95" spans="1:6">
      <c r="A95" s="69" t="s">
        <v>752</v>
      </c>
      <c r="B95" s="69"/>
      <c r="C95" s="78">
        <v>0</v>
      </c>
      <c r="D95" s="78">
        <f>IFERROR(VLOOKUP(A95,DIN_TAXA!$A$14:$G$121,7,FALSE),0)</f>
        <v>0</v>
      </c>
      <c r="E95" s="78">
        <f>D95-C95</f>
        <v>0</v>
      </c>
      <c r="F95" s="81" t="str">
        <f>IF(C95=0,IF(D95=0,"0%","N/A"),TEXT((D95-C95)/C95,"0%"))</f>
        <v>0%</v>
      </c>
    </row>
    <row r="96" spans="1:6">
      <c r="A96" s="67" t="s">
        <v>768</v>
      </c>
      <c r="B96" s="67"/>
      <c r="C96" s="76">
        <v>0</v>
      </c>
      <c r="D96" s="76">
        <f>IFERROR(VLOOKUP(A96,DIN_TAXA!$A$14:$G$121,7,FALSE),0)</f>
        <v>0</v>
      </c>
      <c r="E96" s="76">
        <f>D96-C96</f>
        <v>0</v>
      </c>
      <c r="F96" s="80" t="str">
        <f>IF(C96=0,IF(D96=0,"0%","N/A"),TEXT((D96-C96)/C96,"0%"))</f>
        <v>0%</v>
      </c>
    </row>
    <row r="97" spans="1:6">
      <c r="A97" s="69" t="s">
        <v>765</v>
      </c>
      <c r="B97" s="69"/>
      <c r="C97" s="78">
        <v>0</v>
      </c>
      <c r="D97" s="78">
        <f>IFERROR(VLOOKUP(A97,DIN_TAXA!$A$14:$G$121,7,FALSE),0)</f>
        <v>0</v>
      </c>
      <c r="E97" s="78">
        <f>D97-C97</f>
        <v>0</v>
      </c>
      <c r="F97" s="81" t="str">
        <f>IF(C97=0,IF(D97=0,"0%","N/A"),TEXT((D97-C97)/C97,"0%"))</f>
        <v>0%</v>
      </c>
    </row>
    <row r="98" spans="1:6">
      <c r="A98" s="67" t="s">
        <v>764</v>
      </c>
      <c r="B98" s="67"/>
      <c r="C98" s="76">
        <v>0</v>
      </c>
      <c r="D98" s="76">
        <f>IFERROR(VLOOKUP(A98,DIN_TAXA!$A$14:$G$121,7,FALSE),0)</f>
        <v>0</v>
      </c>
      <c r="E98" s="76">
        <f>D98-C98</f>
        <v>0</v>
      </c>
      <c r="F98" s="80" t="str">
        <f>IF(C98=0,IF(D98=0,"0%","N/A"),TEXT((D98-C98)/C98,"0%"))</f>
        <v>0%</v>
      </c>
    </row>
    <row r="99" spans="1:6">
      <c r="A99" s="69" t="s">
        <v>747</v>
      </c>
      <c r="B99" s="69"/>
      <c r="C99" s="78">
        <v>0</v>
      </c>
      <c r="D99" s="78">
        <f>IFERROR(VLOOKUP(A99,DIN_TAXA!$A$14:$G$121,7,FALSE),0)</f>
        <v>0</v>
      </c>
      <c r="E99" s="78">
        <f>D99-C99</f>
        <v>0</v>
      </c>
      <c r="F99" s="81" t="str">
        <f>IF(C99=0,IF(D99=0,"0%","N/A"),TEXT((D99-C99)/C99,"0%"))</f>
        <v>0%</v>
      </c>
    </row>
    <row r="100" spans="1:6">
      <c r="A100" s="67" t="s">
        <v>771</v>
      </c>
      <c r="B100" s="67"/>
      <c r="C100" s="76">
        <v>0</v>
      </c>
      <c r="D100" s="76">
        <f>IFERROR(VLOOKUP(A100,DIN_TAXA!$A$14:$G$121,7,FALSE),0)</f>
        <v>0</v>
      </c>
      <c r="E100" s="76">
        <f>D100-C100</f>
        <v>0</v>
      </c>
      <c r="F100" s="80" t="str">
        <f>IF(C100=0,IF(D100=0,"0%","N/A"),TEXT((D100-C100)/C100,"0%"))</f>
        <v>0%</v>
      </c>
    </row>
    <row r="101" spans="1:6">
      <c r="A101" s="69" t="s">
        <v>755</v>
      </c>
      <c r="B101" s="69"/>
      <c r="C101" s="78">
        <v>0</v>
      </c>
      <c r="D101" s="78">
        <f>IFERROR(VLOOKUP(A101,DIN_TAXA!$A$14:$G$121,7,FALSE),0)</f>
        <v>0</v>
      </c>
      <c r="E101" s="78">
        <f>D101-C101</f>
        <v>0</v>
      </c>
      <c r="F101" s="81" t="str">
        <f>IF(C101=0,IF(D101=0,"0%","N/A"),TEXT((D101-C101)/C101,"0%"))</f>
        <v>0%</v>
      </c>
    </row>
    <row r="102" spans="1:6">
      <c r="A102" s="67" t="s">
        <v>753</v>
      </c>
      <c r="B102" s="67"/>
      <c r="C102" s="76">
        <v>0</v>
      </c>
      <c r="D102" s="76">
        <f>IFERROR(VLOOKUP(A102,DIN_TAXA!$A$14:$G$121,7,FALSE),0)</f>
        <v>0</v>
      </c>
      <c r="E102" s="76">
        <f>D102-C102</f>
        <v>0</v>
      </c>
      <c r="F102" s="80" t="str">
        <f>IF(C102=0,IF(D102=0,"0%","N/A"),TEXT((D102-C102)/C102,"0%"))</f>
        <v>0%</v>
      </c>
    </row>
    <row r="103" spans="1:6">
      <c r="A103" s="69" t="s">
        <v>748</v>
      </c>
      <c r="B103" s="69"/>
      <c r="C103" s="78">
        <v>0</v>
      </c>
      <c r="D103" s="78">
        <f>IFERROR(VLOOKUP(A103,DIN_TAXA!$A$14:$G$121,7,FALSE),0)</f>
        <v>0</v>
      </c>
      <c r="E103" s="78">
        <f>D103-C103</f>
        <v>0</v>
      </c>
      <c r="F103" s="81" t="str">
        <f>IF(C103=0,IF(D103=0,"0%","N/A"),TEXT((D103-C103)/C103,"0%"))</f>
        <v>0%</v>
      </c>
    </row>
    <row r="104" spans="1:6">
      <c r="A104" s="67" t="s">
        <v>654</v>
      </c>
      <c r="B104" s="67"/>
      <c r="C104" s="76">
        <v>0</v>
      </c>
      <c r="D104" s="76">
        <f>IFERROR(VLOOKUP(A104,DIN_TAXA!$A$14:$G$121,7,FALSE),0)</f>
        <v>0</v>
      </c>
      <c r="E104" s="76">
        <f>D104-C104</f>
        <v>0</v>
      </c>
      <c r="F104" s="80" t="str">
        <f>IF(C104=0,IF(D104=0,"0%","N/A"),TEXT((D104-C104)/C104,"0%"))</f>
        <v>0%</v>
      </c>
    </row>
    <row r="105" spans="1:6">
      <c r="A105" s="69" t="s">
        <v>757</v>
      </c>
      <c r="B105" s="69"/>
      <c r="C105" s="78">
        <v>0</v>
      </c>
      <c r="D105" s="78">
        <f>IFERROR(VLOOKUP(A105,DIN_TAXA!$A$14:$G$121,7,FALSE),0)</f>
        <v>0</v>
      </c>
      <c r="E105" s="78">
        <f>D105-C105</f>
        <v>0</v>
      </c>
      <c r="F105" s="81" t="str">
        <f>IF(C105=0,IF(D105=0,"0%","N/A"),TEXT((D105-C105)/C105,"0%"))</f>
        <v>0%</v>
      </c>
    </row>
    <row r="106" spans="1:6">
      <c r="A106" s="67" t="s">
        <v>281</v>
      </c>
      <c r="B106" s="67"/>
      <c r="C106" s="85">
        <v>0</v>
      </c>
      <c r="D106" s="85">
        <f>IFERROR(VLOOKUP(A106,DIN_TAXA!$A$14:$G$121,7,FALSE),0)</f>
        <v>1500</v>
      </c>
      <c r="E106" s="78">
        <f>D106-C106</f>
        <v>1500</v>
      </c>
      <c r="F106" s="79" t="str">
        <f>IF(C106=0,IF(D106=0,"0%","N/A"),TEXT((D106-C106)/C106,"0%"))</f>
        <v>N/A</v>
      </c>
    </row>
    <row r="107" spans="1:6">
      <c r="A107" s="69" t="s">
        <v>193</v>
      </c>
      <c r="B107" s="69"/>
      <c r="C107" s="86">
        <v>0</v>
      </c>
      <c r="D107" s="86">
        <f>IFERROR(VLOOKUP(A107,DIN_TAXA!$A$14:$G$121,7,FALSE),0)</f>
        <v>3995.6800000000003</v>
      </c>
      <c r="E107" s="78">
        <f>D107-C107</f>
        <v>3995.6800000000003</v>
      </c>
      <c r="F107" s="79" t="str">
        <f>IF(C107=0,IF(D107=0,"0%","N/A"),TEXT((D107-C107)/C107,"0%"))</f>
        <v>N/A</v>
      </c>
    </row>
  </sheetData>
  <autoFilter ref="A3:F107" xr:uid="{3ABBB99F-FAF3-4C99-9EB7-99388666B507}"/>
  <mergeCells count="5">
    <mergeCell ref="H21:L21"/>
    <mergeCell ref="H30:L30"/>
    <mergeCell ref="A1:F1"/>
    <mergeCell ref="H1:L1"/>
    <mergeCell ref="H9:L9"/>
  </mergeCells>
  <conditionalFormatting sqref="E4:E73">
    <cfRule type="cellIs" dxfId="11" priority="5" operator="greaterThan">
      <formula>0</formula>
    </cfRule>
  </conditionalFormatting>
  <conditionalFormatting sqref="E4:E73">
    <cfRule type="cellIs" dxfId="10" priority="6" operator="lessThan">
      <formula>0</formula>
    </cfRule>
  </conditionalFormatting>
  <conditionalFormatting sqref="F4:F73">
    <cfRule type="cellIs" dxfId="9" priority="7" operator="greaterThan">
      <formula>0</formula>
    </cfRule>
  </conditionalFormatting>
  <conditionalFormatting sqref="F4:F73">
    <cfRule type="cellIs" dxfId="8" priority="8" operator="lessThan">
      <formula>0</formula>
    </cfRule>
  </conditionalFormatting>
  <conditionalFormatting sqref="E2">
    <cfRule type="cellIs" dxfId="7" priority="9" operator="greaterThan">
      <formula>0</formula>
    </cfRule>
  </conditionalFormatting>
  <conditionalFormatting sqref="E2">
    <cfRule type="cellIs" dxfId="6" priority="10" operator="lessThan">
      <formula>0</formula>
    </cfRule>
  </conditionalFormatting>
  <conditionalFormatting sqref="F2">
    <cfRule type="cellIs" dxfId="5" priority="11" operator="greaterThan">
      <formula>0</formula>
    </cfRule>
  </conditionalFormatting>
  <conditionalFormatting sqref="F2">
    <cfRule type="cellIs" dxfId="4" priority="12" operator="lessThan">
      <formula>0</formula>
    </cfRule>
  </conditionalFormatting>
  <conditionalFormatting sqref="E106:E107 E80">
    <cfRule type="cellIs" dxfId="3" priority="1" operator="greaterThan">
      <formula>0</formula>
    </cfRule>
  </conditionalFormatting>
  <conditionalFormatting sqref="E106:E107 E80">
    <cfRule type="cellIs" dxfId="2" priority="2" operator="lessThan">
      <formula>0</formula>
    </cfRule>
  </conditionalFormatting>
  <conditionalFormatting sqref="F106:F107 F80">
    <cfRule type="cellIs" dxfId="1" priority="3" operator="greaterThan">
      <formula>0</formula>
    </cfRule>
  </conditionalFormatting>
  <conditionalFormatting sqref="F106:F107 F80">
    <cfRule type="cellIs" dxfId="0" priority="4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02B5-757E-4F40-B70B-000621907ADD}">
  <dimension ref="A1:O121"/>
  <sheetViews>
    <sheetView workbookViewId="0">
      <selection activeCell="F12" sqref="F12"/>
    </sheetView>
  </sheetViews>
  <sheetFormatPr defaultRowHeight="12.75"/>
  <cols>
    <col min="1" max="1" width="47.5703125" customWidth="1"/>
    <col min="2" max="3" width="17.140625" customWidth="1"/>
    <col min="4" max="4" width="22.85546875" customWidth="1"/>
    <col min="5" max="14" width="17.140625" customWidth="1"/>
    <col min="15" max="15" width="19" customWidth="1"/>
  </cols>
  <sheetData>
    <row r="1" spans="1:15" ht="18">
      <c r="A1" s="73" t="s">
        <v>1535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s="57" customFormat="1">
      <c r="A2" s="56" t="s">
        <v>1536</v>
      </c>
      <c r="B2" s="56">
        <f>SUM(B4:B99)</f>
        <v>311536.31000000011</v>
      </c>
      <c r="C2" s="56">
        <f>SUM(C4:C99)</f>
        <v>327176.7300000001</v>
      </c>
      <c r="D2" s="56">
        <f>SUM(D4:D99)</f>
        <v>332002.41999999987</v>
      </c>
      <c r="E2" s="56">
        <f>SUM(E4:E99)</f>
        <v>366849.76999999996</v>
      </c>
      <c r="F2" s="56">
        <f>SUM(F4:F99)</f>
        <v>325529.14666666673</v>
      </c>
      <c r="G2" s="56">
        <f>SUM(G4:G99)</f>
        <v>325529.14666666673</v>
      </c>
      <c r="H2" s="56">
        <f>SUM(H4:H99)</f>
        <v>325529.14666666673</v>
      </c>
      <c r="I2" s="56">
        <f>SUM(I4:I99)</f>
        <v>325529.14666666673</v>
      </c>
      <c r="J2" s="56">
        <f>SUM(J4:J99)</f>
        <v>325529.14666666673</v>
      </c>
      <c r="K2" s="56">
        <f>SUM(K4:K99)</f>
        <v>325529.14666666673</v>
      </c>
      <c r="L2" s="56">
        <f>SUM(L4:L99)</f>
        <v>325529.14666666673</v>
      </c>
      <c r="M2" s="56">
        <f>SUM(M4:M99)</f>
        <v>325529.14666666673</v>
      </c>
      <c r="N2" s="56">
        <f>SUM(B2:M2)</f>
        <v>3941798.4033333333</v>
      </c>
    </row>
    <row r="3" spans="1:15">
      <c r="A3" s="41" t="s">
        <v>1516</v>
      </c>
      <c r="B3" s="41" t="s">
        <v>1537</v>
      </c>
      <c r="C3" s="41" t="s">
        <v>1538</v>
      </c>
      <c r="D3" s="41" t="s">
        <v>1539</v>
      </c>
      <c r="E3" s="41" t="s">
        <v>1540</v>
      </c>
      <c r="F3" s="51" t="s">
        <v>1541</v>
      </c>
      <c r="G3" s="51" t="s">
        <v>1542</v>
      </c>
      <c r="H3" s="51" t="s">
        <v>1543</v>
      </c>
      <c r="I3" s="51" t="s">
        <v>1544</v>
      </c>
      <c r="J3" s="51" t="s">
        <v>1545</v>
      </c>
      <c r="K3" s="51" t="s">
        <v>1546</v>
      </c>
      <c r="L3" s="51" t="s">
        <v>1547</v>
      </c>
      <c r="M3" s="51" t="s">
        <v>1548</v>
      </c>
      <c r="N3" s="41" t="s">
        <v>1549</v>
      </c>
      <c r="O3" s="41" t="s">
        <v>1550</v>
      </c>
    </row>
    <row r="4" spans="1:15">
      <c r="A4" s="67" t="s">
        <v>137</v>
      </c>
      <c r="B4" s="68">
        <v>34102</v>
      </c>
      <c r="C4" s="68">
        <v>34603</v>
      </c>
      <c r="D4" s="68">
        <v>31312.18</v>
      </c>
      <c r="E4" s="68">
        <v>32955.08</v>
      </c>
      <c r="F4" s="68">
        <f>IFERROR(AVERAGE($B$4:$E$4),0)</f>
        <v>33243.065000000002</v>
      </c>
      <c r="G4" s="68">
        <f t="shared" ref="G4:M4" si="0">IFERROR(AVERAGE($B$4:$E$4),0)</f>
        <v>33243.065000000002</v>
      </c>
      <c r="H4" s="68">
        <f t="shared" si="0"/>
        <v>33243.065000000002</v>
      </c>
      <c r="I4" s="68">
        <f t="shared" si="0"/>
        <v>33243.065000000002</v>
      </c>
      <c r="J4" s="68">
        <f t="shared" si="0"/>
        <v>33243.065000000002</v>
      </c>
      <c r="K4" s="68">
        <f t="shared" si="0"/>
        <v>33243.065000000002</v>
      </c>
      <c r="L4" s="68">
        <f t="shared" si="0"/>
        <v>33243.065000000002</v>
      </c>
      <c r="M4" s="68">
        <f t="shared" si="0"/>
        <v>33243.065000000002</v>
      </c>
      <c r="N4" s="68">
        <f>SUM(B4:M4)</f>
        <v>398916.78</v>
      </c>
      <c r="O4" s="67" t="s">
        <v>1551</v>
      </c>
    </row>
    <row r="5" spans="1:15" s="23" customFormat="1">
      <c r="A5" s="69" t="s">
        <v>200</v>
      </c>
      <c r="B5" s="70">
        <v>22440</v>
      </c>
      <c r="C5" s="70">
        <v>32472</v>
      </c>
      <c r="D5" s="70">
        <v>25036</v>
      </c>
      <c r="E5" s="70">
        <v>37714</v>
      </c>
      <c r="F5" s="70">
        <v>35000</v>
      </c>
      <c r="G5" s="70">
        <f>F5</f>
        <v>35000</v>
      </c>
      <c r="H5" s="70">
        <f t="shared" ref="H5:M5" si="1">G5</f>
        <v>35000</v>
      </c>
      <c r="I5" s="70">
        <f t="shared" si="1"/>
        <v>35000</v>
      </c>
      <c r="J5" s="70">
        <f t="shared" si="1"/>
        <v>35000</v>
      </c>
      <c r="K5" s="70">
        <f t="shared" si="1"/>
        <v>35000</v>
      </c>
      <c r="L5" s="70">
        <f t="shared" si="1"/>
        <v>35000</v>
      </c>
      <c r="M5" s="70">
        <f t="shared" si="1"/>
        <v>35000</v>
      </c>
      <c r="N5" s="70">
        <f>SUM(B5:M5)</f>
        <v>397662</v>
      </c>
      <c r="O5" s="69" t="s">
        <v>1552</v>
      </c>
    </row>
    <row r="6" spans="1:15" s="23" customFormat="1">
      <c r="A6" s="67" t="s">
        <v>714</v>
      </c>
      <c r="B6" s="68">
        <v>27343.18</v>
      </c>
      <c r="C6" s="68">
        <v>27343.18</v>
      </c>
      <c r="D6" s="68">
        <v>25123.8</v>
      </c>
      <c r="E6" s="68">
        <v>28087.8</v>
      </c>
      <c r="F6" s="68">
        <f>E6</f>
        <v>28087.8</v>
      </c>
      <c r="G6" s="68">
        <f t="shared" ref="G6:M6" si="2">F6</f>
        <v>28087.8</v>
      </c>
      <c r="H6" s="68">
        <f t="shared" si="2"/>
        <v>28087.8</v>
      </c>
      <c r="I6" s="68">
        <f t="shared" si="2"/>
        <v>28087.8</v>
      </c>
      <c r="J6" s="68">
        <f t="shared" si="2"/>
        <v>28087.8</v>
      </c>
      <c r="K6" s="68">
        <f t="shared" si="2"/>
        <v>28087.8</v>
      </c>
      <c r="L6" s="68">
        <f t="shared" si="2"/>
        <v>28087.8</v>
      </c>
      <c r="M6" s="68">
        <f t="shared" si="2"/>
        <v>28087.8</v>
      </c>
      <c r="N6" s="68">
        <f>SUM(B6:M6)</f>
        <v>332600.35999999993</v>
      </c>
      <c r="O6" s="67" t="s">
        <v>1551</v>
      </c>
    </row>
    <row r="7" spans="1:15" s="23" customFormat="1">
      <c r="A7" s="69" t="s">
        <v>715</v>
      </c>
      <c r="B7" s="70">
        <v>20778.97</v>
      </c>
      <c r="C7" s="70">
        <v>18546.78</v>
      </c>
      <c r="D7" s="70">
        <v>19708.53</v>
      </c>
      <c r="E7" s="70">
        <v>18081.14</v>
      </c>
      <c r="F7" s="70">
        <f>IFERROR(AVERAGE(B7:D7),0)</f>
        <v>19678.093333333334</v>
      </c>
      <c r="G7" s="70">
        <f>IFERROR(AVERAGE(B7:D7),0)</f>
        <v>19678.093333333334</v>
      </c>
      <c r="H7" s="70">
        <f>IFERROR(AVERAGE(B7:D7),0)</f>
        <v>19678.093333333334</v>
      </c>
      <c r="I7" s="70">
        <f>IFERROR(AVERAGE(B7:D7),0)</f>
        <v>19678.093333333334</v>
      </c>
      <c r="J7" s="70">
        <f>IFERROR(AVERAGE(B7:D7),0)</f>
        <v>19678.093333333334</v>
      </c>
      <c r="K7" s="70">
        <f>IFERROR(AVERAGE(B7:D7),0)</f>
        <v>19678.093333333334</v>
      </c>
      <c r="L7" s="70">
        <f>IFERROR(AVERAGE(B7:D7),0)</f>
        <v>19678.093333333334</v>
      </c>
      <c r="M7" s="70">
        <f>IFERROR(AVERAGE(B7:D7),0)</f>
        <v>19678.093333333334</v>
      </c>
      <c r="N7" s="70">
        <f>SUM(B7:M7)</f>
        <v>234540.16666666663</v>
      </c>
      <c r="O7" s="69" t="s">
        <v>1553</v>
      </c>
    </row>
    <row r="8" spans="1:15" s="23" customFormat="1">
      <c r="A8" s="67" t="s">
        <v>201</v>
      </c>
      <c r="B8" s="68">
        <v>12880</v>
      </c>
      <c r="C8" s="68">
        <v>9860</v>
      </c>
      <c r="D8" s="68">
        <v>13240</v>
      </c>
      <c r="E8" s="68">
        <v>16020</v>
      </c>
      <c r="F8" s="68">
        <v>16000</v>
      </c>
      <c r="G8" s="68">
        <f>F8</f>
        <v>16000</v>
      </c>
      <c r="H8" s="68">
        <f t="shared" ref="H8:M8" si="3">G8</f>
        <v>16000</v>
      </c>
      <c r="I8" s="68">
        <f t="shared" si="3"/>
        <v>16000</v>
      </c>
      <c r="J8" s="68">
        <f t="shared" si="3"/>
        <v>16000</v>
      </c>
      <c r="K8" s="68">
        <f t="shared" si="3"/>
        <v>16000</v>
      </c>
      <c r="L8" s="68">
        <f t="shared" si="3"/>
        <v>16000</v>
      </c>
      <c r="M8" s="68">
        <f t="shared" si="3"/>
        <v>16000</v>
      </c>
      <c r="N8" s="68">
        <f>SUM(B8:M8)</f>
        <v>180000</v>
      </c>
      <c r="O8" s="67" t="s">
        <v>1551</v>
      </c>
    </row>
    <row r="9" spans="1:15">
      <c r="A9" s="69" t="s">
        <v>716</v>
      </c>
      <c r="B9" s="70">
        <v>12717.54</v>
      </c>
      <c r="C9" s="70">
        <v>24839.94</v>
      </c>
      <c r="D9" s="70">
        <v>20571.580000000002</v>
      </c>
      <c r="E9" s="70">
        <v>26432.78</v>
      </c>
      <c r="F9" s="70">
        <v>22000</v>
      </c>
      <c r="G9" s="70">
        <v>22000</v>
      </c>
      <c r="H9" s="70">
        <v>22000</v>
      </c>
      <c r="I9" s="70">
        <v>22000</v>
      </c>
      <c r="J9" s="70">
        <v>22000</v>
      </c>
      <c r="K9" s="70">
        <v>22000</v>
      </c>
      <c r="L9" s="70">
        <v>22000</v>
      </c>
      <c r="M9" s="70">
        <v>22000</v>
      </c>
      <c r="N9" s="70">
        <f>SUM(B9:M9)</f>
        <v>260561.84</v>
      </c>
      <c r="O9" s="69" t="s">
        <v>1552</v>
      </c>
    </row>
    <row r="10" spans="1:15">
      <c r="A10" s="67" t="s">
        <v>717</v>
      </c>
      <c r="B10" s="68">
        <v>19355.849999999999</v>
      </c>
      <c r="C10" s="68">
        <v>21052.12</v>
      </c>
      <c r="D10" s="68">
        <v>21217.11</v>
      </c>
      <c r="E10" s="68">
        <v>21068.720000000001</v>
      </c>
      <c r="F10" s="68">
        <f>IFERROR(AVERAGE(B10:D10),0)</f>
        <v>20541.693333333333</v>
      </c>
      <c r="G10" s="68">
        <f>IFERROR(AVERAGE(B10:D10),0)</f>
        <v>20541.693333333333</v>
      </c>
      <c r="H10" s="68">
        <f>IFERROR(AVERAGE(B10:D10),0)</f>
        <v>20541.693333333333</v>
      </c>
      <c r="I10" s="68">
        <f>IFERROR(AVERAGE(B10:D10),0)</f>
        <v>20541.693333333333</v>
      </c>
      <c r="J10" s="68">
        <f>IFERROR(AVERAGE(B10:D10),0)</f>
        <v>20541.693333333333</v>
      </c>
      <c r="K10" s="68">
        <f>IFERROR(AVERAGE(B10:D10),0)</f>
        <v>20541.693333333333</v>
      </c>
      <c r="L10" s="68">
        <f>IFERROR(AVERAGE(B10:D10),0)</f>
        <v>20541.693333333333</v>
      </c>
      <c r="M10" s="68">
        <f>IFERROR(AVERAGE(B10:D10),0)</f>
        <v>20541.693333333333</v>
      </c>
      <c r="N10" s="68">
        <f>SUM(B10:M10)</f>
        <v>247027.34666666665</v>
      </c>
      <c r="O10" s="67" t="s">
        <v>1554</v>
      </c>
    </row>
    <row r="11" spans="1:15">
      <c r="A11" s="69" t="s">
        <v>718</v>
      </c>
      <c r="B11" s="70">
        <v>11777.86</v>
      </c>
      <c r="C11" s="70">
        <v>13409.63</v>
      </c>
      <c r="D11" s="70">
        <v>12597.71</v>
      </c>
      <c r="E11" s="70">
        <v>10213.049999999999</v>
      </c>
      <c r="F11" s="70">
        <v>10500</v>
      </c>
      <c r="G11" s="70">
        <v>10500</v>
      </c>
      <c r="H11" s="70">
        <v>10500</v>
      </c>
      <c r="I11" s="70">
        <v>10500</v>
      </c>
      <c r="J11" s="70">
        <v>10500</v>
      </c>
      <c r="K11" s="70">
        <v>10500</v>
      </c>
      <c r="L11" s="70">
        <v>10500</v>
      </c>
      <c r="M11" s="70">
        <v>10500</v>
      </c>
      <c r="N11" s="70">
        <f>SUM(B11:M11)</f>
        <v>131998.25</v>
      </c>
      <c r="O11" s="69" t="s">
        <v>1552</v>
      </c>
    </row>
    <row r="12" spans="1:15">
      <c r="A12" s="67" t="s">
        <v>141</v>
      </c>
      <c r="B12" s="68">
        <v>10121</v>
      </c>
      <c r="C12" s="68">
        <v>21688</v>
      </c>
      <c r="D12" s="68">
        <v>17749</v>
      </c>
      <c r="E12" s="68">
        <v>17470</v>
      </c>
      <c r="F12" s="68">
        <v>12000</v>
      </c>
      <c r="G12" s="68">
        <v>12000</v>
      </c>
      <c r="H12" s="68">
        <v>12000</v>
      </c>
      <c r="I12" s="68">
        <v>12000</v>
      </c>
      <c r="J12" s="68">
        <v>12000</v>
      </c>
      <c r="K12" s="68">
        <v>12000</v>
      </c>
      <c r="L12" s="68">
        <v>12000</v>
      </c>
      <c r="M12" s="68">
        <v>12000</v>
      </c>
      <c r="N12" s="68">
        <f>SUM(B12:M12)</f>
        <v>163028</v>
      </c>
      <c r="O12" s="67" t="s">
        <v>1552</v>
      </c>
    </row>
    <row r="13" spans="1:15">
      <c r="A13" s="69" t="s">
        <v>713</v>
      </c>
      <c r="B13" s="70">
        <v>15185.37</v>
      </c>
      <c r="C13" s="70">
        <v>3152.57</v>
      </c>
      <c r="D13" s="70">
        <v>12695.6</v>
      </c>
      <c r="E13" s="70">
        <v>21146.35</v>
      </c>
      <c r="F13" s="70">
        <f>IFERROR(AVERAGE(B13:D13),0)</f>
        <v>10344.513333333334</v>
      </c>
      <c r="G13" s="70">
        <f>IFERROR(AVERAGE(B13:D13),0)</f>
        <v>10344.513333333334</v>
      </c>
      <c r="H13" s="70">
        <f>IFERROR(AVERAGE(B13:D13),0)</f>
        <v>10344.513333333334</v>
      </c>
      <c r="I13" s="70">
        <f>IFERROR(AVERAGE(B13:D13),0)</f>
        <v>10344.513333333334</v>
      </c>
      <c r="J13" s="70">
        <f>IFERROR(AVERAGE(B13:D13),0)</f>
        <v>10344.513333333334</v>
      </c>
      <c r="K13" s="70">
        <f>IFERROR(AVERAGE(B13:D13),0)</f>
        <v>10344.513333333334</v>
      </c>
      <c r="L13" s="70">
        <f>IFERROR(AVERAGE(B13:D13),0)</f>
        <v>10344.513333333334</v>
      </c>
      <c r="M13" s="70">
        <f>IFERROR(AVERAGE(B13:D13),0)</f>
        <v>10344.513333333334</v>
      </c>
      <c r="N13" s="70">
        <f>SUM(B13:M13)</f>
        <v>134935.99666666667</v>
      </c>
      <c r="O13" s="69" t="s">
        <v>1553</v>
      </c>
    </row>
    <row r="14" spans="1:15">
      <c r="A14" s="67" t="s">
        <v>206</v>
      </c>
      <c r="B14" s="68">
        <v>11910.26</v>
      </c>
      <c r="C14" s="68">
        <v>12041.64</v>
      </c>
      <c r="D14" s="68">
        <v>12000.93</v>
      </c>
      <c r="E14" s="68">
        <v>11732.48</v>
      </c>
      <c r="F14" s="68">
        <f>IFERROR(AVERAGE(B14:D14),0)</f>
        <v>11984.276666666667</v>
      </c>
      <c r="G14" s="68">
        <f>IFERROR(AVERAGE(B14:D14),0)</f>
        <v>11984.276666666667</v>
      </c>
      <c r="H14" s="68">
        <f>IFERROR(AVERAGE(B14:D14),0)</f>
        <v>11984.276666666667</v>
      </c>
      <c r="I14" s="68">
        <f>IFERROR(AVERAGE(B14:D14),0)</f>
        <v>11984.276666666667</v>
      </c>
      <c r="J14" s="68">
        <f>IFERROR(AVERAGE(B14:D14),0)</f>
        <v>11984.276666666667</v>
      </c>
      <c r="K14" s="68">
        <f>IFERROR(AVERAGE(B14:D14),0)</f>
        <v>11984.276666666667</v>
      </c>
      <c r="L14" s="68">
        <f>IFERROR(AVERAGE(B14:D14),0)</f>
        <v>11984.276666666667</v>
      </c>
      <c r="M14" s="68">
        <f>IFERROR(AVERAGE(B14:D14),0)</f>
        <v>11984.276666666667</v>
      </c>
      <c r="N14" s="68">
        <f>SUM(B14:M14)</f>
        <v>143559.52333333335</v>
      </c>
      <c r="O14" s="67" t="s">
        <v>1554</v>
      </c>
    </row>
    <row r="15" spans="1:15">
      <c r="A15" s="69" t="s">
        <v>719</v>
      </c>
      <c r="B15" s="70">
        <v>11568.26</v>
      </c>
      <c r="C15" s="70">
        <v>11802.77</v>
      </c>
      <c r="D15" s="70">
        <v>12392.42</v>
      </c>
      <c r="E15" s="70">
        <v>9304.76</v>
      </c>
      <c r="F15" s="70">
        <f>IFERROR(AVERAGE(B15:D15),0)</f>
        <v>11921.15</v>
      </c>
      <c r="G15" s="70">
        <f>IFERROR(AVERAGE(B15:D15),0)</f>
        <v>11921.15</v>
      </c>
      <c r="H15" s="70">
        <f>IFERROR(AVERAGE(B15:D15),0)</f>
        <v>11921.15</v>
      </c>
      <c r="I15" s="70">
        <f>IFERROR(AVERAGE(B15:D15),0)</f>
        <v>11921.15</v>
      </c>
      <c r="J15" s="70">
        <f>IFERROR(AVERAGE(B15:D15),0)</f>
        <v>11921.15</v>
      </c>
      <c r="K15" s="70">
        <f>IFERROR(AVERAGE(B15:D15),0)</f>
        <v>11921.15</v>
      </c>
      <c r="L15" s="70">
        <f>IFERROR(AVERAGE(B15:D15),0)</f>
        <v>11921.15</v>
      </c>
      <c r="M15" s="70">
        <f>IFERROR(AVERAGE(B15:D15),0)</f>
        <v>11921.15</v>
      </c>
      <c r="N15" s="70">
        <f>SUM(B15:M15)</f>
        <v>140437.40999999997</v>
      </c>
      <c r="O15" s="69" t="s">
        <v>1553</v>
      </c>
    </row>
    <row r="16" spans="1:15">
      <c r="A16" s="67" t="s">
        <v>139</v>
      </c>
      <c r="B16" s="68">
        <v>10509.42</v>
      </c>
      <c r="C16" s="68">
        <v>8159.72</v>
      </c>
      <c r="D16" s="68">
        <v>10185.02</v>
      </c>
      <c r="E16" s="68">
        <v>9242.4</v>
      </c>
      <c r="F16" s="68">
        <f>IFERROR(AVERAGE(B16:D16),0)</f>
        <v>9618.0533333333333</v>
      </c>
      <c r="G16" s="68">
        <f>IFERROR(AVERAGE(B16:D16),0)</f>
        <v>9618.0533333333333</v>
      </c>
      <c r="H16" s="68">
        <f>IFERROR(AVERAGE(B16:D16),0)</f>
        <v>9618.0533333333333</v>
      </c>
      <c r="I16" s="68">
        <f>IFERROR(AVERAGE(B16:D16),0)</f>
        <v>9618.0533333333333</v>
      </c>
      <c r="J16" s="68">
        <f>IFERROR(AVERAGE(B16:D16),0)</f>
        <v>9618.0533333333333</v>
      </c>
      <c r="K16" s="68">
        <f>IFERROR(AVERAGE(B16:D16),0)</f>
        <v>9618.0533333333333</v>
      </c>
      <c r="L16" s="68">
        <f>IFERROR(AVERAGE(B16:D16),0)</f>
        <v>9618.0533333333333</v>
      </c>
      <c r="M16" s="68">
        <f>IFERROR(AVERAGE(B16:D16),0)</f>
        <v>9618.0533333333333</v>
      </c>
      <c r="N16" s="68">
        <f>SUM(B16:M16)</f>
        <v>115040.98666666663</v>
      </c>
      <c r="O16" s="67" t="s">
        <v>1554</v>
      </c>
    </row>
    <row r="17" spans="1:15">
      <c r="A17" s="69" t="s">
        <v>721</v>
      </c>
      <c r="B17" s="70">
        <v>8260</v>
      </c>
      <c r="C17" s="70">
        <v>7500</v>
      </c>
      <c r="D17" s="70">
        <v>8468</v>
      </c>
      <c r="E17" s="70">
        <v>9037</v>
      </c>
      <c r="F17" s="70">
        <f>IFERROR(AVERAGE(B17:D17),0)</f>
        <v>8076</v>
      </c>
      <c r="G17" s="70">
        <f>IFERROR(AVERAGE(B17:D17),0)</f>
        <v>8076</v>
      </c>
      <c r="H17" s="70">
        <f>IFERROR(AVERAGE(B17:D17),0)</f>
        <v>8076</v>
      </c>
      <c r="I17" s="70">
        <f>IFERROR(AVERAGE(B17:D17),0)</f>
        <v>8076</v>
      </c>
      <c r="J17" s="70">
        <f>IFERROR(AVERAGE(B17:D17),0)</f>
        <v>8076</v>
      </c>
      <c r="K17" s="70">
        <f>IFERROR(AVERAGE(B17:D17),0)</f>
        <v>8076</v>
      </c>
      <c r="L17" s="70">
        <f>IFERROR(AVERAGE(B17:D17),0)</f>
        <v>8076</v>
      </c>
      <c r="M17" s="70">
        <f>IFERROR(AVERAGE(B17:D17),0)</f>
        <v>8076</v>
      </c>
      <c r="N17" s="70">
        <f>SUM(B17:M17)</f>
        <v>97873</v>
      </c>
      <c r="O17" s="69" t="s">
        <v>1553</v>
      </c>
    </row>
    <row r="18" spans="1:15">
      <c r="A18" s="67" t="s">
        <v>720</v>
      </c>
      <c r="B18" s="68">
        <v>12000</v>
      </c>
      <c r="C18" s="68">
        <v>12000</v>
      </c>
      <c r="D18" s="68">
        <v>12000</v>
      </c>
      <c r="E18" s="68">
        <v>12000</v>
      </c>
      <c r="F18" s="68">
        <f>IFERROR(AVERAGE(B18:D18),0)</f>
        <v>12000</v>
      </c>
      <c r="G18" s="68">
        <f>IFERROR(AVERAGE(B18:D18),0)</f>
        <v>12000</v>
      </c>
      <c r="H18" s="68">
        <f>IFERROR(AVERAGE(B18:D18),0)</f>
        <v>12000</v>
      </c>
      <c r="I18" s="68">
        <f>IFERROR(AVERAGE(B18:D18),0)</f>
        <v>12000</v>
      </c>
      <c r="J18" s="68">
        <f>IFERROR(AVERAGE(B18:D18),0)</f>
        <v>12000</v>
      </c>
      <c r="K18" s="68">
        <f>IFERROR(AVERAGE(B18:D18),0)</f>
        <v>12000</v>
      </c>
      <c r="L18" s="68">
        <f>IFERROR(AVERAGE(B18:D18),0)</f>
        <v>12000</v>
      </c>
      <c r="M18" s="68">
        <f>IFERROR(AVERAGE(B18:D18),0)</f>
        <v>12000</v>
      </c>
      <c r="N18" s="68">
        <f>SUM(B18:M18)</f>
        <v>144000</v>
      </c>
      <c r="O18" s="67" t="s">
        <v>1555</v>
      </c>
    </row>
    <row r="19" spans="1:15">
      <c r="A19" s="69" t="s">
        <v>138</v>
      </c>
      <c r="B19" s="70">
        <v>5462.47</v>
      </c>
      <c r="C19" s="70">
        <v>5619.24</v>
      </c>
      <c r="D19" s="70">
        <v>4852.9799999999996</v>
      </c>
      <c r="E19" s="70">
        <v>5652.19</v>
      </c>
      <c r="F19" s="70">
        <f>IFERROR(AVERAGE(B19:D19),0)</f>
        <v>5311.5633333333326</v>
      </c>
      <c r="G19" s="70">
        <f>IFERROR(AVERAGE(B19:D19),0)</f>
        <v>5311.5633333333326</v>
      </c>
      <c r="H19" s="70">
        <f>IFERROR(AVERAGE(B19:D19),0)</f>
        <v>5311.5633333333326</v>
      </c>
      <c r="I19" s="70">
        <f>IFERROR(AVERAGE(B19:D19),0)</f>
        <v>5311.5633333333326</v>
      </c>
      <c r="J19" s="70">
        <f>IFERROR(AVERAGE(B19:D19),0)</f>
        <v>5311.5633333333326</v>
      </c>
      <c r="K19" s="70">
        <f>IFERROR(AVERAGE(B19:D19),0)</f>
        <v>5311.5633333333326</v>
      </c>
      <c r="L19" s="70">
        <f>IFERROR(AVERAGE(B19:D19),0)</f>
        <v>5311.5633333333326</v>
      </c>
      <c r="M19" s="70">
        <f>IFERROR(AVERAGE(B19:D19),0)</f>
        <v>5311.5633333333326</v>
      </c>
      <c r="N19" s="70">
        <f>SUM(B19:M19)</f>
        <v>64079.386666666651</v>
      </c>
      <c r="O19" s="69" t="s">
        <v>1553</v>
      </c>
    </row>
    <row r="20" spans="1:15">
      <c r="A20" s="67" t="s">
        <v>722</v>
      </c>
      <c r="B20" s="68">
        <v>3571.66</v>
      </c>
      <c r="C20" s="68">
        <v>4197.53</v>
      </c>
      <c r="D20" s="68">
        <v>4407.3599999999997</v>
      </c>
      <c r="E20" s="68">
        <v>3650.66</v>
      </c>
      <c r="F20" s="68">
        <f>IFERROR(AVERAGE(B20:D20),0)</f>
        <v>4058.85</v>
      </c>
      <c r="G20" s="68">
        <f>IFERROR(AVERAGE(B20:D20),0)</f>
        <v>4058.85</v>
      </c>
      <c r="H20" s="68">
        <f>IFERROR(AVERAGE(B20:D20),0)</f>
        <v>4058.85</v>
      </c>
      <c r="I20" s="68">
        <f>IFERROR(AVERAGE(B20:D20),0)</f>
        <v>4058.85</v>
      </c>
      <c r="J20" s="68">
        <f>IFERROR(AVERAGE(B20:D20),0)</f>
        <v>4058.85</v>
      </c>
      <c r="K20" s="68">
        <f>IFERROR(AVERAGE(B20:D20),0)</f>
        <v>4058.85</v>
      </c>
      <c r="L20" s="68">
        <f>IFERROR(AVERAGE(B20:D20),0)</f>
        <v>4058.85</v>
      </c>
      <c r="M20" s="68">
        <f>IFERROR(AVERAGE(B20:D20),0)</f>
        <v>4058.85</v>
      </c>
      <c r="N20" s="68">
        <f>SUM(B20:M20)</f>
        <v>48298.009999999987</v>
      </c>
      <c r="O20" s="67" t="s">
        <v>1553</v>
      </c>
    </row>
    <row r="21" spans="1:15">
      <c r="A21" s="69" t="s">
        <v>183</v>
      </c>
      <c r="B21" s="70">
        <v>3227.5</v>
      </c>
      <c r="C21" s="70">
        <v>3527.5</v>
      </c>
      <c r="D21" s="70">
        <v>9830.59</v>
      </c>
      <c r="E21" s="70">
        <v>10279.200000000001</v>
      </c>
      <c r="F21" s="70">
        <v>3500</v>
      </c>
      <c r="G21" s="70">
        <v>3500</v>
      </c>
      <c r="H21" s="70">
        <v>3500</v>
      </c>
      <c r="I21" s="70">
        <v>3500</v>
      </c>
      <c r="J21" s="70">
        <v>3500</v>
      </c>
      <c r="K21" s="70">
        <v>3500</v>
      </c>
      <c r="L21" s="70">
        <v>3500</v>
      </c>
      <c r="M21" s="70">
        <v>3500</v>
      </c>
      <c r="N21" s="70">
        <f>SUM(B21:M21)</f>
        <v>54864.79</v>
      </c>
      <c r="O21" s="69" t="s">
        <v>1552</v>
      </c>
    </row>
    <row r="22" spans="1:15">
      <c r="A22" s="67" t="s">
        <v>723</v>
      </c>
      <c r="B22" s="68">
        <v>1413.36</v>
      </c>
      <c r="C22" s="68">
        <v>405.87</v>
      </c>
      <c r="D22" s="68">
        <v>0</v>
      </c>
      <c r="E22" s="68">
        <v>524.29</v>
      </c>
      <c r="F22" s="68">
        <f>IFERROR(AVERAGE(B22:D22),0)</f>
        <v>606.41</v>
      </c>
      <c r="G22" s="68">
        <f>IFERROR(AVERAGE(B22:D22),0)</f>
        <v>606.41</v>
      </c>
      <c r="H22" s="68">
        <f>IFERROR(AVERAGE(B22:D22),0)</f>
        <v>606.41</v>
      </c>
      <c r="I22" s="68">
        <f>IFERROR(AVERAGE(B22:D22),0)</f>
        <v>606.41</v>
      </c>
      <c r="J22" s="68">
        <f>IFERROR(AVERAGE(B22:D22),0)</f>
        <v>606.41</v>
      </c>
      <c r="K22" s="68">
        <f>IFERROR(AVERAGE(B22:D22),0)</f>
        <v>606.41</v>
      </c>
      <c r="L22" s="68">
        <f>IFERROR(AVERAGE(B22:D22),0)</f>
        <v>606.41</v>
      </c>
      <c r="M22" s="68">
        <f>IFERROR(AVERAGE(B22:D22),0)</f>
        <v>606.41</v>
      </c>
      <c r="N22" s="68">
        <f>SUM(B22:M22)</f>
        <v>7194.7999999999993</v>
      </c>
      <c r="O22" s="67" t="s">
        <v>1553</v>
      </c>
    </row>
    <row r="23" spans="1:15">
      <c r="A23" s="69" t="s">
        <v>724</v>
      </c>
      <c r="B23" s="70">
        <v>5776.39</v>
      </c>
      <c r="C23" s="70">
        <v>4717.62</v>
      </c>
      <c r="D23" s="70">
        <v>4586.75</v>
      </c>
      <c r="E23" s="70">
        <v>4640.87</v>
      </c>
      <c r="F23" s="70">
        <f>IFERROR(AVERAGE(B23:D23),0)</f>
        <v>5026.92</v>
      </c>
      <c r="G23" s="70">
        <f>IFERROR(AVERAGE(B23:D23),0)</f>
        <v>5026.92</v>
      </c>
      <c r="H23" s="70">
        <f>IFERROR(AVERAGE(B23:D23),0)</f>
        <v>5026.92</v>
      </c>
      <c r="I23" s="70">
        <f>IFERROR(AVERAGE(B23:D23),0)</f>
        <v>5026.92</v>
      </c>
      <c r="J23" s="70">
        <f>IFERROR(AVERAGE(B23:D23),0)</f>
        <v>5026.92</v>
      </c>
      <c r="K23" s="70">
        <f>IFERROR(AVERAGE(B23:D23),0)</f>
        <v>5026.92</v>
      </c>
      <c r="L23" s="70">
        <f>IFERROR(AVERAGE(B23:D23),0)</f>
        <v>5026.92</v>
      </c>
      <c r="M23" s="70">
        <f>IFERROR(AVERAGE(B23:D23),0)</f>
        <v>5026.92</v>
      </c>
      <c r="N23" s="70">
        <f>SUM(B23:M23)</f>
        <v>59936.989999999991</v>
      </c>
      <c r="O23" s="69" t="s">
        <v>1553</v>
      </c>
    </row>
    <row r="24" spans="1:15">
      <c r="A24" s="67" t="s">
        <v>152</v>
      </c>
      <c r="B24" s="68">
        <v>1621</v>
      </c>
      <c r="C24" s="68">
        <v>9827.92</v>
      </c>
      <c r="D24" s="68">
        <v>2154.4899999999998</v>
      </c>
      <c r="E24" s="68">
        <v>12509.06</v>
      </c>
      <c r="F24" s="68">
        <v>1621</v>
      </c>
      <c r="G24" s="68">
        <v>1621</v>
      </c>
      <c r="H24" s="68">
        <v>1621</v>
      </c>
      <c r="I24" s="68">
        <v>1621</v>
      </c>
      <c r="J24" s="68">
        <v>1621</v>
      </c>
      <c r="K24" s="68">
        <v>1621</v>
      </c>
      <c r="L24" s="68">
        <v>1621</v>
      </c>
      <c r="M24" s="68">
        <v>1621</v>
      </c>
      <c r="N24" s="68">
        <f>SUM(B24:M24)</f>
        <v>39080.47</v>
      </c>
      <c r="O24" s="67" t="s">
        <v>1553</v>
      </c>
    </row>
    <row r="25" spans="1:15">
      <c r="A25" s="69" t="s">
        <v>725</v>
      </c>
      <c r="B25" s="70">
        <v>1996.8</v>
      </c>
      <c r="C25" s="70">
        <v>1567</v>
      </c>
      <c r="D25" s="70">
        <v>4003.78</v>
      </c>
      <c r="E25" s="70">
        <v>4646.21</v>
      </c>
      <c r="F25" s="70">
        <f>IFERROR(AVERAGE(B25:D25),0)</f>
        <v>2522.5266666666666</v>
      </c>
      <c r="G25" s="70">
        <f>IFERROR(AVERAGE(B25:D25),0)</f>
        <v>2522.5266666666666</v>
      </c>
      <c r="H25" s="70">
        <f>IFERROR(AVERAGE(B25:D25),0)</f>
        <v>2522.5266666666666</v>
      </c>
      <c r="I25" s="70">
        <f>IFERROR(AVERAGE(B25:D25),0)</f>
        <v>2522.5266666666666</v>
      </c>
      <c r="J25" s="70">
        <f>IFERROR(AVERAGE(B25:D25),0)</f>
        <v>2522.5266666666666</v>
      </c>
      <c r="K25" s="70">
        <f>IFERROR(AVERAGE(B25:D25),0)</f>
        <v>2522.5266666666666</v>
      </c>
      <c r="L25" s="70">
        <f>IFERROR(AVERAGE(B25:D25),0)</f>
        <v>2522.5266666666666</v>
      </c>
      <c r="M25" s="70">
        <f>IFERROR(AVERAGE(B25:D25),0)</f>
        <v>2522.5266666666666</v>
      </c>
      <c r="N25" s="70">
        <f>SUM(B25:M25)</f>
        <v>32394.003333333327</v>
      </c>
      <c r="O25" s="69" t="s">
        <v>1553</v>
      </c>
    </row>
    <row r="26" spans="1:15">
      <c r="A26" s="67" t="s">
        <v>99</v>
      </c>
      <c r="B26" s="68">
        <v>6327</v>
      </c>
      <c r="C26" s="68">
        <v>4782.58</v>
      </c>
      <c r="D26" s="68">
        <v>3910.29</v>
      </c>
      <c r="E26" s="68">
        <v>3708.68</v>
      </c>
      <c r="F26" s="68">
        <f>IFERROR(AVERAGE(D26:E26),0)</f>
        <v>3809.4849999999997</v>
      </c>
      <c r="G26" s="68">
        <f>F26</f>
        <v>3809.4849999999997</v>
      </c>
      <c r="H26" s="68">
        <f t="shared" ref="H26:M26" si="4">G26</f>
        <v>3809.4849999999997</v>
      </c>
      <c r="I26" s="68">
        <f t="shared" si="4"/>
        <v>3809.4849999999997</v>
      </c>
      <c r="J26" s="68">
        <f t="shared" si="4"/>
        <v>3809.4849999999997</v>
      </c>
      <c r="K26" s="68">
        <f t="shared" si="4"/>
        <v>3809.4849999999997</v>
      </c>
      <c r="L26" s="68">
        <f t="shared" si="4"/>
        <v>3809.4849999999997</v>
      </c>
      <c r="M26" s="68">
        <f t="shared" si="4"/>
        <v>3809.4849999999997</v>
      </c>
      <c r="N26" s="68">
        <f>SUM(B26:M26)</f>
        <v>49204.43</v>
      </c>
      <c r="O26" s="67" t="s">
        <v>1553</v>
      </c>
    </row>
    <row r="27" spans="1:15">
      <c r="A27" s="69" t="s">
        <v>204</v>
      </c>
      <c r="B27" s="70">
        <v>1016.14</v>
      </c>
      <c r="C27" s="70">
        <v>11.26</v>
      </c>
      <c r="D27" s="70">
        <v>6281.17</v>
      </c>
      <c r="E27" s="70">
        <v>1600.17</v>
      </c>
      <c r="F27" s="70">
        <v>1600</v>
      </c>
      <c r="G27" s="70">
        <v>1600</v>
      </c>
      <c r="H27" s="70">
        <v>1600</v>
      </c>
      <c r="I27" s="70">
        <v>1600</v>
      </c>
      <c r="J27" s="70">
        <v>1600</v>
      </c>
      <c r="K27" s="70">
        <v>1600</v>
      </c>
      <c r="L27" s="70">
        <v>1600</v>
      </c>
      <c r="M27" s="70">
        <v>1600</v>
      </c>
      <c r="N27" s="70">
        <f>SUM(B27:M27)</f>
        <v>21708.739999999998</v>
      </c>
      <c r="O27" s="69" t="s">
        <v>1551</v>
      </c>
    </row>
    <row r="28" spans="1:15">
      <c r="A28" s="67" t="s">
        <v>727</v>
      </c>
      <c r="B28" s="68">
        <v>2587.6</v>
      </c>
      <c r="C28" s="68">
        <v>2614.42</v>
      </c>
      <c r="D28" s="68">
        <v>2531.11</v>
      </c>
      <c r="E28" s="68">
        <v>2783.83</v>
      </c>
      <c r="F28" s="68">
        <f>IFERROR(AVERAGE(B28:D28),0)</f>
        <v>2577.7100000000005</v>
      </c>
      <c r="G28" s="68">
        <f>IFERROR(AVERAGE(B28:D28),0)</f>
        <v>2577.7100000000005</v>
      </c>
      <c r="H28" s="68">
        <f>IFERROR(AVERAGE(B28:D28),0)</f>
        <v>2577.7100000000005</v>
      </c>
      <c r="I28" s="68">
        <f>IFERROR(AVERAGE(B28:D28),0)</f>
        <v>2577.7100000000005</v>
      </c>
      <c r="J28" s="68">
        <f>IFERROR(AVERAGE(B28:D28),0)</f>
        <v>2577.7100000000005</v>
      </c>
      <c r="K28" s="68">
        <f>IFERROR(AVERAGE(B28:D28),0)</f>
        <v>2577.7100000000005</v>
      </c>
      <c r="L28" s="68">
        <f>IFERROR(AVERAGE(B28:D28),0)</f>
        <v>2577.7100000000005</v>
      </c>
      <c r="M28" s="68">
        <f>IFERROR(AVERAGE(B28:D28),0)</f>
        <v>2577.7100000000005</v>
      </c>
      <c r="N28" s="68">
        <f>SUM(B28:M28)</f>
        <v>31138.639999999999</v>
      </c>
      <c r="O28" s="67" t="s">
        <v>1553</v>
      </c>
    </row>
    <row r="29" spans="1:15">
      <c r="A29" s="69" t="s">
        <v>726</v>
      </c>
      <c r="B29" s="70">
        <v>4883.76</v>
      </c>
      <c r="C29" s="70">
        <v>3885.9</v>
      </c>
      <c r="D29" s="70">
        <v>4547.63</v>
      </c>
      <c r="E29" s="70">
        <v>4658.2700000000004</v>
      </c>
      <c r="F29" s="70">
        <f>IFERROR(AVERAGE(B29:D29),0)</f>
        <v>4439.0966666666673</v>
      </c>
      <c r="G29" s="70">
        <f>IFERROR(AVERAGE(B29:D29),0)</f>
        <v>4439.0966666666673</v>
      </c>
      <c r="H29" s="70">
        <f>IFERROR(AVERAGE(B29:D29),0)</f>
        <v>4439.0966666666673</v>
      </c>
      <c r="I29" s="70">
        <f>IFERROR(AVERAGE(B29:D29),0)</f>
        <v>4439.0966666666673</v>
      </c>
      <c r="J29" s="70">
        <f>IFERROR(AVERAGE(B29:D29),0)</f>
        <v>4439.0966666666673</v>
      </c>
      <c r="K29" s="70">
        <f>IFERROR(AVERAGE(B29:D29),0)</f>
        <v>4439.0966666666673</v>
      </c>
      <c r="L29" s="70">
        <f>IFERROR(AVERAGE(B29:D29),0)</f>
        <v>4439.0966666666673</v>
      </c>
      <c r="M29" s="70">
        <f>IFERROR(AVERAGE(B29:D29),0)</f>
        <v>4439.0966666666673</v>
      </c>
      <c r="N29" s="70">
        <f>SUM(B29:M29)</f>
        <v>53488.333333333328</v>
      </c>
      <c r="O29" s="69" t="s">
        <v>1553</v>
      </c>
    </row>
    <row r="30" spans="1:15">
      <c r="A30" s="67" t="s">
        <v>728</v>
      </c>
      <c r="B30" s="68">
        <v>4397.03</v>
      </c>
      <c r="C30" s="68">
        <v>4645.4399999999996</v>
      </c>
      <c r="D30" s="68">
        <v>4693.6099999999997</v>
      </c>
      <c r="E30" s="68">
        <v>4100.17</v>
      </c>
      <c r="F30" s="68">
        <f>IFERROR(AVERAGE(B30:D30),0)</f>
        <v>4578.6933333333327</v>
      </c>
      <c r="G30" s="68">
        <f>IFERROR(AVERAGE(B30:D30),0)</f>
        <v>4578.6933333333327</v>
      </c>
      <c r="H30" s="68">
        <f>IFERROR(AVERAGE(B30:D30),0)</f>
        <v>4578.6933333333327</v>
      </c>
      <c r="I30" s="68">
        <f>IFERROR(AVERAGE(B30:D30),0)</f>
        <v>4578.6933333333327</v>
      </c>
      <c r="J30" s="68">
        <f>IFERROR(AVERAGE(B30:D30),0)</f>
        <v>4578.6933333333327</v>
      </c>
      <c r="K30" s="68">
        <f>IFERROR(AVERAGE(B30:D30),0)</f>
        <v>4578.6933333333327</v>
      </c>
      <c r="L30" s="68">
        <f>IFERROR(AVERAGE(B30:D30),0)</f>
        <v>4578.6933333333327</v>
      </c>
      <c r="M30" s="68">
        <f>IFERROR(AVERAGE(B30:D30),0)</f>
        <v>4578.6933333333327</v>
      </c>
      <c r="N30" s="68">
        <f>SUM(B30:M30)</f>
        <v>54465.796666666647</v>
      </c>
      <c r="O30" s="67" t="s">
        <v>1553</v>
      </c>
    </row>
    <row r="31" spans="1:15">
      <c r="A31" s="69" t="s">
        <v>729</v>
      </c>
      <c r="B31" s="70">
        <v>2250.5300000000002</v>
      </c>
      <c r="C31" s="70">
        <v>1027.31</v>
      </c>
      <c r="D31" s="70">
        <v>2455.92</v>
      </c>
      <c r="E31" s="70">
        <v>1757.08</v>
      </c>
      <c r="F31" s="70">
        <f>IFERROR(AVERAGE(B31:D31),0)</f>
        <v>1911.2533333333333</v>
      </c>
      <c r="G31" s="70">
        <f>IFERROR(AVERAGE(B31:D31),0)</f>
        <v>1911.2533333333333</v>
      </c>
      <c r="H31" s="70">
        <f>IFERROR(AVERAGE(B31:D31),0)</f>
        <v>1911.2533333333333</v>
      </c>
      <c r="I31" s="70">
        <f>IFERROR(AVERAGE(B31:D31),0)</f>
        <v>1911.2533333333333</v>
      </c>
      <c r="J31" s="70">
        <f>IFERROR(AVERAGE(B31:D31),0)</f>
        <v>1911.2533333333333</v>
      </c>
      <c r="K31" s="70">
        <f>IFERROR(AVERAGE(B31:D31),0)</f>
        <v>1911.2533333333333</v>
      </c>
      <c r="L31" s="70">
        <f>IFERROR(AVERAGE(B31:D31),0)</f>
        <v>1911.2533333333333</v>
      </c>
      <c r="M31" s="70">
        <f>IFERROR(AVERAGE(B31:D31),0)</f>
        <v>1911.2533333333333</v>
      </c>
      <c r="N31" s="70">
        <f>SUM(B31:M31)</f>
        <v>22780.866666666672</v>
      </c>
      <c r="O31" s="69" t="s">
        <v>1553</v>
      </c>
    </row>
    <row r="32" spans="1:15">
      <c r="A32" s="67" t="s">
        <v>731</v>
      </c>
      <c r="B32" s="68">
        <v>0</v>
      </c>
      <c r="C32" s="68">
        <v>0</v>
      </c>
      <c r="D32" s="68">
        <v>0</v>
      </c>
      <c r="E32" s="68">
        <v>0</v>
      </c>
      <c r="F32" s="68">
        <f>IFERROR(AVERAGE(B32:D32),0)</f>
        <v>0</v>
      </c>
      <c r="G32" s="68">
        <f>IFERROR(AVERAGE(B32:D32),0)</f>
        <v>0</v>
      </c>
      <c r="H32" s="68">
        <f>IFERROR(AVERAGE(B32:D32),0)</f>
        <v>0</v>
      </c>
      <c r="I32" s="68">
        <f>IFERROR(AVERAGE(B32:D32),0)</f>
        <v>0</v>
      </c>
      <c r="J32" s="68">
        <f>IFERROR(AVERAGE(B32:D32),0)</f>
        <v>0</v>
      </c>
      <c r="K32" s="68">
        <f>IFERROR(AVERAGE(B32:D32),0)</f>
        <v>0</v>
      </c>
      <c r="L32" s="68">
        <f>IFERROR(AVERAGE(B32:D32),0)</f>
        <v>0</v>
      </c>
      <c r="M32" s="68">
        <f>IFERROR(AVERAGE(B32:D32),0)</f>
        <v>0</v>
      </c>
      <c r="N32" s="68">
        <f>SUM(B32:M32)</f>
        <v>0</v>
      </c>
      <c r="O32" s="67" t="s">
        <v>1556</v>
      </c>
    </row>
    <row r="33" spans="1:15">
      <c r="A33" s="69" t="s">
        <v>730</v>
      </c>
      <c r="B33" s="70">
        <v>2243.96</v>
      </c>
      <c r="C33" s="70">
        <v>1000</v>
      </c>
      <c r="D33" s="70">
        <v>3318</v>
      </c>
      <c r="E33" s="70">
        <v>1726.91</v>
      </c>
      <c r="F33" s="70">
        <v>2000</v>
      </c>
      <c r="G33" s="70">
        <v>2000</v>
      </c>
      <c r="H33" s="70">
        <v>2000</v>
      </c>
      <c r="I33" s="70">
        <v>2000</v>
      </c>
      <c r="J33" s="70">
        <v>2000</v>
      </c>
      <c r="K33" s="70">
        <v>2000</v>
      </c>
      <c r="L33" s="70">
        <v>2000</v>
      </c>
      <c r="M33" s="70">
        <v>2000</v>
      </c>
      <c r="N33" s="70">
        <f>SUM(B33:M33)</f>
        <v>24288.870000000003</v>
      </c>
      <c r="O33" s="69" t="s">
        <v>1552</v>
      </c>
    </row>
    <row r="34" spans="1:15">
      <c r="A34" s="67" t="s">
        <v>672</v>
      </c>
      <c r="B34" s="68">
        <v>3060.22</v>
      </c>
      <c r="C34" s="68">
        <v>1621</v>
      </c>
      <c r="D34" s="68">
        <v>1628.5</v>
      </c>
      <c r="E34" s="68">
        <v>1646</v>
      </c>
      <c r="F34" s="68">
        <v>1646</v>
      </c>
      <c r="G34" s="68">
        <v>1646</v>
      </c>
      <c r="H34" s="68">
        <v>1646</v>
      </c>
      <c r="I34" s="68">
        <v>1646</v>
      </c>
      <c r="J34" s="68">
        <v>1646</v>
      </c>
      <c r="K34" s="68">
        <v>1646</v>
      </c>
      <c r="L34" s="68">
        <v>1646</v>
      </c>
      <c r="M34" s="68">
        <v>1646</v>
      </c>
      <c r="N34" s="68">
        <f>SUM(B34:M34)</f>
        <v>21123.72</v>
      </c>
      <c r="O34" s="67" t="s">
        <v>1551</v>
      </c>
    </row>
    <row r="35" spans="1:15">
      <c r="A35" s="69" t="s">
        <v>140</v>
      </c>
      <c r="B35" s="70">
        <v>1500</v>
      </c>
      <c r="C35" s="70">
        <v>2535.42</v>
      </c>
      <c r="D35" s="70">
        <v>1792</v>
      </c>
      <c r="E35" s="70">
        <v>1859.64</v>
      </c>
      <c r="F35" s="70">
        <f>IFERROR(AVERAGE(B35:D35),0)</f>
        <v>1942.4733333333334</v>
      </c>
      <c r="G35" s="70">
        <f>IFERROR(AVERAGE(B35:D35),0)</f>
        <v>1942.4733333333334</v>
      </c>
      <c r="H35" s="70">
        <f>IFERROR(AVERAGE(B35:D35),0)</f>
        <v>1942.4733333333334</v>
      </c>
      <c r="I35" s="70">
        <f>IFERROR(AVERAGE(B35:D35),0)</f>
        <v>1942.4733333333334</v>
      </c>
      <c r="J35" s="70">
        <f>IFERROR(AVERAGE(B35:D35),0)</f>
        <v>1942.4733333333334</v>
      </c>
      <c r="K35" s="70">
        <f>IFERROR(AVERAGE(B35:D35),0)</f>
        <v>1942.4733333333334</v>
      </c>
      <c r="L35" s="70">
        <f>IFERROR(AVERAGE(B35:D35),0)</f>
        <v>1942.4733333333334</v>
      </c>
      <c r="M35" s="70">
        <f>IFERROR(AVERAGE(B35:D35),0)</f>
        <v>1942.4733333333334</v>
      </c>
      <c r="N35" s="70">
        <f>SUM(B35:M35)</f>
        <v>23226.846666666672</v>
      </c>
      <c r="O35" s="69" t="s">
        <v>1553</v>
      </c>
    </row>
    <row r="36" spans="1:15">
      <c r="A36" s="67" t="s">
        <v>558</v>
      </c>
      <c r="B36" s="68">
        <v>1721.21</v>
      </c>
      <c r="C36" s="68">
        <v>1708.28</v>
      </c>
      <c r="D36" s="68">
        <v>188.61</v>
      </c>
      <c r="E36" s="68">
        <v>1818.99</v>
      </c>
      <c r="F36" s="68">
        <f>IFERROR(AVERAGE(B36:D36),0)</f>
        <v>1206.0333333333333</v>
      </c>
      <c r="G36" s="68">
        <f>IFERROR(AVERAGE(B36:D36),0)</f>
        <v>1206.0333333333333</v>
      </c>
      <c r="H36" s="68">
        <f>IFERROR(AVERAGE(B36:D36),0)</f>
        <v>1206.0333333333333</v>
      </c>
      <c r="I36" s="68">
        <f>IFERROR(AVERAGE(B36:D36),0)</f>
        <v>1206.0333333333333</v>
      </c>
      <c r="J36" s="68">
        <f>IFERROR(AVERAGE(B36:D36),0)</f>
        <v>1206.0333333333333</v>
      </c>
      <c r="K36" s="68">
        <f>IFERROR(AVERAGE(B36:D36),0)</f>
        <v>1206.0333333333333</v>
      </c>
      <c r="L36" s="68">
        <f>IFERROR(AVERAGE(B36:D36),0)</f>
        <v>1206.0333333333333</v>
      </c>
      <c r="M36" s="68">
        <f>IFERROR(AVERAGE(B36:D36),0)</f>
        <v>1206.0333333333333</v>
      </c>
      <c r="N36" s="68">
        <f>SUM(B36:M36)</f>
        <v>15085.356666666663</v>
      </c>
      <c r="O36" s="67" t="s">
        <v>1553</v>
      </c>
    </row>
    <row r="37" spans="1:15">
      <c r="A37" s="69" t="s">
        <v>732</v>
      </c>
      <c r="B37" s="70">
        <v>2707.76</v>
      </c>
      <c r="C37" s="70">
        <v>0</v>
      </c>
      <c r="D37" s="70">
        <v>1125.5899999999999</v>
      </c>
      <c r="E37" s="70">
        <v>864.88</v>
      </c>
      <c r="F37" s="70">
        <v>1100</v>
      </c>
      <c r="G37" s="70">
        <v>1100</v>
      </c>
      <c r="H37" s="70">
        <v>1100</v>
      </c>
      <c r="I37" s="70">
        <v>1100</v>
      </c>
      <c r="J37" s="70">
        <v>1100</v>
      </c>
      <c r="K37" s="70">
        <v>1100</v>
      </c>
      <c r="L37" s="70">
        <v>1100</v>
      </c>
      <c r="M37" s="70">
        <v>1100</v>
      </c>
      <c r="N37" s="70">
        <f>SUM(B37:M37)</f>
        <v>13498.23</v>
      </c>
      <c r="O37" s="69" t="s">
        <v>1552</v>
      </c>
    </row>
    <row r="38" spans="1:15">
      <c r="A38" s="67" t="s">
        <v>384</v>
      </c>
      <c r="B38" s="68">
        <v>390</v>
      </c>
      <c r="C38" s="68">
        <v>431.59</v>
      </c>
      <c r="D38" s="68">
        <v>390</v>
      </c>
      <c r="E38" s="68">
        <v>233.3</v>
      </c>
      <c r="F38" s="68">
        <f>IFERROR(AVERAGE(B38:D38),0)</f>
        <v>403.86333333333329</v>
      </c>
      <c r="G38" s="68">
        <f>IFERROR(AVERAGE(B38:D38),0)</f>
        <v>403.86333333333329</v>
      </c>
      <c r="H38" s="68">
        <f>IFERROR(AVERAGE(B38:D38),0)</f>
        <v>403.86333333333329</v>
      </c>
      <c r="I38" s="68">
        <f>IFERROR(AVERAGE(B38:D38),0)</f>
        <v>403.86333333333329</v>
      </c>
      <c r="J38" s="68">
        <f>IFERROR(AVERAGE(B38:D38),0)</f>
        <v>403.86333333333329</v>
      </c>
      <c r="K38" s="68">
        <f>IFERROR(AVERAGE(B38:D38),0)</f>
        <v>403.86333333333329</v>
      </c>
      <c r="L38" s="68">
        <f>IFERROR(AVERAGE(B38:D38),0)</f>
        <v>403.86333333333329</v>
      </c>
      <c r="M38" s="68">
        <f>IFERROR(AVERAGE(B38:D38),0)</f>
        <v>403.86333333333329</v>
      </c>
      <c r="N38" s="68">
        <f>SUM(B38:M38)</f>
        <v>4675.7966666666662</v>
      </c>
      <c r="O38" s="67" t="s">
        <v>1553</v>
      </c>
    </row>
    <row r="39" spans="1:15">
      <c r="A39" s="69" t="s">
        <v>733</v>
      </c>
      <c r="B39" s="70">
        <v>957.55</v>
      </c>
      <c r="C39" s="70">
        <v>1679.83</v>
      </c>
      <c r="D39" s="70">
        <v>1000.46</v>
      </c>
      <c r="E39" s="70">
        <v>1480.37</v>
      </c>
      <c r="F39" s="70">
        <f>IFERROR(AVERAGE(B39:D39),0)</f>
        <v>1212.6133333333335</v>
      </c>
      <c r="G39" s="70">
        <f>IFERROR(AVERAGE(B39:D39),0)</f>
        <v>1212.6133333333335</v>
      </c>
      <c r="H39" s="70">
        <f>IFERROR(AVERAGE(B39:D39),0)</f>
        <v>1212.6133333333335</v>
      </c>
      <c r="I39" s="70">
        <f>IFERROR(AVERAGE(B39:D39),0)</f>
        <v>1212.6133333333335</v>
      </c>
      <c r="J39" s="70">
        <f>IFERROR(AVERAGE(B39:D39),0)</f>
        <v>1212.6133333333335</v>
      </c>
      <c r="K39" s="70">
        <f>IFERROR(AVERAGE(B39:D39),0)</f>
        <v>1212.6133333333335</v>
      </c>
      <c r="L39" s="70">
        <f>IFERROR(AVERAGE(B39:D39),0)</f>
        <v>1212.6133333333335</v>
      </c>
      <c r="M39" s="70">
        <f>IFERROR(AVERAGE(B39:D39),0)</f>
        <v>1212.6133333333335</v>
      </c>
      <c r="N39" s="70">
        <f>SUM(B39:M39)</f>
        <v>14819.116666666665</v>
      </c>
      <c r="O39" s="69" t="s">
        <v>1553</v>
      </c>
    </row>
    <row r="40" spans="1:15">
      <c r="A40" s="67" t="s">
        <v>734</v>
      </c>
      <c r="B40" s="68">
        <v>900</v>
      </c>
      <c r="C40" s="68">
        <v>900</v>
      </c>
      <c r="D40" s="68">
        <v>900</v>
      </c>
      <c r="E40" s="68">
        <v>900</v>
      </c>
      <c r="F40" s="68">
        <f>IFERROR(AVERAGE(B40:D40),0)</f>
        <v>900</v>
      </c>
      <c r="G40" s="68">
        <f>IFERROR(AVERAGE(B40:D40),0)</f>
        <v>900</v>
      </c>
      <c r="H40" s="68">
        <f>IFERROR(AVERAGE(B40:D40),0)</f>
        <v>900</v>
      </c>
      <c r="I40" s="68">
        <f>IFERROR(AVERAGE(B40:D40),0)</f>
        <v>900</v>
      </c>
      <c r="J40" s="68">
        <f>IFERROR(AVERAGE(B40:D40),0)</f>
        <v>900</v>
      </c>
      <c r="K40" s="68">
        <f>IFERROR(AVERAGE(B40:D40),0)</f>
        <v>900</v>
      </c>
      <c r="L40" s="68">
        <f>IFERROR(AVERAGE(B40:D40),0)</f>
        <v>900</v>
      </c>
      <c r="M40" s="68">
        <f>IFERROR(AVERAGE(B40:D40),0)</f>
        <v>900</v>
      </c>
      <c r="N40" s="68">
        <f>SUM(B40:M40)</f>
        <v>10800</v>
      </c>
      <c r="O40" s="67" t="s">
        <v>1555</v>
      </c>
    </row>
    <row r="41" spans="1:15">
      <c r="A41" s="69" t="s">
        <v>398</v>
      </c>
      <c r="B41" s="70">
        <v>0</v>
      </c>
      <c r="C41" s="70">
        <v>180</v>
      </c>
      <c r="D41" s="70">
        <v>99</v>
      </c>
      <c r="E41" s="70">
        <v>500</v>
      </c>
      <c r="F41" s="70">
        <f>IFERROR(AVERAGE(B41:D41),0)</f>
        <v>93</v>
      </c>
      <c r="G41" s="70">
        <f>IFERROR(AVERAGE(B41:D41),0)</f>
        <v>93</v>
      </c>
      <c r="H41" s="70">
        <f>IFERROR(AVERAGE(B41:D41),0)</f>
        <v>93</v>
      </c>
      <c r="I41" s="70">
        <f>IFERROR(AVERAGE(B41:D41),0)</f>
        <v>93</v>
      </c>
      <c r="J41" s="70">
        <f>IFERROR(AVERAGE(B41:D41),0)</f>
        <v>93</v>
      </c>
      <c r="K41" s="70">
        <f>IFERROR(AVERAGE(B41:D41),0)</f>
        <v>93</v>
      </c>
      <c r="L41" s="70">
        <f>IFERROR(AVERAGE(B41:D41),0)</f>
        <v>93</v>
      </c>
      <c r="M41" s="70">
        <f>IFERROR(AVERAGE(B41:D41),0)</f>
        <v>93</v>
      </c>
      <c r="N41" s="70">
        <f>SUM(B41:M41)</f>
        <v>1523</v>
      </c>
      <c r="O41" s="69" t="s">
        <v>1553</v>
      </c>
    </row>
    <row r="42" spans="1:15">
      <c r="A42" s="67" t="s">
        <v>270</v>
      </c>
      <c r="B42" s="68">
        <v>2333</v>
      </c>
      <c r="C42" s="68">
        <v>3331</v>
      </c>
      <c r="D42" s="68">
        <v>3841.22</v>
      </c>
      <c r="E42" s="68">
        <v>3044.73</v>
      </c>
      <c r="F42" s="68">
        <f>IFERROR(AVERAGE(B42:D42),0)</f>
        <v>3168.4066666666663</v>
      </c>
      <c r="G42" s="68">
        <f>IFERROR(AVERAGE(B42:D42),0)</f>
        <v>3168.4066666666663</v>
      </c>
      <c r="H42" s="68">
        <f>IFERROR(AVERAGE(B42:D42),0)</f>
        <v>3168.4066666666663</v>
      </c>
      <c r="I42" s="68">
        <f>IFERROR(AVERAGE(B42:D42),0)</f>
        <v>3168.4066666666663</v>
      </c>
      <c r="J42" s="68">
        <f>IFERROR(AVERAGE(B42:D42),0)</f>
        <v>3168.4066666666663</v>
      </c>
      <c r="K42" s="68">
        <f>IFERROR(AVERAGE(B42:D42),0)</f>
        <v>3168.4066666666663</v>
      </c>
      <c r="L42" s="68">
        <f>IFERROR(AVERAGE(B42:D42),0)</f>
        <v>3168.4066666666663</v>
      </c>
      <c r="M42" s="68">
        <f>IFERROR(AVERAGE(B42:D42),0)</f>
        <v>3168.4066666666663</v>
      </c>
      <c r="N42" s="68">
        <f>SUM(B42:M42)</f>
        <v>37897.203333333331</v>
      </c>
      <c r="O42" s="67" t="s">
        <v>1554</v>
      </c>
    </row>
    <row r="43" spans="1:15">
      <c r="A43" s="69" t="s">
        <v>438</v>
      </c>
      <c r="B43" s="70">
        <v>0</v>
      </c>
      <c r="C43" s="70">
        <v>297.5</v>
      </c>
      <c r="D43" s="70">
        <v>39.840000000000003</v>
      </c>
      <c r="E43" s="70">
        <v>75</v>
      </c>
      <c r="F43" s="70">
        <f>IFERROR(AVERAGE(B43:D43),0)</f>
        <v>112.44666666666667</v>
      </c>
      <c r="G43" s="70">
        <f>IFERROR(AVERAGE(B43:D43),0)</f>
        <v>112.44666666666667</v>
      </c>
      <c r="H43" s="70">
        <f>IFERROR(AVERAGE(B43:D43),0)</f>
        <v>112.44666666666667</v>
      </c>
      <c r="I43" s="70">
        <f>IFERROR(AVERAGE(B43:D43),0)</f>
        <v>112.44666666666667</v>
      </c>
      <c r="J43" s="70">
        <f>IFERROR(AVERAGE(B43:D43),0)</f>
        <v>112.44666666666667</v>
      </c>
      <c r="K43" s="70">
        <f>IFERROR(AVERAGE(B43:D43),0)</f>
        <v>112.44666666666667</v>
      </c>
      <c r="L43" s="70">
        <f>IFERROR(AVERAGE(B43:D43),0)</f>
        <v>112.44666666666667</v>
      </c>
      <c r="M43" s="70">
        <f>IFERROR(AVERAGE(B43:D43),0)</f>
        <v>112.44666666666667</v>
      </c>
      <c r="N43" s="70">
        <f>SUM(B43:M43)</f>
        <v>1311.9133333333336</v>
      </c>
      <c r="O43" s="69" t="s">
        <v>1553</v>
      </c>
    </row>
    <row r="44" spans="1:15">
      <c r="A44" s="67" t="s">
        <v>736</v>
      </c>
      <c r="B44" s="68">
        <v>883.85</v>
      </c>
      <c r="C44" s="68">
        <v>879.97</v>
      </c>
      <c r="D44" s="68">
        <v>1159.04</v>
      </c>
      <c r="E44" s="68">
        <v>1884.97</v>
      </c>
      <c r="F44" s="68">
        <f>IFERROR(AVERAGE(B44:D44),0)</f>
        <v>974.28666666666675</v>
      </c>
      <c r="G44" s="68">
        <f>IFERROR(AVERAGE(B44:D44),0)</f>
        <v>974.28666666666675</v>
      </c>
      <c r="H44" s="68">
        <f>IFERROR(AVERAGE(B44:D44),0)</f>
        <v>974.28666666666675</v>
      </c>
      <c r="I44" s="68">
        <f>IFERROR(AVERAGE(B44:D44),0)</f>
        <v>974.28666666666675</v>
      </c>
      <c r="J44" s="68">
        <f>IFERROR(AVERAGE(B44:D44),0)</f>
        <v>974.28666666666675</v>
      </c>
      <c r="K44" s="68">
        <f>IFERROR(AVERAGE(B44:D44),0)</f>
        <v>974.28666666666675</v>
      </c>
      <c r="L44" s="68">
        <f>IFERROR(AVERAGE(B44:D44),0)</f>
        <v>974.28666666666675</v>
      </c>
      <c r="M44" s="68">
        <f>IFERROR(AVERAGE(B44:D44),0)</f>
        <v>974.28666666666675</v>
      </c>
      <c r="N44" s="68">
        <f>SUM(B44:M44)</f>
        <v>12602.123333333335</v>
      </c>
      <c r="O44" s="67" t="s">
        <v>1553</v>
      </c>
    </row>
    <row r="45" spans="1:15">
      <c r="A45" s="69" t="s">
        <v>483</v>
      </c>
      <c r="B45" s="70">
        <v>485.02</v>
      </c>
      <c r="C45" s="70">
        <v>108.49</v>
      </c>
      <c r="D45" s="70">
        <v>1322.35</v>
      </c>
      <c r="E45" s="70">
        <v>826.86</v>
      </c>
      <c r="F45" s="70">
        <f>IFERROR(AVERAGE(B45:D45),0)</f>
        <v>638.62</v>
      </c>
      <c r="G45" s="70">
        <f>IFERROR(AVERAGE(B45:D45),0)</f>
        <v>638.62</v>
      </c>
      <c r="H45" s="70">
        <f>IFERROR(AVERAGE(B45:D45),0)</f>
        <v>638.62</v>
      </c>
      <c r="I45" s="70">
        <f>IFERROR(AVERAGE(B45:D45),0)</f>
        <v>638.62</v>
      </c>
      <c r="J45" s="70">
        <f>IFERROR(AVERAGE(B45:D45),0)</f>
        <v>638.62</v>
      </c>
      <c r="K45" s="70">
        <f>IFERROR(AVERAGE(B45:D45),0)</f>
        <v>638.62</v>
      </c>
      <c r="L45" s="70">
        <f>IFERROR(AVERAGE(B45:D45),0)</f>
        <v>638.62</v>
      </c>
      <c r="M45" s="70">
        <f>IFERROR(AVERAGE(B45:D45),0)</f>
        <v>638.62</v>
      </c>
      <c r="N45" s="70">
        <f>SUM(B45:M45)</f>
        <v>7851.6799999999994</v>
      </c>
      <c r="O45" s="69" t="s">
        <v>1553</v>
      </c>
    </row>
    <row r="46" spans="1:15">
      <c r="A46" s="67" t="s">
        <v>735</v>
      </c>
      <c r="B46" s="68">
        <v>605</v>
      </c>
      <c r="C46" s="68">
        <v>605</v>
      </c>
      <c r="D46" s="68">
        <v>605</v>
      </c>
      <c r="E46" s="68">
        <v>605</v>
      </c>
      <c r="F46" s="68">
        <f>IFERROR(AVERAGE(B46:D46),0)</f>
        <v>605</v>
      </c>
      <c r="G46" s="68">
        <f>IFERROR(AVERAGE(B46:D46),0)</f>
        <v>605</v>
      </c>
      <c r="H46" s="68">
        <f>IFERROR(AVERAGE(B46:D46),0)</f>
        <v>605</v>
      </c>
      <c r="I46" s="68">
        <f>IFERROR(AVERAGE(B46:D46),0)</f>
        <v>605</v>
      </c>
      <c r="J46" s="68">
        <f>IFERROR(AVERAGE(B46:D46),0)</f>
        <v>605</v>
      </c>
      <c r="K46" s="68">
        <f>IFERROR(AVERAGE(B46:D46),0)</f>
        <v>605</v>
      </c>
      <c r="L46" s="68">
        <f>IFERROR(AVERAGE(B46:D46),0)</f>
        <v>605</v>
      </c>
      <c r="M46" s="68">
        <f>IFERROR(AVERAGE(B46:D46),0)</f>
        <v>605</v>
      </c>
      <c r="N46" s="68">
        <f>SUM(B46:M46)</f>
        <v>7260</v>
      </c>
      <c r="O46" s="67" t="s">
        <v>1555</v>
      </c>
    </row>
    <row r="47" spans="1:15">
      <c r="A47" s="69" t="s">
        <v>738</v>
      </c>
      <c r="B47" s="70">
        <v>1750</v>
      </c>
      <c r="C47" s="70">
        <v>358.15</v>
      </c>
      <c r="D47" s="70">
        <v>0</v>
      </c>
      <c r="E47" s="70">
        <v>1900</v>
      </c>
      <c r="F47" s="70">
        <f>IFERROR(AVERAGE(B47:D47),0)</f>
        <v>702.7166666666667</v>
      </c>
      <c r="G47" s="70">
        <f>IFERROR(AVERAGE(B47:D47),0)</f>
        <v>702.7166666666667</v>
      </c>
      <c r="H47" s="70">
        <f>IFERROR(AVERAGE(B47:D47),0)</f>
        <v>702.7166666666667</v>
      </c>
      <c r="I47" s="70">
        <f>IFERROR(AVERAGE(B47:D47),0)</f>
        <v>702.7166666666667</v>
      </c>
      <c r="J47" s="70">
        <f>IFERROR(AVERAGE(B47:D47),0)</f>
        <v>702.7166666666667</v>
      </c>
      <c r="K47" s="70">
        <f>IFERROR(AVERAGE(B47:D47),0)</f>
        <v>702.7166666666667</v>
      </c>
      <c r="L47" s="70">
        <f>IFERROR(AVERAGE(B47:D47),0)</f>
        <v>702.7166666666667</v>
      </c>
      <c r="M47" s="70">
        <f>IFERROR(AVERAGE(B47:D47),0)</f>
        <v>702.7166666666667</v>
      </c>
      <c r="N47" s="70">
        <f>SUM(B47:M47)</f>
        <v>9629.8833333333369</v>
      </c>
      <c r="O47" s="69" t="s">
        <v>1553</v>
      </c>
    </row>
    <row r="48" spans="1:15">
      <c r="A48" s="67" t="s">
        <v>739</v>
      </c>
      <c r="B48" s="68">
        <v>0</v>
      </c>
      <c r="C48" s="68">
        <v>0</v>
      </c>
      <c r="D48" s="68">
        <v>0</v>
      </c>
      <c r="E48" s="68">
        <v>0</v>
      </c>
      <c r="F48" s="68">
        <f>IFERROR(AVERAGE(B48:D48),0)</f>
        <v>0</v>
      </c>
      <c r="G48" s="68">
        <f>IFERROR(AVERAGE(B48:D48),0)</f>
        <v>0</v>
      </c>
      <c r="H48" s="68">
        <f>IFERROR(AVERAGE(B48:D48),0)</f>
        <v>0</v>
      </c>
      <c r="I48" s="68">
        <f>IFERROR(AVERAGE(B48:D48),0)</f>
        <v>0</v>
      </c>
      <c r="J48" s="68">
        <f>IFERROR(AVERAGE(B48:D48),0)</f>
        <v>0</v>
      </c>
      <c r="K48" s="68">
        <f>IFERROR(AVERAGE(B48:D48),0)</f>
        <v>0</v>
      </c>
      <c r="L48" s="68">
        <f>IFERROR(AVERAGE(B48:D48),0)</f>
        <v>0</v>
      </c>
      <c r="M48" s="68">
        <f>IFERROR(AVERAGE(B48:D48),0)</f>
        <v>0</v>
      </c>
      <c r="N48" s="68">
        <f>SUM(B48:M48)</f>
        <v>0</v>
      </c>
      <c r="O48" s="67" t="s">
        <v>1556</v>
      </c>
    </row>
    <row r="49" spans="1:15">
      <c r="A49" s="69" t="s">
        <v>710</v>
      </c>
      <c r="B49" s="70">
        <v>60</v>
      </c>
      <c r="C49" s="70">
        <v>0</v>
      </c>
      <c r="D49" s="70">
        <v>6</v>
      </c>
      <c r="E49" s="70">
        <v>0</v>
      </c>
      <c r="F49" s="70">
        <f>IFERROR(AVERAGE(B49:D49),0)</f>
        <v>22</v>
      </c>
      <c r="G49" s="70">
        <f>IFERROR(AVERAGE(B49:D49),0)</f>
        <v>22</v>
      </c>
      <c r="H49" s="70">
        <f>IFERROR(AVERAGE(B49:D49),0)</f>
        <v>22</v>
      </c>
      <c r="I49" s="70">
        <f>IFERROR(AVERAGE(B49:D49),0)</f>
        <v>22</v>
      </c>
      <c r="J49" s="70">
        <f>IFERROR(AVERAGE(B49:D49),0)</f>
        <v>22</v>
      </c>
      <c r="K49" s="70">
        <f>IFERROR(AVERAGE(B49:D49),0)</f>
        <v>22</v>
      </c>
      <c r="L49" s="70">
        <f>IFERROR(AVERAGE(B49:D49),0)</f>
        <v>22</v>
      </c>
      <c r="M49" s="70">
        <f>IFERROR(AVERAGE(B49:D49),0)</f>
        <v>22</v>
      </c>
      <c r="N49" s="70">
        <f>SUM(B49:M49)</f>
        <v>242</v>
      </c>
      <c r="O49" s="69" t="s">
        <v>1553</v>
      </c>
    </row>
    <row r="50" spans="1:15">
      <c r="A50" s="67" t="s">
        <v>737</v>
      </c>
      <c r="B50" s="68">
        <v>1249.06</v>
      </c>
      <c r="C50" s="68">
        <v>2836.36</v>
      </c>
      <c r="D50" s="68">
        <v>1498.68</v>
      </c>
      <c r="E50" s="68">
        <v>1616.68</v>
      </c>
      <c r="F50" s="68">
        <f>IFERROR(AVERAGE(B50:D50),0)</f>
        <v>1861.3666666666668</v>
      </c>
      <c r="G50" s="68">
        <f>IFERROR(AVERAGE(B50:D50),0)</f>
        <v>1861.3666666666668</v>
      </c>
      <c r="H50" s="68">
        <f>IFERROR(AVERAGE(B50:D50),0)</f>
        <v>1861.3666666666668</v>
      </c>
      <c r="I50" s="68">
        <f>IFERROR(AVERAGE(B50:D50),0)</f>
        <v>1861.3666666666668</v>
      </c>
      <c r="J50" s="68">
        <f>IFERROR(AVERAGE(B50:D50),0)</f>
        <v>1861.3666666666668</v>
      </c>
      <c r="K50" s="68">
        <f>IFERROR(AVERAGE(B50:D50),0)</f>
        <v>1861.3666666666668</v>
      </c>
      <c r="L50" s="68">
        <f>IFERROR(AVERAGE(B50:D50),0)</f>
        <v>1861.3666666666668</v>
      </c>
      <c r="M50" s="68">
        <f>IFERROR(AVERAGE(B50:D50),0)</f>
        <v>1861.3666666666668</v>
      </c>
      <c r="N50" s="68">
        <f>SUM(B50:M50)</f>
        <v>22091.71333333334</v>
      </c>
      <c r="O50" s="67" t="s">
        <v>1553</v>
      </c>
    </row>
    <row r="51" spans="1:15">
      <c r="A51" s="69" t="s">
        <v>693</v>
      </c>
      <c r="B51" s="70">
        <v>550</v>
      </c>
      <c r="C51" s="70">
        <v>550</v>
      </c>
      <c r="D51" s="70">
        <v>550</v>
      </c>
      <c r="E51" s="70">
        <v>550</v>
      </c>
      <c r="F51" s="70">
        <f>IFERROR(AVERAGE(B51:D51),0)</f>
        <v>550</v>
      </c>
      <c r="G51" s="70">
        <f>IFERROR(AVERAGE(B51:D51),0)</f>
        <v>550</v>
      </c>
      <c r="H51" s="70">
        <f>IFERROR(AVERAGE(B51:D51),0)</f>
        <v>550</v>
      </c>
      <c r="I51" s="70">
        <f>IFERROR(AVERAGE(B51:D51),0)</f>
        <v>550</v>
      </c>
      <c r="J51" s="70">
        <f>IFERROR(AVERAGE(B51:D51),0)</f>
        <v>550</v>
      </c>
      <c r="K51" s="70">
        <f>IFERROR(AVERAGE(B51:D51),0)</f>
        <v>550</v>
      </c>
      <c r="L51" s="70">
        <f>IFERROR(AVERAGE(B51:D51),0)</f>
        <v>550</v>
      </c>
      <c r="M51" s="70">
        <f>IFERROR(AVERAGE(B51:D51),0)</f>
        <v>550</v>
      </c>
      <c r="N51" s="70">
        <f>SUM(B51:M51)</f>
        <v>6600</v>
      </c>
      <c r="O51" s="69" t="s">
        <v>1555</v>
      </c>
    </row>
    <row r="52" spans="1:15">
      <c r="A52" s="67" t="s">
        <v>452</v>
      </c>
      <c r="B52" s="68">
        <v>387</v>
      </c>
      <c r="C52" s="68">
        <v>537.48</v>
      </c>
      <c r="D52" s="68">
        <v>208</v>
      </c>
      <c r="E52" s="68">
        <v>248</v>
      </c>
      <c r="F52" s="68">
        <f>IFERROR(AVERAGE(B52:D52),0)</f>
        <v>377.49333333333334</v>
      </c>
      <c r="G52" s="68">
        <f>IFERROR(AVERAGE(B52:D52),0)</f>
        <v>377.49333333333334</v>
      </c>
      <c r="H52" s="68">
        <f>IFERROR(AVERAGE(B52:D52),0)</f>
        <v>377.49333333333334</v>
      </c>
      <c r="I52" s="68">
        <f>IFERROR(AVERAGE(B52:D52),0)</f>
        <v>377.49333333333334</v>
      </c>
      <c r="J52" s="68">
        <f>IFERROR(AVERAGE(B52:D52),0)</f>
        <v>377.49333333333334</v>
      </c>
      <c r="K52" s="68">
        <f>IFERROR(AVERAGE(B52:D52),0)</f>
        <v>377.49333333333334</v>
      </c>
      <c r="L52" s="68">
        <f>IFERROR(AVERAGE(B52:D52),0)</f>
        <v>377.49333333333334</v>
      </c>
      <c r="M52" s="68">
        <f>IFERROR(AVERAGE(B52:D52),0)</f>
        <v>377.49333333333334</v>
      </c>
      <c r="N52" s="68">
        <f>SUM(B52:M52)</f>
        <v>4400.4266666666663</v>
      </c>
      <c r="O52" s="67" t="s">
        <v>1553</v>
      </c>
    </row>
    <row r="53" spans="1:15">
      <c r="A53" s="69" t="s">
        <v>740</v>
      </c>
      <c r="B53" s="70">
        <v>553.85</v>
      </c>
      <c r="C53" s="70">
        <v>0</v>
      </c>
      <c r="D53" s="70">
        <v>0</v>
      </c>
      <c r="E53" s="70">
        <v>0</v>
      </c>
      <c r="F53" s="70">
        <f>IFERROR(AVERAGE(B53:D53),0)</f>
        <v>184.61666666666667</v>
      </c>
      <c r="G53" s="70">
        <f>IFERROR(AVERAGE(B53:D53),0)</f>
        <v>184.61666666666667</v>
      </c>
      <c r="H53" s="70">
        <f>IFERROR(AVERAGE(B53:D53),0)</f>
        <v>184.61666666666667</v>
      </c>
      <c r="I53" s="70">
        <f>IFERROR(AVERAGE(B53:D53),0)</f>
        <v>184.61666666666667</v>
      </c>
      <c r="J53" s="70">
        <f>IFERROR(AVERAGE(B53:D53),0)</f>
        <v>184.61666666666667</v>
      </c>
      <c r="K53" s="70">
        <f>IFERROR(AVERAGE(B53:D53),0)</f>
        <v>184.61666666666667</v>
      </c>
      <c r="L53" s="70">
        <f>IFERROR(AVERAGE(B53:D53),0)</f>
        <v>184.61666666666667</v>
      </c>
      <c r="M53" s="70">
        <f>IFERROR(AVERAGE(B53:D53),0)</f>
        <v>184.61666666666667</v>
      </c>
      <c r="N53" s="70">
        <f>SUM(B53:M53)</f>
        <v>2030.7833333333338</v>
      </c>
      <c r="O53" s="69" t="s">
        <v>1553</v>
      </c>
    </row>
    <row r="54" spans="1:15">
      <c r="A54" s="67" t="s">
        <v>741</v>
      </c>
      <c r="B54" s="68">
        <v>370</v>
      </c>
      <c r="C54" s="68">
        <v>0</v>
      </c>
      <c r="D54" s="68">
        <v>370</v>
      </c>
      <c r="E54" s="68">
        <v>377.43</v>
      </c>
      <c r="F54" s="68">
        <f>IFERROR(AVERAGE(B54:D54),0)</f>
        <v>246.66666666666666</v>
      </c>
      <c r="G54" s="68">
        <f>IFERROR(AVERAGE(B54:D54),0)</f>
        <v>246.66666666666666</v>
      </c>
      <c r="H54" s="68">
        <f>IFERROR(AVERAGE(B54:D54),0)</f>
        <v>246.66666666666666</v>
      </c>
      <c r="I54" s="68">
        <f>IFERROR(AVERAGE(B54:D54),0)</f>
        <v>246.66666666666666</v>
      </c>
      <c r="J54" s="68">
        <f>IFERROR(AVERAGE(B54:D54),0)</f>
        <v>246.66666666666666</v>
      </c>
      <c r="K54" s="68">
        <f>IFERROR(AVERAGE(B54:D54),0)</f>
        <v>246.66666666666666</v>
      </c>
      <c r="L54" s="68">
        <f>IFERROR(AVERAGE(B54:D54),0)</f>
        <v>246.66666666666666</v>
      </c>
      <c r="M54" s="68">
        <f>IFERROR(AVERAGE(B54:D54),0)</f>
        <v>246.66666666666666</v>
      </c>
      <c r="N54" s="68">
        <f>SUM(B54:M54)</f>
        <v>3090.7633333333329</v>
      </c>
      <c r="O54" s="67" t="s">
        <v>1553</v>
      </c>
    </row>
    <row r="55" spans="1:15">
      <c r="A55" s="69" t="s">
        <v>742</v>
      </c>
      <c r="B55" s="70">
        <v>0</v>
      </c>
      <c r="C55" s="70">
        <v>0</v>
      </c>
      <c r="D55" s="70">
        <v>0</v>
      </c>
      <c r="E55" s="70">
        <v>0</v>
      </c>
      <c r="F55" s="70">
        <f>IFERROR(AVERAGE(B55:D55),0)</f>
        <v>0</v>
      </c>
      <c r="G55" s="70">
        <f>IFERROR(AVERAGE(B55:D55),0)</f>
        <v>0</v>
      </c>
      <c r="H55" s="70">
        <f>IFERROR(AVERAGE(B55:D55),0)</f>
        <v>0</v>
      </c>
      <c r="I55" s="70">
        <f>IFERROR(AVERAGE(B55:D55),0)</f>
        <v>0</v>
      </c>
      <c r="J55" s="70">
        <f>IFERROR(AVERAGE(B55:D55),0)</f>
        <v>0</v>
      </c>
      <c r="K55" s="70">
        <f>IFERROR(AVERAGE(B55:D55),0)</f>
        <v>0</v>
      </c>
      <c r="L55" s="70">
        <f>IFERROR(AVERAGE(B55:D55),0)</f>
        <v>0</v>
      </c>
      <c r="M55" s="70">
        <f>IFERROR(AVERAGE(B55:D55),0)</f>
        <v>0</v>
      </c>
      <c r="N55" s="70">
        <f>SUM(B55:M55)</f>
        <v>0</v>
      </c>
      <c r="O55" s="69" t="s">
        <v>1556</v>
      </c>
    </row>
    <row r="56" spans="1:15">
      <c r="A56" s="67" t="s">
        <v>743</v>
      </c>
      <c r="B56" s="68">
        <v>217.76</v>
      </c>
      <c r="C56" s="68">
        <v>217.76</v>
      </c>
      <c r="D56" s="68">
        <v>217.76</v>
      </c>
      <c r="E56" s="68">
        <v>217.76</v>
      </c>
      <c r="F56" s="68">
        <f>IFERROR(AVERAGE(B56:D56),0)</f>
        <v>217.76</v>
      </c>
      <c r="G56" s="68">
        <f>IFERROR(AVERAGE(B56:D56),0)</f>
        <v>217.76</v>
      </c>
      <c r="H56" s="68">
        <f>IFERROR(AVERAGE(B56:D56),0)</f>
        <v>217.76</v>
      </c>
      <c r="I56" s="68">
        <f>IFERROR(AVERAGE(B56:D56),0)</f>
        <v>217.76</v>
      </c>
      <c r="J56" s="68">
        <f>IFERROR(AVERAGE(B56:D56),0)</f>
        <v>217.76</v>
      </c>
      <c r="K56" s="68">
        <f>IFERROR(AVERAGE(B56:D56),0)</f>
        <v>217.76</v>
      </c>
      <c r="L56" s="68">
        <f>IFERROR(AVERAGE(B56:D56),0)</f>
        <v>217.76</v>
      </c>
      <c r="M56" s="68">
        <f>IFERROR(AVERAGE(B56:D56),0)</f>
        <v>217.76</v>
      </c>
      <c r="N56" s="68">
        <f>SUM(B56:M56)</f>
        <v>2613.12</v>
      </c>
      <c r="O56" s="67" t="s">
        <v>1555</v>
      </c>
    </row>
    <row r="57" spans="1:15">
      <c r="A57" s="69" t="s">
        <v>744</v>
      </c>
      <c r="B57" s="70">
        <v>0</v>
      </c>
      <c r="C57" s="70">
        <v>0</v>
      </c>
      <c r="D57" s="70">
        <v>0</v>
      </c>
      <c r="E57" s="70">
        <v>0</v>
      </c>
      <c r="F57" s="70">
        <f>IFERROR(AVERAGE(B57:D57),0)</f>
        <v>0</v>
      </c>
      <c r="G57" s="70">
        <f>IFERROR(AVERAGE(B57:D57),0)</f>
        <v>0</v>
      </c>
      <c r="H57" s="70">
        <f>IFERROR(AVERAGE(B57:D57),0)</f>
        <v>0</v>
      </c>
      <c r="I57" s="70">
        <f>IFERROR(AVERAGE(B57:D57),0)</f>
        <v>0</v>
      </c>
      <c r="J57" s="70">
        <f>IFERROR(AVERAGE(B57:D57),0)</f>
        <v>0</v>
      </c>
      <c r="K57" s="70">
        <f>IFERROR(AVERAGE(B57:D57),0)</f>
        <v>0</v>
      </c>
      <c r="L57" s="70">
        <f>IFERROR(AVERAGE(B57:D57),0)</f>
        <v>0</v>
      </c>
      <c r="M57" s="70">
        <f>IFERROR(AVERAGE(B57:D57),0)</f>
        <v>0</v>
      </c>
      <c r="N57" s="70">
        <f>SUM(B57:M57)</f>
        <v>0</v>
      </c>
      <c r="O57" s="69" t="s">
        <v>1556</v>
      </c>
    </row>
    <row r="58" spans="1:15">
      <c r="A58" s="67" t="s">
        <v>745</v>
      </c>
      <c r="B58" s="68">
        <v>280</v>
      </c>
      <c r="C58" s="68">
        <v>0</v>
      </c>
      <c r="D58" s="68">
        <v>0</v>
      </c>
      <c r="E58" s="68">
        <v>60</v>
      </c>
      <c r="F58" s="68">
        <f>IFERROR(AVERAGE(B58:D58),0)</f>
        <v>93.333333333333329</v>
      </c>
      <c r="G58" s="68">
        <f>IFERROR(AVERAGE(B58:D58),0)</f>
        <v>93.333333333333329</v>
      </c>
      <c r="H58" s="68">
        <f>IFERROR(AVERAGE(B58:D58),0)</f>
        <v>93.333333333333329</v>
      </c>
      <c r="I58" s="68">
        <f>IFERROR(AVERAGE(B58:D58),0)</f>
        <v>93.333333333333329</v>
      </c>
      <c r="J58" s="68">
        <f>IFERROR(AVERAGE(B58:D58),0)</f>
        <v>93.333333333333329</v>
      </c>
      <c r="K58" s="68">
        <f>IFERROR(AVERAGE(B58:D58),0)</f>
        <v>93.333333333333329</v>
      </c>
      <c r="L58" s="68">
        <f>IFERROR(AVERAGE(B58:D58),0)</f>
        <v>93.333333333333329</v>
      </c>
      <c r="M58" s="68">
        <f>IFERROR(AVERAGE(B58:D58),0)</f>
        <v>93.333333333333329</v>
      </c>
      <c r="N58" s="68">
        <f>SUM(B58:M58)</f>
        <v>1086.6666666666667</v>
      </c>
      <c r="O58" s="67" t="s">
        <v>1553</v>
      </c>
    </row>
    <row r="59" spans="1:15">
      <c r="A59" s="69" t="s">
        <v>387</v>
      </c>
      <c r="B59" s="70">
        <v>906.32</v>
      </c>
      <c r="C59" s="70">
        <v>475.32</v>
      </c>
      <c r="D59" s="70">
        <v>1039.72</v>
      </c>
      <c r="E59" s="70">
        <v>906.32</v>
      </c>
      <c r="F59" s="70">
        <f>IFERROR(AVERAGE(B59:D59),0)</f>
        <v>807.12</v>
      </c>
      <c r="G59" s="70">
        <f>IFERROR(AVERAGE(B59:D59),0)</f>
        <v>807.12</v>
      </c>
      <c r="H59" s="70">
        <f>IFERROR(AVERAGE(B59:D59),0)</f>
        <v>807.12</v>
      </c>
      <c r="I59" s="70">
        <f>IFERROR(AVERAGE(B59:D59),0)</f>
        <v>807.12</v>
      </c>
      <c r="J59" s="70">
        <f>IFERROR(AVERAGE(B59:D59),0)</f>
        <v>807.12</v>
      </c>
      <c r="K59" s="70">
        <f>IFERROR(AVERAGE(B59:D59),0)</f>
        <v>807.12</v>
      </c>
      <c r="L59" s="70">
        <f>IFERROR(AVERAGE(B59:D59),0)</f>
        <v>807.12</v>
      </c>
      <c r="M59" s="70">
        <f>IFERROR(AVERAGE(B59:D59),0)</f>
        <v>807.12</v>
      </c>
      <c r="N59" s="70">
        <f>SUM(B59:M59)</f>
        <v>9784.6400000000012</v>
      </c>
      <c r="O59" s="69" t="s">
        <v>1553</v>
      </c>
    </row>
    <row r="60" spans="1:15">
      <c r="A60" s="67" t="s">
        <v>681</v>
      </c>
      <c r="B60" s="68">
        <v>204.83</v>
      </c>
      <c r="C60" s="68">
        <v>19.95</v>
      </c>
      <c r="D60" s="68">
        <v>127.2</v>
      </c>
      <c r="E60" s="68">
        <v>28</v>
      </c>
      <c r="F60" s="68">
        <f>IFERROR(AVERAGE(B60:D60),0)</f>
        <v>117.32666666666667</v>
      </c>
      <c r="G60" s="68">
        <f>IFERROR(AVERAGE(B60:D60),0)</f>
        <v>117.32666666666667</v>
      </c>
      <c r="H60" s="68">
        <f>IFERROR(AVERAGE(B60:D60),0)</f>
        <v>117.32666666666667</v>
      </c>
      <c r="I60" s="68">
        <f>IFERROR(AVERAGE(B60:D60),0)</f>
        <v>117.32666666666667</v>
      </c>
      <c r="J60" s="68">
        <f>IFERROR(AVERAGE(B60:D60),0)</f>
        <v>117.32666666666667</v>
      </c>
      <c r="K60" s="68">
        <f>IFERROR(AVERAGE(B60:D60),0)</f>
        <v>117.32666666666667</v>
      </c>
      <c r="L60" s="68">
        <f>IFERROR(AVERAGE(B60:D60),0)</f>
        <v>117.32666666666667</v>
      </c>
      <c r="M60" s="68">
        <f>IFERROR(AVERAGE(B60:D60),0)</f>
        <v>117.32666666666667</v>
      </c>
      <c r="N60" s="68">
        <f>SUM(B60:M60)</f>
        <v>1318.5933333333332</v>
      </c>
      <c r="O60" s="67" t="s">
        <v>1553</v>
      </c>
    </row>
    <row r="61" spans="1:15">
      <c r="A61" s="69" t="s">
        <v>747</v>
      </c>
      <c r="B61" s="70">
        <v>0</v>
      </c>
      <c r="C61" s="70">
        <v>0</v>
      </c>
      <c r="D61" s="70">
        <v>0</v>
      </c>
      <c r="E61" s="70">
        <v>0</v>
      </c>
      <c r="F61" s="70">
        <f>IFERROR(AVERAGE(B61:D61),0)</f>
        <v>0</v>
      </c>
      <c r="G61" s="70">
        <f>IFERROR(AVERAGE(B61:D61),0)</f>
        <v>0</v>
      </c>
      <c r="H61" s="70">
        <f>IFERROR(AVERAGE(B61:D61),0)</f>
        <v>0</v>
      </c>
      <c r="I61" s="70">
        <f>IFERROR(AVERAGE(B61:D61),0)</f>
        <v>0</v>
      </c>
      <c r="J61" s="70">
        <f>IFERROR(AVERAGE(B61:D61),0)</f>
        <v>0</v>
      </c>
      <c r="K61" s="70">
        <f>IFERROR(AVERAGE(B61:D61),0)</f>
        <v>0</v>
      </c>
      <c r="L61" s="70">
        <f>IFERROR(AVERAGE(B61:D61),0)</f>
        <v>0</v>
      </c>
      <c r="M61" s="70">
        <f>IFERROR(AVERAGE(B61:D61),0)</f>
        <v>0</v>
      </c>
      <c r="N61" s="70">
        <f>SUM(B61:M61)</f>
        <v>0</v>
      </c>
      <c r="O61" s="69" t="s">
        <v>1556</v>
      </c>
    </row>
    <row r="62" spans="1:15">
      <c r="A62" s="67" t="s">
        <v>746</v>
      </c>
      <c r="B62" s="68">
        <v>132</v>
      </c>
      <c r="C62" s="68">
        <v>142.68</v>
      </c>
      <c r="D62" s="68">
        <v>139</v>
      </c>
      <c r="E62" s="68">
        <v>139</v>
      </c>
      <c r="F62" s="68">
        <f>IFERROR(AVERAGE(B62:D62),0)</f>
        <v>137.89333333333335</v>
      </c>
      <c r="G62" s="68">
        <f>IFERROR(AVERAGE(B62:D62),0)</f>
        <v>137.89333333333335</v>
      </c>
      <c r="H62" s="68">
        <f>IFERROR(AVERAGE(B62:D62),0)</f>
        <v>137.89333333333335</v>
      </c>
      <c r="I62" s="68">
        <f>IFERROR(AVERAGE(B62:D62),0)</f>
        <v>137.89333333333335</v>
      </c>
      <c r="J62" s="68">
        <f>IFERROR(AVERAGE(B62:D62),0)</f>
        <v>137.89333333333335</v>
      </c>
      <c r="K62" s="68">
        <f>IFERROR(AVERAGE(B62:D62),0)</f>
        <v>137.89333333333335</v>
      </c>
      <c r="L62" s="68">
        <f>IFERROR(AVERAGE(B62:D62),0)</f>
        <v>137.89333333333335</v>
      </c>
      <c r="M62" s="68">
        <f>IFERROR(AVERAGE(B62:D62),0)</f>
        <v>137.89333333333335</v>
      </c>
      <c r="N62" s="68">
        <f>SUM(B62:M62)</f>
        <v>1655.8266666666671</v>
      </c>
      <c r="O62" s="67" t="s">
        <v>1551</v>
      </c>
    </row>
    <row r="63" spans="1:15">
      <c r="A63" s="69" t="s">
        <v>748</v>
      </c>
      <c r="B63" s="70">
        <v>0</v>
      </c>
      <c r="C63" s="70">
        <v>0</v>
      </c>
      <c r="D63" s="70">
        <v>0</v>
      </c>
      <c r="E63" s="70">
        <v>0</v>
      </c>
      <c r="F63" s="70">
        <f>IFERROR(AVERAGE(B63:D63),0)</f>
        <v>0</v>
      </c>
      <c r="G63" s="70">
        <f>IFERROR(AVERAGE(B63:D63),0)</f>
        <v>0</v>
      </c>
      <c r="H63" s="70">
        <f>IFERROR(AVERAGE(B63:D63),0)</f>
        <v>0</v>
      </c>
      <c r="I63" s="70">
        <f>IFERROR(AVERAGE(B63:D63),0)</f>
        <v>0</v>
      </c>
      <c r="J63" s="70">
        <f>IFERROR(AVERAGE(B63:D63),0)</f>
        <v>0</v>
      </c>
      <c r="K63" s="70">
        <f>IFERROR(AVERAGE(B63:D63),0)</f>
        <v>0</v>
      </c>
      <c r="L63" s="70">
        <f>IFERROR(AVERAGE(B63:D63),0)</f>
        <v>0</v>
      </c>
      <c r="M63" s="70">
        <f>IFERROR(AVERAGE(B63:D63),0)</f>
        <v>0</v>
      </c>
      <c r="N63" s="70">
        <f>SUM(B63:M63)</f>
        <v>0</v>
      </c>
      <c r="O63" s="69" t="s">
        <v>1556</v>
      </c>
    </row>
    <row r="64" spans="1:15">
      <c r="A64" s="67" t="s">
        <v>491</v>
      </c>
      <c r="B64" s="68">
        <v>85</v>
      </c>
      <c r="C64" s="68">
        <v>130</v>
      </c>
      <c r="D64" s="68">
        <v>280</v>
      </c>
      <c r="E64" s="68">
        <v>40</v>
      </c>
      <c r="F64" s="68">
        <f>IFERROR(AVERAGE(B64:D64),0)</f>
        <v>165</v>
      </c>
      <c r="G64" s="68">
        <f>IFERROR(AVERAGE(B64:D64),0)</f>
        <v>165</v>
      </c>
      <c r="H64" s="68">
        <f>IFERROR(AVERAGE(B64:D64),0)</f>
        <v>165</v>
      </c>
      <c r="I64" s="68">
        <f>IFERROR(AVERAGE(B64:D64),0)</f>
        <v>165</v>
      </c>
      <c r="J64" s="68">
        <f>IFERROR(AVERAGE(B64:D64),0)</f>
        <v>165</v>
      </c>
      <c r="K64" s="68">
        <f>IFERROR(AVERAGE(B64:D64),0)</f>
        <v>165</v>
      </c>
      <c r="L64" s="68">
        <f>IFERROR(AVERAGE(B64:D64),0)</f>
        <v>165</v>
      </c>
      <c r="M64" s="68">
        <f>IFERROR(AVERAGE(B64:D64),0)</f>
        <v>165</v>
      </c>
      <c r="N64" s="68">
        <f>SUM(B64:M64)</f>
        <v>1855</v>
      </c>
      <c r="O64" s="67" t="s">
        <v>1553</v>
      </c>
    </row>
    <row r="65" spans="1:15">
      <c r="A65" s="69" t="s">
        <v>646</v>
      </c>
      <c r="B65" s="70">
        <v>103.67</v>
      </c>
      <c r="C65" s="70">
        <v>2.4500000000000002</v>
      </c>
      <c r="D65" s="70">
        <v>334.22</v>
      </c>
      <c r="E65" s="70">
        <v>412.84</v>
      </c>
      <c r="F65" s="70">
        <f>IFERROR(AVERAGE(B65:D65),0)</f>
        <v>146.78</v>
      </c>
      <c r="G65" s="70">
        <f>IFERROR(AVERAGE(B65:D65),0)</f>
        <v>146.78</v>
      </c>
      <c r="H65" s="70">
        <f>IFERROR(AVERAGE(B65:D65),0)</f>
        <v>146.78</v>
      </c>
      <c r="I65" s="70">
        <f>IFERROR(AVERAGE(B65:D65),0)</f>
        <v>146.78</v>
      </c>
      <c r="J65" s="70">
        <f>IFERROR(AVERAGE(B65:D65),0)</f>
        <v>146.78</v>
      </c>
      <c r="K65" s="70">
        <f>IFERROR(AVERAGE(B65:D65),0)</f>
        <v>146.78</v>
      </c>
      <c r="L65" s="70">
        <f>IFERROR(AVERAGE(B65:D65),0)</f>
        <v>146.78</v>
      </c>
      <c r="M65" s="70">
        <f>IFERROR(AVERAGE(B65:D65),0)</f>
        <v>146.78</v>
      </c>
      <c r="N65" s="70">
        <f>SUM(B65:M65)</f>
        <v>2027.4199999999998</v>
      </c>
      <c r="O65" s="69" t="s">
        <v>1553</v>
      </c>
    </row>
    <row r="66" spans="1:15">
      <c r="A66" s="67" t="s">
        <v>749</v>
      </c>
      <c r="B66" s="68">
        <v>779.99</v>
      </c>
      <c r="C66" s="68">
        <v>0</v>
      </c>
      <c r="D66" s="68">
        <v>0</v>
      </c>
      <c r="E66" s="68">
        <v>0</v>
      </c>
      <c r="F66" s="68">
        <f>IFERROR(AVERAGE(B66:D66),0)</f>
        <v>259.99666666666667</v>
      </c>
      <c r="G66" s="68">
        <f>IFERROR(AVERAGE(B66:D66),0)</f>
        <v>259.99666666666667</v>
      </c>
      <c r="H66" s="68">
        <f>IFERROR(AVERAGE(B66:D66),0)</f>
        <v>259.99666666666667</v>
      </c>
      <c r="I66" s="68">
        <f>IFERROR(AVERAGE(B66:D66),0)</f>
        <v>259.99666666666667</v>
      </c>
      <c r="J66" s="68">
        <f>IFERROR(AVERAGE(B66:D66),0)</f>
        <v>259.99666666666667</v>
      </c>
      <c r="K66" s="68">
        <f>IFERROR(AVERAGE(B66:D66),0)</f>
        <v>259.99666666666667</v>
      </c>
      <c r="L66" s="68">
        <f>IFERROR(AVERAGE(B66:D66),0)</f>
        <v>259.99666666666667</v>
      </c>
      <c r="M66" s="68">
        <f>IFERROR(AVERAGE(B66:D66),0)</f>
        <v>259.99666666666667</v>
      </c>
      <c r="N66" s="68">
        <f>SUM(B66:M66)</f>
        <v>2859.963333333334</v>
      </c>
      <c r="O66" s="67" t="s">
        <v>1553</v>
      </c>
    </row>
    <row r="67" spans="1:15">
      <c r="A67" s="69" t="s">
        <v>750</v>
      </c>
      <c r="B67" s="70">
        <v>0</v>
      </c>
      <c r="C67" s="70">
        <v>0</v>
      </c>
      <c r="D67" s="70">
        <v>0</v>
      </c>
      <c r="E67" s="70">
        <v>0</v>
      </c>
      <c r="F67" s="70">
        <f>IFERROR(AVERAGE(B67:D67),0)</f>
        <v>0</v>
      </c>
      <c r="G67" s="70">
        <f>IFERROR(AVERAGE(B67:D67),0)</f>
        <v>0</v>
      </c>
      <c r="H67" s="70">
        <f>IFERROR(AVERAGE(B67:D67),0)</f>
        <v>0</v>
      </c>
      <c r="I67" s="70">
        <f>IFERROR(AVERAGE(B67:D67),0)</f>
        <v>0</v>
      </c>
      <c r="J67" s="70">
        <f>IFERROR(AVERAGE(B67:D67),0)</f>
        <v>0</v>
      </c>
      <c r="K67" s="70">
        <f>IFERROR(AVERAGE(B67:D67),0)</f>
        <v>0</v>
      </c>
      <c r="L67" s="70">
        <f>IFERROR(AVERAGE(B67:D67),0)</f>
        <v>0</v>
      </c>
      <c r="M67" s="70">
        <f>IFERROR(AVERAGE(B67:D67),0)</f>
        <v>0</v>
      </c>
      <c r="N67" s="70">
        <f>SUM(B67:M67)</f>
        <v>0</v>
      </c>
      <c r="O67" s="69" t="s">
        <v>1556</v>
      </c>
    </row>
    <row r="68" spans="1:15">
      <c r="A68" s="67" t="s">
        <v>142</v>
      </c>
      <c r="B68" s="68">
        <v>105</v>
      </c>
      <c r="C68" s="68">
        <v>35</v>
      </c>
      <c r="D68" s="68">
        <v>360</v>
      </c>
      <c r="E68" s="68">
        <v>200</v>
      </c>
      <c r="F68" s="68">
        <f>IFERROR(AVERAGE(B68:D68),0)</f>
        <v>166.66666666666666</v>
      </c>
      <c r="G68" s="68">
        <f>IFERROR(AVERAGE(B68:D68),0)</f>
        <v>166.66666666666666</v>
      </c>
      <c r="H68" s="68">
        <f>IFERROR(AVERAGE(B68:D68),0)</f>
        <v>166.66666666666666</v>
      </c>
      <c r="I68" s="68">
        <f>IFERROR(AVERAGE(B68:D68),0)</f>
        <v>166.66666666666666</v>
      </c>
      <c r="J68" s="68">
        <f>IFERROR(AVERAGE(B68:D68),0)</f>
        <v>166.66666666666666</v>
      </c>
      <c r="K68" s="68">
        <f>IFERROR(AVERAGE(B68:D68),0)</f>
        <v>166.66666666666666</v>
      </c>
      <c r="L68" s="68">
        <f>IFERROR(AVERAGE(B68:D68),0)</f>
        <v>166.66666666666666</v>
      </c>
      <c r="M68" s="68">
        <f>IFERROR(AVERAGE(B68:D68),0)</f>
        <v>166.66666666666666</v>
      </c>
      <c r="N68" s="68">
        <f>SUM(B68:M68)</f>
        <v>2033.3333333333337</v>
      </c>
      <c r="O68" s="67" t="s">
        <v>1553</v>
      </c>
    </row>
    <row r="69" spans="1:15">
      <c r="A69" s="69" t="s">
        <v>751</v>
      </c>
      <c r="B69" s="70">
        <v>0</v>
      </c>
      <c r="C69" s="70">
        <v>0</v>
      </c>
      <c r="D69" s="70">
        <v>0</v>
      </c>
      <c r="E69" s="70">
        <v>0</v>
      </c>
      <c r="F69" s="70">
        <f>IFERROR(AVERAGE(B69:D69),0)</f>
        <v>0</v>
      </c>
      <c r="G69" s="70">
        <f>IFERROR(AVERAGE(B69:D69),0)</f>
        <v>0</v>
      </c>
      <c r="H69" s="70">
        <f>IFERROR(AVERAGE(B69:D69),0)</f>
        <v>0</v>
      </c>
      <c r="I69" s="70">
        <f>IFERROR(AVERAGE(B69:D69),0)</f>
        <v>0</v>
      </c>
      <c r="J69" s="70">
        <f>IFERROR(AVERAGE(B69:D69),0)</f>
        <v>0</v>
      </c>
      <c r="K69" s="70">
        <f>IFERROR(AVERAGE(B69:D69),0)</f>
        <v>0</v>
      </c>
      <c r="L69" s="70">
        <f>IFERROR(AVERAGE(B69:D69),0)</f>
        <v>0</v>
      </c>
      <c r="M69" s="70">
        <f>IFERROR(AVERAGE(B69:D69),0)</f>
        <v>0</v>
      </c>
      <c r="N69" s="70">
        <f>SUM(B69:M69)</f>
        <v>0</v>
      </c>
      <c r="O69" s="69" t="s">
        <v>1556</v>
      </c>
    </row>
    <row r="70" spans="1:15">
      <c r="A70" s="67" t="s">
        <v>470</v>
      </c>
      <c r="B70" s="68">
        <v>41.25</v>
      </c>
      <c r="C70" s="68">
        <v>0</v>
      </c>
      <c r="D70" s="68">
        <v>186.92</v>
      </c>
      <c r="E70" s="68">
        <v>1002.39</v>
      </c>
      <c r="F70" s="68">
        <f>IFERROR(AVERAGE(B70:D70),0)</f>
        <v>76.056666666666658</v>
      </c>
      <c r="G70" s="68">
        <f>IFERROR(AVERAGE(B70:D70),0)</f>
        <v>76.056666666666658</v>
      </c>
      <c r="H70" s="68">
        <f>IFERROR(AVERAGE(B70:D70),0)</f>
        <v>76.056666666666658</v>
      </c>
      <c r="I70" s="68">
        <f>IFERROR(AVERAGE(B70:D70),0)</f>
        <v>76.056666666666658</v>
      </c>
      <c r="J70" s="68">
        <f>IFERROR(AVERAGE(B70:D70),0)</f>
        <v>76.056666666666658</v>
      </c>
      <c r="K70" s="68">
        <f>IFERROR(AVERAGE(B70:D70),0)</f>
        <v>76.056666666666658</v>
      </c>
      <c r="L70" s="68">
        <f>IFERROR(AVERAGE(B70:D70),0)</f>
        <v>76.056666666666658</v>
      </c>
      <c r="M70" s="68">
        <f>IFERROR(AVERAGE(B70:D70),0)</f>
        <v>76.056666666666658</v>
      </c>
      <c r="N70" s="68">
        <f>SUM(B70:M70)</f>
        <v>1839.0133333333329</v>
      </c>
      <c r="O70" s="67" t="s">
        <v>1553</v>
      </c>
    </row>
    <row r="71" spans="1:15">
      <c r="A71" s="69" t="s">
        <v>458</v>
      </c>
      <c r="B71" s="70">
        <v>0</v>
      </c>
      <c r="C71" s="70">
        <v>208.92</v>
      </c>
      <c r="D71" s="70">
        <v>124.98</v>
      </c>
      <c r="E71" s="70">
        <v>95.79</v>
      </c>
      <c r="F71" s="70">
        <f>IFERROR(AVERAGE(B71:D71),0)</f>
        <v>111.3</v>
      </c>
      <c r="G71" s="70">
        <f>IFERROR(AVERAGE(B71:D71),0)</f>
        <v>111.3</v>
      </c>
      <c r="H71" s="70">
        <f>IFERROR(AVERAGE(B71:D71),0)</f>
        <v>111.3</v>
      </c>
      <c r="I71" s="70">
        <f>IFERROR(AVERAGE(B71:D71),0)</f>
        <v>111.3</v>
      </c>
      <c r="J71" s="70">
        <f>IFERROR(AVERAGE(B71:D71),0)</f>
        <v>111.3</v>
      </c>
      <c r="K71" s="70">
        <f>IFERROR(AVERAGE(B71:D71),0)</f>
        <v>111.3</v>
      </c>
      <c r="L71" s="70">
        <f>IFERROR(AVERAGE(B71:D71),0)</f>
        <v>111.3</v>
      </c>
      <c r="M71" s="70">
        <f>IFERROR(AVERAGE(B71:D71),0)</f>
        <v>111.3</v>
      </c>
      <c r="N71" s="70">
        <f>SUM(B71:M71)</f>
        <v>1320.0899999999997</v>
      </c>
      <c r="O71" s="69" t="s">
        <v>1553</v>
      </c>
    </row>
    <row r="72" spans="1:15">
      <c r="A72" s="67" t="s">
        <v>360</v>
      </c>
      <c r="B72" s="68">
        <v>0</v>
      </c>
      <c r="C72" s="68">
        <v>0</v>
      </c>
      <c r="D72" s="68">
        <v>157.80000000000001</v>
      </c>
      <c r="E72" s="68">
        <v>0</v>
      </c>
      <c r="F72" s="68">
        <f>IFERROR(AVERAGE(B72:D72),0)</f>
        <v>52.6</v>
      </c>
      <c r="G72" s="68">
        <f>IFERROR(AVERAGE(B72:D72),0)</f>
        <v>52.6</v>
      </c>
      <c r="H72" s="68">
        <f>IFERROR(AVERAGE(B72:D72),0)</f>
        <v>52.6</v>
      </c>
      <c r="I72" s="68">
        <f>IFERROR(AVERAGE(B72:D72),0)</f>
        <v>52.6</v>
      </c>
      <c r="J72" s="68">
        <f>IFERROR(AVERAGE(B72:D72),0)</f>
        <v>52.6</v>
      </c>
      <c r="K72" s="68">
        <f>IFERROR(AVERAGE(B72:D72),0)</f>
        <v>52.6</v>
      </c>
      <c r="L72" s="68">
        <f>IFERROR(AVERAGE(B72:D72),0)</f>
        <v>52.6</v>
      </c>
      <c r="M72" s="68">
        <f>IFERROR(AVERAGE(B72:D72),0)</f>
        <v>52.6</v>
      </c>
      <c r="N72" s="68">
        <f>SUM(B72:M72)</f>
        <v>578.60000000000014</v>
      </c>
      <c r="O72" s="67" t="s">
        <v>1553</v>
      </c>
    </row>
    <row r="73" spans="1:15">
      <c r="A73" s="69" t="s">
        <v>752</v>
      </c>
      <c r="B73" s="70">
        <v>0</v>
      </c>
      <c r="C73" s="70">
        <v>0</v>
      </c>
      <c r="D73" s="70">
        <v>0</v>
      </c>
      <c r="E73" s="70">
        <v>0</v>
      </c>
      <c r="F73" s="70">
        <f>IFERROR(AVERAGE(B73:D73),0)</f>
        <v>0</v>
      </c>
      <c r="G73" s="70">
        <f>IFERROR(AVERAGE(B73:D73),0)</f>
        <v>0</v>
      </c>
      <c r="H73" s="70">
        <f>IFERROR(AVERAGE(B73:D73),0)</f>
        <v>0</v>
      </c>
      <c r="I73" s="70">
        <f>IFERROR(AVERAGE(B73:D73),0)</f>
        <v>0</v>
      </c>
      <c r="J73" s="70">
        <f>IFERROR(AVERAGE(B73:D73),0)</f>
        <v>0</v>
      </c>
      <c r="K73" s="70">
        <f>IFERROR(AVERAGE(B73:D73),0)</f>
        <v>0</v>
      </c>
      <c r="L73" s="70">
        <f>IFERROR(AVERAGE(B73:D73),0)</f>
        <v>0</v>
      </c>
      <c r="M73" s="70">
        <f>IFERROR(AVERAGE(B73:D73),0)</f>
        <v>0</v>
      </c>
      <c r="N73" s="70">
        <f>SUM(B73:M73)</f>
        <v>0</v>
      </c>
      <c r="O73" s="69" t="s">
        <v>1556</v>
      </c>
    </row>
    <row r="74" spans="1:15">
      <c r="A74" s="67" t="s">
        <v>599</v>
      </c>
      <c r="B74" s="68">
        <v>50</v>
      </c>
      <c r="C74" s="68">
        <v>200</v>
      </c>
      <c r="D74" s="68">
        <v>50</v>
      </c>
      <c r="E74" s="68">
        <v>100</v>
      </c>
      <c r="F74" s="68">
        <f>IFERROR(AVERAGE(B74:D74),0)</f>
        <v>100</v>
      </c>
      <c r="G74" s="68">
        <f>IFERROR(AVERAGE(B74:D74),0)</f>
        <v>100</v>
      </c>
      <c r="H74" s="68">
        <f>IFERROR(AVERAGE(B74:D74),0)</f>
        <v>100</v>
      </c>
      <c r="I74" s="68">
        <f>IFERROR(AVERAGE(B74:D74),0)</f>
        <v>100</v>
      </c>
      <c r="J74" s="68">
        <f>IFERROR(AVERAGE(B74:D74),0)</f>
        <v>100</v>
      </c>
      <c r="K74" s="68">
        <f>IFERROR(AVERAGE(B74:D74),0)</f>
        <v>100</v>
      </c>
      <c r="L74" s="68">
        <f>IFERROR(AVERAGE(B74:D74),0)</f>
        <v>100</v>
      </c>
      <c r="M74" s="68">
        <f>IFERROR(AVERAGE(B74:D74),0)</f>
        <v>100</v>
      </c>
      <c r="N74" s="68">
        <f>SUM(B74:M74)</f>
        <v>1200</v>
      </c>
      <c r="O74" s="67" t="s">
        <v>1551</v>
      </c>
    </row>
    <row r="75" spans="1:15">
      <c r="A75" s="69" t="s">
        <v>753</v>
      </c>
      <c r="B75" s="70">
        <v>0</v>
      </c>
      <c r="C75" s="70">
        <v>0</v>
      </c>
      <c r="D75" s="70">
        <v>0</v>
      </c>
      <c r="E75" s="70">
        <v>0</v>
      </c>
      <c r="F75" s="70">
        <f>IFERROR(AVERAGE(B75:D75),0)</f>
        <v>0</v>
      </c>
      <c r="G75" s="70">
        <f>IFERROR(AVERAGE(B75:D75),0)</f>
        <v>0</v>
      </c>
      <c r="H75" s="70">
        <f>IFERROR(AVERAGE(B75:D75),0)</f>
        <v>0</v>
      </c>
      <c r="I75" s="70">
        <f>IFERROR(AVERAGE(B75:D75),0)</f>
        <v>0</v>
      </c>
      <c r="J75" s="70">
        <f>IFERROR(AVERAGE(B75:D75),0)</f>
        <v>0</v>
      </c>
      <c r="K75" s="70">
        <f>IFERROR(AVERAGE(B75:D75),0)</f>
        <v>0</v>
      </c>
      <c r="L75" s="70">
        <f>IFERROR(AVERAGE(B75:D75),0)</f>
        <v>0</v>
      </c>
      <c r="M75" s="70">
        <f>IFERROR(AVERAGE(B75:D75),0)</f>
        <v>0</v>
      </c>
      <c r="N75" s="70">
        <f>SUM(B75:M75)</f>
        <v>0</v>
      </c>
      <c r="O75" s="69" t="s">
        <v>1556</v>
      </c>
    </row>
    <row r="76" spans="1:15">
      <c r="A76" s="67" t="s">
        <v>754</v>
      </c>
      <c r="B76" s="68">
        <v>0</v>
      </c>
      <c r="C76" s="68">
        <v>0</v>
      </c>
      <c r="D76" s="68">
        <v>0</v>
      </c>
      <c r="E76" s="68">
        <v>0</v>
      </c>
      <c r="F76" s="68">
        <f>IFERROR(AVERAGE(B76:D76),0)</f>
        <v>0</v>
      </c>
      <c r="G76" s="68">
        <f>IFERROR(AVERAGE(B76:D76),0)</f>
        <v>0</v>
      </c>
      <c r="H76" s="68">
        <f>IFERROR(AVERAGE(B76:D76),0)</f>
        <v>0</v>
      </c>
      <c r="I76" s="68">
        <f>IFERROR(AVERAGE(B76:D76),0)</f>
        <v>0</v>
      </c>
      <c r="J76" s="68">
        <f>IFERROR(AVERAGE(B76:D76),0)</f>
        <v>0</v>
      </c>
      <c r="K76" s="68">
        <f>IFERROR(AVERAGE(B76:D76),0)</f>
        <v>0</v>
      </c>
      <c r="L76" s="68">
        <f>IFERROR(AVERAGE(B76:D76),0)</f>
        <v>0</v>
      </c>
      <c r="M76" s="68">
        <f>IFERROR(AVERAGE(B76:D76),0)</f>
        <v>0</v>
      </c>
      <c r="N76" s="68">
        <f>SUM(B76:M76)</f>
        <v>0</v>
      </c>
      <c r="O76" s="67" t="s">
        <v>1556</v>
      </c>
    </row>
    <row r="77" spans="1:15">
      <c r="A77" s="69" t="s">
        <v>755</v>
      </c>
      <c r="B77" s="70">
        <v>0</v>
      </c>
      <c r="C77" s="70">
        <v>0</v>
      </c>
      <c r="D77" s="70">
        <v>0</v>
      </c>
      <c r="E77" s="70">
        <v>0</v>
      </c>
      <c r="F77" s="70">
        <f>IFERROR(AVERAGE(B77:D77),0)</f>
        <v>0</v>
      </c>
      <c r="G77" s="70">
        <f>IFERROR(AVERAGE(B77:D77),0)</f>
        <v>0</v>
      </c>
      <c r="H77" s="70">
        <f>IFERROR(AVERAGE(B77:D77),0)</f>
        <v>0</v>
      </c>
      <c r="I77" s="70">
        <f>IFERROR(AVERAGE(B77:D77),0)</f>
        <v>0</v>
      </c>
      <c r="J77" s="70">
        <f>IFERROR(AVERAGE(B77:D77),0)</f>
        <v>0</v>
      </c>
      <c r="K77" s="70">
        <f>IFERROR(AVERAGE(B77:D77),0)</f>
        <v>0</v>
      </c>
      <c r="L77" s="70">
        <f>IFERROR(AVERAGE(B77:D77),0)</f>
        <v>0</v>
      </c>
      <c r="M77" s="70">
        <f>IFERROR(AVERAGE(B77:D77),0)</f>
        <v>0</v>
      </c>
      <c r="N77" s="70">
        <f>SUM(B77:M77)</f>
        <v>0</v>
      </c>
      <c r="O77" s="69" t="s">
        <v>1556</v>
      </c>
    </row>
    <row r="78" spans="1:15">
      <c r="A78" s="67" t="s">
        <v>757</v>
      </c>
      <c r="B78" s="68">
        <v>0</v>
      </c>
      <c r="C78" s="68">
        <v>0</v>
      </c>
      <c r="D78" s="68">
        <v>0</v>
      </c>
      <c r="E78" s="68">
        <v>0</v>
      </c>
      <c r="F78" s="68">
        <f>IFERROR(AVERAGE(B78:D78),0)</f>
        <v>0</v>
      </c>
      <c r="G78" s="68">
        <f>IFERROR(AVERAGE(B78:D78),0)</f>
        <v>0</v>
      </c>
      <c r="H78" s="68">
        <f>IFERROR(AVERAGE(B78:D78),0)</f>
        <v>0</v>
      </c>
      <c r="I78" s="68">
        <f>IFERROR(AVERAGE(B78:D78),0)</f>
        <v>0</v>
      </c>
      <c r="J78" s="68">
        <f>IFERROR(AVERAGE(B78:D78),0)</f>
        <v>0</v>
      </c>
      <c r="K78" s="68">
        <f>IFERROR(AVERAGE(B78:D78),0)</f>
        <v>0</v>
      </c>
      <c r="L78" s="68">
        <f>IFERROR(AVERAGE(B78:D78),0)</f>
        <v>0</v>
      </c>
      <c r="M78" s="68">
        <f>IFERROR(AVERAGE(B78:D78),0)</f>
        <v>0</v>
      </c>
      <c r="N78" s="68">
        <f>SUM(B78:M78)</f>
        <v>0</v>
      </c>
      <c r="O78" s="67" t="s">
        <v>1556</v>
      </c>
    </row>
    <row r="79" spans="1:15">
      <c r="A79" s="69" t="s">
        <v>756</v>
      </c>
      <c r="B79" s="70">
        <v>73.540000000000006</v>
      </c>
      <c r="C79" s="70">
        <v>0</v>
      </c>
      <c r="D79" s="70">
        <v>160.83000000000001</v>
      </c>
      <c r="E79" s="70">
        <v>81.489999999999995</v>
      </c>
      <c r="F79" s="70">
        <f>IFERROR(AVERAGE(B79:D79),0)</f>
        <v>78.123333333333335</v>
      </c>
      <c r="G79" s="70">
        <f>IFERROR(AVERAGE(B79:D79),0)</f>
        <v>78.123333333333335</v>
      </c>
      <c r="H79" s="70">
        <f>IFERROR(AVERAGE(B79:D79),0)</f>
        <v>78.123333333333335</v>
      </c>
      <c r="I79" s="70">
        <f>IFERROR(AVERAGE(B79:D79),0)</f>
        <v>78.123333333333335</v>
      </c>
      <c r="J79" s="70">
        <f>IFERROR(AVERAGE(B79:D79),0)</f>
        <v>78.123333333333335</v>
      </c>
      <c r="K79" s="70">
        <f>IFERROR(AVERAGE(B79:D79),0)</f>
        <v>78.123333333333335</v>
      </c>
      <c r="L79" s="70">
        <f>IFERROR(AVERAGE(B79:D79),0)</f>
        <v>78.123333333333335</v>
      </c>
      <c r="M79" s="70">
        <f>IFERROR(AVERAGE(B79:D79),0)</f>
        <v>78.123333333333335</v>
      </c>
      <c r="N79" s="70">
        <f>SUM(B79:M79)</f>
        <v>940.84666666666669</v>
      </c>
      <c r="O79" s="69" t="s">
        <v>1553</v>
      </c>
    </row>
    <row r="80" spans="1:15">
      <c r="A80" s="67" t="s">
        <v>758</v>
      </c>
      <c r="B80" s="68">
        <v>254.44</v>
      </c>
      <c r="C80" s="68">
        <v>0</v>
      </c>
      <c r="D80" s="68">
        <v>0</v>
      </c>
      <c r="E80" s="68">
        <v>0</v>
      </c>
      <c r="F80" s="68">
        <f>IFERROR(AVERAGE(B80:D80),0)</f>
        <v>84.813333333333333</v>
      </c>
      <c r="G80" s="68">
        <f>IFERROR(AVERAGE(B80:D80),0)</f>
        <v>84.813333333333333</v>
      </c>
      <c r="H80" s="68">
        <f>IFERROR(AVERAGE(B80:D80),0)</f>
        <v>84.813333333333333</v>
      </c>
      <c r="I80" s="68">
        <f>IFERROR(AVERAGE(B80:D80),0)</f>
        <v>84.813333333333333</v>
      </c>
      <c r="J80" s="68">
        <f>IFERROR(AVERAGE(B80:D80),0)</f>
        <v>84.813333333333333</v>
      </c>
      <c r="K80" s="68">
        <f>IFERROR(AVERAGE(B80:D80),0)</f>
        <v>84.813333333333333</v>
      </c>
      <c r="L80" s="68">
        <f>IFERROR(AVERAGE(B80:D80),0)</f>
        <v>84.813333333333333</v>
      </c>
      <c r="M80" s="68">
        <f>IFERROR(AVERAGE(B80:D80),0)</f>
        <v>84.813333333333333</v>
      </c>
      <c r="N80" s="68">
        <f>SUM(B80:M80)</f>
        <v>932.94666666666649</v>
      </c>
      <c r="O80" s="67" t="s">
        <v>1553</v>
      </c>
    </row>
    <row r="81" spans="1:15">
      <c r="A81" s="69" t="s">
        <v>759</v>
      </c>
      <c r="B81" s="70">
        <v>0</v>
      </c>
      <c r="C81" s="70">
        <v>0</v>
      </c>
      <c r="D81" s="70">
        <v>0</v>
      </c>
      <c r="E81" s="70">
        <v>0</v>
      </c>
      <c r="F81" s="70">
        <f>IFERROR(AVERAGE(B81:D81),0)</f>
        <v>0</v>
      </c>
      <c r="G81" s="70">
        <f>IFERROR(AVERAGE(B81:D81),0)</f>
        <v>0</v>
      </c>
      <c r="H81" s="70">
        <f>IFERROR(AVERAGE(B81:D81),0)</f>
        <v>0</v>
      </c>
      <c r="I81" s="70">
        <f>IFERROR(AVERAGE(B81:D81),0)</f>
        <v>0</v>
      </c>
      <c r="J81" s="70">
        <f>IFERROR(AVERAGE(B81:D81),0)</f>
        <v>0</v>
      </c>
      <c r="K81" s="70">
        <f>IFERROR(AVERAGE(B81:D81),0)</f>
        <v>0</v>
      </c>
      <c r="L81" s="70">
        <f>IFERROR(AVERAGE(B81:D81),0)</f>
        <v>0</v>
      </c>
      <c r="M81" s="70">
        <f>IFERROR(AVERAGE(B81:D81),0)</f>
        <v>0</v>
      </c>
      <c r="N81" s="70">
        <f>SUM(B81:M81)</f>
        <v>0</v>
      </c>
      <c r="O81" s="69" t="s">
        <v>1556</v>
      </c>
    </row>
    <row r="82" spans="1:15">
      <c r="A82" s="67" t="s">
        <v>760</v>
      </c>
      <c r="B82" s="68">
        <v>79</v>
      </c>
      <c r="C82" s="68">
        <v>0</v>
      </c>
      <c r="D82" s="68">
        <v>37.67</v>
      </c>
      <c r="E82" s="68">
        <v>90.89</v>
      </c>
      <c r="F82" s="68">
        <f>IFERROR(AVERAGE(B82:D82),0)</f>
        <v>38.89</v>
      </c>
      <c r="G82" s="68">
        <f>IFERROR(AVERAGE(B82:D82),0)</f>
        <v>38.89</v>
      </c>
      <c r="H82" s="68">
        <f>IFERROR(AVERAGE(B82:D82),0)</f>
        <v>38.89</v>
      </c>
      <c r="I82" s="68">
        <f>IFERROR(AVERAGE(B82:D82),0)</f>
        <v>38.89</v>
      </c>
      <c r="J82" s="68">
        <f>IFERROR(AVERAGE(B82:D82),0)</f>
        <v>38.89</v>
      </c>
      <c r="K82" s="68">
        <f>IFERROR(AVERAGE(B82:D82),0)</f>
        <v>38.89</v>
      </c>
      <c r="L82" s="68">
        <f>IFERROR(AVERAGE(B82:D82),0)</f>
        <v>38.89</v>
      </c>
      <c r="M82" s="68">
        <f>IFERROR(AVERAGE(B82:D82),0)</f>
        <v>38.89</v>
      </c>
      <c r="N82" s="68">
        <f>SUM(B82:M82)</f>
        <v>518.67999999999995</v>
      </c>
      <c r="O82" s="67" t="s">
        <v>1553</v>
      </c>
    </row>
    <row r="83" spans="1:15">
      <c r="A83" s="69" t="s">
        <v>761</v>
      </c>
      <c r="B83" s="70">
        <v>0</v>
      </c>
      <c r="C83" s="70">
        <v>0</v>
      </c>
      <c r="D83" s="70">
        <v>0</v>
      </c>
      <c r="E83" s="70">
        <v>0</v>
      </c>
      <c r="F83" s="70">
        <f>IFERROR(AVERAGE(B83:D83),0)</f>
        <v>0</v>
      </c>
      <c r="G83" s="70">
        <f>IFERROR(AVERAGE(B83:D83),0)</f>
        <v>0</v>
      </c>
      <c r="H83" s="70">
        <f>IFERROR(AVERAGE(B83:D83),0)</f>
        <v>0</v>
      </c>
      <c r="I83" s="70">
        <f>IFERROR(AVERAGE(B83:D83),0)</f>
        <v>0</v>
      </c>
      <c r="J83" s="70">
        <f>IFERROR(AVERAGE(B83:D83),0)</f>
        <v>0</v>
      </c>
      <c r="K83" s="70">
        <f>IFERROR(AVERAGE(B83:D83),0)</f>
        <v>0</v>
      </c>
      <c r="L83" s="70">
        <f>IFERROR(AVERAGE(B83:D83),0)</f>
        <v>0</v>
      </c>
      <c r="M83" s="70">
        <f>IFERROR(AVERAGE(B83:D83),0)</f>
        <v>0</v>
      </c>
      <c r="N83" s="70">
        <f>SUM(B83:M83)</f>
        <v>0</v>
      </c>
      <c r="O83" s="69" t="s">
        <v>1556</v>
      </c>
    </row>
    <row r="84" spans="1:15">
      <c r="A84" s="67" t="s">
        <v>762</v>
      </c>
      <c r="B84" s="68">
        <v>0</v>
      </c>
      <c r="C84" s="68">
        <v>0</v>
      </c>
      <c r="D84" s="68">
        <v>0</v>
      </c>
      <c r="E84" s="68">
        <v>0</v>
      </c>
      <c r="F84" s="68">
        <f>IFERROR(AVERAGE(B84:D84),0)</f>
        <v>0</v>
      </c>
      <c r="G84" s="68">
        <f>IFERROR(AVERAGE(B84:D84),0)</f>
        <v>0</v>
      </c>
      <c r="H84" s="68">
        <f>IFERROR(AVERAGE(B84:D84),0)</f>
        <v>0</v>
      </c>
      <c r="I84" s="68">
        <f>IFERROR(AVERAGE(B84:D84),0)</f>
        <v>0</v>
      </c>
      <c r="J84" s="68">
        <f>IFERROR(AVERAGE(B84:D84),0)</f>
        <v>0</v>
      </c>
      <c r="K84" s="68">
        <f>IFERROR(AVERAGE(B84:D84),0)</f>
        <v>0</v>
      </c>
      <c r="L84" s="68">
        <f>IFERROR(AVERAGE(B84:D84),0)</f>
        <v>0</v>
      </c>
      <c r="M84" s="68">
        <f>IFERROR(AVERAGE(B84:D84),0)</f>
        <v>0</v>
      </c>
      <c r="N84" s="68">
        <f>SUM(B84:M84)</f>
        <v>0</v>
      </c>
      <c r="O84" s="67" t="s">
        <v>1556</v>
      </c>
    </row>
    <row r="85" spans="1:15">
      <c r="A85" s="69" t="s">
        <v>647</v>
      </c>
      <c r="B85" s="70">
        <v>0</v>
      </c>
      <c r="C85" s="70">
        <v>39.9</v>
      </c>
      <c r="D85" s="70">
        <v>0</v>
      </c>
      <c r="E85" s="70">
        <v>0</v>
      </c>
      <c r="F85" s="70">
        <f>IFERROR(AVERAGE(B85:D85),0)</f>
        <v>13.299999999999999</v>
      </c>
      <c r="G85" s="70">
        <f>IFERROR(AVERAGE(B85:D85),0)</f>
        <v>13.299999999999999</v>
      </c>
      <c r="H85" s="70">
        <f>IFERROR(AVERAGE(B85:D85),0)</f>
        <v>13.299999999999999</v>
      </c>
      <c r="I85" s="70">
        <f>IFERROR(AVERAGE(B85:D85),0)</f>
        <v>13.299999999999999</v>
      </c>
      <c r="J85" s="70">
        <f>IFERROR(AVERAGE(B85:D85),0)</f>
        <v>13.299999999999999</v>
      </c>
      <c r="K85" s="70">
        <f>IFERROR(AVERAGE(B85:D85),0)</f>
        <v>13.299999999999999</v>
      </c>
      <c r="L85" s="70">
        <f>IFERROR(AVERAGE(B85:D85),0)</f>
        <v>13.299999999999999</v>
      </c>
      <c r="M85" s="70">
        <f>IFERROR(AVERAGE(B85:D85),0)</f>
        <v>13.299999999999999</v>
      </c>
      <c r="N85" s="70">
        <f>SUM(B85:M85)</f>
        <v>146.30000000000001</v>
      </c>
      <c r="O85" s="69" t="s">
        <v>1553</v>
      </c>
    </row>
    <row r="86" spans="1:15">
      <c r="A86" s="67" t="s">
        <v>404</v>
      </c>
      <c r="B86" s="68">
        <v>0</v>
      </c>
      <c r="C86" s="68">
        <v>466.28</v>
      </c>
      <c r="D86" s="68">
        <v>0</v>
      </c>
      <c r="E86" s="68">
        <v>0</v>
      </c>
      <c r="F86" s="68">
        <f>IFERROR(AVERAGE(B86:D86),0)</f>
        <v>155.42666666666665</v>
      </c>
      <c r="G86" s="68">
        <f>IFERROR(AVERAGE(B86:D86),0)</f>
        <v>155.42666666666665</v>
      </c>
      <c r="H86" s="68">
        <f>IFERROR(AVERAGE(B86:D86),0)</f>
        <v>155.42666666666665</v>
      </c>
      <c r="I86" s="68">
        <f>IFERROR(AVERAGE(B86:D86),0)</f>
        <v>155.42666666666665</v>
      </c>
      <c r="J86" s="68">
        <f>IFERROR(AVERAGE(B86:D86),0)</f>
        <v>155.42666666666665</v>
      </c>
      <c r="K86" s="68">
        <f>IFERROR(AVERAGE(B86:D86),0)</f>
        <v>155.42666666666665</v>
      </c>
      <c r="L86" s="68">
        <f>IFERROR(AVERAGE(B86:D86),0)</f>
        <v>155.42666666666665</v>
      </c>
      <c r="M86" s="68">
        <f>IFERROR(AVERAGE(B86:D86),0)</f>
        <v>155.42666666666665</v>
      </c>
      <c r="N86" s="68">
        <f>SUM(B86:M86)</f>
        <v>1709.6933333333334</v>
      </c>
      <c r="O86" s="67" t="s">
        <v>1553</v>
      </c>
    </row>
    <row r="87" spans="1:15">
      <c r="A87" s="69" t="s">
        <v>763</v>
      </c>
      <c r="B87" s="70">
        <v>0</v>
      </c>
      <c r="C87" s="70">
        <v>377.46</v>
      </c>
      <c r="D87" s="70">
        <v>0</v>
      </c>
      <c r="E87" s="70">
        <v>0</v>
      </c>
      <c r="F87" s="70">
        <f>IFERROR(AVERAGE(B87:D87),0)</f>
        <v>125.82</v>
      </c>
      <c r="G87" s="70">
        <f>IFERROR(AVERAGE(B87:D87),0)</f>
        <v>125.82</v>
      </c>
      <c r="H87" s="70">
        <f>IFERROR(AVERAGE(B87:D87),0)</f>
        <v>125.82</v>
      </c>
      <c r="I87" s="70">
        <f>IFERROR(AVERAGE(B87:D87),0)</f>
        <v>125.82</v>
      </c>
      <c r="J87" s="70">
        <f>IFERROR(AVERAGE(B87:D87),0)</f>
        <v>125.82</v>
      </c>
      <c r="K87" s="70">
        <f>IFERROR(AVERAGE(B87:D87),0)</f>
        <v>125.82</v>
      </c>
      <c r="L87" s="70">
        <f>IFERROR(AVERAGE(B87:D87),0)</f>
        <v>125.82</v>
      </c>
      <c r="M87" s="70">
        <f>IFERROR(AVERAGE(B87:D87),0)</f>
        <v>125.82</v>
      </c>
      <c r="N87" s="70">
        <f>SUM(B87:M87)</f>
        <v>1384.0199999999995</v>
      </c>
      <c r="O87" s="69" t="s">
        <v>1553</v>
      </c>
    </row>
    <row r="88" spans="1:15">
      <c r="A88" s="67" t="s">
        <v>764</v>
      </c>
      <c r="B88" s="68">
        <v>0</v>
      </c>
      <c r="C88" s="68">
        <v>0</v>
      </c>
      <c r="D88" s="68">
        <v>0</v>
      </c>
      <c r="E88" s="68">
        <v>250.29</v>
      </c>
      <c r="F88" s="68">
        <f>IFERROR(AVERAGE(B88:D88),0)</f>
        <v>0</v>
      </c>
      <c r="G88" s="68">
        <f>IFERROR(AVERAGE(B88:D88),0)</f>
        <v>0</v>
      </c>
      <c r="H88" s="68">
        <f>IFERROR(AVERAGE(B88:D88),0)</f>
        <v>0</v>
      </c>
      <c r="I88" s="68">
        <f>IFERROR(AVERAGE(B88:D88),0)</f>
        <v>0</v>
      </c>
      <c r="J88" s="68">
        <f>IFERROR(AVERAGE(B88:D88),0)</f>
        <v>0</v>
      </c>
      <c r="K88" s="68">
        <f>IFERROR(AVERAGE(B88:D88),0)</f>
        <v>0</v>
      </c>
      <c r="L88" s="68">
        <f>IFERROR(AVERAGE(B88:D88),0)</f>
        <v>0</v>
      </c>
      <c r="M88" s="68">
        <f>IFERROR(AVERAGE(B88:D88),0)</f>
        <v>0</v>
      </c>
      <c r="N88" s="68">
        <f>SUM(B88:M88)</f>
        <v>250.29</v>
      </c>
      <c r="O88" s="67" t="s">
        <v>1556</v>
      </c>
    </row>
    <row r="89" spans="1:15">
      <c r="A89" s="69" t="s">
        <v>765</v>
      </c>
      <c r="B89" s="70">
        <v>0</v>
      </c>
      <c r="C89" s="70">
        <v>0</v>
      </c>
      <c r="D89" s="70">
        <v>0</v>
      </c>
      <c r="E89" s="70">
        <v>0</v>
      </c>
      <c r="F89" s="70">
        <f>IFERROR(AVERAGE(B89:D89),0)</f>
        <v>0</v>
      </c>
      <c r="G89" s="70">
        <f>IFERROR(AVERAGE(B89:D89),0)</f>
        <v>0</v>
      </c>
      <c r="H89" s="70">
        <f>IFERROR(AVERAGE(B89:D89),0)</f>
        <v>0</v>
      </c>
      <c r="I89" s="70">
        <f>IFERROR(AVERAGE(B89:D89),0)</f>
        <v>0</v>
      </c>
      <c r="J89" s="70">
        <f>IFERROR(AVERAGE(B89:D89),0)</f>
        <v>0</v>
      </c>
      <c r="K89" s="70">
        <f>IFERROR(AVERAGE(B89:D89),0)</f>
        <v>0</v>
      </c>
      <c r="L89" s="70">
        <f>IFERROR(AVERAGE(B89:D89),0)</f>
        <v>0</v>
      </c>
      <c r="M89" s="70">
        <f>IFERROR(AVERAGE(B89:D89),0)</f>
        <v>0</v>
      </c>
      <c r="N89" s="70">
        <f>SUM(B89:M89)</f>
        <v>0</v>
      </c>
      <c r="O89" s="69" t="s">
        <v>1556</v>
      </c>
    </row>
    <row r="90" spans="1:15">
      <c r="A90" s="67" t="s">
        <v>766</v>
      </c>
      <c r="B90" s="68">
        <v>0</v>
      </c>
      <c r="C90" s="68">
        <v>0</v>
      </c>
      <c r="D90" s="68">
        <v>0</v>
      </c>
      <c r="E90" s="68">
        <v>0</v>
      </c>
      <c r="F90" s="68">
        <f>IFERROR(AVERAGE(B90:D90),0)</f>
        <v>0</v>
      </c>
      <c r="G90" s="68">
        <f>IFERROR(AVERAGE(B90:D90),0)</f>
        <v>0</v>
      </c>
      <c r="H90" s="68">
        <f>IFERROR(AVERAGE(B90:D90),0)</f>
        <v>0</v>
      </c>
      <c r="I90" s="68">
        <f>IFERROR(AVERAGE(B90:D90),0)</f>
        <v>0</v>
      </c>
      <c r="J90" s="68">
        <f>IFERROR(AVERAGE(B90:D90),0)</f>
        <v>0</v>
      </c>
      <c r="K90" s="68">
        <f>IFERROR(AVERAGE(B90:D90),0)</f>
        <v>0</v>
      </c>
      <c r="L90" s="68">
        <f>IFERROR(AVERAGE(B90:D90),0)</f>
        <v>0</v>
      </c>
      <c r="M90" s="68">
        <f>IFERROR(AVERAGE(B90:D90),0)</f>
        <v>0</v>
      </c>
      <c r="N90" s="68">
        <f>SUM(B90:M90)</f>
        <v>0</v>
      </c>
      <c r="O90" s="67" t="s">
        <v>1556</v>
      </c>
    </row>
    <row r="91" spans="1:15">
      <c r="A91" s="69" t="s">
        <v>767</v>
      </c>
      <c r="B91" s="70">
        <v>0</v>
      </c>
      <c r="C91" s="70">
        <v>0</v>
      </c>
      <c r="D91" s="70">
        <v>0</v>
      </c>
      <c r="E91" s="70">
        <v>0</v>
      </c>
      <c r="F91" s="70">
        <f>IFERROR(AVERAGE(B91:D91),0)</f>
        <v>0</v>
      </c>
      <c r="G91" s="70">
        <f>IFERROR(AVERAGE(B91:D91),0)</f>
        <v>0</v>
      </c>
      <c r="H91" s="70">
        <f>IFERROR(AVERAGE(B91:D91),0)</f>
        <v>0</v>
      </c>
      <c r="I91" s="70">
        <f>IFERROR(AVERAGE(B91:D91),0)</f>
        <v>0</v>
      </c>
      <c r="J91" s="70">
        <f>IFERROR(AVERAGE(B91:D91),0)</f>
        <v>0</v>
      </c>
      <c r="K91" s="70">
        <f>IFERROR(AVERAGE(B91:D91),0)</f>
        <v>0</v>
      </c>
      <c r="L91" s="70">
        <f>IFERROR(AVERAGE(B91:D91),0)</f>
        <v>0</v>
      </c>
      <c r="M91" s="70">
        <f>IFERROR(AVERAGE(B91:D91),0)</f>
        <v>0</v>
      </c>
      <c r="N91" s="70">
        <f>SUM(B91:M91)</f>
        <v>0</v>
      </c>
      <c r="O91" s="69" t="s">
        <v>1556</v>
      </c>
    </row>
    <row r="92" spans="1:15">
      <c r="A92" s="67" t="s">
        <v>476</v>
      </c>
      <c r="B92" s="68">
        <v>0</v>
      </c>
      <c r="C92" s="68">
        <v>0</v>
      </c>
      <c r="D92" s="68">
        <v>190.47</v>
      </c>
      <c r="E92" s="68">
        <v>0</v>
      </c>
      <c r="F92" s="68">
        <f>IFERROR(AVERAGE(B92:D92),0)</f>
        <v>63.49</v>
      </c>
      <c r="G92" s="68">
        <f>IFERROR(AVERAGE(B92:D92),0)</f>
        <v>63.49</v>
      </c>
      <c r="H92" s="68">
        <f>IFERROR(AVERAGE(B92:D92),0)</f>
        <v>63.49</v>
      </c>
      <c r="I92" s="68">
        <f>IFERROR(AVERAGE(B92:D92),0)</f>
        <v>63.49</v>
      </c>
      <c r="J92" s="68">
        <f>IFERROR(AVERAGE(B92:D92),0)</f>
        <v>63.49</v>
      </c>
      <c r="K92" s="68">
        <f>IFERROR(AVERAGE(B92:D92),0)</f>
        <v>63.49</v>
      </c>
      <c r="L92" s="68">
        <f>IFERROR(AVERAGE(B92:D92),0)</f>
        <v>63.49</v>
      </c>
      <c r="M92" s="68">
        <f>IFERROR(AVERAGE(B92:D92),0)</f>
        <v>63.49</v>
      </c>
      <c r="N92" s="68">
        <f>SUM(B92:M92)</f>
        <v>698.39</v>
      </c>
      <c r="O92" s="67" t="s">
        <v>1553</v>
      </c>
    </row>
    <row r="93" spans="1:15">
      <c r="A93" s="69" t="s">
        <v>768</v>
      </c>
      <c r="B93" s="70">
        <v>0</v>
      </c>
      <c r="C93" s="70">
        <v>0</v>
      </c>
      <c r="D93" s="70">
        <v>0</v>
      </c>
      <c r="E93" s="70">
        <v>0</v>
      </c>
      <c r="F93" s="70">
        <f>IFERROR(AVERAGE(B93:D93),0)</f>
        <v>0</v>
      </c>
      <c r="G93" s="70">
        <f>IFERROR(AVERAGE(B93:D93),0)</f>
        <v>0</v>
      </c>
      <c r="H93" s="70">
        <f>IFERROR(AVERAGE(B93:D93),0)</f>
        <v>0</v>
      </c>
      <c r="I93" s="70">
        <f>IFERROR(AVERAGE(B93:D93),0)</f>
        <v>0</v>
      </c>
      <c r="J93" s="70">
        <f>IFERROR(AVERAGE(B93:D93),0)</f>
        <v>0</v>
      </c>
      <c r="K93" s="70">
        <f>IFERROR(AVERAGE(B93:D93),0)</f>
        <v>0</v>
      </c>
      <c r="L93" s="70">
        <f>IFERROR(AVERAGE(B93:D93),0)</f>
        <v>0</v>
      </c>
      <c r="M93" s="70">
        <f>IFERROR(AVERAGE(B93:D93),0)</f>
        <v>0</v>
      </c>
      <c r="N93" s="70">
        <f>SUM(B93:M93)</f>
        <v>0</v>
      </c>
      <c r="O93" s="69" t="s">
        <v>1556</v>
      </c>
    </row>
    <row r="94" spans="1:15">
      <c r="A94" s="67" t="s">
        <v>769</v>
      </c>
      <c r="B94" s="68">
        <v>0</v>
      </c>
      <c r="C94" s="68">
        <v>0</v>
      </c>
      <c r="D94" s="68">
        <v>0</v>
      </c>
      <c r="E94" s="68">
        <v>0</v>
      </c>
      <c r="F94" s="68">
        <f>IFERROR(AVERAGE(B94:D94),0)</f>
        <v>0</v>
      </c>
      <c r="G94" s="68">
        <f>IFERROR(AVERAGE(B94:D94),0)</f>
        <v>0</v>
      </c>
      <c r="H94" s="68">
        <f>IFERROR(AVERAGE(B94:D94),0)</f>
        <v>0</v>
      </c>
      <c r="I94" s="68">
        <f>IFERROR(AVERAGE(B94:D94),0)</f>
        <v>0</v>
      </c>
      <c r="J94" s="68">
        <f>IFERROR(AVERAGE(B94:D94),0)</f>
        <v>0</v>
      </c>
      <c r="K94" s="68">
        <f>IFERROR(AVERAGE(B94:D94),0)</f>
        <v>0</v>
      </c>
      <c r="L94" s="68">
        <f>IFERROR(AVERAGE(B94:D94),0)</f>
        <v>0</v>
      </c>
      <c r="M94" s="68">
        <f>IFERROR(AVERAGE(B94:D94),0)</f>
        <v>0</v>
      </c>
      <c r="N94" s="68">
        <f>SUM(B94:M94)</f>
        <v>0</v>
      </c>
      <c r="O94" s="67" t="s">
        <v>1556</v>
      </c>
    </row>
    <row r="95" spans="1:15">
      <c r="A95" s="69" t="s">
        <v>770</v>
      </c>
      <c r="B95" s="70">
        <v>0</v>
      </c>
      <c r="C95" s="70">
        <v>0</v>
      </c>
      <c r="D95" s="70">
        <v>0</v>
      </c>
      <c r="E95" s="70">
        <v>0</v>
      </c>
      <c r="F95" s="70">
        <f>IFERROR(AVERAGE(B95:D95),0)</f>
        <v>0</v>
      </c>
      <c r="G95" s="70">
        <f>IFERROR(AVERAGE(B95:D95),0)</f>
        <v>0</v>
      </c>
      <c r="H95" s="70">
        <f>IFERROR(AVERAGE(B95:D95),0)</f>
        <v>0</v>
      </c>
      <c r="I95" s="70">
        <f>IFERROR(AVERAGE(B95:D95),0)</f>
        <v>0</v>
      </c>
      <c r="J95" s="70">
        <f>IFERROR(AVERAGE(B95:D95),0)</f>
        <v>0</v>
      </c>
      <c r="K95" s="70">
        <f>IFERROR(AVERAGE(B95:D95),0)</f>
        <v>0</v>
      </c>
      <c r="L95" s="70">
        <f>IFERROR(AVERAGE(B95:D95),0)</f>
        <v>0</v>
      </c>
      <c r="M95" s="70">
        <f>IFERROR(AVERAGE(B95:D95),0)</f>
        <v>0</v>
      </c>
      <c r="N95" s="70">
        <f>SUM(B95:M95)</f>
        <v>0</v>
      </c>
      <c r="O95" s="69" t="s">
        <v>1556</v>
      </c>
    </row>
    <row r="96" spans="1:15">
      <c r="A96" s="67" t="s">
        <v>771</v>
      </c>
      <c r="B96" s="68">
        <v>0</v>
      </c>
      <c r="C96" s="68">
        <v>0</v>
      </c>
      <c r="D96" s="68">
        <v>0</v>
      </c>
      <c r="E96" s="68">
        <v>0</v>
      </c>
      <c r="F96" s="68">
        <f>IFERROR(AVERAGE(B96:D96),0)</f>
        <v>0</v>
      </c>
      <c r="G96" s="68">
        <f>IFERROR(AVERAGE(B96:D96),0)</f>
        <v>0</v>
      </c>
      <c r="H96" s="68">
        <f>IFERROR(AVERAGE(B96:D96),0)</f>
        <v>0</v>
      </c>
      <c r="I96" s="68">
        <f>IFERROR(AVERAGE(B96:D96),0)</f>
        <v>0</v>
      </c>
      <c r="J96" s="68">
        <f>IFERROR(AVERAGE(B96:D96),0)</f>
        <v>0</v>
      </c>
      <c r="K96" s="68">
        <f>IFERROR(AVERAGE(B96:D96),0)</f>
        <v>0</v>
      </c>
      <c r="L96" s="68">
        <f>IFERROR(AVERAGE(B96:D96),0)</f>
        <v>0</v>
      </c>
      <c r="M96" s="68">
        <f>IFERROR(AVERAGE(B96:D96),0)</f>
        <v>0</v>
      </c>
      <c r="N96" s="68">
        <f>SUM(B96:M96)</f>
        <v>0</v>
      </c>
      <c r="O96" s="67" t="s">
        <v>1556</v>
      </c>
    </row>
    <row r="97" spans="1:15">
      <c r="A97" s="69" t="s">
        <v>772</v>
      </c>
      <c r="B97" s="70">
        <v>0</v>
      </c>
      <c r="C97" s="70">
        <v>0</v>
      </c>
      <c r="D97" s="70">
        <v>0</v>
      </c>
      <c r="E97" s="70">
        <v>0</v>
      </c>
      <c r="F97" s="70">
        <f>IFERROR(AVERAGE(B97:D97),0)</f>
        <v>0</v>
      </c>
      <c r="G97" s="70">
        <f>IFERROR(AVERAGE(B97:D97),0)</f>
        <v>0</v>
      </c>
      <c r="H97" s="70">
        <f>IFERROR(AVERAGE(B97:D97),0)</f>
        <v>0</v>
      </c>
      <c r="I97" s="70">
        <f>IFERROR(AVERAGE(B97:D97),0)</f>
        <v>0</v>
      </c>
      <c r="J97" s="70">
        <f>IFERROR(AVERAGE(B97:D97),0)</f>
        <v>0</v>
      </c>
      <c r="K97" s="70">
        <f>IFERROR(AVERAGE(B97:D97),0)</f>
        <v>0</v>
      </c>
      <c r="L97" s="70">
        <f>IFERROR(AVERAGE(B97:D97),0)</f>
        <v>0</v>
      </c>
      <c r="M97" s="70">
        <f>IFERROR(AVERAGE(B97:D97),0)</f>
        <v>0</v>
      </c>
      <c r="N97" s="70">
        <f>SUM(B97:M97)</f>
        <v>0</v>
      </c>
      <c r="O97" s="69" t="s">
        <v>1556</v>
      </c>
    </row>
    <row r="98" spans="1:15">
      <c r="A98" s="67" t="s">
        <v>773</v>
      </c>
      <c r="B98" s="68">
        <v>35.08</v>
      </c>
      <c r="C98" s="68">
        <v>0</v>
      </c>
      <c r="D98" s="68">
        <v>0</v>
      </c>
      <c r="E98" s="68">
        <v>0</v>
      </c>
      <c r="F98" s="68">
        <f>IFERROR(AVERAGE(B98:D98),0)</f>
        <v>11.693333333333333</v>
      </c>
      <c r="G98" s="68">
        <f>IFERROR(AVERAGE(B98:D98),0)</f>
        <v>11.693333333333333</v>
      </c>
      <c r="H98" s="68">
        <f>IFERROR(AVERAGE(B98:D98),0)</f>
        <v>11.693333333333333</v>
      </c>
      <c r="I98" s="68">
        <f>IFERROR(AVERAGE(B98:D98),0)</f>
        <v>11.693333333333333</v>
      </c>
      <c r="J98" s="68">
        <f>IFERROR(AVERAGE(B98:D98),0)</f>
        <v>11.693333333333333</v>
      </c>
      <c r="K98" s="68">
        <f>IFERROR(AVERAGE(B98:D98),0)</f>
        <v>11.693333333333333</v>
      </c>
      <c r="L98" s="68">
        <f>IFERROR(AVERAGE(B98:D98),0)</f>
        <v>11.693333333333333</v>
      </c>
      <c r="M98" s="68">
        <f>IFERROR(AVERAGE(B98:D98),0)</f>
        <v>11.693333333333333</v>
      </c>
      <c r="N98" s="68">
        <f>SUM(B98:M98)</f>
        <v>128.62666666666664</v>
      </c>
      <c r="O98" s="67" t="s">
        <v>1553</v>
      </c>
    </row>
    <row r="99" spans="1:15">
      <c r="A99" s="69" t="s">
        <v>774</v>
      </c>
      <c r="B99" s="70">
        <v>0</v>
      </c>
      <c r="C99" s="70">
        <v>0</v>
      </c>
      <c r="D99" s="70">
        <v>0</v>
      </c>
      <c r="E99" s="70">
        <v>50</v>
      </c>
      <c r="F99" s="70">
        <f>IFERROR(AVERAGE(B99:D99),0)</f>
        <v>0</v>
      </c>
      <c r="G99" s="70">
        <f>IFERROR(AVERAGE(B99:D99),0)</f>
        <v>0</v>
      </c>
      <c r="H99" s="70">
        <f>IFERROR(AVERAGE(B99:D99),0)</f>
        <v>0</v>
      </c>
      <c r="I99" s="70">
        <f>IFERROR(AVERAGE(B99:D99),0)</f>
        <v>0</v>
      </c>
      <c r="J99" s="70">
        <f>IFERROR(AVERAGE(B99:D99),0)</f>
        <v>0</v>
      </c>
      <c r="K99" s="70">
        <f>IFERROR(AVERAGE(B99:D99),0)</f>
        <v>0</v>
      </c>
      <c r="L99" s="70">
        <f>IFERROR(AVERAGE(B99:D99),0)</f>
        <v>0</v>
      </c>
      <c r="M99" s="70">
        <f>IFERROR(AVERAGE(B99:D99),0)</f>
        <v>0</v>
      </c>
      <c r="N99" s="70">
        <f>SUM(B99:M99)</f>
        <v>50</v>
      </c>
      <c r="O99" s="69" t="s">
        <v>1556</v>
      </c>
    </row>
    <row r="100" spans="1:15"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</row>
    <row r="101" spans="1:15">
      <c r="A101" s="48" t="s">
        <v>1557</v>
      </c>
      <c r="B101" s="50">
        <f>SUM(B4:B99)</f>
        <v>311536.31000000011</v>
      </c>
      <c r="C101" s="50">
        <f>SUM(C4:C99)</f>
        <v>327176.7300000001</v>
      </c>
      <c r="D101" s="50">
        <f>SUM(D4:D99)</f>
        <v>332002.41999999987</v>
      </c>
      <c r="E101" s="50">
        <f>SUM(E4:E99)</f>
        <v>366849.76999999996</v>
      </c>
      <c r="F101" s="50">
        <f>SUM(F4:F99)</f>
        <v>325529.14666666673</v>
      </c>
      <c r="G101" s="50">
        <f>SUM(G4:G99)</f>
        <v>325529.14666666673</v>
      </c>
      <c r="H101" s="50">
        <f>SUM(H4:H99)</f>
        <v>325529.14666666673</v>
      </c>
      <c r="I101" s="50">
        <f>SUM(I4:I99)</f>
        <v>325529.14666666673</v>
      </c>
      <c r="J101" s="50">
        <f>SUM(J4:J99)</f>
        <v>325529.14666666673</v>
      </c>
      <c r="K101" s="50">
        <f>SUM(K4:K99)</f>
        <v>325529.14666666673</v>
      </c>
      <c r="L101" s="50">
        <f>SUM(L4:L99)</f>
        <v>325529.14666666673</v>
      </c>
      <c r="M101" s="50">
        <f>SUM(M4:M99)</f>
        <v>325529.14666666673</v>
      </c>
      <c r="N101" s="50">
        <f>SUM(N4:N99)</f>
        <v>3941798.4033333352</v>
      </c>
    </row>
    <row r="104" spans="1:15" ht="15.75">
      <c r="A104" s="52" t="s">
        <v>1558</v>
      </c>
    </row>
    <row r="106" spans="1:15">
      <c r="A106" s="43" t="s">
        <v>1559</v>
      </c>
      <c r="B106" s="43" t="s">
        <v>785</v>
      </c>
    </row>
    <row r="107" spans="1:15">
      <c r="A107" t="s">
        <v>1560</v>
      </c>
      <c r="B107" s="49">
        <f>SUM(B101:E101)</f>
        <v>1337565.2300000002</v>
      </c>
    </row>
    <row r="108" spans="1:15">
      <c r="A108" t="s">
        <v>1561</v>
      </c>
      <c r="B108" s="49">
        <f>SUM(F101:M101)</f>
        <v>2604233.1733333338</v>
      </c>
    </row>
    <row r="109" spans="1:15">
      <c r="A109" t="s">
        <v>1562</v>
      </c>
      <c r="B109" s="49">
        <f>N101</f>
        <v>3941798.4033333352</v>
      </c>
    </row>
    <row r="110" spans="1:15">
      <c r="A110" t="s">
        <v>1563</v>
      </c>
      <c r="B110" s="49">
        <f>N101/12</f>
        <v>328483.20027777791</v>
      </c>
    </row>
    <row r="112" spans="1:15">
      <c r="A112" s="34" t="s">
        <v>1564</v>
      </c>
    </row>
    <row r="113" spans="1:5">
      <c r="A113" s="53" t="s">
        <v>1565</v>
      </c>
    </row>
    <row r="114" spans="1:5" ht="15">
      <c r="A114" s="54" t="s">
        <v>1566</v>
      </c>
    </row>
    <row r="116" spans="1:5">
      <c r="A116" s="46" t="s">
        <v>1567</v>
      </c>
      <c r="B116" s="46" t="s">
        <v>785</v>
      </c>
      <c r="C116" s="46" t="s">
        <v>1568</v>
      </c>
      <c r="D116" s="46" t="s">
        <v>1569</v>
      </c>
      <c r="E116" s="46"/>
    </row>
    <row r="117" spans="1:5">
      <c r="A117" t="s">
        <v>1570</v>
      </c>
      <c r="B117" s="49">
        <f>SUM(B101:D101)</f>
        <v>970715.4600000002</v>
      </c>
      <c r="C117" s="42">
        <f>B117/N101</f>
        <v>0.24626207651287446</v>
      </c>
      <c r="D117" t="s">
        <v>1571</v>
      </c>
    </row>
    <row r="118" spans="1:5">
      <c r="A118" t="s">
        <v>1572</v>
      </c>
      <c r="B118" s="49">
        <f>SUM(E101:G101)</f>
        <v>1017908.0633333335</v>
      </c>
      <c r="C118" s="42">
        <f>B118/N101</f>
        <v>0.25823442986646694</v>
      </c>
      <c r="D118" t="s">
        <v>1573</v>
      </c>
    </row>
    <row r="119" spans="1:5">
      <c r="A119" t="s">
        <v>1574</v>
      </c>
      <c r="B119" s="49">
        <f>SUM(H101:J101)</f>
        <v>976587.44000000018</v>
      </c>
      <c r="C119" s="42">
        <f>B119/N101</f>
        <v>0.24775174681032916</v>
      </c>
      <c r="D119" t="s">
        <v>1575</v>
      </c>
    </row>
    <row r="120" spans="1:5">
      <c r="A120" t="s">
        <v>1576</v>
      </c>
      <c r="B120" s="49">
        <f>SUM(K101:M101)</f>
        <v>976587.44000000018</v>
      </c>
      <c r="C120" s="42">
        <f>B120/N101</f>
        <v>0.24775174681032916</v>
      </c>
      <c r="D120" t="s">
        <v>1575</v>
      </c>
    </row>
    <row r="121" spans="1:5">
      <c r="A121" s="43" t="s">
        <v>1577</v>
      </c>
      <c r="B121" s="55">
        <f>SUM(B117:B120)</f>
        <v>3941798.4033333343</v>
      </c>
      <c r="C121" s="44">
        <f>SUM(C117:C120)</f>
        <v>0.99999999999999978</v>
      </c>
      <c r="D121" s="43"/>
    </row>
  </sheetData>
  <mergeCells count="1">
    <mergeCell ref="A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D752-500F-4CED-B55B-F1FA520F1D38}">
  <dimension ref="A1:G74"/>
  <sheetViews>
    <sheetView topLeftCell="A2" workbookViewId="0">
      <selection activeCell="B5" sqref="B5:G10"/>
    </sheetView>
  </sheetViews>
  <sheetFormatPr defaultRowHeight="12.75"/>
  <cols>
    <col min="1" max="1" width="38.140625" customWidth="1"/>
    <col min="2" max="7" width="17.140625" customWidth="1"/>
    <col min="8" max="19" width="16.140625" customWidth="1"/>
    <col min="20" max="21" width="19" customWidth="1"/>
  </cols>
  <sheetData>
    <row r="1" spans="1:7" ht="30" customHeight="1">
      <c r="A1" s="71" t="s">
        <v>1578</v>
      </c>
      <c r="B1" s="127"/>
      <c r="C1" s="127"/>
      <c r="D1" s="127"/>
      <c r="E1" s="127"/>
      <c r="F1" s="127"/>
      <c r="G1" s="127"/>
    </row>
    <row r="4" spans="1:7">
      <c r="A4" s="114" t="s">
        <v>1516</v>
      </c>
      <c r="B4" s="114" t="s">
        <v>1537</v>
      </c>
      <c r="C4" s="114" t="s">
        <v>1538</v>
      </c>
      <c r="D4" s="114" t="s">
        <v>1539</v>
      </c>
      <c r="E4" s="114" t="s">
        <v>1540</v>
      </c>
      <c r="F4" s="114" t="s">
        <v>1541</v>
      </c>
      <c r="G4" s="114" t="s">
        <v>1577</v>
      </c>
    </row>
    <row r="5" spans="1:7">
      <c r="A5" s="91" t="s">
        <v>716</v>
      </c>
      <c r="B5" s="105">
        <f>SUMIFS(BASE!$K:$K,BASE!$C:$C,$A5,BASE!$M:$M,2026,BASE!$D:$D,"01/2026")</f>
        <v>2623.02</v>
      </c>
      <c r="C5" s="105">
        <f>SUMIFS(BASE!$K:$K,BASE!$C:$C,$A5,BASE!$M:$M,2026,BASE!$D:$D,"02/2026")</f>
        <v>24839.94</v>
      </c>
      <c r="D5" s="105">
        <f>SUMIFS(BASE!$K:$K,BASE!$C:$C,$A5,BASE!$M:$M,2026,BASE!$D:$D,"03/2026")</f>
        <v>20571.580000000002</v>
      </c>
      <c r="E5" s="105">
        <f>SUMIFS(BASE!$K:$K,BASE!$C:$C,$A5,BASE!$M:$M,2026,BASE!$D:$D,"04/2026")</f>
        <v>26432.78</v>
      </c>
      <c r="F5" s="105">
        <f>SUMIFS(BASE!$K:$K,BASE!$C:$C,$A5,BASE!$M:$M,2026,BASE!$D:$D,"05/2026")</f>
        <v>24737.21</v>
      </c>
      <c r="G5" s="105">
        <f>SUM(B5:F5)</f>
        <v>99204.53</v>
      </c>
    </row>
    <row r="6" spans="1:7">
      <c r="A6" s="104" t="s">
        <v>713</v>
      </c>
      <c r="B6" s="106">
        <f>SUMIFS(BASE!$K:$K,BASE!$C:$C,$A6,BASE!$M:$M,2026,BASE!$D:$D,"01/2026")</f>
        <v>0</v>
      </c>
      <c r="C6" s="106">
        <f>SUMIFS(BASE!$K:$K,BASE!$C:$C,$A6,BASE!$M:$M,2026,BASE!$D:$D,"02/2026")</f>
        <v>3152.57</v>
      </c>
      <c r="D6" s="106">
        <f>SUMIFS(BASE!$K:$K,BASE!$C:$C,$A6,BASE!$M:$M,2026,BASE!$D:$D,"03/2026")</f>
        <v>1993.52</v>
      </c>
      <c r="E6" s="106">
        <f>SUMIFS(BASE!$K:$K,BASE!$C:$C,$A6,BASE!$M:$M,2026,BASE!$D:$D,"04/2026")</f>
        <v>15622.75</v>
      </c>
      <c r="F6" s="106">
        <f>SUMIFS(BASE!$K:$K,BASE!$C:$C,$A6,BASE!$M:$M,2026,BASE!$D:$D,"05/2026")</f>
        <v>3992.8</v>
      </c>
      <c r="G6" s="106">
        <f>SUM(B6:F6)</f>
        <v>24761.64</v>
      </c>
    </row>
    <row r="7" spans="1:7">
      <c r="A7" s="91" t="s">
        <v>719</v>
      </c>
      <c r="B7" s="105">
        <f>SUMIFS(BASE!$K:$K,BASE!$C:$C,$A7,BASE!$M:$M,2026,BASE!$D:$D,"01/2026")</f>
        <v>11568.26</v>
      </c>
      <c r="C7" s="105">
        <f>SUMIFS(BASE!$K:$K,BASE!$C:$C,$A7,BASE!$M:$M,2026,BASE!$D:$D,"02/2026")</f>
        <v>11802.77</v>
      </c>
      <c r="D7" s="105">
        <f>SUMIFS(BASE!$K:$K,BASE!$C:$C,$A7,BASE!$M:$M,2026,BASE!$D:$D,"03/2026")</f>
        <v>12392.42</v>
      </c>
      <c r="E7" s="105">
        <f>SUMIFS(BASE!$K:$K,BASE!$C:$C,$A7,BASE!$M:$M,2026,BASE!$D:$D,"04/2026")</f>
        <v>9304.76</v>
      </c>
      <c r="F7" s="105">
        <f>SUMIFS(BASE!$K:$K,BASE!$C:$C,$A7,BASE!$M:$M,2026,BASE!$D:$D,"05/2026")</f>
        <v>13742.91</v>
      </c>
      <c r="G7" s="105">
        <f>SUM(B7:F7)</f>
        <v>58811.119999999995</v>
      </c>
    </row>
    <row r="8" spans="1:7">
      <c r="A8" s="103" t="s">
        <v>1579</v>
      </c>
      <c r="B8" s="107">
        <f>SUM(B5:B7)</f>
        <v>14191.28</v>
      </c>
      <c r="C8" s="107">
        <f>SUM(C5:C7)</f>
        <v>39795.279999999999</v>
      </c>
      <c r="D8" s="107">
        <f>SUM(D5:D7)</f>
        <v>34957.520000000004</v>
      </c>
      <c r="E8" s="107">
        <f>SUM(E5:E7)</f>
        <v>51360.29</v>
      </c>
      <c r="F8" s="107">
        <f>SUM(F5:F7)</f>
        <v>42472.92</v>
      </c>
      <c r="G8" s="107">
        <f>SUM(G5:G7)</f>
        <v>182777.28999999998</v>
      </c>
    </row>
    <row r="9" spans="1:7">
      <c r="B9" s="111"/>
      <c r="C9" s="111"/>
      <c r="D9" s="111"/>
      <c r="E9" s="111"/>
      <c r="F9" s="111"/>
      <c r="G9" s="111"/>
    </row>
    <row r="10" spans="1:7">
      <c r="A10" s="115" t="s">
        <v>1580</v>
      </c>
      <c r="B10" s="112">
        <f>DIN_TAXA!C121</f>
        <v>311536.30999999994</v>
      </c>
      <c r="C10" s="112">
        <f>DIN_TAXA!D121</f>
        <v>327176.73000000004</v>
      </c>
      <c r="D10" s="112">
        <f>DIN_TAXA!E121</f>
        <v>332050.92</v>
      </c>
      <c r="E10" s="112">
        <f>DIN_TAXA!F121</f>
        <v>366849.7699999999</v>
      </c>
      <c r="F10" s="112">
        <f>DIN_TAXA!G121</f>
        <v>333682.87000000005</v>
      </c>
      <c r="G10" s="113">
        <f>DIN_TAXA!H121</f>
        <v>1671296.6000000003</v>
      </c>
    </row>
    <row r="12" spans="1:7">
      <c r="A12" s="116" t="s">
        <v>1581</v>
      </c>
      <c r="B12" s="121">
        <f>IF(B10=0,0,B8/B10)</f>
        <v>4.5552571384054732E-2</v>
      </c>
      <c r="C12" s="121">
        <f>IF(C10=0,0,C8/C10)</f>
        <v>0.12163236670285199</v>
      </c>
      <c r="D12" s="121">
        <f>IF(D10=0,0,D8/D10)</f>
        <v>0.10527758814822741</v>
      </c>
      <c r="E12" s="121">
        <f>IF(E10=0,0,E8/E10)</f>
        <v>0.14000360420016078</v>
      </c>
      <c r="F12" s="121">
        <f>IF(F10=0,0,F8/F10)</f>
        <v>0.12728528737480588</v>
      </c>
      <c r="G12" s="122">
        <f>IF(G10=0,0,G8/G10)</f>
        <v>0.10936256915738352</v>
      </c>
    </row>
    <row r="14" spans="1:7">
      <c r="A14" s="128" t="s">
        <v>1582</v>
      </c>
      <c r="B14" s="129"/>
      <c r="C14" s="129"/>
      <c r="D14" s="129"/>
      <c r="E14" s="129"/>
      <c r="F14" s="129"/>
      <c r="G14" s="129"/>
    </row>
    <row r="15" spans="1:7">
      <c r="A15" s="91" t="s">
        <v>716</v>
      </c>
      <c r="B15" s="123">
        <f>IF(B$10=0,0,B5/B$10)</f>
        <v>8.4196285177801609E-3</v>
      </c>
      <c r="C15" s="123">
        <f>IF(C$10=0,0,C5/C$10)</f>
        <v>7.5922086512692985E-2</v>
      </c>
      <c r="D15" s="123">
        <f>IF(D$10=0,0,D5/D$10)</f>
        <v>6.1953088399815316E-2</v>
      </c>
      <c r="E15" s="123">
        <f>IF(E$10=0,0,E5/E$10)</f>
        <v>7.2053418487900395E-2</v>
      </c>
      <c r="F15" s="123">
        <f>IF(F$10=0,0,F5/F$10)</f>
        <v>7.413389245902853E-2</v>
      </c>
      <c r="G15" s="123">
        <f>IF(G$10=0,0,G5/G$10)</f>
        <v>5.9357824338301161E-2</v>
      </c>
    </row>
    <row r="16" spans="1:7">
      <c r="A16" s="104" t="s">
        <v>713</v>
      </c>
      <c r="B16" s="124">
        <f>IF(B$10=0,0,B6/B$10)</f>
        <v>0</v>
      </c>
      <c r="C16" s="124">
        <f>IF(C$10=0,0,C6/C$10)</f>
        <v>9.6356791633683721E-3</v>
      </c>
      <c r="D16" s="124">
        <f>IF(D$10=0,0,D6/D$10)</f>
        <v>6.003657511323866E-3</v>
      </c>
      <c r="E16" s="124">
        <f>IF(E$10=0,0,E6/E$10)</f>
        <v>4.2586233596384714E-2</v>
      </c>
      <c r="F16" s="124">
        <f>IF(F$10=0,0,F6/F$10)</f>
        <v>1.1965852487423162E-2</v>
      </c>
      <c r="G16" s="124">
        <f>IF(G$10=0,0,G6/G$10)</f>
        <v>1.4815826227373402E-2</v>
      </c>
    </row>
    <row r="17" spans="1:7">
      <c r="A17" s="91" t="s">
        <v>719</v>
      </c>
      <c r="B17" s="123">
        <f>IF(B$10=0,0,B7/B$10)</f>
        <v>3.7132942866274568E-2</v>
      </c>
      <c r="C17" s="123">
        <f>IF(C$10=0,0,C7/C$10)</f>
        <v>3.6074601026790623E-2</v>
      </c>
      <c r="D17" s="123">
        <f>IF(D$10=0,0,D7/D$10)</f>
        <v>3.7320842237088217E-2</v>
      </c>
      <c r="E17" s="123">
        <f>IF(E$10=0,0,E7/E$10)</f>
        <v>2.5363952115875669E-2</v>
      </c>
      <c r="F17" s="123">
        <f>IF(F$10=0,0,F7/F$10)</f>
        <v>4.1185542428354198E-2</v>
      </c>
      <c r="G17" s="123">
        <f>IF(G$10=0,0,G7/G$10)</f>
        <v>3.5188918591708966E-2</v>
      </c>
    </row>
    <row r="20" spans="1:7">
      <c r="A20" s="130" t="s">
        <v>1583</v>
      </c>
      <c r="B20" s="127"/>
      <c r="C20" s="127"/>
      <c r="D20" s="127"/>
      <c r="E20" s="127"/>
      <c r="F20" s="127"/>
    </row>
    <row r="21" spans="1:7">
      <c r="A21" s="34" t="s">
        <v>1516</v>
      </c>
      <c r="B21" s="102">
        <v>46048</v>
      </c>
      <c r="C21" s="34" t="s">
        <v>1584</v>
      </c>
      <c r="D21" s="102">
        <v>46107</v>
      </c>
      <c r="E21" s="34" t="s">
        <v>1585</v>
      </c>
      <c r="F21" s="34" t="s">
        <v>1586</v>
      </c>
    </row>
    <row r="22" spans="1:7">
      <c r="A22" t="s">
        <v>716</v>
      </c>
      <c r="B22" s="111">
        <f>B5</f>
        <v>2623.02</v>
      </c>
      <c r="C22" s="111">
        <f>C5</f>
        <v>24839.94</v>
      </c>
      <c r="D22" s="111">
        <f>D5</f>
        <v>20571.580000000002</v>
      </c>
      <c r="E22" s="111">
        <f>E5</f>
        <v>26432.78</v>
      </c>
      <c r="F22" s="111">
        <f>F5</f>
        <v>24737.21</v>
      </c>
    </row>
    <row r="23" spans="1:7">
      <c r="A23" t="s">
        <v>713</v>
      </c>
      <c r="B23" s="111">
        <f>B6</f>
        <v>0</v>
      </c>
      <c r="C23" s="111">
        <f>C6</f>
        <v>3152.57</v>
      </c>
      <c r="D23" s="111">
        <f>D6</f>
        <v>1993.52</v>
      </c>
      <c r="E23" s="111">
        <f>E6</f>
        <v>15622.75</v>
      </c>
      <c r="F23" s="111">
        <f>F6</f>
        <v>3992.8</v>
      </c>
    </row>
    <row r="24" spans="1:7">
      <c r="A24" t="s">
        <v>719</v>
      </c>
      <c r="B24" s="111">
        <f>B7</f>
        <v>11568.26</v>
      </c>
      <c r="C24" s="111">
        <f>C7</f>
        <v>11802.77</v>
      </c>
      <c r="D24" s="111">
        <f>D7</f>
        <v>12392.42</v>
      </c>
      <c r="E24" s="111">
        <f>E7</f>
        <v>9304.76</v>
      </c>
      <c r="F24" s="111">
        <f>F7</f>
        <v>13742.91</v>
      </c>
    </row>
    <row r="25" spans="1:7">
      <c r="A25" t="s">
        <v>1581</v>
      </c>
      <c r="B25" s="75">
        <f>B12</f>
        <v>4.5552571384054732E-2</v>
      </c>
      <c r="C25" s="75">
        <f>C12</f>
        <v>0.12163236670285199</v>
      </c>
      <c r="D25" s="75">
        <f>D12</f>
        <v>0.10527758814822741</v>
      </c>
      <c r="E25" s="75">
        <f>E12</f>
        <v>0.14000360420016078</v>
      </c>
      <c r="F25" s="75">
        <f>F12</f>
        <v>0.12728528737480588</v>
      </c>
    </row>
    <row r="66" spans="1:5" ht="15.75">
      <c r="A66" s="131" t="s">
        <v>1587</v>
      </c>
      <c r="B66" s="129"/>
      <c r="C66" s="129"/>
      <c r="D66" s="129"/>
      <c r="E66" s="129"/>
    </row>
    <row r="67" spans="1:5">
      <c r="A67" s="117" t="s">
        <v>1516</v>
      </c>
      <c r="B67" s="117" t="s">
        <v>1588</v>
      </c>
      <c r="C67" s="117" t="s">
        <v>1589</v>
      </c>
      <c r="D67" s="117" t="s">
        <v>1590</v>
      </c>
      <c r="E67" s="117" t="s">
        <v>1591</v>
      </c>
    </row>
    <row r="68" spans="1:5">
      <c r="A68" s="91" t="s">
        <v>716</v>
      </c>
      <c r="B68" s="105">
        <f>G5</f>
        <v>99204.53</v>
      </c>
      <c r="C68" s="105">
        <f>G5/5</f>
        <v>19840.905999999999</v>
      </c>
      <c r="D68" s="119">
        <f>IF(G8=0,0,G5/G8)</f>
        <v>0.54276179496916721</v>
      </c>
      <c r="E68" s="123">
        <f>IF(G10=0,0,G5/G10)</f>
        <v>5.9357824338301161E-2</v>
      </c>
    </row>
    <row r="69" spans="1:5">
      <c r="A69" s="104" t="s">
        <v>713</v>
      </c>
      <c r="B69" s="106">
        <f>G6</f>
        <v>24761.64</v>
      </c>
      <c r="C69" s="106">
        <f>G6/5</f>
        <v>4952.3279999999995</v>
      </c>
      <c r="D69" s="120">
        <f>IF(G8=0,0,G6/G8)</f>
        <v>0.13547437977661231</v>
      </c>
      <c r="E69" s="124">
        <f>IF(G10=0,0,G6/G10)</f>
        <v>1.4815826227373402E-2</v>
      </c>
    </row>
    <row r="70" spans="1:5">
      <c r="A70" s="91" t="s">
        <v>719</v>
      </c>
      <c r="B70" s="105">
        <f>G7</f>
        <v>58811.119999999995</v>
      </c>
      <c r="C70" s="105">
        <f>G7/5</f>
        <v>11762.223999999998</v>
      </c>
      <c r="D70" s="119">
        <f>IF(G8=0,0,G7/G8)</f>
        <v>0.32176382525422059</v>
      </c>
      <c r="E70" s="123">
        <f>IF(G10=0,0,G7/G10)</f>
        <v>3.5188918591708966E-2</v>
      </c>
    </row>
    <row r="71" spans="1:5">
      <c r="A71" s="103" t="s">
        <v>1579</v>
      </c>
      <c r="B71" s="107">
        <f>G8</f>
        <v>182777.28999999998</v>
      </c>
      <c r="C71" s="107">
        <f>G8/5</f>
        <v>36555.457999999999</v>
      </c>
      <c r="D71" s="118">
        <f>IF(G8=0,0,1)</f>
        <v>1</v>
      </c>
      <c r="E71" s="125">
        <f>IF(G10=0,0,G8/G10)</f>
        <v>0.10936256915738352</v>
      </c>
    </row>
    <row r="73" spans="1:5">
      <c r="A73" s="132" t="s">
        <v>1592</v>
      </c>
      <c r="B73" s="127"/>
      <c r="C73" s="127"/>
      <c r="D73" s="127"/>
      <c r="E73" s="127"/>
    </row>
    <row r="74" spans="1:5">
      <c r="A74" s="133" t="s">
        <v>1593</v>
      </c>
      <c r="B74" s="127"/>
      <c r="C74" s="127"/>
      <c r="D74" s="127"/>
      <c r="E74" s="127"/>
    </row>
  </sheetData>
  <mergeCells count="6">
    <mergeCell ref="A66:E66"/>
    <mergeCell ref="A73:E73"/>
    <mergeCell ref="A74:E74"/>
    <mergeCell ref="A1:G1"/>
    <mergeCell ref="A14:G14"/>
    <mergeCell ref="A20:F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Dagmar Duarte</cp:lastModifiedBy>
  <cp:revision/>
  <dcterms:created xsi:type="dcterms:W3CDTF">2025-07-22T01:46:13Z</dcterms:created>
  <dcterms:modified xsi:type="dcterms:W3CDTF">2026-05-27T03:21:08Z</dcterms:modified>
  <cp:category/>
  <cp:contentStatus/>
</cp:coreProperties>
</file>